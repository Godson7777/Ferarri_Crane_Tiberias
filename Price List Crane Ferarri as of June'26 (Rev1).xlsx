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tpatria-my.sharepoint.com/personal/product_marketing_ptpatria_onmicrosoft_com/Documents/01 Tiberias/CRANE WITH BEST MENTOR INDRA/"/>
    </mc:Choice>
  </mc:AlternateContent>
  <xr:revisionPtr revIDLastSave="103" documentId="14_{A4EC13F2-B06A-4262-9D31-3523FF2F957D}" xr6:coauthVersionLast="47" xr6:coauthVersionMax="47" xr10:uidLastSave="{30E6801E-78AD-49AF-9190-234B1646612A}"/>
  <bookViews>
    <workbookView xWindow="-110" yWindow="-110" windowWidth="19420" windowHeight="11500" xr2:uid="{C60F8D78-005D-41B9-BC4D-456C16EB2F1D}"/>
  </bookViews>
  <sheets>
    <sheet name="25.06" sheetId="3" r:id="rId1"/>
    <sheet name="Sheet1" sheetId="4" r:id="rId2"/>
    <sheet name="Sheet2" sheetId="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a">#N/A</definedName>
    <definedName name="\d">#N/A</definedName>
    <definedName name="________Apr2">[1]Jan!$A$1:$M$580</definedName>
    <definedName name="________feb2">[1]Jan!$A$1:$M$580</definedName>
    <definedName name="________Mei2">[1]Jan!$A$1:$M$580</definedName>
    <definedName name="________Mrt2">[1]Jan!$A$1:$M$580</definedName>
    <definedName name="_______Apr2">[1]Jan!$A$1:$M$580</definedName>
    <definedName name="_______feb2">[1]Jan!$A$1:$M$580</definedName>
    <definedName name="_______Mei2">[1]Jan!$A$1:$M$580</definedName>
    <definedName name="_______Mrt2">[1]Jan!$A$1:$M$580</definedName>
    <definedName name="______Apr2">[1]Jan!$A$1:$M$580</definedName>
    <definedName name="______feb2">[1]Jan!$A$1:$M$580</definedName>
    <definedName name="______Mei2">[1]Jan!$A$1:$M$580</definedName>
    <definedName name="______Mrt2">[1]Jan!$A$1:$M$580</definedName>
    <definedName name="_____Apr2">[1]Jan!$A$1:$M$580</definedName>
    <definedName name="_____feb2">[1]Jan!$A$1:$M$580</definedName>
    <definedName name="_____Mei2">[1]Jan!$A$1:$M$580</definedName>
    <definedName name="_____Mrt2">[1]Jan!$A$1:$M$580</definedName>
    <definedName name="_____PM101">#REF!</definedName>
    <definedName name="____Apr2">[1]Jan!$A$1:$M$580</definedName>
    <definedName name="____feb2">[1]Jan!$A$1:$M$580</definedName>
    <definedName name="____Mei2">[1]Jan!$A$1:$M$580</definedName>
    <definedName name="____Mrt2">[1]Jan!$A$1:$M$580</definedName>
    <definedName name="____PM101">#REF!</definedName>
    <definedName name="___Apr2">[1]Jan!$A$1:$M$580</definedName>
    <definedName name="___feb2">[1]Jan!$A$1:$M$580</definedName>
    <definedName name="___Mei2">[1]Jan!$A$1:$M$580</definedName>
    <definedName name="___Mrt2">[1]Jan!$A$1:$M$580</definedName>
    <definedName name="___PM101">#REF!</definedName>
    <definedName name="__Apr2">[1]Jan!$A$1:$M$580</definedName>
    <definedName name="__feb2">[1]Jan!$A$1:$M$580</definedName>
    <definedName name="__Mei2">[1]Jan!$A$1:$M$580</definedName>
    <definedName name="__Mrt2">[1]Jan!$A$1:$M$580</definedName>
    <definedName name="__PM101">#REF!</definedName>
    <definedName name="_1Excel_BuiltIn__FilterDatabase_1_1">#REF!</definedName>
    <definedName name="_1Excel_BuiltIn_Print_Area_1_1">#REF!</definedName>
    <definedName name="_2Excel_BuiltIn_Print_Titles_1_1">#REF!</definedName>
    <definedName name="_3Excel_BuiltIn_Print_Titles_1_1_1">#REF!</definedName>
    <definedName name="_Apr2">[1]Jan!$A$1:$M$580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eb2">[1]Jan!$A$1:$M$580</definedName>
    <definedName name="_Fill" hidden="1">#REF!</definedName>
    <definedName name="_Key1" hidden="1">#REF!</definedName>
    <definedName name="_Mei2">[1]Jan!$A$1:$M$580</definedName>
    <definedName name="_Mrt2">[1]Jan!$A$1:$M$580</definedName>
    <definedName name="_Order1" hidden="1">255</definedName>
    <definedName name="_Order2" hidden="1">255</definedName>
    <definedName name="_PM101">#REF!</definedName>
    <definedName name="_Sort" hidden="1">#REF!</definedName>
    <definedName name="_src2">[2]IM!$C$8:$AL$1482</definedName>
    <definedName name="_src3">'[2]IM (in)'!$C$8:$AL$1482</definedName>
    <definedName name="_src4">'[2]IM (out)'!$C$8:$AL$1482</definedName>
    <definedName name="a">#REF!</definedName>
    <definedName name="aa">#REF!</definedName>
    <definedName name="aaaaa">#REF!</definedName>
    <definedName name="aaaaaa">#REF!</definedName>
    <definedName name="asset">[2]Asset!$B$2:$H$77</definedName>
    <definedName name="AUD">#REF!</definedName>
    <definedName name="bp">'[2]Input-BP'!$C$8:$AC$1482</definedName>
    <definedName name="c_code">[2]Code!$C$6:$D$128</definedName>
    <definedName name="CD1_">#REF!</definedName>
    <definedName name="CD2_">#REF!</definedName>
    <definedName name="CD3_">#REF!</definedName>
    <definedName name="CD4_">#REF!</definedName>
    <definedName name="cnc">[2]Current!$C$8:$BL$90</definedName>
    <definedName name="co">[3]Sheet2!$1:$1048576</definedName>
    <definedName name="co_name">[4]data_val!$B$6</definedName>
    <definedName name="COCO">#REF!</definedName>
    <definedName name="COCOK">#REF!</definedName>
    <definedName name="code">#REF!</definedName>
    <definedName name="COM">#REF!</definedName>
    <definedName name="COMP">#REF!</definedName>
    <definedName name="component">#REF!</definedName>
    <definedName name="cont">'[2]Cont.'!$D$10:$V$73</definedName>
    <definedName name="coy">[2]Code!$B$6:$D$128</definedName>
    <definedName name="CRITIC">#REF!</definedName>
    <definedName name="da">#REF!</definedName>
    <definedName name="DAT">#REF!</definedName>
    <definedName name="data">'[2]Input-Data'!$C$8:$S$130</definedName>
    <definedName name="_xlnm.Database">#REF!</definedName>
    <definedName name="date">[5]Contents!$F$2</definedName>
    <definedName name="DESC">#REF!</definedName>
    <definedName name="DET">#REF!</definedName>
    <definedName name="DINO">[6]data!$P$3:$R$9</definedName>
    <definedName name="DOS">#REF!</definedName>
    <definedName name="ELIMINASI">[7]TB!#REF!</definedName>
    <definedName name="EUR">#REF!</definedName>
    <definedName name="Excel_BuiltIn__FilterDatabase_18">#REF!</definedName>
    <definedName name="Excel_BuiltIn__FilterDatabase_20">#REF!</definedName>
    <definedName name="Excel_BuiltIn__FilterDatabase_24">#REF!</definedName>
    <definedName name="Excel_BuiltIn__FilterDatabase_3">#REF!</definedName>
    <definedName name="Excel_BuiltIn__FilterDatabase_3_1">#REF!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5_1">#REF!</definedName>
    <definedName name="Excel_BuiltIn__FilterDatabase_6">#REF!</definedName>
    <definedName name="Excel_BuiltIn__FilterDatabase_6_1">#REF!</definedName>
    <definedName name="Excel_BuiltIn__FilterDatabase_8">#REF!</definedName>
    <definedName name="Excel_BuiltIn__FilterDatabase_8_1">#REF!</definedName>
    <definedName name="Excel_BuiltIn_Print_Area_1">#REF!</definedName>
    <definedName name="Excel_BuiltIn_Print_Area_18">#REF!</definedName>
    <definedName name="Excel_BuiltIn_Print_Area_2">#REF!</definedName>
    <definedName name="Excel_BuiltIn_Print_Area_20">#REF!</definedName>
    <definedName name="Excel_BuiltIn_Print_Area_21">#REF!</definedName>
    <definedName name="Excel_BuiltIn_Print_Area_24">#REF!</definedName>
    <definedName name="Excel_BuiltIn_Print_Area_25">#REF!</definedName>
    <definedName name="Excel_BuiltIn_Print_Titles_1">#REF!</definedName>
    <definedName name="Excel_BuiltIn_Print_Titles_1_1">#REF!</definedName>
    <definedName name="Excel_BuiltIn_Print_Titles_18">#REF!</definedName>
    <definedName name="Excel_BuiltIn_Print_Titles_20">#REF!</definedName>
    <definedName name="Excel_BuiltIn_Print_Titles_24">#REF!</definedName>
    <definedName name="Excel_BuiltIn_Print_Titles_5">#REF!,#REF!</definedName>
    <definedName name="Excel_BuiltIn_Print_Titles_5_1">#REF!,#REF!</definedName>
    <definedName name="faf">#REF!</definedName>
    <definedName name="fafsafa">#REF!</definedName>
    <definedName name="FIG">#REF!</definedName>
    <definedName name="i10A">[2]Input10_A!$C$8:$FN$294</definedName>
    <definedName name="i10B">[2]Input10_B!$C$8:$DF$294</definedName>
    <definedName name="i10c">[2]Input10_C!$C$8:$BF$31</definedName>
    <definedName name="i10d">[2]Input10_D!$C$8:$J$136</definedName>
    <definedName name="IHZC1GUSKG">'[8]IH ZC USA'!$J$89</definedName>
    <definedName name="IHZC1GUSRP">'[8]IH ZC USA'!$J$105</definedName>
    <definedName name="IHZC2DUSKG">'[8]IH ZC USA'!$K$89</definedName>
    <definedName name="IHZC2DUSRP">'[8]IH ZC USA'!$K$105</definedName>
    <definedName name="IHZC4GUSKG">'[8]IH ZC USA'!$L$89</definedName>
    <definedName name="IHZC4GUSRP">'[8]IH ZC USA'!$L$105</definedName>
    <definedName name="IMPZC1GUSA">'[8]SF Imp'!$G$40</definedName>
    <definedName name="IMPZC2DUSA">'[8]SF Imp'!$J$40</definedName>
    <definedName name="IMPZC4GUSA">'[8]SF Imp'!$N$40</definedName>
    <definedName name="IMU">#REF!</definedName>
    <definedName name="imut">#REF!</definedName>
    <definedName name="IMUT1">#REF!</definedName>
    <definedName name="INLAND40">[8]Reff!$F$26</definedName>
    <definedName name="INX">#REF!</definedName>
    <definedName name="JPY">#REF!</definedName>
    <definedName name="kir">#REF!</definedName>
    <definedName name="KUR">#REF!</definedName>
    <definedName name="KURS">'[9]sst 35 york'!$O$6:$P$10</definedName>
    <definedName name="LPD">#REF!</definedName>
    <definedName name="LPR">#REF!</definedName>
    <definedName name="MASTERDATA">#REF!</definedName>
    <definedName name="MATL">#REF!</definedName>
    <definedName name="MFD_Kg">#REF!</definedName>
    <definedName name="MFD_Rp">#REF!</definedName>
    <definedName name="MHZC1GUSA">[8]ManHour!$L$5</definedName>
    <definedName name="MHZC2DUSA">[8]ManHour!$L$6</definedName>
    <definedName name="MHZC4GUSA">[8]ManHour!$L$10</definedName>
    <definedName name="MOM">#REF!</definedName>
    <definedName name="money">'[10]data (2)'!$T$1:$W$1008</definedName>
    <definedName name="Name">[5]Contents!$F$1</definedName>
    <definedName name="NO">#REF!</definedName>
    <definedName name="OHABD85">#REF!</definedName>
    <definedName name="OHFD">#REF!</definedName>
    <definedName name="OHZC1USA">[8]ZC1USAOH!$E$42</definedName>
    <definedName name="OHZC2USA">[8]ZC2USAOH!$E$37</definedName>
    <definedName name="OHZC4USA">[8]ZC4USAOH!$E$38</definedName>
    <definedName name="plat">#REF!</definedName>
    <definedName name="PN">#REF!</definedName>
    <definedName name="_xlnm.Print_Area" localSheetId="0">'25.06'!$D$1:$M$44</definedName>
    <definedName name="_xlnm.Print_Area">#REF!</definedName>
    <definedName name="PRINT_AREA_MI">#REF!</definedName>
    <definedName name="_xlnm.Print_Titles">#N/A</definedName>
    <definedName name="PRINT_TITLES_MI">#N/A</definedName>
    <definedName name="QTY">#REF!</definedName>
    <definedName name="RANK">#REF!</definedName>
    <definedName name="SAT">#REF!</definedName>
    <definedName name="SGD">#REF!</definedName>
    <definedName name="SHT">#REF!</definedName>
    <definedName name="Slicer_AGING_GROUP">#N/A</definedName>
    <definedName name="Slicer_BRANCH_SITE">#N/A</definedName>
    <definedName name="Slicer_STATUS_DCR">#N/A</definedName>
    <definedName name="Slicer_UTR_PLANT">#N/A</definedName>
    <definedName name="so">'[10]data (2)'!$T$2:$V$1025</definedName>
    <definedName name="src">[2]Input09!$C$8:$IB$1482</definedName>
    <definedName name="SS_41_P">#REF!</definedName>
    <definedName name="SS41F">#REF!</definedName>
    <definedName name="SS41Imp">#REF!</definedName>
    <definedName name="SS41KS">#REF!</definedName>
    <definedName name="Summary_All_Pending">#REF!</definedName>
    <definedName name="summary_all_pending21">#REF!</definedName>
    <definedName name="TEST0">#REF!</definedName>
    <definedName name="TESTHKEY">#REF!</definedName>
    <definedName name="TESTKEYS">#REF!</definedName>
    <definedName name="TESTVKEY">#REF!</definedName>
    <definedName name="USD">#REF!</definedName>
    <definedName name="UsdRp">[8]Reff!$B$4</definedName>
    <definedName name="val_bop">[11]data_val!$B$5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7" i="3" l="1"/>
  <c r="L49" i="3"/>
  <c r="P33" i="3"/>
  <c r="R47" i="3"/>
  <c r="Q47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3" i="3"/>
  <c r="P44" i="3"/>
  <c r="P43" i="3"/>
  <c r="P42" i="3"/>
  <c r="P41" i="3"/>
  <c r="P40" i="3"/>
  <c r="P39" i="3"/>
  <c r="P38" i="3"/>
  <c r="P37" i="3"/>
  <c r="P36" i="3"/>
  <c r="P35" i="3"/>
  <c r="P34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T6" i="3"/>
  <c r="W29" i="3"/>
  <c r="X29" i="3" s="1"/>
  <c r="W30" i="3"/>
  <c r="X30" i="3" s="1"/>
  <c r="W31" i="3"/>
  <c r="X31" i="3" s="1"/>
  <c r="W32" i="3"/>
  <c r="X32" i="3" s="1"/>
  <c r="W33" i="3"/>
  <c r="X33" i="3" s="1"/>
  <c r="W34" i="3"/>
  <c r="X34" i="3" s="1"/>
  <c r="W35" i="3"/>
  <c r="X35" i="3" s="1"/>
  <c r="W36" i="3"/>
  <c r="X36" i="3" s="1"/>
  <c r="W37" i="3"/>
  <c r="X37" i="3" s="1"/>
  <c r="W38" i="3"/>
  <c r="X38" i="3" s="1"/>
  <c r="W39" i="3"/>
  <c r="X39" i="3" s="1"/>
  <c r="W40" i="3"/>
  <c r="X40" i="3" s="1"/>
  <c r="W41" i="3"/>
  <c r="X41" i="3" s="1"/>
  <c r="W42" i="3"/>
  <c r="X42" i="3" s="1"/>
  <c r="W43" i="3"/>
  <c r="X43" i="3" s="1"/>
  <c r="W44" i="3"/>
  <c r="X44" i="3" s="1"/>
  <c r="W4" i="3"/>
  <c r="X4" i="3" s="1"/>
  <c r="W5" i="3"/>
  <c r="X5" i="3" s="1"/>
  <c r="W6" i="3"/>
  <c r="X6" i="3" s="1"/>
  <c r="W7" i="3"/>
  <c r="X7" i="3" s="1"/>
  <c r="W8" i="3"/>
  <c r="X8" i="3" s="1"/>
  <c r="W9" i="3"/>
  <c r="X9" i="3" s="1"/>
  <c r="W10" i="3"/>
  <c r="X10" i="3" s="1"/>
  <c r="W11" i="3"/>
  <c r="X11" i="3" s="1"/>
  <c r="W12" i="3"/>
  <c r="X12" i="3" s="1"/>
  <c r="W13" i="3"/>
  <c r="X13" i="3" s="1"/>
  <c r="W14" i="3"/>
  <c r="X14" i="3" s="1"/>
  <c r="W15" i="3"/>
  <c r="X15" i="3" s="1"/>
  <c r="W16" i="3"/>
  <c r="X16" i="3" s="1"/>
  <c r="W17" i="3"/>
  <c r="X17" i="3" s="1"/>
  <c r="W18" i="3"/>
  <c r="X18" i="3" s="1"/>
  <c r="W19" i="3"/>
  <c r="X19" i="3" s="1"/>
  <c r="W20" i="3"/>
  <c r="X20" i="3" s="1"/>
  <c r="W21" i="3"/>
  <c r="X21" i="3" s="1"/>
  <c r="W22" i="3"/>
  <c r="X22" i="3" s="1"/>
  <c r="W23" i="3"/>
  <c r="X23" i="3" s="1"/>
  <c r="W24" i="3"/>
  <c r="X24" i="3" s="1"/>
  <c r="W25" i="3"/>
  <c r="X25" i="3" s="1"/>
  <c r="W26" i="3"/>
  <c r="X26" i="3" s="1"/>
  <c r="W27" i="3"/>
  <c r="X27" i="3" s="1"/>
  <c r="W28" i="3"/>
  <c r="X28" i="3" s="1"/>
  <c r="W3" i="3"/>
  <c r="X3" i="3" s="1"/>
  <c r="T4" i="3"/>
  <c r="T5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3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3" i="3"/>
  <c r="V44" i="3" l="1"/>
  <c r="Y44" i="3" s="1"/>
  <c r="V4" i="3"/>
  <c r="Y4" i="3" s="1"/>
  <c r="V5" i="3"/>
  <c r="Y5" i="3" s="1"/>
  <c r="V6" i="3"/>
  <c r="Y6" i="3" s="1"/>
  <c r="V7" i="3"/>
  <c r="Y7" i="3" s="1"/>
  <c r="V8" i="3"/>
  <c r="Y8" i="3" s="1"/>
  <c r="V9" i="3"/>
  <c r="Y9" i="3" s="1"/>
  <c r="V10" i="3"/>
  <c r="Y10" i="3" s="1"/>
  <c r="V11" i="3"/>
  <c r="Y11" i="3" s="1"/>
  <c r="V12" i="3"/>
  <c r="Y12" i="3" s="1"/>
  <c r="V13" i="3"/>
  <c r="Y13" i="3" s="1"/>
  <c r="V14" i="3"/>
  <c r="Y14" i="3" s="1"/>
  <c r="V15" i="3"/>
  <c r="Y15" i="3" s="1"/>
  <c r="V16" i="3"/>
  <c r="Y16" i="3" s="1"/>
  <c r="V17" i="3"/>
  <c r="Y17" i="3" s="1"/>
  <c r="V18" i="3"/>
  <c r="Y18" i="3" s="1"/>
  <c r="V19" i="3"/>
  <c r="Y19" i="3" s="1"/>
  <c r="V3" i="3"/>
  <c r="Y3" i="3" s="1"/>
  <c r="V20" i="3"/>
  <c r="Y20" i="3" s="1"/>
  <c r="V21" i="3"/>
  <c r="Y21" i="3" s="1"/>
  <c r="V22" i="3"/>
  <c r="Y22" i="3" s="1"/>
  <c r="V23" i="3"/>
  <c r="Y23" i="3" s="1"/>
  <c r="V24" i="3"/>
  <c r="Y24" i="3" s="1"/>
  <c r="V25" i="3"/>
  <c r="Y25" i="3" s="1"/>
  <c r="V26" i="3"/>
  <c r="Y26" i="3" s="1"/>
  <c r="V27" i="3"/>
  <c r="Y27" i="3" s="1"/>
  <c r="V28" i="3"/>
  <c r="Y28" i="3" s="1"/>
  <c r="V29" i="3"/>
  <c r="Y29" i="3" s="1"/>
  <c r="V30" i="3"/>
  <c r="Y30" i="3" s="1"/>
  <c r="V31" i="3"/>
  <c r="Y31" i="3" s="1"/>
  <c r="V32" i="3"/>
  <c r="Y32" i="3" s="1"/>
  <c r="V33" i="3"/>
  <c r="Y33" i="3" s="1"/>
  <c r="V34" i="3"/>
  <c r="Y34" i="3" s="1"/>
  <c r="V35" i="3"/>
  <c r="Y35" i="3" s="1"/>
  <c r="V36" i="3"/>
  <c r="Y36" i="3" s="1"/>
  <c r="V37" i="3"/>
  <c r="Y37" i="3" s="1"/>
  <c r="V38" i="3"/>
  <c r="Y38" i="3" s="1"/>
  <c r="V39" i="3"/>
  <c r="Y39" i="3" s="1"/>
  <c r="V40" i="3"/>
  <c r="Y40" i="3" s="1"/>
  <c r="V41" i="3"/>
  <c r="Y41" i="3" s="1"/>
  <c r="V42" i="3"/>
  <c r="Y42" i="3" s="1"/>
  <c r="V43" i="3"/>
  <c r="Y4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tc={D818F943-A872-4B09-AD9B-24EC2A3C2077}</author>
    <author>tc={188CE8D1-ED8E-4FFF-B1F8-030688C61533}</author>
  </authors>
  <commentList>
    <comment ref="W1" authorId="0" shapeId="0" xr:uid="{D818F943-A872-4B09-AD9B-24EC2A3C2077}">
      <text>
        <t>[Threaded comment]
Your version of Excel allows you to read this threaded comment; however, any edits to it will get removed if the file is opened in a newer version of Excel. Learn more: https://go.microsoft.com/fwlink/?linkid=870924
Comment:
    Diambil dari L - K, biaya pemasangan juga tanpa GP TSP, Jadi pure dari UTPE</t>
      </text>
    </comment>
    <comment ref="X1" authorId="1" shapeId="0" xr:uid="{188CE8D1-ED8E-4FFF-B1F8-030688C615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 adalah percentage dari T, tanpa GP TSP atau apapun </t>
      </text>
    </comment>
  </commentList>
</comments>
</file>

<file path=xl/sharedStrings.xml><?xml version="1.0" encoding="utf-8"?>
<sst xmlns="http://schemas.openxmlformats.org/spreadsheetml/2006/main" count="517" uniqueCount="137">
  <si>
    <t>NO</t>
  </si>
  <si>
    <t>HYVA</t>
  </si>
  <si>
    <t>FERRARI</t>
  </si>
  <si>
    <t>Lead Time Supply Crane</t>
  </si>
  <si>
    <t xml:space="preserve">Cargo Deck + Mounting + Aksesoris </t>
  </si>
  <si>
    <t>Cargo Deck + Mounting + Aksesoris + Install</t>
  </si>
  <si>
    <t>Cargo Deck + Mounting + Aksesoris  + Crane</t>
  </si>
  <si>
    <t>Cargo Deck + Mounting + Aksesoris + Install + Crane</t>
  </si>
  <si>
    <t>Keterangan</t>
  </si>
  <si>
    <t>MODEL</t>
  </si>
  <si>
    <t>INCOTERM</t>
  </si>
  <si>
    <t>DESC</t>
  </si>
  <si>
    <t>HV27 E3</t>
  </si>
  <si>
    <t>(piston) pump, hose kit</t>
  </si>
  <si>
    <t xml:space="preserve">GP Standard UTE </t>
  </si>
  <si>
    <t>HB41 E2</t>
  </si>
  <si>
    <t>Cargo Deck includes :</t>
  </si>
  <si>
    <t>HA50X E4‐MB</t>
  </si>
  <si>
    <t>Man Basket crane, includes remote control, piston pump, hose kit</t>
  </si>
  <si>
    <t>- Two (2) pcs Foldable ladder (each front side)</t>
  </si>
  <si>
    <t>HA15 E2</t>
  </si>
  <si>
    <t>Complete with el. Powerpack (std 12V), and stabilisers</t>
  </si>
  <si>
    <t>EXW ITALY</t>
  </si>
  <si>
    <t>25 Weeks</t>
  </si>
  <si>
    <t>- One (1) pcs Flexible foot step on the rear bumper</t>
  </si>
  <si>
    <t>HA33 E2</t>
  </si>
  <si>
    <t>(gear) pump (FACTORY ORDER)</t>
  </si>
  <si>
    <t>- One (1) pcs tool box on the left side.</t>
  </si>
  <si>
    <t>EXW MALAYSIA</t>
  </si>
  <si>
    <t>(piston) pump (MALAYSIA STOCK )</t>
  </si>
  <si>
    <t>14 Weeks</t>
  </si>
  <si>
    <t>- Two (2) pcs wheel chocks (c/w bracket)</t>
  </si>
  <si>
    <t>HB43 E2</t>
  </si>
  <si>
    <t>(gear) pump</t>
  </si>
  <si>
    <t>- Two (2) pcs working lamp</t>
  </si>
  <si>
    <t>HA70X E5-MB</t>
  </si>
  <si>
    <t>EXW CHINA</t>
  </si>
  <si>
    <t>Man Basket crane, includes remote control, gear pump</t>
  </si>
  <si>
    <t>- One (1) pcs Strobe Light AMBER</t>
  </si>
  <si>
    <t>HB60 E2</t>
  </si>
  <si>
    <t>Additional Outtriger Pad HDPE Rp 28.700.000</t>
  </si>
  <si>
    <t>HB60x E2</t>
  </si>
  <si>
    <t>HB60 E3</t>
  </si>
  <si>
    <t>HB60 E4</t>
  </si>
  <si>
    <t>HB60x E4</t>
  </si>
  <si>
    <t>HB102 E2</t>
  </si>
  <si>
    <t>(piston) pump</t>
  </si>
  <si>
    <t>HB102 E3</t>
  </si>
  <si>
    <t>HB152 E3</t>
  </si>
  <si>
    <t>HB152 E4</t>
  </si>
  <si>
    <t>HB170 E3</t>
  </si>
  <si>
    <t>HB170 E4</t>
  </si>
  <si>
    <t>HB202 E3</t>
  </si>
  <si>
    <t>HB202 E4</t>
  </si>
  <si>
    <t>HB230 E3</t>
  </si>
  <si>
    <t>HB230 E4</t>
  </si>
  <si>
    <t>HB250 E3</t>
  </si>
  <si>
    <t>HB250x E3</t>
  </si>
  <si>
    <t>HB250 E4</t>
  </si>
  <si>
    <t>HB280 E3</t>
  </si>
  <si>
    <t>HB280 E4</t>
  </si>
  <si>
    <t>HC331 E4</t>
  </si>
  <si>
    <t>(piston) pump, hose kit, incl oil cooler, rear stab</t>
  </si>
  <si>
    <t>(piston) pump, incl oil cooler, rear stab</t>
  </si>
  <si>
    <t>HC331X E4</t>
  </si>
  <si>
    <t>includes remote control, (piston) pump, hose kit, incl oil cooler, rear stab</t>
  </si>
  <si>
    <t>includes remote control, (piston) pump, incl oil cooler, rear stab</t>
  </si>
  <si>
    <t>HBR350 E4</t>
  </si>
  <si>
    <t>EXW BRAZIL</t>
  </si>
  <si>
    <t>27 Weeks</t>
  </si>
  <si>
    <t>HBR350X E4</t>
  </si>
  <si>
    <t>HBR450 E4</t>
  </si>
  <si>
    <t>HBR450X E4</t>
  </si>
  <si>
    <t>HBR450X E6</t>
  </si>
  <si>
    <t>HB460 E4</t>
  </si>
  <si>
    <t>HC501X E4</t>
  </si>
  <si>
    <t>HBR600X E4</t>
  </si>
  <si>
    <t>HBR660X E4</t>
  </si>
  <si>
    <t>HB210X E3</t>
  </si>
  <si>
    <t>(piston) pump, hose kit, others</t>
  </si>
  <si>
    <t>HBR350 E3</t>
  </si>
  <si>
    <t>FBR660R A6</t>
  </si>
  <si>
    <t>315 A2</t>
  </si>
  <si>
    <t>350 A2</t>
  </si>
  <si>
    <t>543 A2</t>
  </si>
  <si>
    <t>078NDR SKY</t>
  </si>
  <si>
    <t>563 A2</t>
  </si>
  <si>
    <t>563R A2</t>
  </si>
  <si>
    <t>563 A3</t>
  </si>
  <si>
    <t>563 A4</t>
  </si>
  <si>
    <t>563R A4</t>
  </si>
  <si>
    <t>6108 A2</t>
  </si>
  <si>
    <t>6108 A3</t>
  </si>
  <si>
    <t>6148 A3</t>
  </si>
  <si>
    <t>5148 A4</t>
  </si>
  <si>
    <t>178 A3</t>
  </si>
  <si>
    <t>178 A4</t>
  </si>
  <si>
    <t>6238 A3</t>
  </si>
  <si>
    <t>6238 A4</t>
  </si>
  <si>
    <t>6248 A3</t>
  </si>
  <si>
    <t>6248 A4</t>
  </si>
  <si>
    <t>258 A3</t>
  </si>
  <si>
    <t>258R A3</t>
  </si>
  <si>
    <t>258 A4</t>
  </si>
  <si>
    <t>268 A3</t>
  </si>
  <si>
    <t>268 A4</t>
  </si>
  <si>
    <t>934 A4</t>
  </si>
  <si>
    <t>934R A4</t>
  </si>
  <si>
    <t>FBR350 A4</t>
  </si>
  <si>
    <t>FBR350R A4</t>
  </si>
  <si>
    <t>FBR450 A4</t>
  </si>
  <si>
    <t>FBR450R A4</t>
  </si>
  <si>
    <t>FBR450R A6</t>
  </si>
  <si>
    <t>746 A4</t>
  </si>
  <si>
    <t>749R A4</t>
  </si>
  <si>
    <t>FBR600R A4</t>
  </si>
  <si>
    <t>FBR660R A4</t>
  </si>
  <si>
    <t>GAP Harga Hyva - Ferarri</t>
  </si>
  <si>
    <t>Lead Time production</t>
  </si>
  <si>
    <t>Dwg to BOM (5 weeks)</t>
  </si>
  <si>
    <t>PR to PO (1 weeks)</t>
  </si>
  <si>
    <t>Deck Incoming (6 - 8 weeks)</t>
  </si>
  <si>
    <t>Assy &amp; RFD (3 weeks)</t>
  </si>
  <si>
    <t>Dengan Asumsi Rate USD, RMB, EUR as of 25/06/2026</t>
  </si>
  <si>
    <t xml:space="preserve">Harga untuk Fix outtriger </t>
  </si>
  <si>
    <t>GP TSP</t>
  </si>
  <si>
    <t>Install</t>
  </si>
  <si>
    <t>Cargo deck</t>
  </si>
  <si>
    <t xml:space="preserve">Instal Crane </t>
  </si>
  <si>
    <t>Instal Crane in %</t>
  </si>
  <si>
    <t>Leadtime Crane</t>
  </si>
  <si>
    <t>Crane ONLY</t>
  </si>
  <si>
    <t>Cargo deck/Flat deck ONLY</t>
  </si>
  <si>
    <t>Warranty</t>
  </si>
  <si>
    <t>Crane Only + GP + Warranty Triatra</t>
  </si>
  <si>
    <t>GP Cargodeck in %</t>
  </si>
  <si>
    <t>Cargodeck + GP Triatra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</si>
</sst>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&quot;Rp&quot;#,##0.00"/>
    <numFmt numFmtId="167" formatCode="&quot;Rp&quot;#,##0"/>
  </numFmts>
  <fonts count="9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Times New Roman"/>
      <family val="1"/>
    </font>
    <font>
      <b/>
      <sz val="10"/>
      <color theme="0"/>
      <name val="Aptos"/>
      <family val="2"/>
    </font>
    <font>
      <b/>
      <sz val="10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114">
    <xf numFmtId="0" fontId="0" fillId="0" borderId="0" xfId="0"/>
    <xf numFmtId="0" fontId="4" fillId="0" borderId="0" xfId="0" applyFont="1" applyAlignment="1">
      <alignment horizontal="left"/>
    </xf>
    <xf numFmtId="165" fontId="4" fillId="0" borderId="0" xfId="1" applyNumberFormat="1" applyFont="1" applyAlignment="1"/>
    <xf numFmtId="165" fontId="4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right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5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165" fontId="4" fillId="0" borderId="1" xfId="1" applyNumberFormat="1" applyFont="1" applyBorder="1" applyAlignment="1"/>
    <xf numFmtId="165" fontId="4" fillId="0" borderId="1" xfId="1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165" fontId="5" fillId="4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5" fontId="4" fillId="0" borderId="1" xfId="1" applyNumberFormat="1" applyFont="1" applyBorder="1" applyAlignment="1">
      <alignment vertical="center"/>
    </xf>
    <xf numFmtId="165" fontId="4" fillId="0" borderId="1" xfId="1" applyNumberFormat="1" applyFont="1" applyBorder="1" applyAlignment="1">
      <alignment horizontal="right" vertical="center"/>
    </xf>
    <xf numFmtId="9" fontId="4" fillId="0" borderId="1" xfId="2" applyFont="1" applyBorder="1" applyAlignment="1">
      <alignment horizontal="right" wrapText="1"/>
    </xf>
    <xf numFmtId="9" fontId="4" fillId="0" borderId="1" xfId="2" applyFont="1" applyBorder="1" applyAlignment="1">
      <alignment horizontal="right" vertical="center" wrapText="1"/>
    </xf>
    <xf numFmtId="9" fontId="4" fillId="0" borderId="0" xfId="2" applyFont="1" applyAlignment="1">
      <alignment horizontal="right" wrapText="1"/>
    </xf>
    <xf numFmtId="165" fontId="4" fillId="0" borderId="1" xfId="1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165" fontId="4" fillId="0" borderId="1" xfId="1" applyNumberFormat="1" applyFont="1" applyBorder="1" applyAlignment="1">
      <alignment wrapText="1"/>
    </xf>
    <xf numFmtId="165" fontId="4" fillId="0" borderId="1" xfId="1" applyNumberFormat="1" applyFont="1" applyBorder="1" applyAlignment="1">
      <alignment vertical="center" wrapText="1"/>
    </xf>
    <xf numFmtId="165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  <xf numFmtId="9" fontId="4" fillId="0" borderId="1" xfId="2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6" fontId="4" fillId="0" borderId="1" xfId="2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67" fontId="4" fillId="0" borderId="0" xfId="0" applyNumberFormat="1" applyFont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1" xfId="6" applyNumberFormat="1" applyFont="1" applyBorder="1" applyAlignment="1">
      <alignment horizontal="center" vertical="center"/>
    </xf>
    <xf numFmtId="165" fontId="4" fillId="0" borderId="1" xfId="1" applyNumberFormat="1" applyFont="1" applyFill="1" applyBorder="1" applyAlignment="1"/>
    <xf numFmtId="165" fontId="4" fillId="0" borderId="1" xfId="1" applyNumberFormat="1" applyFont="1" applyFill="1" applyBorder="1" applyAlignment="1">
      <alignment horizontal="center"/>
    </xf>
    <xf numFmtId="9" fontId="4" fillId="0" borderId="1" xfId="2" applyFont="1" applyFill="1" applyBorder="1" applyAlignment="1">
      <alignment horizontal="right" wrapText="1"/>
    </xf>
    <xf numFmtId="165" fontId="4" fillId="0" borderId="1" xfId="1" applyNumberFormat="1" applyFont="1" applyFill="1" applyBorder="1" applyAlignment="1">
      <alignment horizontal="right"/>
    </xf>
    <xf numFmtId="9" fontId="4" fillId="0" borderId="1" xfId="2" applyFont="1" applyFill="1" applyBorder="1" applyAlignment="1">
      <alignment horizontal="center"/>
    </xf>
    <xf numFmtId="10" fontId="4" fillId="0" borderId="1" xfId="2" applyNumberFormat="1" applyFont="1" applyFill="1" applyBorder="1" applyAlignment="1">
      <alignment horizontal="center"/>
    </xf>
    <xf numFmtId="166" fontId="4" fillId="0" borderId="1" xfId="2" applyNumberFormat="1" applyFont="1" applyFill="1" applyBorder="1" applyAlignment="1">
      <alignment horizontal="center"/>
    </xf>
    <xf numFmtId="165" fontId="7" fillId="6" borderId="1" xfId="1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/>
    </xf>
    <xf numFmtId="165" fontId="4" fillId="8" borderId="1" xfId="1" applyNumberFormat="1" applyFont="1" applyFill="1" applyBorder="1" applyAlignment="1"/>
    <xf numFmtId="165" fontId="4" fillId="8" borderId="1" xfId="1" applyNumberFormat="1" applyFont="1" applyFill="1" applyBorder="1" applyAlignment="1">
      <alignment horizontal="center"/>
    </xf>
    <xf numFmtId="9" fontId="4" fillId="8" borderId="1" xfId="2" applyFont="1" applyFill="1" applyBorder="1" applyAlignment="1">
      <alignment horizontal="right" wrapText="1"/>
    </xf>
    <xf numFmtId="165" fontId="4" fillId="8" borderId="1" xfId="1" applyNumberFormat="1" applyFont="1" applyFill="1" applyBorder="1" applyAlignment="1">
      <alignment horizontal="right"/>
    </xf>
    <xf numFmtId="9" fontId="4" fillId="8" borderId="1" xfId="2" applyFont="1" applyFill="1" applyBorder="1" applyAlignment="1">
      <alignment horizontal="center"/>
    </xf>
    <xf numFmtId="165" fontId="4" fillId="8" borderId="1" xfId="0" applyNumberFormat="1" applyFont="1" applyFill="1" applyBorder="1" applyAlignment="1">
      <alignment horizont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left"/>
    </xf>
    <xf numFmtId="10" fontId="4" fillId="8" borderId="1" xfId="2" applyNumberFormat="1" applyFont="1" applyFill="1" applyBorder="1" applyAlignment="1">
      <alignment horizontal="center"/>
    </xf>
    <xf numFmtId="166" fontId="4" fillId="8" borderId="1" xfId="2" applyNumberFormat="1" applyFont="1" applyFill="1" applyBorder="1" applyAlignment="1">
      <alignment horizontal="center"/>
    </xf>
    <xf numFmtId="0" fontId="0" fillId="8" borderId="0" xfId="0" applyFill="1"/>
    <xf numFmtId="0" fontId="4" fillId="8" borderId="0" xfId="0" applyFont="1" applyFill="1" applyAlignment="1">
      <alignment horizontal="left"/>
    </xf>
    <xf numFmtId="9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9" fontId="4" fillId="8" borderId="1" xfId="0" applyNumberFormat="1" applyFont="1" applyFill="1" applyBorder="1" applyAlignment="1">
      <alignment horizontal="center" vertical="center"/>
    </xf>
    <xf numFmtId="44" fontId="4" fillId="8" borderId="1" xfId="0" applyNumberFormat="1" applyFon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5" fontId="4" fillId="0" borderId="1" xfId="1" applyNumberFormat="1" applyFont="1" applyFill="1" applyBorder="1" applyAlignment="1">
      <alignment vertical="center"/>
    </xf>
    <xf numFmtId="165" fontId="4" fillId="0" borderId="1" xfId="1" applyNumberFormat="1" applyFont="1" applyFill="1" applyBorder="1" applyAlignment="1">
      <alignment horizontal="center" vertical="center"/>
    </xf>
    <xf numFmtId="9" fontId="4" fillId="0" borderId="1" xfId="2" applyFont="1" applyFill="1" applyBorder="1" applyAlignment="1">
      <alignment horizontal="right" vertical="center" wrapText="1"/>
    </xf>
    <xf numFmtId="165" fontId="4" fillId="0" borderId="1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165" fontId="4" fillId="2" borderId="1" xfId="1" applyNumberFormat="1" applyFont="1" applyFill="1" applyBorder="1" applyAlignment="1"/>
    <xf numFmtId="165" fontId="4" fillId="2" borderId="1" xfId="1" applyNumberFormat="1" applyFont="1" applyFill="1" applyBorder="1" applyAlignment="1">
      <alignment horizontal="center"/>
    </xf>
    <xf numFmtId="9" fontId="4" fillId="2" borderId="1" xfId="2" applyFont="1" applyFill="1" applyBorder="1" applyAlignment="1">
      <alignment horizontal="right" wrapText="1"/>
    </xf>
    <xf numFmtId="165" fontId="4" fillId="2" borderId="1" xfId="1" applyNumberFormat="1" applyFont="1" applyFill="1" applyBorder="1" applyAlignment="1">
      <alignment horizontal="right"/>
    </xf>
    <xf numFmtId="9" fontId="4" fillId="2" borderId="1" xfId="2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44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left"/>
    </xf>
    <xf numFmtId="165" fontId="0" fillId="2" borderId="1" xfId="0" applyNumberFormat="1" applyFill="1" applyBorder="1" applyAlignment="1">
      <alignment horizontal="center" vertical="center"/>
    </xf>
    <xf numFmtId="10" fontId="4" fillId="2" borderId="1" xfId="2" applyNumberFormat="1" applyFont="1" applyFill="1" applyBorder="1" applyAlignment="1">
      <alignment horizontal="center"/>
    </xf>
    <xf numFmtId="166" fontId="4" fillId="2" borderId="1" xfId="2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9" fontId="5" fillId="5" borderId="2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165" fontId="5" fillId="3" borderId="1" xfId="1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/>
    </xf>
    <xf numFmtId="165" fontId="7" fillId="6" borderId="1" xfId="1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 wrapText="1"/>
    </xf>
    <xf numFmtId="9" fontId="5" fillId="3" borderId="1" xfId="2" applyFont="1" applyFill="1" applyBorder="1" applyAlignment="1">
      <alignment horizontal="right" vertical="center" wrapText="1"/>
    </xf>
    <xf numFmtId="9" fontId="5" fillId="5" borderId="3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7">
    <cellStyle name="Comma" xfId="1" builtinId="3"/>
    <cellStyle name="Comma 10 3" xfId="4" xr:uid="{593FC327-6A3A-47A2-9DD7-13A950B1BC3D}"/>
    <cellStyle name="Currency" xfId="6" builtinId="4"/>
    <cellStyle name="Normal" xfId="0" builtinId="0"/>
    <cellStyle name="Normal 3" xfId="3" xr:uid="{5D9A377D-1370-4D10-BA10-5B91464DD2EF}"/>
    <cellStyle name="Percent" xfId="2" builtinId="5"/>
    <cellStyle name="Percent 2" xfId="5" xr:uid="{E66BE1EB-5FAC-445B-A05D-D9A7A67821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ccounting\Reporting\Della\Kertas%20Kerja%20LK%20Jan-Jun%20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AstrA\V%201210\Spreads\AstrA%20-%20PSAK24%20-%201210%20-%20A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rbck01\pc%20dept\PPC\Ppc-Informasi\MRP%20PRODUCT\TranSportation\Tank\CM%20800%20-%2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OP-HO\template_peb_ho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00S-ITFS01\accshr\SEM-BCS\40_%20BW\Tests\UAT%20week%2010102005\christine\Web%20based%20forms_YE05_12Jan06-discusses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ATA\GP\GP%20Report%20April%202017\My%20Documents\Downloads\SSP-BAD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doko\kons-2004\lap-082004\Ner-Agustus%2020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tejde04\transfer\ZC%20Fram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C\Ppc-Informasi\COGS\Mining\COGS%20SST%2035,%2077,%20dl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ATA\GP\GP%20Report%20April%202017\PERSIAPAN%20BUKU\PERSIAPAN%20BUKU-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Devi\Local%20Settings\Temporary%20Internet%20Files\Content.IE5\4D67K5UZ\2005\toyoda%20gosei\calc\newcalc\calc_toyoda_peb_rev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B 2009 Final"/>
      <sheetName val="TB 2010"/>
      <sheetName val="Jan"/>
      <sheetName val="Feb"/>
      <sheetName val="Mrt"/>
      <sheetName val="Apr"/>
      <sheetName val="Mei"/>
      <sheetName val="Jun"/>
      <sheetName val="TB 2010 Final"/>
      <sheetName val="Investasi"/>
      <sheetName val="LR"/>
      <sheetName val="1771-I"/>
      <sheetName val="1771-II"/>
      <sheetName val="LKfis"/>
      <sheetName val="Minecat"/>
      <sheetName val="validation"/>
      <sheetName val="SAP_020108"/>
      <sheetName val="Master Data PN"/>
      <sheetName val="CAUSED &amp; Symp_Prod Hierarchy"/>
      <sheetName val="Revenue SEP"/>
      <sheetName val="TB_2009_Final"/>
      <sheetName val="TB_2010"/>
      <sheetName val="TB_2010_Final"/>
      <sheetName val="Master_Data_PN"/>
    </sheetNames>
    <sheetDataSet>
      <sheetData sheetId="0"/>
      <sheetData sheetId="1"/>
      <sheetData sheetId="2"/>
      <sheetData sheetId="3">
        <row r="1">
          <cell r="A1" t="str">
            <v>INTACC</v>
          </cell>
          <cell r="B1" t="str">
            <v>INTACC1</v>
          </cell>
          <cell r="C1" t="str">
            <v>DESCRIPT</v>
          </cell>
          <cell r="D1" t="str">
            <v>STDACC</v>
          </cell>
          <cell r="E1" t="str">
            <v>AWAL</v>
          </cell>
          <cell r="F1" t="str">
            <v>MUTD</v>
          </cell>
          <cell r="G1" t="str">
            <v>MUTK</v>
          </cell>
          <cell r="H1" t="str">
            <v>AKHIR</v>
          </cell>
          <cell r="I1" t="str">
            <v>ADJD</v>
          </cell>
          <cell r="J1" t="str">
            <v>ADJK</v>
          </cell>
          <cell r="K1" t="str">
            <v>FINAL</v>
          </cell>
          <cell r="L1" t="str">
            <v>PREVBAL</v>
          </cell>
          <cell r="M1" t="str">
            <v>DESCAI</v>
          </cell>
        </row>
        <row r="2">
          <cell r="A2">
            <v>120000001</v>
          </cell>
          <cell r="C2" t="str">
            <v>Kas Rupiah</v>
          </cell>
          <cell r="D2" t="str">
            <v>00 00 100-210-000</v>
          </cell>
          <cell r="E2">
            <v>0</v>
          </cell>
          <cell r="F2">
            <v>0</v>
          </cell>
          <cell r="G2">
            <v>0</v>
          </cell>
          <cell r="H2">
            <v>144017168</v>
          </cell>
          <cell r="I2">
            <v>0</v>
          </cell>
          <cell r="J2">
            <v>0</v>
          </cell>
          <cell r="K2">
            <v>144017168</v>
          </cell>
          <cell r="L2">
            <v>0</v>
          </cell>
          <cell r="M2" t="str">
            <v>Cash On Hand - Local Currency</v>
          </cell>
        </row>
        <row r="3">
          <cell r="A3">
            <v>130001011</v>
          </cell>
          <cell r="C3" t="str">
            <v>BNI (Corporate) Rp</v>
          </cell>
          <cell r="D3" t="str">
            <v>00 00 100-310-140</v>
          </cell>
          <cell r="E3">
            <v>0</v>
          </cell>
          <cell r="F3">
            <v>0</v>
          </cell>
          <cell r="G3">
            <v>0</v>
          </cell>
          <cell r="H3">
            <v>474226445</v>
          </cell>
          <cell r="I3">
            <v>0</v>
          </cell>
          <cell r="J3">
            <v>0</v>
          </cell>
          <cell r="K3">
            <v>474226445</v>
          </cell>
          <cell r="L3">
            <v>0</v>
          </cell>
          <cell r="M3" t="str">
            <v>Cash in Bank -  - PT Bank Negara Indones</v>
          </cell>
        </row>
        <row r="4">
          <cell r="A4">
            <v>130001012</v>
          </cell>
          <cell r="C4" t="str">
            <v>Bank Valas BNI - Matraman</v>
          </cell>
          <cell r="D4" t="str">
            <v>00 00 100-320-140</v>
          </cell>
          <cell r="E4">
            <v>0</v>
          </cell>
          <cell r="F4">
            <v>0</v>
          </cell>
          <cell r="G4">
            <v>0</v>
          </cell>
          <cell r="H4">
            <v>14602978981</v>
          </cell>
          <cell r="I4">
            <v>0</v>
          </cell>
          <cell r="J4">
            <v>0</v>
          </cell>
          <cell r="K4">
            <v>14602978981</v>
          </cell>
          <cell r="L4">
            <v>0</v>
          </cell>
          <cell r="M4" t="str">
            <v>Cash in Bank -  - PT Bank Negara Indones</v>
          </cell>
        </row>
        <row r="5">
          <cell r="A5">
            <v>130001281</v>
          </cell>
          <cell r="C5" t="str">
            <v>BNI (BKJ) Rp</v>
          </cell>
          <cell r="D5" t="str">
            <v>00 00 100-310-140</v>
          </cell>
          <cell r="E5">
            <v>0</v>
          </cell>
          <cell r="F5">
            <v>0</v>
          </cell>
          <cell r="G5">
            <v>0</v>
          </cell>
          <cell r="H5">
            <v>1414380</v>
          </cell>
          <cell r="I5">
            <v>0</v>
          </cell>
          <cell r="J5">
            <v>0</v>
          </cell>
          <cell r="K5">
            <v>1414380</v>
          </cell>
          <cell r="L5">
            <v>0</v>
          </cell>
          <cell r="M5" t="str">
            <v>Cash in Bank -  - PT Bank Negara Indones</v>
          </cell>
        </row>
        <row r="6">
          <cell r="A6">
            <v>130001291</v>
          </cell>
          <cell r="C6" t="str">
            <v>BNI - Bontang</v>
          </cell>
          <cell r="D6" t="str">
            <v>00 00 100-310-140</v>
          </cell>
          <cell r="E6">
            <v>0</v>
          </cell>
          <cell r="F6">
            <v>0</v>
          </cell>
          <cell r="G6">
            <v>0</v>
          </cell>
          <cell r="H6">
            <v>18647239</v>
          </cell>
          <cell r="I6">
            <v>0</v>
          </cell>
          <cell r="J6">
            <v>0</v>
          </cell>
          <cell r="K6">
            <v>18647239</v>
          </cell>
          <cell r="L6">
            <v>0</v>
          </cell>
          <cell r="M6" t="str">
            <v>Cash in Bank -  - PT Bank Negara Indones</v>
          </cell>
        </row>
        <row r="7">
          <cell r="A7">
            <v>130002011</v>
          </cell>
          <cell r="C7" t="str">
            <v>BDN (Corporate) Rp</v>
          </cell>
          <cell r="D7" t="str">
            <v>00 00 100-310-090</v>
          </cell>
          <cell r="E7">
            <v>0</v>
          </cell>
          <cell r="F7">
            <v>0</v>
          </cell>
          <cell r="G7">
            <v>0</v>
          </cell>
          <cell r="H7">
            <v>12692009027</v>
          </cell>
          <cell r="I7">
            <v>360847273</v>
          </cell>
          <cell r="J7">
            <v>98757088</v>
          </cell>
          <cell r="K7">
            <v>12954099212</v>
          </cell>
          <cell r="L7">
            <v>0</v>
          </cell>
          <cell r="M7" t="str">
            <v>Cash in Bank -  - PT Bank Mandiri</v>
          </cell>
        </row>
        <row r="8">
          <cell r="A8">
            <v>130002012</v>
          </cell>
          <cell r="C8" t="str">
            <v>Bank Valas BDN</v>
          </cell>
          <cell r="D8" t="str">
            <v>00 00 100-320-090</v>
          </cell>
          <cell r="E8">
            <v>0</v>
          </cell>
          <cell r="F8">
            <v>0</v>
          </cell>
          <cell r="G8">
            <v>0</v>
          </cell>
          <cell r="H8">
            <v>10589721923</v>
          </cell>
          <cell r="I8">
            <v>3813735828</v>
          </cell>
          <cell r="J8">
            <v>0</v>
          </cell>
          <cell r="K8">
            <v>14403457751</v>
          </cell>
          <cell r="L8">
            <v>0</v>
          </cell>
          <cell r="M8" t="str">
            <v>Cash in Bank -  - PT Bank Mandiri</v>
          </cell>
        </row>
        <row r="9">
          <cell r="A9">
            <v>130002181</v>
          </cell>
          <cell r="C9" t="str">
            <v>BDN (Ambon) Rp</v>
          </cell>
          <cell r="D9" t="str">
            <v>00 00 100-310-090</v>
          </cell>
          <cell r="E9">
            <v>0</v>
          </cell>
          <cell r="F9">
            <v>0</v>
          </cell>
          <cell r="G9">
            <v>0</v>
          </cell>
          <cell r="H9">
            <v>27225648</v>
          </cell>
          <cell r="I9">
            <v>0</v>
          </cell>
          <cell r="J9">
            <v>0</v>
          </cell>
          <cell r="K9">
            <v>27225648</v>
          </cell>
          <cell r="L9">
            <v>0</v>
          </cell>
          <cell r="M9" t="str">
            <v>Cash in Bank -  - PT Bank Mandiri</v>
          </cell>
        </row>
        <row r="10">
          <cell r="A10">
            <v>130003301</v>
          </cell>
          <cell r="C10" t="str">
            <v>BRI (Satui)</v>
          </cell>
          <cell r="D10" t="str">
            <v>00 00 100-310-190</v>
          </cell>
          <cell r="E10">
            <v>0</v>
          </cell>
          <cell r="F10">
            <v>0</v>
          </cell>
          <cell r="G10">
            <v>0</v>
          </cell>
          <cell r="H10">
            <v>8709490</v>
          </cell>
          <cell r="I10">
            <v>0</v>
          </cell>
          <cell r="J10">
            <v>0</v>
          </cell>
          <cell r="K10">
            <v>8709490</v>
          </cell>
          <cell r="L10">
            <v>0</v>
          </cell>
          <cell r="M10" t="str">
            <v>Cash in Bank - LC -PT Bank Rakyat Indone</v>
          </cell>
        </row>
        <row r="11">
          <cell r="A11">
            <v>130003601</v>
          </cell>
          <cell r="C11" t="str">
            <v>BRI Damai Rupiah</v>
          </cell>
          <cell r="D11" t="str">
            <v>00 00 100-310-190</v>
          </cell>
          <cell r="E11">
            <v>0</v>
          </cell>
          <cell r="F11">
            <v>0</v>
          </cell>
          <cell r="G11">
            <v>0</v>
          </cell>
          <cell r="H11">
            <v>67706005</v>
          </cell>
          <cell r="I11">
            <v>0</v>
          </cell>
          <cell r="J11">
            <v>0</v>
          </cell>
          <cell r="K11">
            <v>67706005</v>
          </cell>
          <cell r="L11">
            <v>0</v>
          </cell>
          <cell r="M11" t="str">
            <v>Cash in Bank - LC -PT Bank Rakyat Indone</v>
          </cell>
        </row>
        <row r="12">
          <cell r="A12">
            <v>130003611</v>
          </cell>
          <cell r="C12" t="str">
            <v>BRI Rantau Rp</v>
          </cell>
          <cell r="D12" t="str">
            <v>00 00 100-310-190</v>
          </cell>
          <cell r="E12">
            <v>0</v>
          </cell>
          <cell r="F12">
            <v>0</v>
          </cell>
          <cell r="G12">
            <v>0</v>
          </cell>
          <cell r="H12">
            <v>2256063</v>
          </cell>
          <cell r="I12">
            <v>0</v>
          </cell>
          <cell r="J12">
            <v>0</v>
          </cell>
          <cell r="K12">
            <v>2256063</v>
          </cell>
          <cell r="L12">
            <v>0</v>
          </cell>
          <cell r="M12" t="str">
            <v>Cash in Bank - LC -PT Bank Rakyat Indone</v>
          </cell>
        </row>
        <row r="13">
          <cell r="A13">
            <v>130005011</v>
          </cell>
          <cell r="C13" t="str">
            <v>Bank Rupiah NIAGA</v>
          </cell>
          <cell r="D13" t="str">
            <v>00 00 100-310-150</v>
          </cell>
          <cell r="E13">
            <v>0</v>
          </cell>
          <cell r="F13">
            <v>0</v>
          </cell>
          <cell r="G13">
            <v>0</v>
          </cell>
          <cell r="H13">
            <v>906467185</v>
          </cell>
          <cell r="I13">
            <v>5105880</v>
          </cell>
          <cell r="J13">
            <v>0</v>
          </cell>
          <cell r="K13">
            <v>911573065</v>
          </cell>
          <cell r="L13">
            <v>0</v>
          </cell>
          <cell r="M13" t="str">
            <v>Cash in Bank -  - PT Bank Niaga Tbk</v>
          </cell>
        </row>
        <row r="14">
          <cell r="A14">
            <v>130005012</v>
          </cell>
          <cell r="C14" t="str">
            <v>Bank Valas NIAGA</v>
          </cell>
          <cell r="D14" t="str">
            <v>00 00 100-320-150</v>
          </cell>
          <cell r="E14">
            <v>0</v>
          </cell>
          <cell r="F14">
            <v>0</v>
          </cell>
          <cell r="G14">
            <v>0</v>
          </cell>
          <cell r="H14">
            <v>6838777203</v>
          </cell>
          <cell r="I14">
            <v>0</v>
          </cell>
          <cell r="J14">
            <v>0</v>
          </cell>
          <cell r="K14">
            <v>6838777203</v>
          </cell>
          <cell r="L14">
            <v>0</v>
          </cell>
          <cell r="M14" t="str">
            <v>Cash in Bank -  - PT Bank Niaga Tbk</v>
          </cell>
        </row>
        <row r="15">
          <cell r="A15">
            <v>130005081</v>
          </cell>
          <cell r="C15" t="str">
            <v>Bank Niaga (JKT) - Rp</v>
          </cell>
          <cell r="D15" t="str">
            <v>00 00 100-310-150</v>
          </cell>
          <cell r="E15">
            <v>0</v>
          </cell>
          <cell r="F15">
            <v>0</v>
          </cell>
          <cell r="G15">
            <v>0</v>
          </cell>
          <cell r="H15">
            <v>6010543</v>
          </cell>
          <cell r="I15">
            <v>0</v>
          </cell>
          <cell r="J15">
            <v>0</v>
          </cell>
          <cell r="K15">
            <v>6010543</v>
          </cell>
          <cell r="L15">
            <v>0</v>
          </cell>
          <cell r="M15" t="str">
            <v>Cash in Bank -  - PT Bank Niaga Tbk</v>
          </cell>
        </row>
        <row r="16">
          <cell r="A16">
            <v>130006011</v>
          </cell>
          <cell r="C16" t="str">
            <v>Bank Rupiah CITY</v>
          </cell>
          <cell r="D16" t="str">
            <v>00 00 100-310-260</v>
          </cell>
          <cell r="E16">
            <v>0</v>
          </cell>
          <cell r="F16">
            <v>0</v>
          </cell>
          <cell r="G16">
            <v>0</v>
          </cell>
          <cell r="H16">
            <v>3429866309</v>
          </cell>
          <cell r="I16">
            <v>0</v>
          </cell>
          <cell r="J16">
            <v>0</v>
          </cell>
          <cell r="K16">
            <v>3429866309</v>
          </cell>
          <cell r="L16">
            <v>0</v>
          </cell>
          <cell r="M16" t="str">
            <v>Cash in Bank - LC -Citibank, NA</v>
          </cell>
        </row>
        <row r="17">
          <cell r="A17">
            <v>130006012</v>
          </cell>
          <cell r="C17" t="str">
            <v>Bank Valas CITY - USD</v>
          </cell>
          <cell r="D17" t="str">
            <v>00 00 100-320-260</v>
          </cell>
          <cell r="E17">
            <v>0</v>
          </cell>
          <cell r="F17">
            <v>0</v>
          </cell>
          <cell r="G17">
            <v>0</v>
          </cell>
          <cell r="H17">
            <v>121986857774</v>
          </cell>
          <cell r="I17">
            <v>0</v>
          </cell>
          <cell r="J17">
            <v>0</v>
          </cell>
          <cell r="K17">
            <v>121986857774</v>
          </cell>
          <cell r="L17">
            <v>0</v>
          </cell>
          <cell r="M17" t="str">
            <v>Cash in Bank - FC -Citibank, NA</v>
          </cell>
        </row>
        <row r="18">
          <cell r="A18">
            <v>130006013</v>
          </cell>
          <cell r="C18" t="str">
            <v>Bank Valas CITY - Yen</v>
          </cell>
          <cell r="D18" t="str">
            <v>00 00 100-320-260</v>
          </cell>
          <cell r="E18">
            <v>0</v>
          </cell>
          <cell r="F18">
            <v>0</v>
          </cell>
          <cell r="G18">
            <v>0</v>
          </cell>
          <cell r="H18">
            <v>22770756461</v>
          </cell>
          <cell r="I18">
            <v>0</v>
          </cell>
          <cell r="J18">
            <v>0</v>
          </cell>
          <cell r="K18">
            <v>22770756461</v>
          </cell>
          <cell r="L18">
            <v>0</v>
          </cell>
          <cell r="M18" t="str">
            <v>Cash in Bank - FC -Citibank, NA</v>
          </cell>
        </row>
        <row r="19">
          <cell r="A19">
            <v>130006016</v>
          </cell>
          <cell r="C19" t="str">
            <v>Citi Bank (Corporate) EURO</v>
          </cell>
          <cell r="D19" t="str">
            <v>00 00 100-320-260</v>
          </cell>
          <cell r="E19">
            <v>0</v>
          </cell>
          <cell r="F19">
            <v>0</v>
          </cell>
          <cell r="G19">
            <v>0</v>
          </cell>
          <cell r="H19">
            <v>196556247</v>
          </cell>
          <cell r="I19">
            <v>0</v>
          </cell>
          <cell r="J19">
            <v>0</v>
          </cell>
          <cell r="K19">
            <v>196556247</v>
          </cell>
          <cell r="L19">
            <v>0</v>
          </cell>
          <cell r="M19" t="str">
            <v>Cash in Bank - FC -Citibank, NA</v>
          </cell>
        </row>
        <row r="20">
          <cell r="A20">
            <v>130011011</v>
          </cell>
          <cell r="C20" t="str">
            <v>Bank Danamon (Corporate) Rp</v>
          </cell>
          <cell r="D20" t="str">
            <v>00 00 100-310-080</v>
          </cell>
          <cell r="E20">
            <v>0</v>
          </cell>
          <cell r="F20">
            <v>0</v>
          </cell>
          <cell r="G20">
            <v>0</v>
          </cell>
          <cell r="H20">
            <v>24446939</v>
          </cell>
          <cell r="I20">
            <v>0</v>
          </cell>
          <cell r="J20">
            <v>0</v>
          </cell>
          <cell r="K20">
            <v>24446939</v>
          </cell>
          <cell r="L20">
            <v>0</v>
          </cell>
          <cell r="M20" t="str">
            <v>Cash in Bank -  - PT Bank Danamon Indone</v>
          </cell>
        </row>
        <row r="21">
          <cell r="A21">
            <v>130011012</v>
          </cell>
          <cell r="C21" t="str">
            <v>Bank Danamon (Corporate) US$</v>
          </cell>
          <cell r="D21" t="str">
            <v>00 00 100-320-080</v>
          </cell>
          <cell r="E21">
            <v>0</v>
          </cell>
          <cell r="F21">
            <v>0</v>
          </cell>
          <cell r="G21">
            <v>0</v>
          </cell>
          <cell r="H21">
            <v>23507435159</v>
          </cell>
          <cell r="I21">
            <v>1363166122</v>
          </cell>
          <cell r="J21">
            <v>0</v>
          </cell>
          <cell r="K21">
            <v>24870601281</v>
          </cell>
          <cell r="L21">
            <v>0</v>
          </cell>
          <cell r="M21" t="str">
            <v>Cash in Bank -  - PT Bank Danamon Indone</v>
          </cell>
        </row>
        <row r="22">
          <cell r="A22">
            <v>130013181</v>
          </cell>
          <cell r="C22" t="str">
            <v>BPD (Sorong) Rp</v>
          </cell>
          <cell r="D22" t="str">
            <v>00 00 100-310-058</v>
          </cell>
          <cell r="E22">
            <v>0</v>
          </cell>
          <cell r="F22">
            <v>0</v>
          </cell>
          <cell r="G22">
            <v>0</v>
          </cell>
          <cell r="H22">
            <v>41895618</v>
          </cell>
          <cell r="I22">
            <v>0</v>
          </cell>
          <cell r="J22">
            <v>0</v>
          </cell>
          <cell r="K22">
            <v>41895618</v>
          </cell>
          <cell r="L22">
            <v>0</v>
          </cell>
          <cell r="M22" t="str">
            <v>Cash in Bank - Loc-PT BPD Papua</v>
          </cell>
        </row>
        <row r="23">
          <cell r="A23">
            <v>130013191</v>
          </cell>
          <cell r="C23" t="str">
            <v>BPD (Jayapura) Rp</v>
          </cell>
          <cell r="D23" t="str">
            <v>00 00 100-310-058</v>
          </cell>
          <cell r="E23">
            <v>0</v>
          </cell>
          <cell r="F23">
            <v>0</v>
          </cell>
          <cell r="G23">
            <v>0</v>
          </cell>
          <cell r="H23">
            <v>1351294</v>
          </cell>
          <cell r="I23">
            <v>0</v>
          </cell>
          <cell r="J23">
            <v>0</v>
          </cell>
          <cell r="K23">
            <v>1351294</v>
          </cell>
          <cell r="L23">
            <v>0</v>
          </cell>
          <cell r="M23" t="str">
            <v>Cash in Bank - Loc-PT BPD Papua</v>
          </cell>
        </row>
        <row r="24">
          <cell r="A24">
            <v>130016011</v>
          </cell>
          <cell r="C24" t="str">
            <v>BCA Corporate IDR</v>
          </cell>
          <cell r="D24" t="str">
            <v>00 00 100-310-050</v>
          </cell>
          <cell r="E24">
            <v>0</v>
          </cell>
          <cell r="F24">
            <v>0</v>
          </cell>
          <cell r="G24">
            <v>0</v>
          </cell>
          <cell r="H24">
            <v>22589795</v>
          </cell>
          <cell r="I24">
            <v>1961982</v>
          </cell>
          <cell r="J24">
            <v>0</v>
          </cell>
          <cell r="K24">
            <v>24551777</v>
          </cell>
          <cell r="L24">
            <v>0</v>
          </cell>
          <cell r="M24" t="str">
            <v>Cash in Bank - LC -PT Bank Central Asia</v>
          </cell>
        </row>
        <row r="25">
          <cell r="A25">
            <v>130016012</v>
          </cell>
          <cell r="C25" t="str">
            <v>BCA Corp $US</v>
          </cell>
          <cell r="D25" t="str">
            <v>00 00 100-320-050</v>
          </cell>
          <cell r="E25">
            <v>0</v>
          </cell>
          <cell r="F25">
            <v>0</v>
          </cell>
          <cell r="G25">
            <v>0</v>
          </cell>
          <cell r="H25">
            <v>23479637872</v>
          </cell>
          <cell r="I25">
            <v>4201221318</v>
          </cell>
          <cell r="J25">
            <v>0</v>
          </cell>
          <cell r="K25">
            <v>27680859190</v>
          </cell>
          <cell r="L25">
            <v>0</v>
          </cell>
          <cell r="M25" t="str">
            <v>Cash in Bank - FC -PT Bank Central Asia</v>
          </cell>
        </row>
        <row r="26">
          <cell r="A26">
            <v>130017012</v>
          </cell>
          <cell r="C26" t="str">
            <v>BII Corp US$</v>
          </cell>
          <cell r="D26" t="str">
            <v>00 00 100-320-100</v>
          </cell>
          <cell r="E26">
            <v>0</v>
          </cell>
          <cell r="F26">
            <v>0</v>
          </cell>
          <cell r="G26">
            <v>0</v>
          </cell>
          <cell r="H26">
            <v>3292155337</v>
          </cell>
          <cell r="I26">
            <v>440784703</v>
          </cell>
          <cell r="J26">
            <v>0</v>
          </cell>
          <cell r="K26">
            <v>3732940040</v>
          </cell>
          <cell r="L26">
            <v>0</v>
          </cell>
          <cell r="M26" t="str">
            <v>Cash in Bank - FC -PT Bank International</v>
          </cell>
        </row>
        <row r="27">
          <cell r="A27">
            <v>130021011</v>
          </cell>
          <cell r="C27" t="str">
            <v>BU (Corporate) Rp</v>
          </cell>
          <cell r="D27" t="str">
            <v>00 00 100-310-029</v>
          </cell>
          <cell r="E27">
            <v>0</v>
          </cell>
          <cell r="F27">
            <v>0</v>
          </cell>
          <cell r="G27">
            <v>0</v>
          </cell>
          <cell r="H27">
            <v>24954586490</v>
          </cell>
          <cell r="I27">
            <v>9837750</v>
          </cell>
          <cell r="J27">
            <v>1788041041</v>
          </cell>
          <cell r="K27">
            <v>23176383199</v>
          </cell>
          <cell r="L27">
            <v>0</v>
          </cell>
          <cell r="M27" t="str">
            <v>Cash in Bank - Loc-Bank Universal (affco</v>
          </cell>
        </row>
        <row r="28">
          <cell r="A28">
            <v>130021012</v>
          </cell>
          <cell r="C28" t="str">
            <v>BU (Corporate) US$</v>
          </cell>
          <cell r="D28" t="str">
            <v>00 00 100-320-029</v>
          </cell>
          <cell r="E28">
            <v>0</v>
          </cell>
          <cell r="F28">
            <v>0</v>
          </cell>
          <cell r="G28">
            <v>0</v>
          </cell>
          <cell r="H28">
            <v>29565844799</v>
          </cell>
          <cell r="I28">
            <v>1091550780</v>
          </cell>
          <cell r="J28">
            <v>0</v>
          </cell>
          <cell r="K28">
            <v>30657395579</v>
          </cell>
          <cell r="L28">
            <v>0</v>
          </cell>
          <cell r="M28" t="str">
            <v>Cash in Bank - For-Bank Universal (affco</v>
          </cell>
        </row>
        <row r="29">
          <cell r="A29">
            <v>130021016</v>
          </cell>
          <cell r="C29" t="str">
            <v>BU Sunter Corp - Yen</v>
          </cell>
          <cell r="D29" t="str">
            <v>00 00 100-320-029</v>
          </cell>
          <cell r="E29">
            <v>0</v>
          </cell>
          <cell r="F29">
            <v>0</v>
          </cell>
          <cell r="G29">
            <v>0</v>
          </cell>
          <cell r="H29">
            <v>8635268012</v>
          </cell>
          <cell r="I29">
            <v>0</v>
          </cell>
          <cell r="J29">
            <v>0</v>
          </cell>
          <cell r="K29">
            <v>8635268012</v>
          </cell>
          <cell r="L29">
            <v>0</v>
          </cell>
          <cell r="M29" t="str">
            <v>Cash in Bank - For-Bank Universal (affco</v>
          </cell>
        </row>
        <row r="30">
          <cell r="A30">
            <v>130023011</v>
          </cell>
          <cell r="C30" t="str">
            <v>Bank Rupiah BU(Pooling Cabang)</v>
          </cell>
          <cell r="D30" t="str">
            <v>00 00 100-310-029</v>
          </cell>
          <cell r="E30">
            <v>0</v>
          </cell>
          <cell r="F30">
            <v>0</v>
          </cell>
          <cell r="G30">
            <v>0</v>
          </cell>
          <cell r="H30">
            <v>200272166</v>
          </cell>
          <cell r="I30">
            <v>1587764875</v>
          </cell>
          <cell r="J30">
            <v>0</v>
          </cell>
          <cell r="K30">
            <v>1788037041</v>
          </cell>
          <cell r="L30">
            <v>0</v>
          </cell>
          <cell r="M30" t="str">
            <v>Cash in Bank - Loc-Bank Universal (affco</v>
          </cell>
        </row>
        <row r="31">
          <cell r="A31">
            <v>130041011</v>
          </cell>
          <cell r="C31" t="str">
            <v>SUMITOMO MITSUI INDONESIA Rp</v>
          </cell>
          <cell r="D31" t="str">
            <v>00 00 100-310-626</v>
          </cell>
          <cell r="E31">
            <v>0</v>
          </cell>
          <cell r="F31">
            <v>0</v>
          </cell>
          <cell r="G31">
            <v>0</v>
          </cell>
          <cell r="H31">
            <v>9036168</v>
          </cell>
          <cell r="I31">
            <v>0</v>
          </cell>
          <cell r="J31">
            <v>0</v>
          </cell>
          <cell r="K31">
            <v>9036168</v>
          </cell>
          <cell r="L31">
            <v>0</v>
          </cell>
          <cell r="M31" t="str">
            <v>Cash in Bank -  - PT Bank Sumitomo Mitsu</v>
          </cell>
        </row>
        <row r="32">
          <cell r="A32">
            <v>130041012</v>
          </cell>
          <cell r="C32" t="str">
            <v>SUMITOMO MITSUI INDONESIA U$</v>
          </cell>
          <cell r="D32" t="str">
            <v>00 00 100-320-626</v>
          </cell>
          <cell r="E32">
            <v>0</v>
          </cell>
          <cell r="F32">
            <v>0</v>
          </cell>
          <cell r="G32">
            <v>0</v>
          </cell>
          <cell r="H32">
            <v>1818262043</v>
          </cell>
          <cell r="I32">
            <v>0</v>
          </cell>
          <cell r="J32">
            <v>0</v>
          </cell>
          <cell r="K32">
            <v>1818262043</v>
          </cell>
          <cell r="L32">
            <v>0</v>
          </cell>
          <cell r="M32" t="str">
            <v>Cash in Bank -  - PT Bank Sumitomo Mitsu</v>
          </cell>
        </row>
        <row r="33">
          <cell r="A33">
            <v>130045011</v>
          </cell>
          <cell r="C33" t="str">
            <v>HSBC (Corp) Rp</v>
          </cell>
          <cell r="D33" t="str">
            <v>00 00 100-310-330</v>
          </cell>
          <cell r="E33">
            <v>0</v>
          </cell>
          <cell r="F33">
            <v>0</v>
          </cell>
          <cell r="G33">
            <v>0</v>
          </cell>
          <cell r="H33">
            <v>107178026</v>
          </cell>
          <cell r="I33">
            <v>0</v>
          </cell>
          <cell r="J33">
            <v>0</v>
          </cell>
          <cell r="K33">
            <v>107178026</v>
          </cell>
          <cell r="L33">
            <v>0</v>
          </cell>
          <cell r="M33" t="str">
            <v>Cash in Bank -  - The Hongkong &amp; Shangha</v>
          </cell>
        </row>
        <row r="34">
          <cell r="A34">
            <v>130045012</v>
          </cell>
          <cell r="C34" t="str">
            <v>HSBC (Corp) US$</v>
          </cell>
          <cell r="D34" t="str">
            <v>00 00 100-320-330</v>
          </cell>
          <cell r="E34">
            <v>0</v>
          </cell>
          <cell r="F34">
            <v>0</v>
          </cell>
          <cell r="G34">
            <v>0</v>
          </cell>
          <cell r="H34">
            <v>82344666</v>
          </cell>
          <cell r="I34">
            <v>0</v>
          </cell>
          <cell r="J34">
            <v>0</v>
          </cell>
          <cell r="K34">
            <v>82344666</v>
          </cell>
          <cell r="L34">
            <v>0</v>
          </cell>
          <cell r="M34" t="str">
            <v>Cash in Bank -  - The Hongkong &amp; Shangha</v>
          </cell>
        </row>
        <row r="35">
          <cell r="A35">
            <v>130046012</v>
          </cell>
          <cell r="C35" t="str">
            <v>Cash in bank : OCBC - corp US$</v>
          </cell>
          <cell r="D35" t="str">
            <v>00 00 100-320-990</v>
          </cell>
          <cell r="E35">
            <v>0</v>
          </cell>
          <cell r="F35">
            <v>0</v>
          </cell>
          <cell r="G35">
            <v>0</v>
          </cell>
          <cell r="H35">
            <v>108670149</v>
          </cell>
          <cell r="I35">
            <v>0</v>
          </cell>
          <cell r="J35">
            <v>0</v>
          </cell>
          <cell r="K35">
            <v>108670149</v>
          </cell>
          <cell r="L35">
            <v>0</v>
          </cell>
          <cell r="M35" t="str">
            <v>Cash in Bank - For-Other</v>
          </cell>
        </row>
        <row r="36">
          <cell r="A36">
            <v>130048041</v>
          </cell>
          <cell r="C36" t="str">
            <v>Cash in Bank - PT Bank Mandiri Palembang</v>
          </cell>
          <cell r="D36" t="str">
            <v>00 00 100-310-090</v>
          </cell>
          <cell r="E36">
            <v>0</v>
          </cell>
          <cell r="F36">
            <v>0</v>
          </cell>
          <cell r="G36">
            <v>0</v>
          </cell>
          <cell r="H36">
            <v>161003</v>
          </cell>
          <cell r="I36">
            <v>0</v>
          </cell>
          <cell r="J36">
            <v>0</v>
          </cell>
          <cell r="K36">
            <v>161003</v>
          </cell>
          <cell r="L36">
            <v>0</v>
          </cell>
          <cell r="M36" t="str">
            <v>Cash in Bank -  - PT Bank Mandiri</v>
          </cell>
        </row>
        <row r="37">
          <cell r="A37">
            <v>130049041</v>
          </cell>
          <cell r="C37" t="str">
            <v>cash in bank - PT Bank Mandiri Tanjung Enim</v>
          </cell>
          <cell r="D37" t="str">
            <v>00 00 100-310-090</v>
          </cell>
          <cell r="E37">
            <v>0</v>
          </cell>
          <cell r="F37">
            <v>0</v>
          </cell>
          <cell r="G37">
            <v>0</v>
          </cell>
          <cell r="H37">
            <v>1307875</v>
          </cell>
          <cell r="I37">
            <v>0</v>
          </cell>
          <cell r="J37">
            <v>0</v>
          </cell>
          <cell r="K37">
            <v>1307875</v>
          </cell>
          <cell r="L37">
            <v>0</v>
          </cell>
          <cell r="M37" t="str">
            <v>Cash in Bank -  - PT Bank Mandiri</v>
          </cell>
        </row>
        <row r="38">
          <cell r="A38">
            <v>130051011</v>
          </cell>
          <cell r="C38" t="str">
            <v>Bank Sinarmas Rp (numpang)</v>
          </cell>
          <cell r="D38" t="str">
            <v>00 00 100-310-052</v>
          </cell>
          <cell r="E38">
            <v>0</v>
          </cell>
          <cell r="F38">
            <v>0</v>
          </cell>
          <cell r="G38">
            <v>0</v>
          </cell>
          <cell r="H38">
            <v>54240404</v>
          </cell>
          <cell r="I38">
            <v>0</v>
          </cell>
          <cell r="J38">
            <v>0</v>
          </cell>
          <cell r="K38">
            <v>54240404</v>
          </cell>
          <cell r="L38">
            <v>0</v>
          </cell>
          <cell r="M38" t="str">
            <v>Cash in Bank - Loc-PT Bank Citra</v>
          </cell>
        </row>
        <row r="39">
          <cell r="A39">
            <v>130051012</v>
          </cell>
          <cell r="C39" t="str">
            <v>Bank Shinta - US$ (numpang)</v>
          </cell>
          <cell r="D39" t="str">
            <v>00 00 100-320-052</v>
          </cell>
          <cell r="E39">
            <v>0</v>
          </cell>
          <cell r="F39">
            <v>0</v>
          </cell>
          <cell r="G39">
            <v>0</v>
          </cell>
          <cell r="H39">
            <v>1021393350</v>
          </cell>
          <cell r="I39">
            <v>0</v>
          </cell>
          <cell r="J39">
            <v>327775</v>
          </cell>
          <cell r="K39">
            <v>1021065575</v>
          </cell>
          <cell r="L39">
            <v>0</v>
          </cell>
          <cell r="M39" t="str">
            <v>Cash in Bank - For-PT Bank Citra</v>
          </cell>
        </row>
        <row r="40">
          <cell r="A40">
            <v>130052061</v>
          </cell>
          <cell r="C40" t="str">
            <v>MANDDIRI (Jambi) Rp</v>
          </cell>
          <cell r="D40" t="str">
            <v>00 00 100-310-090</v>
          </cell>
          <cell r="E40">
            <v>0</v>
          </cell>
          <cell r="F40">
            <v>0</v>
          </cell>
          <cell r="G40">
            <v>0</v>
          </cell>
          <cell r="H40">
            <v>-25000</v>
          </cell>
          <cell r="I40">
            <v>0</v>
          </cell>
          <cell r="J40">
            <v>0</v>
          </cell>
          <cell r="K40">
            <v>-25000</v>
          </cell>
          <cell r="L40">
            <v>0</v>
          </cell>
          <cell r="M40" t="str">
            <v>Cash in Bank -  - PT Bank Mandiri</v>
          </cell>
        </row>
        <row r="41">
          <cell r="A41">
            <v>130052091</v>
          </cell>
          <cell r="C41" t="str">
            <v>MANDIRI (Surabaya) Rp</v>
          </cell>
          <cell r="D41" t="str">
            <v>00 00 100-310-090</v>
          </cell>
          <cell r="E41">
            <v>0</v>
          </cell>
          <cell r="F41">
            <v>0</v>
          </cell>
          <cell r="G41">
            <v>0</v>
          </cell>
          <cell r="H41">
            <v>-25000</v>
          </cell>
          <cell r="I41">
            <v>0</v>
          </cell>
          <cell r="J41">
            <v>0</v>
          </cell>
          <cell r="K41">
            <v>-25000</v>
          </cell>
          <cell r="L41">
            <v>0</v>
          </cell>
          <cell r="M41" t="str">
            <v>Cash in Bank -  - PT Bank Mandiri</v>
          </cell>
        </row>
        <row r="42">
          <cell r="A42">
            <v>130052171</v>
          </cell>
          <cell r="C42" t="str">
            <v>Mandiri Jambi</v>
          </cell>
          <cell r="D42" t="str">
            <v>00 00 100-310-090</v>
          </cell>
          <cell r="E42">
            <v>0</v>
          </cell>
          <cell r="F42">
            <v>0</v>
          </cell>
          <cell r="G42">
            <v>0</v>
          </cell>
          <cell r="H42">
            <v>-25000</v>
          </cell>
          <cell r="I42">
            <v>0</v>
          </cell>
          <cell r="J42">
            <v>0</v>
          </cell>
          <cell r="K42">
            <v>-25000</v>
          </cell>
          <cell r="L42">
            <v>0</v>
          </cell>
          <cell r="M42" t="str">
            <v>Cash in Bank -  - PT Bank Mandiri</v>
          </cell>
        </row>
        <row r="43">
          <cell r="A43">
            <v>130052181</v>
          </cell>
          <cell r="C43" t="str">
            <v>Mandiri (Sorong) Rp</v>
          </cell>
          <cell r="D43" t="str">
            <v>00 00 100-310-090</v>
          </cell>
          <cell r="E43">
            <v>0</v>
          </cell>
          <cell r="F43">
            <v>0</v>
          </cell>
          <cell r="G43">
            <v>0</v>
          </cell>
          <cell r="H43">
            <v>463177360</v>
          </cell>
          <cell r="I43">
            <v>0</v>
          </cell>
          <cell r="J43">
            <v>0</v>
          </cell>
          <cell r="K43">
            <v>463177360</v>
          </cell>
          <cell r="L43">
            <v>0</v>
          </cell>
          <cell r="M43" t="str">
            <v>Cash in Bank -  - PT Bank Mandiri</v>
          </cell>
        </row>
        <row r="44">
          <cell r="A44">
            <v>130052191</v>
          </cell>
          <cell r="C44" t="str">
            <v>MANDIRI (JAYAPURA) RP</v>
          </cell>
          <cell r="D44" t="str">
            <v>00 00 100-310-090</v>
          </cell>
          <cell r="E44">
            <v>0</v>
          </cell>
          <cell r="F44">
            <v>0</v>
          </cell>
          <cell r="G44">
            <v>0</v>
          </cell>
          <cell r="H44">
            <v>25000</v>
          </cell>
          <cell r="I44">
            <v>0</v>
          </cell>
          <cell r="J44">
            <v>0</v>
          </cell>
          <cell r="K44">
            <v>25000</v>
          </cell>
          <cell r="L44">
            <v>0</v>
          </cell>
          <cell r="M44" t="str">
            <v>Cash in Bank -  - PT Bank Mandiri</v>
          </cell>
        </row>
        <row r="45">
          <cell r="A45">
            <v>130052261</v>
          </cell>
          <cell r="C45" t="str">
            <v>MANDIRI (Freeport) Rp</v>
          </cell>
          <cell r="D45" t="str">
            <v>00 00 100-310-090</v>
          </cell>
          <cell r="E45">
            <v>0</v>
          </cell>
          <cell r="F45">
            <v>0</v>
          </cell>
          <cell r="G45">
            <v>0</v>
          </cell>
          <cell r="H45">
            <v>-25000</v>
          </cell>
          <cell r="I45">
            <v>0</v>
          </cell>
          <cell r="J45">
            <v>0</v>
          </cell>
          <cell r="K45">
            <v>-25000</v>
          </cell>
          <cell r="L45">
            <v>0</v>
          </cell>
          <cell r="M45" t="str">
            <v>Cash in Bank -  - PT Bank Mandiri</v>
          </cell>
        </row>
        <row r="46">
          <cell r="A46">
            <v>130052271</v>
          </cell>
          <cell r="C46" t="str">
            <v>MANDIRI (Adaro) Rp</v>
          </cell>
          <cell r="D46" t="str">
            <v>00 00 100-310-090</v>
          </cell>
          <cell r="E46">
            <v>0</v>
          </cell>
          <cell r="F46">
            <v>0</v>
          </cell>
          <cell r="G46">
            <v>0</v>
          </cell>
          <cell r="H46">
            <v>-25000</v>
          </cell>
          <cell r="I46">
            <v>0</v>
          </cell>
          <cell r="J46">
            <v>0</v>
          </cell>
          <cell r="K46">
            <v>-25000</v>
          </cell>
          <cell r="L46">
            <v>0</v>
          </cell>
          <cell r="M46" t="str">
            <v>Cash in Bank -  - PT Bank Mandiri</v>
          </cell>
        </row>
        <row r="47">
          <cell r="A47">
            <v>130052311</v>
          </cell>
          <cell r="C47" t="str">
            <v>MANDIRI (Soroako) Rp</v>
          </cell>
          <cell r="D47" t="str">
            <v>00 00 100-310-090</v>
          </cell>
          <cell r="E47">
            <v>0</v>
          </cell>
          <cell r="F47">
            <v>0</v>
          </cell>
          <cell r="G47">
            <v>0</v>
          </cell>
          <cell r="H47">
            <v>-25000</v>
          </cell>
          <cell r="I47">
            <v>0</v>
          </cell>
          <cell r="J47">
            <v>0</v>
          </cell>
          <cell r="K47">
            <v>-25000</v>
          </cell>
          <cell r="L47">
            <v>0</v>
          </cell>
          <cell r="M47" t="str">
            <v>Cash in Bank -  - PT Bank Mandiri</v>
          </cell>
        </row>
        <row r="48">
          <cell r="A48">
            <v>130052561</v>
          </cell>
          <cell r="C48" t="str">
            <v>MANDIRI &lt;Tenggarong&gt; Rp</v>
          </cell>
          <cell r="D48" t="str">
            <v>00 00 100-310-090</v>
          </cell>
          <cell r="E48">
            <v>0</v>
          </cell>
          <cell r="F48">
            <v>0</v>
          </cell>
          <cell r="G48">
            <v>0</v>
          </cell>
          <cell r="H48">
            <v>-25000</v>
          </cell>
          <cell r="I48">
            <v>0</v>
          </cell>
          <cell r="J48">
            <v>0</v>
          </cell>
          <cell r="K48">
            <v>-25000</v>
          </cell>
          <cell r="L48">
            <v>0</v>
          </cell>
          <cell r="M48" t="str">
            <v>Cash in Bank -  - PT Bank Mandiri</v>
          </cell>
        </row>
        <row r="49">
          <cell r="A49">
            <v>130054011</v>
          </cell>
          <cell r="C49" t="str">
            <v>Standard Chartered (Corporate) Rp</v>
          </cell>
          <cell r="D49" t="str">
            <v>00 00 100-320-530</v>
          </cell>
          <cell r="E49">
            <v>0</v>
          </cell>
          <cell r="F49">
            <v>0</v>
          </cell>
          <cell r="G49">
            <v>0</v>
          </cell>
          <cell r="H49">
            <v>20784206462</v>
          </cell>
          <cell r="I49">
            <v>0</v>
          </cell>
          <cell r="J49">
            <v>0</v>
          </cell>
          <cell r="K49">
            <v>20784206462</v>
          </cell>
          <cell r="L49">
            <v>0</v>
          </cell>
          <cell r="M49" t="str">
            <v>Cash in Bank - FC -Standard Chartered Ba</v>
          </cell>
        </row>
        <row r="50">
          <cell r="A50">
            <v>130054012</v>
          </cell>
          <cell r="C50" t="str">
            <v>Standard Chartered (Corporate) US$</v>
          </cell>
          <cell r="D50" t="str">
            <v>00 00 100-320-530</v>
          </cell>
          <cell r="E50">
            <v>0</v>
          </cell>
          <cell r="F50">
            <v>0</v>
          </cell>
          <cell r="G50">
            <v>0</v>
          </cell>
          <cell r="H50">
            <v>1020360672</v>
          </cell>
          <cell r="I50">
            <v>0</v>
          </cell>
          <cell r="J50">
            <v>0</v>
          </cell>
          <cell r="K50">
            <v>1020360672</v>
          </cell>
          <cell r="L50">
            <v>0</v>
          </cell>
          <cell r="M50" t="str">
            <v>Cash in Bank - FC -Standard Chartered Ba</v>
          </cell>
        </row>
        <row r="51">
          <cell r="A51">
            <v>130055012</v>
          </cell>
          <cell r="C51" t="str">
            <v>Bank Of Tokyo Mitsubishi UFJ (Numpang)</v>
          </cell>
          <cell r="D51" t="str">
            <v>00 00 100-975-430</v>
          </cell>
          <cell r="E51">
            <v>0</v>
          </cell>
          <cell r="F51">
            <v>0</v>
          </cell>
          <cell r="G51">
            <v>0</v>
          </cell>
          <cell r="H51">
            <v>67237891</v>
          </cell>
          <cell r="I51">
            <v>0</v>
          </cell>
          <cell r="J51">
            <v>0</v>
          </cell>
          <cell r="K51">
            <v>67237891</v>
          </cell>
          <cell r="L51">
            <v>0</v>
          </cell>
          <cell r="M51" t="str">
            <v>KAS CABANG        -The Mitsubishi Bank L</v>
          </cell>
        </row>
        <row r="52">
          <cell r="A52">
            <v>140002011</v>
          </cell>
          <cell r="C52" t="str">
            <v>MIT BDN-Corp</v>
          </cell>
          <cell r="D52" t="str">
            <v>00 00 100-900-000</v>
          </cell>
          <cell r="E52">
            <v>0</v>
          </cell>
          <cell r="F52">
            <v>0</v>
          </cell>
          <cell r="G52">
            <v>0</v>
          </cell>
          <cell r="H52">
            <v>-98757088</v>
          </cell>
          <cell r="I52">
            <v>98757088</v>
          </cell>
          <cell r="J52">
            <v>0</v>
          </cell>
          <cell r="K52">
            <v>0</v>
          </cell>
          <cell r="L52">
            <v>0</v>
          </cell>
          <cell r="M52" t="str">
            <v>Money in transit</v>
          </cell>
        </row>
        <row r="53">
          <cell r="A53">
            <v>140021011</v>
          </cell>
          <cell r="C53" t="str">
            <v>MIT BU-Corp</v>
          </cell>
          <cell r="D53" t="str">
            <v>00 00 100-900-000</v>
          </cell>
          <cell r="E53">
            <v>0</v>
          </cell>
          <cell r="F53">
            <v>0</v>
          </cell>
          <cell r="G53">
            <v>0</v>
          </cell>
          <cell r="H53">
            <v>-1788041041</v>
          </cell>
          <cell r="I53">
            <v>1788041041</v>
          </cell>
          <cell r="J53">
            <v>0</v>
          </cell>
          <cell r="K53">
            <v>0</v>
          </cell>
          <cell r="L53">
            <v>0</v>
          </cell>
          <cell r="M53" t="str">
            <v>Money in transit</v>
          </cell>
        </row>
        <row r="54">
          <cell r="A54">
            <v>140023011</v>
          </cell>
          <cell r="C54" t="str">
            <v>MIT BU-Pool Cabang</v>
          </cell>
          <cell r="D54" t="str">
            <v>00 00 100-900-000</v>
          </cell>
          <cell r="E54">
            <v>0</v>
          </cell>
          <cell r="F54">
            <v>0</v>
          </cell>
          <cell r="G54">
            <v>0</v>
          </cell>
          <cell r="H54">
            <v>1587764875</v>
          </cell>
          <cell r="I54">
            <v>0</v>
          </cell>
          <cell r="J54">
            <v>1587764875</v>
          </cell>
          <cell r="K54">
            <v>0</v>
          </cell>
          <cell r="L54">
            <v>0</v>
          </cell>
          <cell r="M54" t="str">
            <v>Money in transit</v>
          </cell>
        </row>
        <row r="55">
          <cell r="A55">
            <v>140051012</v>
          </cell>
          <cell r="C55" t="str">
            <v>BS Adjustment: SINARMAS (Corporate)</v>
          </cell>
          <cell r="D55" t="str">
            <v>00 00 100-900-000</v>
          </cell>
          <cell r="E55">
            <v>0</v>
          </cell>
          <cell r="F55">
            <v>0</v>
          </cell>
          <cell r="G55">
            <v>0</v>
          </cell>
          <cell r="H55">
            <v>-327775</v>
          </cell>
          <cell r="I55">
            <v>327775</v>
          </cell>
          <cell r="J55">
            <v>0</v>
          </cell>
          <cell r="K55">
            <v>0</v>
          </cell>
          <cell r="L55">
            <v>0</v>
          </cell>
          <cell r="M55" t="str">
            <v>Money in transit</v>
          </cell>
        </row>
        <row r="56">
          <cell r="A56">
            <v>310000002</v>
          </cell>
          <cell r="B56" t="str">
            <v>0000000002</v>
          </cell>
          <cell r="C56" t="str">
            <v>Time Deposit Danamon - LC</v>
          </cell>
          <cell r="D56" t="str">
            <v>00 00 102-100-080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55550000000</v>
          </cell>
          <cell r="J56">
            <v>0</v>
          </cell>
          <cell r="K56">
            <v>55550000000</v>
          </cell>
          <cell r="L56">
            <v>0</v>
          </cell>
          <cell r="M56" t="str">
            <v>Time Deposit-LC   -PT Bank Danamon Indon</v>
          </cell>
        </row>
        <row r="57">
          <cell r="A57">
            <v>310000002</v>
          </cell>
          <cell r="B57" t="str">
            <v>0000000011</v>
          </cell>
          <cell r="C57" t="str">
            <v>Time Deposit HSBC - LC</v>
          </cell>
          <cell r="D57" t="str">
            <v>00 00 102-100-330</v>
          </cell>
          <cell r="E57">
            <v>0</v>
          </cell>
          <cell r="F57">
            <v>0</v>
          </cell>
          <cell r="G57">
            <v>0</v>
          </cell>
          <cell r="H57">
            <v>1893599135073</v>
          </cell>
          <cell r="I57">
            <v>0</v>
          </cell>
          <cell r="J57">
            <v>1893599135073</v>
          </cell>
          <cell r="K57">
            <v>0</v>
          </cell>
          <cell r="L57">
            <v>0</v>
          </cell>
          <cell r="M57" t="str">
            <v>Time Deposit-LC   -The Hongkong &amp; Shangh</v>
          </cell>
        </row>
        <row r="58">
          <cell r="A58">
            <v>310000002</v>
          </cell>
          <cell r="B58" t="str">
            <v>0000000013</v>
          </cell>
          <cell r="C58" t="str">
            <v>Time Deposit Bank Mega - LC</v>
          </cell>
          <cell r="D58" t="str">
            <v>00 00 102-100-984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75848186604</v>
          </cell>
          <cell r="J58">
            <v>0</v>
          </cell>
          <cell r="K58">
            <v>75848186604</v>
          </cell>
          <cell r="L58">
            <v>0</v>
          </cell>
          <cell r="M58" t="str">
            <v>Time and Call Depo-PT Bank Mega Tbk</v>
          </cell>
        </row>
        <row r="59">
          <cell r="A59">
            <v>310000002</v>
          </cell>
          <cell r="B59" t="str">
            <v>0000000018</v>
          </cell>
          <cell r="C59" t="str">
            <v>UOB Indonesia</v>
          </cell>
          <cell r="D59" t="str">
            <v>00 00 100-510-021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19356000000</v>
          </cell>
          <cell r="J59">
            <v>0</v>
          </cell>
          <cell r="K59">
            <v>19356000000</v>
          </cell>
          <cell r="L59">
            <v>0</v>
          </cell>
          <cell r="M59" t="str">
            <v>Cash-time deposit--PT Bank UOB Indonesia</v>
          </cell>
        </row>
        <row r="60">
          <cell r="A60">
            <v>310000002</v>
          </cell>
          <cell r="B60" t="str">
            <v>0090000120</v>
          </cell>
          <cell r="C60" t="str">
            <v>Time Deposit LC:  OCBC-NISP</v>
          </cell>
          <cell r="D60" t="str">
            <v>00 00 102-100-990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5000000000</v>
          </cell>
          <cell r="J60">
            <v>0</v>
          </cell>
          <cell r="K60">
            <v>5000000000</v>
          </cell>
          <cell r="L60">
            <v>0</v>
          </cell>
          <cell r="M60" t="str">
            <v>Time Deposit-LC   -Other</v>
          </cell>
        </row>
        <row r="61">
          <cell r="A61">
            <v>310000003</v>
          </cell>
          <cell r="C61" t="str">
            <v>Deposito - Valas</v>
          </cell>
          <cell r="D61" t="str">
            <v>00 00 102-200-990</v>
          </cell>
          <cell r="E61">
            <v>0</v>
          </cell>
          <cell r="F61">
            <v>0</v>
          </cell>
          <cell r="G61">
            <v>0</v>
          </cell>
          <cell r="H61">
            <v>-8200000</v>
          </cell>
          <cell r="I61">
            <v>8200000</v>
          </cell>
          <cell r="J61">
            <v>0</v>
          </cell>
          <cell r="K61">
            <v>0</v>
          </cell>
          <cell r="L61">
            <v>0</v>
          </cell>
          <cell r="M61" t="str">
            <v>Time Deposit-FC   -Other</v>
          </cell>
        </row>
        <row r="62">
          <cell r="A62">
            <v>310000003</v>
          </cell>
          <cell r="B62" t="str">
            <v>0000000002</v>
          </cell>
          <cell r="C62" t="str">
            <v>Time Deposit DANAMON-FC</v>
          </cell>
          <cell r="D62" t="str">
            <v>00 00 100-520-080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18730000000</v>
          </cell>
          <cell r="J62">
            <v>0</v>
          </cell>
          <cell r="K62">
            <v>18730000000</v>
          </cell>
          <cell r="L62">
            <v>0</v>
          </cell>
          <cell r="M62" t="str">
            <v>Cash-time deposit--PT Bank Danamon Indon</v>
          </cell>
        </row>
        <row r="63">
          <cell r="A63">
            <v>310000003</v>
          </cell>
          <cell r="B63" t="str">
            <v>0000000003</v>
          </cell>
          <cell r="C63" t="str">
            <v>Time Deposito Universal - FC</v>
          </cell>
          <cell r="D63" t="str">
            <v>00 00 100-520-029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246299500000</v>
          </cell>
          <cell r="J63">
            <v>0</v>
          </cell>
          <cell r="K63">
            <v>246299500000</v>
          </cell>
          <cell r="L63">
            <v>0</v>
          </cell>
          <cell r="M63" t="str">
            <v>Cash-time deposit--Bank Universal (affco</v>
          </cell>
        </row>
        <row r="64">
          <cell r="A64">
            <v>310000003</v>
          </cell>
          <cell r="B64" t="str">
            <v>0000000004</v>
          </cell>
          <cell r="C64" t="str">
            <v>Deposito Corp US$: Bank Negara Indonesia</v>
          </cell>
          <cell r="D64" t="str">
            <v>00 00 100-520-140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372727000000</v>
          </cell>
          <cell r="J64">
            <v>0</v>
          </cell>
          <cell r="K64">
            <v>372727000000</v>
          </cell>
          <cell r="L64">
            <v>0</v>
          </cell>
          <cell r="M64" t="str">
            <v>Cash-time deposit--PT Bank Negara Indone</v>
          </cell>
        </row>
        <row r="65">
          <cell r="A65">
            <v>310000003</v>
          </cell>
          <cell r="B65" t="str">
            <v>0000000007</v>
          </cell>
          <cell r="C65" t="str">
            <v>Time Deposito Niaga - FC</v>
          </cell>
          <cell r="D65" t="str">
            <v>00 00 100-520-150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289378500000</v>
          </cell>
          <cell r="J65">
            <v>0</v>
          </cell>
          <cell r="K65">
            <v>289378500000</v>
          </cell>
          <cell r="L65">
            <v>0</v>
          </cell>
          <cell r="M65" t="str">
            <v>Cash-time deposit--PT Bank Niaga</v>
          </cell>
        </row>
        <row r="66">
          <cell r="A66">
            <v>310000003</v>
          </cell>
          <cell r="B66" t="str">
            <v>0000000008</v>
          </cell>
          <cell r="C66" t="str">
            <v>Time Deposit FC-BRI</v>
          </cell>
          <cell r="D66" t="str">
            <v>00 00 102-200-190</v>
          </cell>
          <cell r="I66">
            <v>320283000000</v>
          </cell>
          <cell r="J66">
            <v>0</v>
          </cell>
          <cell r="K66">
            <v>320283000000</v>
          </cell>
          <cell r="M66" t="str">
            <v>Time Deposit-FC   -PT Bank Rakyat Indone</v>
          </cell>
        </row>
        <row r="67">
          <cell r="A67">
            <v>310000003</v>
          </cell>
          <cell r="B67" t="str">
            <v>0000000015</v>
          </cell>
          <cell r="C67" t="str">
            <v>Time deposit FC Bank Internasional</v>
          </cell>
          <cell r="D67" t="str">
            <v>00 00 100-520-100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263156500000</v>
          </cell>
          <cell r="J67">
            <v>0</v>
          </cell>
          <cell r="K67">
            <v>263156500000</v>
          </cell>
          <cell r="L67">
            <v>0</v>
          </cell>
          <cell r="M67" t="str">
            <v>Cash-time deposit--PT Bank International</v>
          </cell>
        </row>
        <row r="68">
          <cell r="A68">
            <v>310000003</v>
          </cell>
          <cell r="B68" t="str">
            <v>0000000018</v>
          </cell>
          <cell r="C68" t="str">
            <v>UOB Indonesia</v>
          </cell>
          <cell r="D68" t="str">
            <v>00 00 102-200-021</v>
          </cell>
          <cell r="E68">
            <v>0</v>
          </cell>
          <cell r="F68">
            <v>0</v>
          </cell>
          <cell r="G68">
            <v>0</v>
          </cell>
          <cell r="H68">
            <v>-35450000</v>
          </cell>
          <cell r="I68">
            <v>37555796562</v>
          </cell>
          <cell r="J68">
            <v>0</v>
          </cell>
          <cell r="K68">
            <v>37520346562</v>
          </cell>
          <cell r="L68">
            <v>0</v>
          </cell>
          <cell r="M68" t="str">
            <v>Time and Call Depo-PT Bank UOB Indonesia</v>
          </cell>
        </row>
        <row r="69">
          <cell r="A69">
            <v>310000003</v>
          </cell>
          <cell r="B69" t="str">
            <v>0090000120</v>
          </cell>
          <cell r="C69" t="str">
            <v>Deposito Valas OCBC</v>
          </cell>
          <cell r="D69" t="str">
            <v>00 00 100-320-990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192218471684</v>
          </cell>
          <cell r="J69">
            <v>0</v>
          </cell>
          <cell r="K69">
            <v>192218471684</v>
          </cell>
          <cell r="L69">
            <v>0</v>
          </cell>
          <cell r="M69" t="str">
            <v>Cash in Bank - For-Other</v>
          </cell>
        </row>
        <row r="70">
          <cell r="A70">
            <v>310100090</v>
          </cell>
          <cell r="C70" t="str">
            <v>B/S Adj. Deposito BU - Valas</v>
          </cell>
          <cell r="D70" t="str">
            <v>00 00 100-520-990</v>
          </cell>
          <cell r="E70">
            <v>0</v>
          </cell>
          <cell r="F70">
            <v>0</v>
          </cell>
          <cell r="G70">
            <v>0</v>
          </cell>
          <cell r="H70">
            <v>2529019777</v>
          </cell>
          <cell r="I70">
            <v>0</v>
          </cell>
          <cell r="J70">
            <v>2529019777</v>
          </cell>
          <cell r="K70">
            <v>0</v>
          </cell>
          <cell r="L70">
            <v>0</v>
          </cell>
          <cell r="M70" t="str">
            <v>Cash-time deposit--Other</v>
          </cell>
        </row>
        <row r="71">
          <cell r="A71">
            <v>513100000</v>
          </cell>
          <cell r="B71" t="str">
            <v>0000010611</v>
          </cell>
          <cell r="C71" t="str">
            <v>PT Pama Persada Nusantara</v>
          </cell>
          <cell r="D71" t="str">
            <v>00 00 105-000-112</v>
          </cell>
          <cell r="E71">
            <v>0</v>
          </cell>
          <cell r="F71">
            <v>0</v>
          </cell>
          <cell r="G71">
            <v>0</v>
          </cell>
          <cell r="H71">
            <v>222816773518</v>
          </cell>
          <cell r="I71">
            <v>0</v>
          </cell>
          <cell r="J71">
            <v>74088000</v>
          </cell>
          <cell r="K71">
            <v>222742685518</v>
          </cell>
          <cell r="L71">
            <v>0</v>
          </cell>
          <cell r="M71" t="str">
            <v>A/R Trade-Regular -PT Pama Persada Nusan</v>
          </cell>
        </row>
        <row r="72">
          <cell r="A72">
            <v>513100000</v>
          </cell>
          <cell r="B72" t="str">
            <v>0000012312</v>
          </cell>
          <cell r="C72" t="str">
            <v>PT BP</v>
          </cell>
          <cell r="D72" t="str">
            <v>00 00 105-000-210</v>
          </cell>
          <cell r="E72">
            <v>0</v>
          </cell>
          <cell r="F72">
            <v>0</v>
          </cell>
          <cell r="G72">
            <v>0</v>
          </cell>
          <cell r="H72">
            <v>1487992334</v>
          </cell>
          <cell r="I72">
            <v>0</v>
          </cell>
          <cell r="J72">
            <v>0</v>
          </cell>
          <cell r="K72">
            <v>1487992334</v>
          </cell>
          <cell r="L72">
            <v>0</v>
          </cell>
          <cell r="M72" t="str">
            <v>A/R Trade-Regular -PT Bina Pertiwi</v>
          </cell>
        </row>
        <row r="73">
          <cell r="A73">
            <v>513100000</v>
          </cell>
          <cell r="B73" t="str">
            <v>0000013373</v>
          </cell>
          <cell r="C73" t="str">
            <v>AR Trade Affco: Pama Indo Mining</v>
          </cell>
          <cell r="D73" t="str">
            <v>00 00 105-000-231</v>
          </cell>
          <cell r="E73">
            <v>0</v>
          </cell>
          <cell r="F73">
            <v>0</v>
          </cell>
          <cell r="G73">
            <v>0</v>
          </cell>
          <cell r="H73">
            <v>2200000000</v>
          </cell>
          <cell r="I73">
            <v>0</v>
          </cell>
          <cell r="J73">
            <v>20000000</v>
          </cell>
          <cell r="K73">
            <v>2180000000</v>
          </cell>
          <cell r="L73">
            <v>0</v>
          </cell>
          <cell r="M73" t="str">
            <v>A/R Trade-Regular -PT Pama Indo Mining</v>
          </cell>
        </row>
        <row r="74">
          <cell r="A74">
            <v>513100000</v>
          </cell>
          <cell r="B74" t="str">
            <v>0000014943</v>
          </cell>
          <cell r="C74" t="str">
            <v>A/R Trade regular - UTHI</v>
          </cell>
          <cell r="D74" t="str">
            <v>00 00 105-000-245</v>
          </cell>
          <cell r="E74">
            <v>0</v>
          </cell>
          <cell r="F74">
            <v>0</v>
          </cell>
          <cell r="G74">
            <v>0</v>
          </cell>
          <cell r="H74">
            <v>3636449260</v>
          </cell>
          <cell r="I74">
            <v>3283079098</v>
          </cell>
          <cell r="J74">
            <v>0</v>
          </cell>
          <cell r="K74">
            <v>6919528358</v>
          </cell>
          <cell r="L74">
            <v>0</v>
          </cell>
          <cell r="M74" t="str">
            <v>A/R Trade-Regular -UT Heavy Industry (S)</v>
          </cell>
        </row>
        <row r="75">
          <cell r="A75">
            <v>513100000</v>
          </cell>
          <cell r="B75" t="str">
            <v>0000020862</v>
          </cell>
          <cell r="C75" t="str">
            <v>AR Trade Reg-Kalimantan Prima Persada</v>
          </cell>
          <cell r="D75" t="str">
            <v>00 00 105-000-360</v>
          </cell>
          <cell r="E75">
            <v>0</v>
          </cell>
          <cell r="F75">
            <v>0</v>
          </cell>
          <cell r="G75">
            <v>0</v>
          </cell>
          <cell r="H75">
            <v>2681207179</v>
          </cell>
          <cell r="I75">
            <v>0</v>
          </cell>
          <cell r="J75">
            <v>0</v>
          </cell>
          <cell r="K75">
            <v>2681207179</v>
          </cell>
          <cell r="L75">
            <v>0</v>
          </cell>
          <cell r="M75" t="str">
            <v>A/R Trade - Regula-PT Kalimantan Prima P</v>
          </cell>
        </row>
        <row r="76">
          <cell r="A76">
            <v>513100000</v>
          </cell>
          <cell r="B76" t="str">
            <v>0000024370</v>
          </cell>
          <cell r="C76" t="str">
            <v>Multi Prima Universal (Numpang)</v>
          </cell>
          <cell r="D76" t="str">
            <v>00 00 105-000-113</v>
          </cell>
          <cell r="E76">
            <v>0</v>
          </cell>
          <cell r="F76">
            <v>0</v>
          </cell>
          <cell r="G76">
            <v>0</v>
          </cell>
          <cell r="H76">
            <v>14592543350</v>
          </cell>
          <cell r="I76">
            <v>0</v>
          </cell>
          <cell r="J76">
            <v>49652269</v>
          </cell>
          <cell r="K76">
            <v>14542891081</v>
          </cell>
          <cell r="L76">
            <v>0</v>
          </cell>
          <cell r="M76" t="str">
            <v>A/R Trade-Regular -PT Pandu Dayatama Pat</v>
          </cell>
        </row>
        <row r="77">
          <cell r="A77">
            <v>513100000</v>
          </cell>
          <cell r="B77" t="str">
            <v>0000024730</v>
          </cell>
          <cell r="C77" t="str">
            <v>MULTI PRIMA UNIVERSAL</v>
          </cell>
          <cell r="D77" t="str">
            <v>00 00 105-000-113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222777279473</v>
          </cell>
          <cell r="J77">
            <v>310367887</v>
          </cell>
          <cell r="K77">
            <v>222466911586</v>
          </cell>
          <cell r="L77">
            <v>0</v>
          </cell>
          <cell r="M77" t="str">
            <v>A/R Trade-Regular -PT Pandu Dayatama Pat</v>
          </cell>
        </row>
        <row r="78">
          <cell r="A78">
            <v>513100001</v>
          </cell>
          <cell r="B78" t="str">
            <v>0000010117</v>
          </cell>
          <cell r="C78" t="str">
            <v>KARYA TANAH SUBUR</v>
          </cell>
          <cell r="D78" t="str">
            <v>00 00 105-000-083</v>
          </cell>
          <cell r="E78">
            <v>0</v>
          </cell>
          <cell r="F78">
            <v>0</v>
          </cell>
          <cell r="G78">
            <v>0</v>
          </cell>
          <cell r="H78">
            <v>105358732</v>
          </cell>
          <cell r="I78">
            <v>0</v>
          </cell>
          <cell r="J78">
            <v>0</v>
          </cell>
          <cell r="K78">
            <v>105358732</v>
          </cell>
          <cell r="L78">
            <v>0</v>
          </cell>
          <cell r="M78" t="str">
            <v>A/R Trade-Regular -PT Karya Tanah Subur</v>
          </cell>
        </row>
        <row r="79">
          <cell r="A79">
            <v>513100001</v>
          </cell>
          <cell r="B79" t="str">
            <v>0000010569</v>
          </cell>
          <cell r="C79" t="str">
            <v>MAMUANG</v>
          </cell>
          <cell r="D79" t="str">
            <v>00 00 105-000-263</v>
          </cell>
          <cell r="E79">
            <v>0</v>
          </cell>
          <cell r="F79">
            <v>0</v>
          </cell>
          <cell r="G79">
            <v>0</v>
          </cell>
          <cell r="H79">
            <v>139565174</v>
          </cell>
          <cell r="I79">
            <v>0</v>
          </cell>
          <cell r="J79">
            <v>0</v>
          </cell>
          <cell r="K79">
            <v>139565174</v>
          </cell>
          <cell r="L79">
            <v>0</v>
          </cell>
          <cell r="M79" t="str">
            <v>A/R Trade-Regular -PT Mamuang</v>
          </cell>
        </row>
        <row r="80">
          <cell r="A80">
            <v>513100001</v>
          </cell>
          <cell r="B80" t="str">
            <v>0000010611</v>
          </cell>
          <cell r="C80" t="str">
            <v>PT Pama Persada Nusantara</v>
          </cell>
          <cell r="D80" t="str">
            <v>00 00 105-000-112</v>
          </cell>
          <cell r="E80">
            <v>0</v>
          </cell>
          <cell r="F80">
            <v>0</v>
          </cell>
          <cell r="G80">
            <v>0</v>
          </cell>
          <cell r="H80">
            <v>324760610812</v>
          </cell>
          <cell r="I80">
            <v>0</v>
          </cell>
          <cell r="J80">
            <v>172343533</v>
          </cell>
          <cell r="K80">
            <v>324588267279</v>
          </cell>
          <cell r="L80">
            <v>0</v>
          </cell>
          <cell r="M80" t="str">
            <v>A/R Trade-Regular -PT Pama Persada Nusan</v>
          </cell>
        </row>
        <row r="81">
          <cell r="A81">
            <v>513100001</v>
          </cell>
          <cell r="B81" t="str">
            <v>0000010619</v>
          </cell>
          <cell r="C81" t="str">
            <v>PASANG KAYU</v>
          </cell>
          <cell r="D81" t="str">
            <v>00 00 105-000-267</v>
          </cell>
          <cell r="E81">
            <v>0</v>
          </cell>
          <cell r="F81">
            <v>0</v>
          </cell>
          <cell r="G81">
            <v>0</v>
          </cell>
          <cell r="H81">
            <v>47357829</v>
          </cell>
          <cell r="I81">
            <v>0</v>
          </cell>
          <cell r="J81">
            <v>1739335</v>
          </cell>
          <cell r="K81">
            <v>45618494</v>
          </cell>
          <cell r="L81">
            <v>0</v>
          </cell>
          <cell r="M81" t="str">
            <v>A/R Trade-Regular -PT Pasang Kayu</v>
          </cell>
        </row>
        <row r="82">
          <cell r="A82">
            <v>513100001</v>
          </cell>
          <cell r="B82" t="str">
            <v>0000010721</v>
          </cell>
          <cell r="C82" t="str">
            <v>GUNUNG SEJAHTERA IBU PERTIWI</v>
          </cell>
          <cell r="D82" t="str">
            <v>00 00 105-000-256</v>
          </cell>
          <cell r="E82">
            <v>0</v>
          </cell>
          <cell r="F82">
            <v>0</v>
          </cell>
          <cell r="G82">
            <v>0</v>
          </cell>
          <cell r="H82">
            <v>90091645</v>
          </cell>
          <cell r="I82">
            <v>0</v>
          </cell>
          <cell r="J82">
            <v>0</v>
          </cell>
          <cell r="K82">
            <v>90091645</v>
          </cell>
          <cell r="L82">
            <v>0</v>
          </cell>
          <cell r="M82" t="str">
            <v>A/R Trade-Regular -PT Gunung Sejahtera I</v>
          </cell>
        </row>
        <row r="83">
          <cell r="A83">
            <v>513100001</v>
          </cell>
          <cell r="B83" t="str">
            <v>0000010818</v>
          </cell>
          <cell r="C83" t="str">
            <v>PT UTSG</v>
          </cell>
          <cell r="D83" t="str">
            <v>00 00 105-000-222</v>
          </cell>
          <cell r="E83">
            <v>0</v>
          </cell>
          <cell r="F83">
            <v>0</v>
          </cell>
          <cell r="G83">
            <v>0</v>
          </cell>
          <cell r="H83">
            <v>1971069652</v>
          </cell>
          <cell r="I83">
            <v>0</v>
          </cell>
          <cell r="J83">
            <v>4599510</v>
          </cell>
          <cell r="K83">
            <v>1966470142</v>
          </cell>
          <cell r="L83">
            <v>0</v>
          </cell>
          <cell r="M83" t="str">
            <v>A/R Trade-Regular -PT UT Semen Gresik</v>
          </cell>
        </row>
        <row r="84">
          <cell r="A84">
            <v>513100001</v>
          </cell>
          <cell r="B84" t="str">
            <v>0000010848</v>
          </cell>
          <cell r="C84" t="str">
            <v>EKA DURA INDONESIA</v>
          </cell>
          <cell r="D84" t="str">
            <v>00 00 105-000-054</v>
          </cell>
          <cell r="E84">
            <v>0</v>
          </cell>
          <cell r="F84">
            <v>0</v>
          </cell>
          <cell r="G84">
            <v>0</v>
          </cell>
          <cell r="H84">
            <v>206763660</v>
          </cell>
          <cell r="I84">
            <v>0</v>
          </cell>
          <cell r="J84">
            <v>0</v>
          </cell>
          <cell r="K84">
            <v>206763660</v>
          </cell>
          <cell r="L84">
            <v>0</v>
          </cell>
          <cell r="M84" t="str">
            <v>A/R Trade-Regular -PT Eka Dura Indonesia</v>
          </cell>
        </row>
        <row r="85">
          <cell r="A85">
            <v>513100001</v>
          </cell>
          <cell r="B85" t="str">
            <v>0000010969</v>
          </cell>
          <cell r="C85" t="str">
            <v>SUKSES TANI NUSA SUBUR</v>
          </cell>
          <cell r="D85" t="str">
            <v>00 00 105-000-169</v>
          </cell>
          <cell r="E85">
            <v>0</v>
          </cell>
          <cell r="F85">
            <v>0</v>
          </cell>
          <cell r="G85">
            <v>0</v>
          </cell>
          <cell r="H85">
            <v>17183898</v>
          </cell>
          <cell r="I85">
            <v>0</v>
          </cell>
          <cell r="J85">
            <v>0</v>
          </cell>
          <cell r="K85">
            <v>17183898</v>
          </cell>
          <cell r="L85">
            <v>0</v>
          </cell>
          <cell r="M85" t="str">
            <v>A/R Trade-Regular -PT Sukses Tani Nusasu</v>
          </cell>
        </row>
        <row r="86">
          <cell r="A86">
            <v>513100001</v>
          </cell>
          <cell r="B86" t="str">
            <v>0000011010</v>
          </cell>
          <cell r="C86" t="str">
            <v>LESTARI TANI TELADAN</v>
          </cell>
          <cell r="D86" t="str">
            <v>00 00 105-000-262</v>
          </cell>
          <cell r="E86">
            <v>0</v>
          </cell>
          <cell r="F86">
            <v>0</v>
          </cell>
          <cell r="G86">
            <v>0</v>
          </cell>
          <cell r="H86">
            <v>131355073</v>
          </cell>
          <cell r="I86">
            <v>0</v>
          </cell>
          <cell r="J86">
            <v>0</v>
          </cell>
          <cell r="K86">
            <v>131355073</v>
          </cell>
          <cell r="L86">
            <v>0</v>
          </cell>
          <cell r="M86" t="str">
            <v>A/R Trade-Regular -PT Lestari Tani Telad</v>
          </cell>
        </row>
        <row r="87">
          <cell r="A87">
            <v>513100001</v>
          </cell>
          <cell r="B87" t="str">
            <v>0000011495</v>
          </cell>
          <cell r="C87" t="str">
            <v>SURYARAYA LESTARI</v>
          </cell>
          <cell r="D87" t="str">
            <v>00 00 105-000-139</v>
          </cell>
          <cell r="E87">
            <v>0</v>
          </cell>
          <cell r="F87">
            <v>0</v>
          </cell>
          <cell r="G87">
            <v>0</v>
          </cell>
          <cell r="H87">
            <v>33887638</v>
          </cell>
          <cell r="I87">
            <v>0</v>
          </cell>
          <cell r="J87">
            <v>0</v>
          </cell>
          <cell r="K87">
            <v>33887638</v>
          </cell>
          <cell r="L87">
            <v>0</v>
          </cell>
          <cell r="M87" t="str">
            <v>A/R Trade-Regular -PT Suryaraya Persada</v>
          </cell>
        </row>
        <row r="88">
          <cell r="A88">
            <v>513100001</v>
          </cell>
          <cell r="B88" t="str">
            <v>0000012191</v>
          </cell>
          <cell r="C88" t="str">
            <v>PT Komatsu Indonesia</v>
          </cell>
          <cell r="D88" t="str">
            <v>00 00 105-000-088</v>
          </cell>
          <cell r="E88">
            <v>0</v>
          </cell>
          <cell r="F88">
            <v>0</v>
          </cell>
          <cell r="G88">
            <v>0</v>
          </cell>
          <cell r="H88">
            <v>56321391</v>
          </cell>
          <cell r="I88">
            <v>0</v>
          </cell>
          <cell r="J88">
            <v>0</v>
          </cell>
          <cell r="K88">
            <v>56321391</v>
          </cell>
          <cell r="L88">
            <v>0</v>
          </cell>
          <cell r="M88" t="str">
            <v>A/R Trade-Regular -PT Komatsu Indonesia</v>
          </cell>
        </row>
        <row r="89">
          <cell r="A89">
            <v>513100001</v>
          </cell>
          <cell r="B89" t="str">
            <v>0000012312</v>
          </cell>
          <cell r="C89" t="str">
            <v>PT BP</v>
          </cell>
          <cell r="D89" t="str">
            <v>00 00 105-000-210</v>
          </cell>
          <cell r="E89">
            <v>0</v>
          </cell>
          <cell r="F89">
            <v>0</v>
          </cell>
          <cell r="G89">
            <v>0</v>
          </cell>
          <cell r="H89">
            <v>1123206209</v>
          </cell>
          <cell r="I89">
            <v>0</v>
          </cell>
          <cell r="J89">
            <v>14931288</v>
          </cell>
          <cell r="K89">
            <v>1108274921</v>
          </cell>
          <cell r="L89">
            <v>0</v>
          </cell>
          <cell r="M89" t="str">
            <v>A/R Trade-Regular -PT Bina Pertiwi</v>
          </cell>
        </row>
        <row r="90">
          <cell r="A90">
            <v>513100001</v>
          </cell>
          <cell r="B90" t="str">
            <v>0000012313</v>
          </cell>
          <cell r="C90" t="str">
            <v>Komatsu remanufacturing Asia</v>
          </cell>
          <cell r="D90" t="str">
            <v>00 00 105-000-328</v>
          </cell>
          <cell r="E90">
            <v>0</v>
          </cell>
          <cell r="F90">
            <v>0</v>
          </cell>
          <cell r="G90">
            <v>0</v>
          </cell>
          <cell r="H90">
            <v>6878547499</v>
          </cell>
          <cell r="I90">
            <v>0</v>
          </cell>
          <cell r="J90">
            <v>6878547499</v>
          </cell>
          <cell r="K90">
            <v>0</v>
          </cell>
          <cell r="L90">
            <v>0</v>
          </cell>
          <cell r="M90" t="str">
            <v>A/R Trade - Regula-PT Komatsu Remanufact</v>
          </cell>
        </row>
        <row r="91">
          <cell r="A91">
            <v>513100001</v>
          </cell>
          <cell r="B91" t="str">
            <v>0000012317</v>
          </cell>
          <cell r="C91" t="str">
            <v>PT Traktor Nusantara</v>
          </cell>
          <cell r="D91" t="str">
            <v>00 00 105-000-150</v>
          </cell>
          <cell r="E91">
            <v>0</v>
          </cell>
          <cell r="F91">
            <v>0</v>
          </cell>
          <cell r="G91">
            <v>0</v>
          </cell>
          <cell r="H91">
            <v>191125000</v>
          </cell>
          <cell r="I91">
            <v>0</v>
          </cell>
          <cell r="J91">
            <v>0</v>
          </cell>
          <cell r="K91">
            <v>191125000</v>
          </cell>
          <cell r="L91">
            <v>0</v>
          </cell>
          <cell r="M91" t="str">
            <v>A/R Trade-Regular -PT Traktor Nusantara</v>
          </cell>
        </row>
        <row r="92">
          <cell r="A92">
            <v>513100001</v>
          </cell>
          <cell r="B92" t="str">
            <v>0000012323</v>
          </cell>
          <cell r="C92" t="str">
            <v>PT UTE</v>
          </cell>
          <cell r="D92" t="str">
            <v>00 00 105-000-156</v>
          </cell>
          <cell r="E92">
            <v>0</v>
          </cell>
          <cell r="F92">
            <v>0</v>
          </cell>
          <cell r="G92">
            <v>0</v>
          </cell>
          <cell r="H92">
            <v>1242874390</v>
          </cell>
          <cell r="I92">
            <v>0</v>
          </cell>
          <cell r="J92">
            <v>1242874390</v>
          </cell>
          <cell r="K92">
            <v>0</v>
          </cell>
          <cell r="L92">
            <v>0</v>
          </cell>
          <cell r="M92" t="str">
            <v>A/R Trade-Regular -PT United Tractors Pa</v>
          </cell>
        </row>
        <row r="93">
          <cell r="A93">
            <v>513100001</v>
          </cell>
          <cell r="B93" t="str">
            <v>0000012463</v>
          </cell>
          <cell r="C93" t="str">
            <v>WARU KALTIM PLANTATIONS</v>
          </cell>
          <cell r="D93" t="str">
            <v>00 00 105-000-099</v>
          </cell>
          <cell r="E93">
            <v>0</v>
          </cell>
          <cell r="F93">
            <v>0</v>
          </cell>
          <cell r="G93">
            <v>0</v>
          </cell>
          <cell r="H93">
            <v>289899356</v>
          </cell>
          <cell r="I93">
            <v>0</v>
          </cell>
          <cell r="J93">
            <v>1402450</v>
          </cell>
          <cell r="K93">
            <v>288496906</v>
          </cell>
          <cell r="L93">
            <v>0</v>
          </cell>
          <cell r="M93" t="str">
            <v>A/R Trade-Regular -PT Waru Kaltim Planta</v>
          </cell>
        </row>
        <row r="94">
          <cell r="A94">
            <v>513100001</v>
          </cell>
          <cell r="B94" t="str">
            <v>0000012466</v>
          </cell>
          <cell r="C94" t="str">
            <v>KIMIA TIRTA UTAMA</v>
          </cell>
          <cell r="D94" t="str">
            <v>00 00 105-000-086</v>
          </cell>
          <cell r="E94">
            <v>0</v>
          </cell>
          <cell r="F94">
            <v>0</v>
          </cell>
          <cell r="G94">
            <v>0</v>
          </cell>
          <cell r="H94">
            <v>276078624</v>
          </cell>
          <cell r="I94">
            <v>0</v>
          </cell>
          <cell r="J94">
            <v>0</v>
          </cell>
          <cell r="K94">
            <v>276078624</v>
          </cell>
          <cell r="L94">
            <v>0</v>
          </cell>
          <cell r="M94" t="str">
            <v>A/R Trade-Regular -PT Kimia Tirta Utama</v>
          </cell>
        </row>
        <row r="95">
          <cell r="A95">
            <v>513100001</v>
          </cell>
          <cell r="B95" t="str">
            <v>0000012472</v>
          </cell>
          <cell r="C95" t="str">
            <v>LETAWA</v>
          </cell>
          <cell r="D95" t="str">
            <v>00 00 105-000-261</v>
          </cell>
          <cell r="E95">
            <v>0</v>
          </cell>
          <cell r="F95">
            <v>0</v>
          </cell>
          <cell r="G95">
            <v>0</v>
          </cell>
          <cell r="H95">
            <v>81878408</v>
          </cell>
          <cell r="I95">
            <v>600851</v>
          </cell>
          <cell r="J95">
            <v>0</v>
          </cell>
          <cell r="K95">
            <v>82479259</v>
          </cell>
          <cell r="L95">
            <v>0</v>
          </cell>
          <cell r="M95" t="str">
            <v>A/R Trade-Regular -PT Letawa</v>
          </cell>
        </row>
        <row r="96">
          <cell r="A96">
            <v>513100001</v>
          </cell>
          <cell r="B96" t="str">
            <v>0000012722</v>
          </cell>
          <cell r="C96" t="str">
            <v>PT Berau Coal</v>
          </cell>
          <cell r="D96" t="str">
            <v>00 00 106-000-000</v>
          </cell>
          <cell r="E96">
            <v>0</v>
          </cell>
          <cell r="F96">
            <v>0</v>
          </cell>
          <cell r="G96">
            <v>0</v>
          </cell>
          <cell r="H96">
            <v>61242885</v>
          </cell>
          <cell r="I96">
            <v>0</v>
          </cell>
          <cell r="J96">
            <v>61242885</v>
          </cell>
          <cell r="K96">
            <v>0</v>
          </cell>
          <cell r="L96">
            <v>0</v>
          </cell>
          <cell r="M96" t="str">
            <v>A/R Trade - Regular - 3rd Parties</v>
          </cell>
        </row>
        <row r="97">
          <cell r="A97">
            <v>513100001</v>
          </cell>
          <cell r="B97" t="str">
            <v>0000013075</v>
          </cell>
          <cell r="C97" t="str">
            <v>FSCM Manufacturing Ind.</v>
          </cell>
          <cell r="D97" t="str">
            <v>00 00 105-000-062</v>
          </cell>
          <cell r="E97">
            <v>0</v>
          </cell>
          <cell r="F97">
            <v>0</v>
          </cell>
          <cell r="G97">
            <v>0</v>
          </cell>
          <cell r="H97">
            <v>8955045</v>
          </cell>
          <cell r="I97">
            <v>0</v>
          </cell>
          <cell r="J97">
            <v>0</v>
          </cell>
          <cell r="K97">
            <v>8955045</v>
          </cell>
          <cell r="L97">
            <v>0</v>
          </cell>
          <cell r="M97" t="str">
            <v>A/R Trade-Regular -PT Federal Superior C</v>
          </cell>
        </row>
        <row r="98">
          <cell r="A98">
            <v>513100001</v>
          </cell>
          <cell r="B98" t="str">
            <v>0000013186</v>
          </cell>
          <cell r="C98" t="str">
            <v>AGRO MENARA RAHMAT</v>
          </cell>
          <cell r="D98" t="str">
            <v>00 00 105-000-253</v>
          </cell>
          <cell r="E98">
            <v>0</v>
          </cell>
          <cell r="F98">
            <v>0</v>
          </cell>
          <cell r="G98">
            <v>0</v>
          </cell>
          <cell r="H98">
            <v>33166557</v>
          </cell>
          <cell r="I98">
            <v>0</v>
          </cell>
          <cell r="J98">
            <v>0</v>
          </cell>
          <cell r="K98">
            <v>33166557</v>
          </cell>
          <cell r="L98">
            <v>0</v>
          </cell>
          <cell r="M98" t="str">
            <v>A/R Trade-Regular -PT Agro Menara Rachma</v>
          </cell>
        </row>
        <row r="99">
          <cell r="A99">
            <v>513100001</v>
          </cell>
          <cell r="B99" t="str">
            <v>0000013373</v>
          </cell>
          <cell r="C99" t="str">
            <v>PAMA INDO MINING</v>
          </cell>
          <cell r="D99" t="str">
            <v>00 00 105-000-231</v>
          </cell>
          <cell r="E99">
            <v>0</v>
          </cell>
          <cell r="F99">
            <v>0</v>
          </cell>
          <cell r="G99">
            <v>0</v>
          </cell>
          <cell r="H99">
            <v>143169383</v>
          </cell>
          <cell r="I99">
            <v>0</v>
          </cell>
          <cell r="J99">
            <v>315212</v>
          </cell>
          <cell r="K99">
            <v>142854171</v>
          </cell>
          <cell r="L99">
            <v>0</v>
          </cell>
          <cell r="M99" t="str">
            <v>A/R Trade-Regular -PT Pama Indo Mining</v>
          </cell>
        </row>
        <row r="100">
          <cell r="A100">
            <v>513100001</v>
          </cell>
          <cell r="B100" t="str">
            <v>0000013661</v>
          </cell>
          <cell r="C100" t="str">
            <v>TUNGGAL PERKASA PLANTATIONS</v>
          </cell>
          <cell r="D100" t="str">
            <v>00 00 105-000-153</v>
          </cell>
          <cell r="E100">
            <v>0</v>
          </cell>
          <cell r="F100">
            <v>0</v>
          </cell>
          <cell r="G100">
            <v>0</v>
          </cell>
          <cell r="H100">
            <v>347008310</v>
          </cell>
          <cell r="I100">
            <v>0</v>
          </cell>
          <cell r="J100">
            <v>99311</v>
          </cell>
          <cell r="K100">
            <v>346908999</v>
          </cell>
          <cell r="L100">
            <v>0</v>
          </cell>
          <cell r="M100" t="str">
            <v>A/R Trade-Regular -PT Tunggal Perkasa Pl</v>
          </cell>
        </row>
        <row r="101">
          <cell r="A101">
            <v>513100001</v>
          </cell>
          <cell r="B101" t="str">
            <v>0000013880</v>
          </cell>
          <cell r="C101" t="str">
            <v>SURYA INDAH NUSANTARA PAGI</v>
          </cell>
          <cell r="D101" t="str">
            <v>00 00 105-000-251</v>
          </cell>
          <cell r="E101">
            <v>0</v>
          </cell>
          <cell r="F101">
            <v>0</v>
          </cell>
          <cell r="G101">
            <v>0</v>
          </cell>
          <cell r="H101">
            <v>91831704</v>
          </cell>
          <cell r="I101">
            <v>0</v>
          </cell>
          <cell r="J101">
            <v>0</v>
          </cell>
          <cell r="K101">
            <v>91831704</v>
          </cell>
          <cell r="L101">
            <v>0</v>
          </cell>
          <cell r="M101" t="str">
            <v>A/R Trade-Regular -PT Surya Indah Nusant</v>
          </cell>
        </row>
        <row r="102">
          <cell r="A102">
            <v>513100001</v>
          </cell>
          <cell r="B102" t="str">
            <v>0000013935</v>
          </cell>
          <cell r="C102" t="str">
            <v>GUNUNG SEJAHTERA PUTI PESONA</v>
          </cell>
          <cell r="D102" t="str">
            <v>00 00 105-000-250</v>
          </cell>
          <cell r="E102">
            <v>0</v>
          </cell>
          <cell r="F102">
            <v>0</v>
          </cell>
          <cell r="G102">
            <v>0</v>
          </cell>
          <cell r="H102">
            <v>62146228</v>
          </cell>
          <cell r="I102">
            <v>0</v>
          </cell>
          <cell r="J102">
            <v>0</v>
          </cell>
          <cell r="K102">
            <v>62146228</v>
          </cell>
          <cell r="L102">
            <v>0</v>
          </cell>
          <cell r="M102" t="str">
            <v>A/R Trade-Regular -PT Gunung Sejahtera P</v>
          </cell>
        </row>
        <row r="103">
          <cell r="A103">
            <v>513100001</v>
          </cell>
          <cell r="B103" t="str">
            <v>0000015179</v>
          </cell>
          <cell r="C103" t="str">
            <v>SARI LEMBAH SUBUR</v>
          </cell>
          <cell r="D103" t="str">
            <v>00 00 105-000-127</v>
          </cell>
          <cell r="E103">
            <v>0</v>
          </cell>
          <cell r="F103">
            <v>0</v>
          </cell>
          <cell r="G103">
            <v>0</v>
          </cell>
          <cell r="H103">
            <v>392259246</v>
          </cell>
          <cell r="I103">
            <v>0</v>
          </cell>
          <cell r="J103">
            <v>82632732</v>
          </cell>
          <cell r="K103">
            <v>309626514</v>
          </cell>
          <cell r="L103">
            <v>0</v>
          </cell>
          <cell r="M103" t="str">
            <v>A/R Trade-Regular -PT Sari Lembah Subur</v>
          </cell>
        </row>
        <row r="104">
          <cell r="A104">
            <v>513100001</v>
          </cell>
          <cell r="B104" t="str">
            <v>0000015183</v>
          </cell>
          <cell r="C104" t="str">
            <v>SAWIT ASAHAN INDAH</v>
          </cell>
          <cell r="D104" t="str">
            <v>00 00 105-000-278</v>
          </cell>
          <cell r="E104">
            <v>0</v>
          </cell>
          <cell r="F104">
            <v>0</v>
          </cell>
          <cell r="G104">
            <v>0</v>
          </cell>
          <cell r="H104">
            <v>219440110</v>
          </cell>
          <cell r="I104">
            <v>0</v>
          </cell>
          <cell r="J104">
            <v>0</v>
          </cell>
          <cell r="K104">
            <v>219440110</v>
          </cell>
          <cell r="L104">
            <v>0</v>
          </cell>
          <cell r="M104" t="str">
            <v>A/R Trade - Regula-PT Sawit Asahan Indah</v>
          </cell>
        </row>
        <row r="105">
          <cell r="A105">
            <v>513100001</v>
          </cell>
          <cell r="B105" t="str">
            <v>0000016475</v>
          </cell>
          <cell r="C105" t="str">
            <v>Sari Aditya Loka</v>
          </cell>
          <cell r="D105" t="str">
            <v>00 00 105-000-126</v>
          </cell>
          <cell r="E105">
            <v>0</v>
          </cell>
          <cell r="F105">
            <v>0</v>
          </cell>
          <cell r="G105">
            <v>0</v>
          </cell>
          <cell r="H105">
            <v>119760272</v>
          </cell>
          <cell r="I105">
            <v>0</v>
          </cell>
          <cell r="J105">
            <v>0</v>
          </cell>
          <cell r="K105">
            <v>119760272</v>
          </cell>
          <cell r="L105">
            <v>0</v>
          </cell>
          <cell r="M105" t="str">
            <v>A/R Trade-Regular -PT Sari Aditya Loka</v>
          </cell>
        </row>
        <row r="106">
          <cell r="A106">
            <v>513100001</v>
          </cell>
          <cell r="B106" t="str">
            <v>0000018680</v>
          </cell>
          <cell r="C106" t="str">
            <v>Borneo Indah Marjaya (Numpang)</v>
          </cell>
          <cell r="D106" t="str">
            <v>00 00 105-000-304</v>
          </cell>
          <cell r="E106">
            <v>0</v>
          </cell>
          <cell r="F106">
            <v>0</v>
          </cell>
          <cell r="G106">
            <v>0</v>
          </cell>
          <cell r="H106">
            <v>25659031</v>
          </cell>
          <cell r="I106">
            <v>0</v>
          </cell>
          <cell r="J106">
            <v>0</v>
          </cell>
          <cell r="K106">
            <v>25659031</v>
          </cell>
          <cell r="L106">
            <v>0</v>
          </cell>
          <cell r="M106" t="str">
            <v>A/R Trade - Regula-United Bulk Transfer</v>
          </cell>
        </row>
        <row r="107">
          <cell r="A107">
            <v>513100001</v>
          </cell>
          <cell r="B107" t="str">
            <v>0000019341</v>
          </cell>
          <cell r="C107" t="str">
            <v>AGRO NUSA ABADI (NUMPANG)</v>
          </cell>
          <cell r="D107" t="str">
            <v>00 00 105-000-276</v>
          </cell>
          <cell r="E107">
            <v>0</v>
          </cell>
          <cell r="F107">
            <v>0</v>
          </cell>
          <cell r="G107">
            <v>0</v>
          </cell>
          <cell r="H107">
            <v>34118806</v>
          </cell>
          <cell r="I107">
            <v>0</v>
          </cell>
          <cell r="J107">
            <v>0</v>
          </cell>
          <cell r="K107">
            <v>34118806</v>
          </cell>
          <cell r="L107">
            <v>0</v>
          </cell>
          <cell r="M107" t="str">
            <v>A/R Trade - Regula-PT Hanken Indonesia</v>
          </cell>
        </row>
        <row r="108">
          <cell r="A108">
            <v>513100001</v>
          </cell>
          <cell r="B108" t="str">
            <v>0000019344</v>
          </cell>
          <cell r="C108" t="str">
            <v>SAWIT JAYA ABADI (NUMPANG)</v>
          </cell>
          <cell r="D108" t="str">
            <v>00 00 105-000-212</v>
          </cell>
          <cell r="E108">
            <v>0</v>
          </cell>
          <cell r="F108">
            <v>0</v>
          </cell>
          <cell r="G108">
            <v>0</v>
          </cell>
          <cell r="H108">
            <v>49219335</v>
          </cell>
          <cell r="I108">
            <v>0</v>
          </cell>
          <cell r="J108">
            <v>517306</v>
          </cell>
          <cell r="K108">
            <v>48702029</v>
          </cell>
          <cell r="L108">
            <v>0</v>
          </cell>
          <cell r="M108" t="str">
            <v>A/R Trade-Regular -PT Sunray Pte. Ltd.</v>
          </cell>
        </row>
        <row r="109">
          <cell r="A109">
            <v>513100001</v>
          </cell>
          <cell r="B109" t="str">
            <v>0000019505</v>
          </cell>
          <cell r="C109" t="str">
            <v>PERKEBUNAN LEMBAH BHAKTI</v>
          </cell>
          <cell r="D109" t="str">
            <v>00 00 105-000-117</v>
          </cell>
          <cell r="E109">
            <v>0</v>
          </cell>
          <cell r="F109">
            <v>0</v>
          </cell>
          <cell r="G109">
            <v>0</v>
          </cell>
          <cell r="H109">
            <v>175624720</v>
          </cell>
          <cell r="I109">
            <v>0</v>
          </cell>
          <cell r="J109">
            <v>28039724</v>
          </cell>
          <cell r="K109">
            <v>147584996</v>
          </cell>
          <cell r="L109">
            <v>0</v>
          </cell>
          <cell r="M109" t="str">
            <v>A/R Trade-Regular -PT Perkebunan Lembah</v>
          </cell>
        </row>
        <row r="110">
          <cell r="A110">
            <v>513100001</v>
          </cell>
          <cell r="B110" t="str">
            <v>0000019596</v>
          </cell>
          <cell r="C110" t="str">
            <v>GUNUNG SEJAHTERA YOLI MAKMUR</v>
          </cell>
          <cell r="D110" t="str">
            <v>00 00 105-000-252</v>
          </cell>
          <cell r="E110">
            <v>0</v>
          </cell>
          <cell r="F110">
            <v>0</v>
          </cell>
          <cell r="G110">
            <v>0</v>
          </cell>
          <cell r="H110">
            <v>68884851</v>
          </cell>
          <cell r="I110">
            <v>0</v>
          </cell>
          <cell r="J110">
            <v>0</v>
          </cell>
          <cell r="K110">
            <v>68884851</v>
          </cell>
          <cell r="L110">
            <v>0</v>
          </cell>
          <cell r="M110" t="str">
            <v>A/R Trade-Regular -PT Gunung Sejahtera Y</v>
          </cell>
        </row>
        <row r="111">
          <cell r="A111">
            <v>513100001</v>
          </cell>
          <cell r="B111" t="str">
            <v>0000019610</v>
          </cell>
          <cell r="C111" t="str">
            <v>GUNUNG SEJAHTERA DUA INDAH</v>
          </cell>
          <cell r="D111" t="str">
            <v>00 00 105-000-254</v>
          </cell>
          <cell r="E111">
            <v>0</v>
          </cell>
          <cell r="F111">
            <v>0</v>
          </cell>
          <cell r="G111">
            <v>0</v>
          </cell>
          <cell r="H111">
            <v>95017126</v>
          </cell>
          <cell r="I111">
            <v>0</v>
          </cell>
          <cell r="J111">
            <v>0</v>
          </cell>
          <cell r="K111">
            <v>95017126</v>
          </cell>
          <cell r="L111">
            <v>0</v>
          </cell>
          <cell r="M111" t="str">
            <v>A/R Trade-Regular -PT Gunung Sejahtera D</v>
          </cell>
        </row>
        <row r="112">
          <cell r="A112">
            <v>513100001</v>
          </cell>
          <cell r="B112" t="str">
            <v>0000020698</v>
          </cell>
          <cell r="C112" t="str">
            <v>NIRMALA AGRO LESTARI</v>
          </cell>
          <cell r="D112" t="str">
            <v>00 00 105-000-329</v>
          </cell>
          <cell r="E112">
            <v>0</v>
          </cell>
          <cell r="F112">
            <v>0</v>
          </cell>
          <cell r="G112">
            <v>0</v>
          </cell>
          <cell r="H112">
            <v>89532933</v>
          </cell>
          <cell r="I112">
            <v>0</v>
          </cell>
          <cell r="J112">
            <v>0</v>
          </cell>
          <cell r="K112">
            <v>89532933</v>
          </cell>
          <cell r="L112">
            <v>0</v>
          </cell>
          <cell r="M112" t="str">
            <v>A/R Trade - Regula-PT Nirmala Agro Lesta</v>
          </cell>
        </row>
        <row r="113">
          <cell r="A113">
            <v>513100001</v>
          </cell>
          <cell r="B113" t="str">
            <v>0000020862</v>
          </cell>
          <cell r="C113" t="str">
            <v>AR Trade Reg-Kalimantan Prima Persada</v>
          </cell>
          <cell r="D113" t="str">
            <v>00 00 105-000-360</v>
          </cell>
          <cell r="E113">
            <v>0</v>
          </cell>
          <cell r="F113">
            <v>0</v>
          </cell>
          <cell r="G113">
            <v>0</v>
          </cell>
          <cell r="H113">
            <v>22798577516</v>
          </cell>
          <cell r="I113">
            <v>0</v>
          </cell>
          <cell r="J113">
            <v>0</v>
          </cell>
          <cell r="K113">
            <v>22798577516</v>
          </cell>
          <cell r="L113">
            <v>0</v>
          </cell>
          <cell r="M113" t="str">
            <v>A/R Trade - Regula-PT Kalimantan Prima P</v>
          </cell>
        </row>
        <row r="114">
          <cell r="A114">
            <v>513100001</v>
          </cell>
          <cell r="B114" t="str">
            <v>0000021044</v>
          </cell>
          <cell r="C114" t="str">
            <v>SUBUR ABADI PLANTATION (NUMPANG)</v>
          </cell>
          <cell r="D114" t="str">
            <v>00 00 105-000-305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158207143</v>
          </cell>
          <cell r="J114">
            <v>0</v>
          </cell>
          <cell r="K114">
            <v>158207143</v>
          </cell>
          <cell r="L114">
            <v>0</v>
          </cell>
          <cell r="M114" t="str">
            <v>A/R Trade - Regula-United Ostermeyer Eng</v>
          </cell>
        </row>
        <row r="115">
          <cell r="A115">
            <v>513100001</v>
          </cell>
          <cell r="B115" t="str">
            <v>0000021656</v>
          </cell>
          <cell r="C115" t="str">
            <v>BHADRA CEMERLANG</v>
          </cell>
          <cell r="D115" t="str">
            <v>00 00 105-000-331</v>
          </cell>
          <cell r="E115">
            <v>0</v>
          </cell>
          <cell r="F115">
            <v>0</v>
          </cell>
          <cell r="G115">
            <v>0</v>
          </cell>
          <cell r="H115">
            <v>2767975</v>
          </cell>
          <cell r="I115">
            <v>0</v>
          </cell>
          <cell r="J115">
            <v>0</v>
          </cell>
          <cell r="K115">
            <v>2767975</v>
          </cell>
          <cell r="L115">
            <v>0</v>
          </cell>
          <cell r="M115" t="str">
            <v>A/R Trade - Regula-PT Bhadra Cemerlang</v>
          </cell>
        </row>
        <row r="116">
          <cell r="A116">
            <v>513100001</v>
          </cell>
          <cell r="B116" t="str">
            <v>0000021806</v>
          </cell>
          <cell r="C116" t="str">
            <v>SUMBER KHARISMA PERSADA (NUMPANG)</v>
          </cell>
          <cell r="D116" t="str">
            <v>00 00 105-000-208</v>
          </cell>
          <cell r="E116">
            <v>0</v>
          </cell>
          <cell r="F116">
            <v>0</v>
          </cell>
          <cell r="G116">
            <v>0</v>
          </cell>
          <cell r="H116">
            <v>42163451</v>
          </cell>
          <cell r="I116">
            <v>0</v>
          </cell>
          <cell r="J116">
            <v>0</v>
          </cell>
          <cell r="K116">
            <v>42163451</v>
          </cell>
          <cell r="L116">
            <v>0</v>
          </cell>
          <cell r="M116" t="str">
            <v>A/R Trade-Regular -PT Arya Kharisma</v>
          </cell>
        </row>
        <row r="117">
          <cell r="A117">
            <v>513100001</v>
          </cell>
          <cell r="B117" t="str">
            <v>0000021835</v>
          </cell>
          <cell r="C117" t="str">
            <v>KARYANUSA EKADAYA</v>
          </cell>
          <cell r="D117" t="str">
            <v>00 00 105-000-350</v>
          </cell>
          <cell r="E117">
            <v>0</v>
          </cell>
          <cell r="F117">
            <v>0</v>
          </cell>
          <cell r="G117">
            <v>0</v>
          </cell>
          <cell r="H117">
            <v>373607581</v>
          </cell>
          <cell r="I117">
            <v>0</v>
          </cell>
          <cell r="J117">
            <v>0</v>
          </cell>
          <cell r="K117">
            <v>373607581</v>
          </cell>
          <cell r="L117">
            <v>0</v>
          </cell>
          <cell r="M117" t="str">
            <v>A/R Trade - Regula-Karyanusa Ekadaya</v>
          </cell>
        </row>
        <row r="118">
          <cell r="A118">
            <v>513100001</v>
          </cell>
          <cell r="B118" t="str">
            <v>0000023395</v>
          </cell>
          <cell r="C118" t="str">
            <v>KOMATSU REMAN INDONESIA (NUMPANG)</v>
          </cell>
          <cell r="D118" t="str">
            <v>00 00 105-000-305</v>
          </cell>
          <cell r="E118">
            <v>0</v>
          </cell>
          <cell r="F118">
            <v>0</v>
          </cell>
          <cell r="G118">
            <v>0</v>
          </cell>
          <cell r="H118">
            <v>27235668</v>
          </cell>
          <cell r="I118">
            <v>0</v>
          </cell>
          <cell r="J118">
            <v>27235668</v>
          </cell>
          <cell r="K118">
            <v>0</v>
          </cell>
          <cell r="L118">
            <v>0</v>
          </cell>
          <cell r="M118" t="str">
            <v>A/R Trade - Regula-United Ostermeyer Eng</v>
          </cell>
        </row>
        <row r="119">
          <cell r="A119">
            <v>513100001</v>
          </cell>
          <cell r="B119" t="str">
            <v>0000023543</v>
          </cell>
          <cell r="C119" t="str">
            <v>SURYA PANEN SUBUR</v>
          </cell>
          <cell r="D119" t="str">
            <v>00 00 105-000-259</v>
          </cell>
          <cell r="E119">
            <v>0</v>
          </cell>
          <cell r="F119">
            <v>0</v>
          </cell>
          <cell r="G119">
            <v>0</v>
          </cell>
          <cell r="H119">
            <v>63148839</v>
          </cell>
          <cell r="I119">
            <v>0</v>
          </cell>
          <cell r="J119">
            <v>0</v>
          </cell>
          <cell r="K119">
            <v>63148839</v>
          </cell>
          <cell r="L119">
            <v>0</v>
          </cell>
          <cell r="M119" t="str">
            <v>A/R Trade-Regular -PT Surya Panen Subur</v>
          </cell>
        </row>
        <row r="120">
          <cell r="A120">
            <v>513100001</v>
          </cell>
          <cell r="B120" t="str">
            <v>0000023660</v>
          </cell>
          <cell r="C120" t="str">
            <v>RIMBUNAN ALAM SENTOSA (NUMPANG)</v>
          </cell>
          <cell r="D120" t="str">
            <v>00 00 105-000-294</v>
          </cell>
          <cell r="E120">
            <v>0</v>
          </cell>
          <cell r="F120">
            <v>0</v>
          </cell>
          <cell r="G120">
            <v>0</v>
          </cell>
          <cell r="H120">
            <v>10946884</v>
          </cell>
          <cell r="I120">
            <v>0</v>
          </cell>
          <cell r="J120">
            <v>0</v>
          </cell>
          <cell r="K120">
            <v>10946884</v>
          </cell>
          <cell r="L120">
            <v>0</v>
          </cell>
          <cell r="M120" t="str">
            <v>A/R Trade - Regula-United Tractors GmbH.</v>
          </cell>
        </row>
        <row r="121">
          <cell r="A121">
            <v>513100001</v>
          </cell>
          <cell r="B121" t="str">
            <v>0000023695</v>
          </cell>
          <cell r="C121" t="str">
            <v>PT SUBUR ABADI PLANTATION</v>
          </cell>
          <cell r="D121" t="str">
            <v>00 00 105-000-305</v>
          </cell>
          <cell r="E121">
            <v>0</v>
          </cell>
          <cell r="F121">
            <v>0</v>
          </cell>
          <cell r="G121">
            <v>0</v>
          </cell>
          <cell r="H121">
            <v>8615277</v>
          </cell>
          <cell r="I121">
            <v>0</v>
          </cell>
          <cell r="J121">
            <v>0</v>
          </cell>
          <cell r="K121">
            <v>8615277</v>
          </cell>
          <cell r="L121">
            <v>0</v>
          </cell>
          <cell r="M121" t="str">
            <v>A/R Trade - Regula-United Ostermeyer Eng</v>
          </cell>
        </row>
        <row r="122">
          <cell r="A122">
            <v>513100001</v>
          </cell>
          <cell r="B122" t="str">
            <v>0000023829</v>
          </cell>
          <cell r="C122" t="str">
            <v>Cipta Agro Nusantara (Numpang)</v>
          </cell>
          <cell r="D122" t="str">
            <v>00 00 105-000-260</v>
          </cell>
          <cell r="E122">
            <v>0</v>
          </cell>
          <cell r="F122">
            <v>0</v>
          </cell>
          <cell r="G122">
            <v>0</v>
          </cell>
          <cell r="H122">
            <v>133474149</v>
          </cell>
          <cell r="I122">
            <v>0</v>
          </cell>
          <cell r="J122">
            <v>0</v>
          </cell>
          <cell r="K122">
            <v>133474149</v>
          </cell>
          <cell r="L122">
            <v>0</v>
          </cell>
          <cell r="M122" t="str">
            <v>A/R Trade-Regular -PT Sankawangi</v>
          </cell>
        </row>
        <row r="123">
          <cell r="A123">
            <v>513100001</v>
          </cell>
          <cell r="B123" t="str">
            <v>0000024370</v>
          </cell>
          <cell r="C123" t="str">
            <v>Multi Prima Universal (Numpang)</v>
          </cell>
          <cell r="D123" t="str">
            <v>00 00 105-000-113</v>
          </cell>
          <cell r="E123">
            <v>0</v>
          </cell>
          <cell r="F123">
            <v>0</v>
          </cell>
          <cell r="G123">
            <v>0</v>
          </cell>
          <cell r="H123">
            <v>3819657758</v>
          </cell>
          <cell r="I123">
            <v>0</v>
          </cell>
          <cell r="J123">
            <v>3109425</v>
          </cell>
          <cell r="K123">
            <v>3816548333</v>
          </cell>
          <cell r="L123">
            <v>0</v>
          </cell>
          <cell r="M123" t="str">
            <v>A/R Trade-Regular -PT Pandu Dayatama Pat</v>
          </cell>
        </row>
        <row r="124">
          <cell r="A124">
            <v>513100001</v>
          </cell>
          <cell r="B124" t="str">
            <v>0000025455</v>
          </cell>
          <cell r="C124" t="str">
            <v>HMU</v>
          </cell>
          <cell r="D124" t="str">
            <v>00 00 105-000-220</v>
          </cell>
          <cell r="E124">
            <v>0</v>
          </cell>
          <cell r="F124">
            <v>0</v>
          </cell>
          <cell r="G124">
            <v>0</v>
          </cell>
          <cell r="H124">
            <v>129800</v>
          </cell>
          <cell r="I124">
            <v>0</v>
          </cell>
          <cell r="J124">
            <v>129800</v>
          </cell>
          <cell r="K124">
            <v>0</v>
          </cell>
          <cell r="L124">
            <v>0</v>
          </cell>
          <cell r="M124" t="str">
            <v>A/R Trade-Regular -PT Hokkuriku United F</v>
          </cell>
        </row>
        <row r="125">
          <cell r="A125">
            <v>513100001</v>
          </cell>
          <cell r="B125" t="str">
            <v>0000025829</v>
          </cell>
          <cell r="C125" t="str">
            <v>PERSADA DINAMIKA LESTARI (NUMPANG)</v>
          </cell>
          <cell r="D125" t="str">
            <v>00 00 105-000-349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3569550</v>
          </cell>
          <cell r="J125">
            <v>0</v>
          </cell>
          <cell r="K125">
            <v>3569550</v>
          </cell>
          <cell r="L125">
            <v>0</v>
          </cell>
          <cell r="M125" t="str">
            <v>A/R Trade - Regula-Swakarsa Sinar Sentos</v>
          </cell>
        </row>
        <row r="126">
          <cell r="A126">
            <v>513100002</v>
          </cell>
          <cell r="B126" t="str">
            <v>0000010117</v>
          </cell>
          <cell r="C126" t="str">
            <v>PT Karya Tanah Subur</v>
          </cell>
          <cell r="D126" t="str">
            <v>00 00 105-000-083</v>
          </cell>
          <cell r="E126">
            <v>0</v>
          </cell>
          <cell r="F126">
            <v>0</v>
          </cell>
          <cell r="G126">
            <v>0</v>
          </cell>
          <cell r="H126">
            <v>22773499</v>
          </cell>
          <cell r="I126">
            <v>0</v>
          </cell>
          <cell r="J126">
            <v>0</v>
          </cell>
          <cell r="K126">
            <v>22773499</v>
          </cell>
          <cell r="L126">
            <v>0</v>
          </cell>
          <cell r="M126" t="str">
            <v>A/R Trade-Regular -PT Karya Tanah Subur</v>
          </cell>
        </row>
        <row r="127">
          <cell r="A127">
            <v>513100002</v>
          </cell>
          <cell r="B127" t="str">
            <v>0000010318</v>
          </cell>
          <cell r="C127" t="str">
            <v>A/R Trade - Astra International</v>
          </cell>
          <cell r="D127" t="str">
            <v>00 00 105-000-001</v>
          </cell>
          <cell r="E127">
            <v>0</v>
          </cell>
          <cell r="F127">
            <v>0</v>
          </cell>
          <cell r="G127">
            <v>0</v>
          </cell>
          <cell r="H127">
            <v>6613674</v>
          </cell>
          <cell r="I127">
            <v>0</v>
          </cell>
          <cell r="J127">
            <v>0</v>
          </cell>
          <cell r="K127">
            <v>6613674</v>
          </cell>
          <cell r="L127">
            <v>0</v>
          </cell>
          <cell r="M127" t="str">
            <v>A/R Trade-Regular -PT AI - Head Office</v>
          </cell>
        </row>
        <row r="128">
          <cell r="A128">
            <v>513100002</v>
          </cell>
          <cell r="B128" t="str">
            <v>0000010569</v>
          </cell>
          <cell r="C128" t="str">
            <v>MAMUANG</v>
          </cell>
          <cell r="D128" t="str">
            <v>00 00 105-000-263</v>
          </cell>
          <cell r="E128">
            <v>0</v>
          </cell>
          <cell r="F128">
            <v>0</v>
          </cell>
          <cell r="G128">
            <v>0</v>
          </cell>
          <cell r="H128">
            <v>22220000</v>
          </cell>
          <cell r="I128">
            <v>0</v>
          </cell>
          <cell r="J128">
            <v>0</v>
          </cell>
          <cell r="K128">
            <v>22220000</v>
          </cell>
          <cell r="L128">
            <v>0</v>
          </cell>
          <cell r="M128" t="str">
            <v>A/R Trade-Regular -PT Mamuang</v>
          </cell>
        </row>
        <row r="129">
          <cell r="A129">
            <v>513100002</v>
          </cell>
          <cell r="B129" t="str">
            <v>0000010611</v>
          </cell>
          <cell r="C129" t="str">
            <v>A/R Trade - Pamapersada Nusantara</v>
          </cell>
          <cell r="D129" t="str">
            <v>00 00 105-000-112</v>
          </cell>
          <cell r="E129">
            <v>0</v>
          </cell>
          <cell r="F129">
            <v>0</v>
          </cell>
          <cell r="G129">
            <v>0</v>
          </cell>
          <cell r="H129">
            <v>71872338735</v>
          </cell>
          <cell r="I129">
            <v>0</v>
          </cell>
          <cell r="J129">
            <v>0</v>
          </cell>
          <cell r="K129">
            <v>71872338735</v>
          </cell>
          <cell r="L129">
            <v>0</v>
          </cell>
          <cell r="M129" t="str">
            <v>A/R Trade-Regular -PT Pama Persada Nusan</v>
          </cell>
        </row>
        <row r="130">
          <cell r="A130">
            <v>513100002</v>
          </cell>
          <cell r="B130" t="str">
            <v>0000010619</v>
          </cell>
          <cell r="C130" t="str">
            <v>PASANG KAYU</v>
          </cell>
          <cell r="D130" t="str">
            <v>00 00 105-000-267</v>
          </cell>
          <cell r="E130">
            <v>0</v>
          </cell>
          <cell r="F130">
            <v>0</v>
          </cell>
          <cell r="G130">
            <v>0</v>
          </cell>
          <cell r="H130">
            <v>60000</v>
          </cell>
          <cell r="I130">
            <v>0</v>
          </cell>
          <cell r="J130">
            <v>0</v>
          </cell>
          <cell r="K130">
            <v>60000</v>
          </cell>
          <cell r="L130">
            <v>0</v>
          </cell>
          <cell r="M130" t="str">
            <v>A/R Trade-Regular -PT Pasang Kayu</v>
          </cell>
        </row>
        <row r="131">
          <cell r="A131">
            <v>513100002</v>
          </cell>
          <cell r="B131" t="str">
            <v>0000010721</v>
          </cell>
          <cell r="C131" t="str">
            <v>PT GUNUNG SEJAHTERA IBU PERTIWI</v>
          </cell>
          <cell r="D131" t="str">
            <v>00 00 105-000-256</v>
          </cell>
          <cell r="E131">
            <v>0</v>
          </cell>
          <cell r="F131">
            <v>0</v>
          </cell>
          <cell r="G131">
            <v>0</v>
          </cell>
          <cell r="H131">
            <v>25687000</v>
          </cell>
          <cell r="I131">
            <v>0</v>
          </cell>
          <cell r="J131">
            <v>0</v>
          </cell>
          <cell r="K131">
            <v>25687000</v>
          </cell>
          <cell r="L131">
            <v>0</v>
          </cell>
          <cell r="M131" t="str">
            <v>A/R Trade-Regular -PT Gunung Sejahtera I</v>
          </cell>
        </row>
        <row r="132">
          <cell r="A132">
            <v>513100002</v>
          </cell>
          <cell r="B132" t="str">
            <v>0000010818</v>
          </cell>
          <cell r="C132" t="str">
            <v>A/R Trade UTSG</v>
          </cell>
          <cell r="D132" t="str">
            <v>00 00 105-000-222</v>
          </cell>
          <cell r="E132">
            <v>0</v>
          </cell>
          <cell r="F132">
            <v>0</v>
          </cell>
          <cell r="G132">
            <v>0</v>
          </cell>
          <cell r="H132">
            <v>224638149</v>
          </cell>
          <cell r="I132">
            <v>0</v>
          </cell>
          <cell r="J132">
            <v>0</v>
          </cell>
          <cell r="K132">
            <v>224638149</v>
          </cell>
          <cell r="L132">
            <v>0</v>
          </cell>
          <cell r="M132" t="str">
            <v>A/R Trade-Regular -PT UT Semen Gresik</v>
          </cell>
        </row>
        <row r="133">
          <cell r="A133">
            <v>513100002</v>
          </cell>
          <cell r="B133" t="str">
            <v>0000010848</v>
          </cell>
          <cell r="C133" t="str">
            <v>EKA DURA INDONESIA</v>
          </cell>
          <cell r="D133" t="str">
            <v>00 00 105-000-054</v>
          </cell>
          <cell r="E133">
            <v>0</v>
          </cell>
          <cell r="F133">
            <v>0</v>
          </cell>
          <cell r="G133">
            <v>0</v>
          </cell>
          <cell r="H133">
            <v>200801</v>
          </cell>
          <cell r="I133">
            <v>0</v>
          </cell>
          <cell r="J133">
            <v>0</v>
          </cell>
          <cell r="K133">
            <v>200801</v>
          </cell>
          <cell r="L133">
            <v>0</v>
          </cell>
          <cell r="M133" t="str">
            <v>A/R Trade-Regular -PT Eka Dura Indonesia</v>
          </cell>
        </row>
        <row r="134">
          <cell r="A134">
            <v>513100002</v>
          </cell>
          <cell r="B134" t="str">
            <v>0000011010</v>
          </cell>
          <cell r="C134" t="str">
            <v>LESTARI TANI TELADAN</v>
          </cell>
          <cell r="D134" t="str">
            <v>00 00 105-000-262</v>
          </cell>
          <cell r="E134">
            <v>0</v>
          </cell>
          <cell r="F134">
            <v>0</v>
          </cell>
          <cell r="G134">
            <v>0</v>
          </cell>
          <cell r="H134">
            <v>40000</v>
          </cell>
          <cell r="I134">
            <v>0</v>
          </cell>
          <cell r="J134">
            <v>0</v>
          </cell>
          <cell r="K134">
            <v>40000</v>
          </cell>
          <cell r="L134">
            <v>0</v>
          </cell>
          <cell r="M134" t="str">
            <v>A/R Trade-Regular -PT Lestari Tani Telad</v>
          </cell>
        </row>
        <row r="135">
          <cell r="A135">
            <v>513100002</v>
          </cell>
          <cell r="B135" t="str">
            <v>0000012312</v>
          </cell>
          <cell r="C135" t="str">
            <v>A/R Trade Bina Pertiwi</v>
          </cell>
          <cell r="D135" t="str">
            <v>00 00 105-000-210</v>
          </cell>
          <cell r="E135">
            <v>0</v>
          </cell>
          <cell r="F135">
            <v>0</v>
          </cell>
          <cell r="G135">
            <v>0</v>
          </cell>
          <cell r="H135">
            <v>83786076</v>
          </cell>
          <cell r="I135">
            <v>0</v>
          </cell>
          <cell r="J135">
            <v>0</v>
          </cell>
          <cell r="K135">
            <v>83786076</v>
          </cell>
          <cell r="L135">
            <v>0</v>
          </cell>
          <cell r="M135" t="str">
            <v>A/R Trade-Regular -PT Bina Pertiwi</v>
          </cell>
        </row>
        <row r="136">
          <cell r="A136">
            <v>513100002</v>
          </cell>
          <cell r="B136" t="str">
            <v>0000012317</v>
          </cell>
          <cell r="C136" t="str">
            <v>A/R trade Affco servis:TN</v>
          </cell>
          <cell r="D136" t="str">
            <v>00 00 105-000-150</v>
          </cell>
          <cell r="E136">
            <v>0</v>
          </cell>
          <cell r="F136">
            <v>0</v>
          </cell>
          <cell r="G136">
            <v>0</v>
          </cell>
          <cell r="H136">
            <v>1320000</v>
          </cell>
          <cell r="I136">
            <v>0</v>
          </cell>
          <cell r="J136">
            <v>0</v>
          </cell>
          <cell r="K136">
            <v>1320000</v>
          </cell>
          <cell r="L136">
            <v>0</v>
          </cell>
          <cell r="M136" t="str">
            <v>A/R Trade-Regular -PT Traktor Nusantara</v>
          </cell>
        </row>
        <row r="137">
          <cell r="A137">
            <v>513100002</v>
          </cell>
          <cell r="B137" t="str">
            <v>0000012323</v>
          </cell>
          <cell r="C137" t="str">
            <v>A/R Trade-PT UTE</v>
          </cell>
          <cell r="D137" t="str">
            <v>00 00 105-000-156</v>
          </cell>
          <cell r="E137">
            <v>0</v>
          </cell>
          <cell r="F137">
            <v>0</v>
          </cell>
          <cell r="G137">
            <v>0</v>
          </cell>
          <cell r="H137">
            <v>6600000</v>
          </cell>
          <cell r="I137">
            <v>0</v>
          </cell>
          <cell r="J137">
            <v>6600000</v>
          </cell>
          <cell r="K137">
            <v>0</v>
          </cell>
          <cell r="L137">
            <v>0</v>
          </cell>
          <cell r="M137" t="str">
            <v>A/R Trade-Regular -PT United Tractors Pa</v>
          </cell>
        </row>
        <row r="138">
          <cell r="A138">
            <v>513100002</v>
          </cell>
          <cell r="B138" t="str">
            <v>0000012463</v>
          </cell>
          <cell r="C138" t="str">
            <v>WARU KALTIM PLANTATION</v>
          </cell>
          <cell r="D138" t="str">
            <v>00 00 105-000-099</v>
          </cell>
          <cell r="E138">
            <v>0</v>
          </cell>
          <cell r="F138">
            <v>0</v>
          </cell>
          <cell r="G138">
            <v>0</v>
          </cell>
          <cell r="H138">
            <v>403051930</v>
          </cell>
          <cell r="I138">
            <v>0</v>
          </cell>
          <cell r="J138">
            <v>0</v>
          </cell>
          <cell r="K138">
            <v>403051930</v>
          </cell>
          <cell r="L138">
            <v>0</v>
          </cell>
          <cell r="M138" t="str">
            <v>A/R Trade-Regular -PT Waru Kaltim Planta</v>
          </cell>
        </row>
        <row r="139">
          <cell r="A139">
            <v>513100002</v>
          </cell>
          <cell r="B139" t="str">
            <v>0000012466</v>
          </cell>
          <cell r="C139" t="str">
            <v>KIMIA TIRTA UTAMA</v>
          </cell>
          <cell r="D139" t="str">
            <v>00 00 105-000-086</v>
          </cell>
          <cell r="E139">
            <v>0</v>
          </cell>
          <cell r="F139">
            <v>0</v>
          </cell>
          <cell r="G139">
            <v>0</v>
          </cell>
          <cell r="H139">
            <v>4464601</v>
          </cell>
          <cell r="I139">
            <v>0</v>
          </cell>
          <cell r="J139">
            <v>0</v>
          </cell>
          <cell r="K139">
            <v>4464601</v>
          </cell>
          <cell r="L139">
            <v>0</v>
          </cell>
          <cell r="M139" t="str">
            <v>A/R Trade-Regular -PT Kimia Tirta Utama</v>
          </cell>
        </row>
        <row r="140">
          <cell r="A140">
            <v>513100002</v>
          </cell>
          <cell r="B140" t="str">
            <v>0000013661</v>
          </cell>
          <cell r="C140" t="str">
            <v>Tunggal Perkasa Plantation (Numpang)</v>
          </cell>
          <cell r="D140" t="str">
            <v>00 00 105-000-103</v>
          </cell>
          <cell r="E140">
            <v>0</v>
          </cell>
          <cell r="F140">
            <v>0</v>
          </cell>
          <cell r="G140">
            <v>0</v>
          </cell>
          <cell r="H140">
            <v>566110</v>
          </cell>
          <cell r="I140">
            <v>0</v>
          </cell>
          <cell r="J140">
            <v>0</v>
          </cell>
          <cell r="K140">
            <v>566110</v>
          </cell>
          <cell r="L140">
            <v>0</v>
          </cell>
          <cell r="M140" t="str">
            <v>A/R Trade-Regular -PT Multi Manantra Pra</v>
          </cell>
        </row>
        <row r="141">
          <cell r="A141">
            <v>513100002</v>
          </cell>
          <cell r="B141" t="str">
            <v>0000013935</v>
          </cell>
          <cell r="C141" t="str">
            <v>GUNUNG SEJAHTERA PUTI PESONA</v>
          </cell>
          <cell r="D141" t="str">
            <v>00 00 105-000-250</v>
          </cell>
          <cell r="E141">
            <v>0</v>
          </cell>
          <cell r="F141">
            <v>0</v>
          </cell>
          <cell r="G141">
            <v>0</v>
          </cell>
          <cell r="H141">
            <v>120780</v>
          </cell>
          <cell r="I141">
            <v>0</v>
          </cell>
          <cell r="J141">
            <v>0</v>
          </cell>
          <cell r="K141">
            <v>120780</v>
          </cell>
          <cell r="L141">
            <v>0</v>
          </cell>
          <cell r="M141" t="str">
            <v>A/R Trade-Regular -PT Gunung Sejahtera P</v>
          </cell>
        </row>
        <row r="142">
          <cell r="A142">
            <v>513100002</v>
          </cell>
          <cell r="B142" t="str">
            <v>0000013968</v>
          </cell>
          <cell r="C142" t="str">
            <v>ASTRA GRAPHIA</v>
          </cell>
          <cell r="D142" t="str">
            <v>00 00 105-000-014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4523629</v>
          </cell>
          <cell r="J142">
            <v>0</v>
          </cell>
          <cell r="K142">
            <v>4523629</v>
          </cell>
          <cell r="L142">
            <v>0</v>
          </cell>
          <cell r="M142" t="str">
            <v>A/R Trade-Regular -PT Astra Graphia</v>
          </cell>
        </row>
        <row r="143">
          <cell r="A143">
            <v>513100002</v>
          </cell>
          <cell r="B143" t="str">
            <v>0000015179</v>
          </cell>
          <cell r="C143" t="str">
            <v>SARI LEMBAH SUBUR</v>
          </cell>
          <cell r="D143" t="str">
            <v>00 00 105-000-127</v>
          </cell>
          <cell r="E143">
            <v>0</v>
          </cell>
          <cell r="F143">
            <v>0</v>
          </cell>
          <cell r="G143">
            <v>0</v>
          </cell>
          <cell r="H143">
            <v>25888218</v>
          </cell>
          <cell r="I143">
            <v>0</v>
          </cell>
          <cell r="J143">
            <v>0</v>
          </cell>
          <cell r="K143">
            <v>25888218</v>
          </cell>
          <cell r="L143">
            <v>0</v>
          </cell>
          <cell r="M143" t="str">
            <v>A/R Trade-Regular -PT Sari Lembah Subur</v>
          </cell>
        </row>
        <row r="144">
          <cell r="A144">
            <v>513100002</v>
          </cell>
          <cell r="B144" t="str">
            <v>0000015183</v>
          </cell>
          <cell r="C144" t="str">
            <v>SAWIT ASAHAN INDAH</v>
          </cell>
          <cell r="D144" t="str">
            <v>00 00 105-000-278</v>
          </cell>
          <cell r="E144">
            <v>0</v>
          </cell>
          <cell r="F144">
            <v>0</v>
          </cell>
          <cell r="G144">
            <v>0</v>
          </cell>
          <cell r="H144">
            <v>562057</v>
          </cell>
          <cell r="I144">
            <v>0</v>
          </cell>
          <cell r="J144">
            <v>0</v>
          </cell>
          <cell r="K144">
            <v>562057</v>
          </cell>
          <cell r="L144">
            <v>0</v>
          </cell>
          <cell r="M144" t="str">
            <v>A/R Trade - Regula-PT Sawit Asahan Indah</v>
          </cell>
        </row>
        <row r="145">
          <cell r="A145">
            <v>513100002</v>
          </cell>
          <cell r="B145" t="str">
            <v>0000016475</v>
          </cell>
          <cell r="C145" t="str">
            <v>SARI ADITYA LOKA</v>
          </cell>
          <cell r="D145" t="str">
            <v>00 00 105-000-126</v>
          </cell>
          <cell r="E145">
            <v>0</v>
          </cell>
          <cell r="F145">
            <v>0</v>
          </cell>
          <cell r="G145">
            <v>0</v>
          </cell>
          <cell r="H145">
            <v>4192000</v>
          </cell>
          <cell r="I145">
            <v>0</v>
          </cell>
          <cell r="J145">
            <v>0</v>
          </cell>
          <cell r="K145">
            <v>4192000</v>
          </cell>
          <cell r="L145">
            <v>0</v>
          </cell>
          <cell r="M145" t="str">
            <v>A/R Trade-Regular -PT Sari Aditya Loka</v>
          </cell>
        </row>
        <row r="146">
          <cell r="A146">
            <v>513100002</v>
          </cell>
          <cell r="B146" t="str">
            <v>0000016711</v>
          </cell>
          <cell r="C146" t="str">
            <v>PT MAKRO INDONESIA &lt;Numpang&gt;</v>
          </cell>
          <cell r="D146" t="str">
            <v>00 00 105-000-030</v>
          </cell>
          <cell r="E146">
            <v>0</v>
          </cell>
          <cell r="F146">
            <v>0</v>
          </cell>
          <cell r="G146">
            <v>0</v>
          </cell>
          <cell r="H146">
            <v>70806</v>
          </cell>
          <cell r="I146">
            <v>0</v>
          </cell>
          <cell r="J146">
            <v>70806</v>
          </cell>
          <cell r="K146">
            <v>0</v>
          </cell>
          <cell r="L146">
            <v>0</v>
          </cell>
          <cell r="M146" t="str">
            <v>A/R Trade-Regular -PT Berau Coal</v>
          </cell>
        </row>
        <row r="147">
          <cell r="A147">
            <v>513100002</v>
          </cell>
          <cell r="B147" t="str">
            <v>0000020862</v>
          </cell>
          <cell r="C147" t="str">
            <v>AR Trade Affco - Kalimantan Prima Persada</v>
          </cell>
          <cell r="D147" t="str">
            <v>00 00 105-000-360</v>
          </cell>
          <cell r="E147">
            <v>0</v>
          </cell>
          <cell r="F147">
            <v>0</v>
          </cell>
          <cell r="G147">
            <v>0</v>
          </cell>
          <cell r="H147">
            <v>485175649</v>
          </cell>
          <cell r="I147">
            <v>0</v>
          </cell>
          <cell r="J147">
            <v>0</v>
          </cell>
          <cell r="K147">
            <v>485175649</v>
          </cell>
          <cell r="L147">
            <v>0</v>
          </cell>
          <cell r="M147" t="str">
            <v>A/R Trade - Regula-PT Kalimantan Prima P</v>
          </cell>
        </row>
        <row r="148">
          <cell r="A148">
            <v>513100002</v>
          </cell>
          <cell r="B148" t="str">
            <v>0000021806</v>
          </cell>
          <cell r="C148" t="str">
            <v>SUMBER KHARISMA PERSADA (NUMPANG)</v>
          </cell>
          <cell r="D148" t="str">
            <v>00 00 105-000-208</v>
          </cell>
          <cell r="E148">
            <v>0</v>
          </cell>
          <cell r="F148">
            <v>0</v>
          </cell>
          <cell r="G148">
            <v>0</v>
          </cell>
          <cell r="H148">
            <v>1550000</v>
          </cell>
          <cell r="I148">
            <v>0</v>
          </cell>
          <cell r="J148">
            <v>0</v>
          </cell>
          <cell r="K148">
            <v>1550000</v>
          </cell>
          <cell r="L148">
            <v>0</v>
          </cell>
          <cell r="M148" t="str">
            <v>A/R Trade-Regular -PT Arya Kharisma</v>
          </cell>
        </row>
        <row r="149">
          <cell r="A149">
            <v>513100002</v>
          </cell>
          <cell r="B149" t="str">
            <v>0000024370</v>
          </cell>
          <cell r="C149" t="str">
            <v>MULTI PRIMA UNIVERSAL (NUMPANG)</v>
          </cell>
          <cell r="D149" t="str">
            <v>00 00 105-000-113</v>
          </cell>
          <cell r="E149">
            <v>0</v>
          </cell>
          <cell r="F149">
            <v>0</v>
          </cell>
          <cell r="G149">
            <v>0</v>
          </cell>
          <cell r="H149">
            <v>66821064</v>
          </cell>
          <cell r="I149">
            <v>0</v>
          </cell>
          <cell r="J149">
            <v>5041286</v>
          </cell>
          <cell r="K149">
            <v>61779778</v>
          </cell>
          <cell r="L149">
            <v>0</v>
          </cell>
          <cell r="M149" t="str">
            <v>A/R Trade-Regular -PT Pandu Dayatama Pat</v>
          </cell>
        </row>
        <row r="150">
          <cell r="A150">
            <v>513100002</v>
          </cell>
          <cell r="B150" t="str">
            <v>0000024538</v>
          </cell>
          <cell r="C150" t="str">
            <v>FEDERAL INTERNATIONAL FINANCE</v>
          </cell>
          <cell r="D150" t="str">
            <v>00 00 105-000-098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4400000</v>
          </cell>
          <cell r="J150">
            <v>0</v>
          </cell>
          <cell r="K150">
            <v>4400000</v>
          </cell>
          <cell r="L150">
            <v>0</v>
          </cell>
          <cell r="M150" t="str">
            <v>A/R Trade-Regular -PT Federal Internatio</v>
          </cell>
        </row>
        <row r="151">
          <cell r="A151">
            <v>513100002</v>
          </cell>
          <cell r="B151" t="str">
            <v>0000025455</v>
          </cell>
          <cell r="C151" t="str">
            <v>HARMONI MITRA UTAMA</v>
          </cell>
          <cell r="D151" t="str">
            <v>00 00 105-000-220</v>
          </cell>
          <cell r="E151">
            <v>0</v>
          </cell>
          <cell r="F151">
            <v>0</v>
          </cell>
          <cell r="G151">
            <v>0</v>
          </cell>
          <cell r="H151">
            <v>32640</v>
          </cell>
          <cell r="I151">
            <v>0</v>
          </cell>
          <cell r="J151">
            <v>32640</v>
          </cell>
          <cell r="K151">
            <v>0</v>
          </cell>
          <cell r="L151">
            <v>0</v>
          </cell>
          <cell r="M151" t="str">
            <v>A/R Trade-Regular -PT Hokkuriku United F</v>
          </cell>
        </row>
        <row r="152">
          <cell r="A152">
            <v>513100003</v>
          </cell>
          <cell r="B152" t="str">
            <v>0000020862</v>
          </cell>
          <cell r="C152" t="str">
            <v>KALIMANTAN PRIMA PERSADA</v>
          </cell>
          <cell r="D152" t="str">
            <v>00 00 105-000-360</v>
          </cell>
          <cell r="E152">
            <v>0</v>
          </cell>
          <cell r="F152">
            <v>0</v>
          </cell>
          <cell r="G152">
            <v>0</v>
          </cell>
          <cell r="H152">
            <v>-1969479447</v>
          </cell>
          <cell r="I152">
            <v>0</v>
          </cell>
          <cell r="J152">
            <v>0</v>
          </cell>
          <cell r="K152">
            <v>-1969479447</v>
          </cell>
          <cell r="L152">
            <v>0</v>
          </cell>
          <cell r="M152" t="str">
            <v>A/R Trade - Regula-PT Kalimantan Prima P</v>
          </cell>
        </row>
        <row r="153">
          <cell r="A153">
            <v>513100004</v>
          </cell>
          <cell r="B153" t="str">
            <v>0000012312</v>
          </cell>
          <cell r="C153" t="str">
            <v>PT BP</v>
          </cell>
          <cell r="D153" t="str">
            <v>00 00 105-000-210</v>
          </cell>
          <cell r="E153">
            <v>0</v>
          </cell>
          <cell r="F153">
            <v>0</v>
          </cell>
          <cell r="G153">
            <v>0</v>
          </cell>
          <cell r="H153">
            <v>57493937751</v>
          </cell>
          <cell r="I153">
            <v>0</v>
          </cell>
          <cell r="J153">
            <v>14818394928</v>
          </cell>
          <cell r="K153">
            <v>42675542823</v>
          </cell>
          <cell r="L153">
            <v>0</v>
          </cell>
          <cell r="M153" t="str">
            <v>A/R Trade-Regular -PT Bina Pertiwi</v>
          </cell>
        </row>
        <row r="154">
          <cell r="A154">
            <v>513100004</v>
          </cell>
          <cell r="B154" t="str">
            <v>0000013661</v>
          </cell>
          <cell r="C154" t="str">
            <v>TUNGGAL PERKASA PLANTATION</v>
          </cell>
          <cell r="D154" t="str">
            <v>00 00 105-000-103</v>
          </cell>
          <cell r="E154">
            <v>0</v>
          </cell>
          <cell r="F154">
            <v>0</v>
          </cell>
          <cell r="G154">
            <v>0</v>
          </cell>
          <cell r="H154">
            <v>57126500</v>
          </cell>
          <cell r="I154">
            <v>0</v>
          </cell>
          <cell r="J154">
            <v>0</v>
          </cell>
          <cell r="K154">
            <v>57126500</v>
          </cell>
          <cell r="L154">
            <v>0</v>
          </cell>
          <cell r="M154" t="str">
            <v>A/R Trade-Regular -PT Multi Manantra Pra</v>
          </cell>
        </row>
        <row r="155">
          <cell r="A155">
            <v>513100004</v>
          </cell>
          <cell r="B155" t="str">
            <v>0000020862</v>
          </cell>
          <cell r="C155" t="str">
            <v>A/R Trade Rel Par : Kalimantan Prima Persada</v>
          </cell>
          <cell r="D155" t="str">
            <v>00 00 105-000-360</v>
          </cell>
          <cell r="E155">
            <v>0</v>
          </cell>
          <cell r="F155">
            <v>0</v>
          </cell>
          <cell r="G155">
            <v>0</v>
          </cell>
          <cell r="H155">
            <v>79739000</v>
          </cell>
          <cell r="I155">
            <v>0</v>
          </cell>
          <cell r="J155">
            <v>0</v>
          </cell>
          <cell r="K155">
            <v>79739000</v>
          </cell>
          <cell r="L155">
            <v>0</v>
          </cell>
          <cell r="M155" t="str">
            <v>A/R Trade - Regula-PT Kalimantan Prima P</v>
          </cell>
        </row>
        <row r="156">
          <cell r="A156">
            <v>513100005</v>
          </cell>
          <cell r="B156" t="str">
            <v>0000010117</v>
          </cell>
          <cell r="C156" t="str">
            <v>PT KARYA TANAH SUBUR</v>
          </cell>
          <cell r="D156" t="str">
            <v>00 00 105-000-083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207459755</v>
          </cell>
          <cell r="J156">
            <v>0</v>
          </cell>
          <cell r="K156">
            <v>207459755</v>
          </cell>
          <cell r="L156">
            <v>0</v>
          </cell>
          <cell r="M156" t="str">
            <v>A/R Trade-Regular -PT Karya Tanah Subur</v>
          </cell>
        </row>
        <row r="157">
          <cell r="A157">
            <v>513100005</v>
          </cell>
          <cell r="B157" t="str">
            <v>0000010569</v>
          </cell>
          <cell r="C157" t="str">
            <v>MAMUANG</v>
          </cell>
          <cell r="D157" t="str">
            <v>00 00 105-000-263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466900</v>
          </cell>
          <cell r="J157">
            <v>0</v>
          </cell>
          <cell r="K157">
            <v>466900</v>
          </cell>
          <cell r="L157">
            <v>0</v>
          </cell>
          <cell r="M157" t="str">
            <v>A/R Trade-Regular -PT Mamuang</v>
          </cell>
        </row>
        <row r="158">
          <cell r="A158">
            <v>513100005</v>
          </cell>
          <cell r="B158" t="str">
            <v>0000010611</v>
          </cell>
          <cell r="C158" t="str">
            <v>PAMA PERSADA NUSANTARA</v>
          </cell>
          <cell r="D158" t="str">
            <v>00 00 105-000-112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8123993653</v>
          </cell>
          <cell r="J158">
            <v>0</v>
          </cell>
          <cell r="K158">
            <v>8123993653</v>
          </cell>
          <cell r="L158">
            <v>0</v>
          </cell>
          <cell r="M158" t="str">
            <v>A/R Trade-Regular -PT Pama Persada Nusan</v>
          </cell>
        </row>
        <row r="159">
          <cell r="A159">
            <v>513100005</v>
          </cell>
          <cell r="B159" t="str">
            <v>0000010721</v>
          </cell>
          <cell r="C159" t="str">
            <v>GUNUNG SEJAHTERA IBU PERTIWI</v>
          </cell>
          <cell r="D159" t="str">
            <v>00 00 105-000-256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142040800</v>
          </cell>
          <cell r="J159">
            <v>0</v>
          </cell>
          <cell r="K159">
            <v>142040800</v>
          </cell>
          <cell r="L159">
            <v>0</v>
          </cell>
          <cell r="M159" t="str">
            <v>A/R Trade-Regular -PT Gunung Sejahtera I</v>
          </cell>
        </row>
        <row r="160">
          <cell r="A160">
            <v>513100005</v>
          </cell>
          <cell r="B160" t="str">
            <v>0000010818</v>
          </cell>
          <cell r="C160" t="str">
            <v>PT UTSG</v>
          </cell>
          <cell r="D160" t="str">
            <v>00 00 105-000-222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398460897</v>
          </cell>
          <cell r="J160">
            <v>0</v>
          </cell>
          <cell r="K160">
            <v>398460897</v>
          </cell>
          <cell r="L160">
            <v>0</v>
          </cell>
          <cell r="M160" t="str">
            <v>A/R Trade-Regular -PT UT Semen Gresik</v>
          </cell>
        </row>
        <row r="161">
          <cell r="A161">
            <v>513100005</v>
          </cell>
          <cell r="B161" t="str">
            <v>0000010848</v>
          </cell>
          <cell r="C161" t="str">
            <v>EKA DURA INDONESIA</v>
          </cell>
          <cell r="D161" t="str">
            <v>00 00 105-000-054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394391</v>
          </cell>
          <cell r="J161">
            <v>0</v>
          </cell>
          <cell r="K161">
            <v>394391</v>
          </cell>
          <cell r="L161">
            <v>0</v>
          </cell>
          <cell r="M161" t="str">
            <v>A/R Trade-Regular -PT Eka Dura Indonesia</v>
          </cell>
        </row>
        <row r="162">
          <cell r="A162">
            <v>513100005</v>
          </cell>
          <cell r="B162" t="str">
            <v>0000012313</v>
          </cell>
          <cell r="C162" t="str">
            <v>Komatsu Remanufacturing Asia</v>
          </cell>
          <cell r="D162" t="str">
            <v>00 00 105-000-328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45100000</v>
          </cell>
          <cell r="J162">
            <v>45100000</v>
          </cell>
          <cell r="K162">
            <v>0</v>
          </cell>
          <cell r="L162">
            <v>0</v>
          </cell>
          <cell r="M162" t="str">
            <v>A/R Trade - Regula-PT Komatsu Remanufact</v>
          </cell>
        </row>
        <row r="163">
          <cell r="A163">
            <v>513100005</v>
          </cell>
          <cell r="B163" t="str">
            <v>0000012466</v>
          </cell>
          <cell r="C163" t="str">
            <v>KIMIA TIRTA UTAMA</v>
          </cell>
          <cell r="D163" t="str">
            <v>00 00 105-000-086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34651419</v>
          </cell>
          <cell r="J163">
            <v>0</v>
          </cell>
          <cell r="K163">
            <v>34651419</v>
          </cell>
          <cell r="L163">
            <v>0</v>
          </cell>
          <cell r="M163" t="str">
            <v>A/R Trade-Regular -PT Kimia Tirta Utama</v>
          </cell>
        </row>
        <row r="164">
          <cell r="A164">
            <v>513100005</v>
          </cell>
          <cell r="B164" t="str">
            <v>0000012722</v>
          </cell>
          <cell r="C164" t="str">
            <v>BERAU COAL (NUMPANG)</v>
          </cell>
          <cell r="D164" t="str">
            <v>00 00 105-000-236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176964695</v>
          </cell>
          <cell r="J164">
            <v>176964695</v>
          </cell>
          <cell r="K164">
            <v>0</v>
          </cell>
          <cell r="L164">
            <v>0</v>
          </cell>
          <cell r="M164" t="str">
            <v>A/R Trade-Regular -PT KSB Indonesia</v>
          </cell>
        </row>
        <row r="165">
          <cell r="A165">
            <v>513100005</v>
          </cell>
          <cell r="B165" t="str">
            <v>0000013661</v>
          </cell>
          <cell r="C165" t="str">
            <v>TUNGGAL PERKSA PLANTATIONS</v>
          </cell>
          <cell r="D165" t="str">
            <v>00 00 105-000-153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286721688</v>
          </cell>
          <cell r="J165">
            <v>0</v>
          </cell>
          <cell r="K165">
            <v>286721688</v>
          </cell>
          <cell r="L165">
            <v>0</v>
          </cell>
          <cell r="M165" t="str">
            <v>A/R Trade-Regular -PT Tunggal Perkasa Pl</v>
          </cell>
        </row>
        <row r="166">
          <cell r="A166">
            <v>513100005</v>
          </cell>
          <cell r="B166" t="str">
            <v>0000015179</v>
          </cell>
          <cell r="C166" t="str">
            <v>SARI LEMBAH SUBUR</v>
          </cell>
          <cell r="D166" t="str">
            <v>00 00 105-000-127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3941243</v>
          </cell>
          <cell r="J166">
            <v>0</v>
          </cell>
          <cell r="K166">
            <v>3941243</v>
          </cell>
          <cell r="L166">
            <v>0</v>
          </cell>
          <cell r="M166" t="str">
            <v>A/R Trade-Regular -PT Sari Lembah Subur</v>
          </cell>
        </row>
        <row r="167">
          <cell r="A167">
            <v>513100005</v>
          </cell>
          <cell r="B167" t="str">
            <v>0000016475</v>
          </cell>
          <cell r="C167" t="str">
            <v>Sari Aditya Loka</v>
          </cell>
          <cell r="D167" t="str">
            <v>00 00 105-000-126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445500000</v>
          </cell>
          <cell r="J167">
            <v>0</v>
          </cell>
          <cell r="K167">
            <v>445500000</v>
          </cell>
          <cell r="L167">
            <v>0</v>
          </cell>
          <cell r="M167" t="str">
            <v>A/R Trade-Regular -PT Sari Aditya Loka</v>
          </cell>
        </row>
        <row r="168">
          <cell r="A168">
            <v>513100005</v>
          </cell>
          <cell r="B168" t="str">
            <v>0000020862</v>
          </cell>
          <cell r="C168" t="str">
            <v>KALIMANTAN PRIMA PERSADA</v>
          </cell>
          <cell r="D168" t="str">
            <v>00 00 105-000-360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137068856</v>
          </cell>
          <cell r="J168">
            <v>0</v>
          </cell>
          <cell r="K168">
            <v>137068856</v>
          </cell>
          <cell r="L168">
            <v>0</v>
          </cell>
          <cell r="M168" t="str">
            <v>A/R Trade - Regula-PT Kalimantan Prima P</v>
          </cell>
        </row>
        <row r="169">
          <cell r="A169">
            <v>513100005</v>
          </cell>
          <cell r="B169" t="str">
            <v>0000024370</v>
          </cell>
          <cell r="C169" t="str">
            <v>Multi Prima Universal (Numpang)</v>
          </cell>
          <cell r="D169" t="str">
            <v>00 00 105-000-113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3914570</v>
          </cell>
          <cell r="J169">
            <v>0</v>
          </cell>
          <cell r="K169">
            <v>3914570</v>
          </cell>
          <cell r="L169">
            <v>0</v>
          </cell>
          <cell r="M169" t="str">
            <v>A/R Trade-Regular -PT Pandu Dayatama Pat</v>
          </cell>
        </row>
        <row r="170">
          <cell r="A170">
            <v>519100000</v>
          </cell>
          <cell r="C170" t="str">
            <v>AR trade-Non Affco:(Unit)</v>
          </cell>
          <cell r="D170" t="str">
            <v>00 00 106-000-000</v>
          </cell>
          <cell r="E170">
            <v>0</v>
          </cell>
          <cell r="F170">
            <v>0</v>
          </cell>
          <cell r="G170">
            <v>0</v>
          </cell>
          <cell r="H170">
            <v>1068291793468</v>
          </cell>
          <cell r="I170">
            <v>400000000</v>
          </cell>
          <cell r="J170">
            <v>319919648985</v>
          </cell>
          <cell r="K170">
            <v>748772144483</v>
          </cell>
          <cell r="L170">
            <v>0</v>
          </cell>
          <cell r="M170" t="str">
            <v>A/R Trade - Regular - 3rd Parties</v>
          </cell>
        </row>
        <row r="171">
          <cell r="A171">
            <v>519100001</v>
          </cell>
          <cell r="C171" t="str">
            <v>AR trade-Non Affco:Parts</v>
          </cell>
          <cell r="D171" t="str">
            <v>00 00 106-000-000</v>
          </cell>
          <cell r="E171">
            <v>0</v>
          </cell>
          <cell r="F171">
            <v>0</v>
          </cell>
          <cell r="G171">
            <v>0</v>
          </cell>
          <cell r="H171">
            <v>616390835645</v>
          </cell>
          <cell r="I171">
            <v>154681513</v>
          </cell>
          <cell r="J171">
            <v>12807302444</v>
          </cell>
          <cell r="K171">
            <v>603738214714</v>
          </cell>
          <cell r="L171">
            <v>0</v>
          </cell>
          <cell r="M171" t="str">
            <v>A/R Trade - Regular - 3rd Parties</v>
          </cell>
        </row>
        <row r="172">
          <cell r="A172">
            <v>519100002</v>
          </cell>
          <cell r="C172" t="str">
            <v>AR trade-Non Affco:Servis</v>
          </cell>
          <cell r="D172" t="str">
            <v>00 00 106-000-000</v>
          </cell>
          <cell r="E172">
            <v>0</v>
          </cell>
          <cell r="F172">
            <v>0</v>
          </cell>
          <cell r="G172">
            <v>0</v>
          </cell>
          <cell r="H172">
            <v>120671445788</v>
          </cell>
          <cell r="I172">
            <v>380000</v>
          </cell>
          <cell r="J172">
            <v>8852823</v>
          </cell>
          <cell r="K172">
            <v>120662972965</v>
          </cell>
          <cell r="L172">
            <v>0</v>
          </cell>
          <cell r="M172" t="str">
            <v>A/R Trade - Regular - 3rd Parties</v>
          </cell>
        </row>
        <row r="173">
          <cell r="A173">
            <v>519100003</v>
          </cell>
          <cell r="C173" t="str">
            <v>AR trade-Non Affco:Rental</v>
          </cell>
          <cell r="D173" t="str">
            <v>00 00 106-000-000</v>
          </cell>
          <cell r="E173">
            <v>0</v>
          </cell>
          <cell r="F173">
            <v>0</v>
          </cell>
          <cell r="G173">
            <v>0</v>
          </cell>
          <cell r="H173">
            <v>1362930687</v>
          </cell>
          <cell r="I173">
            <v>0</v>
          </cell>
          <cell r="J173">
            <v>0</v>
          </cell>
          <cell r="K173">
            <v>1362930687</v>
          </cell>
          <cell r="L173">
            <v>0</v>
          </cell>
          <cell r="M173" t="str">
            <v>A/R Trade - Regular - 3rd Parties</v>
          </cell>
        </row>
        <row r="174">
          <cell r="A174">
            <v>519100004</v>
          </cell>
          <cell r="C174" t="str">
            <v>AR Trd-NotAff:MHIM</v>
          </cell>
          <cell r="D174" t="str">
            <v>00 00 106-000-000</v>
          </cell>
          <cell r="E174">
            <v>0</v>
          </cell>
          <cell r="F174">
            <v>0</v>
          </cell>
          <cell r="G174">
            <v>0</v>
          </cell>
          <cell r="H174">
            <v>4647980878</v>
          </cell>
          <cell r="I174">
            <v>0</v>
          </cell>
          <cell r="J174">
            <v>574354110</v>
          </cell>
          <cell r="K174">
            <v>4073626768</v>
          </cell>
          <cell r="L174">
            <v>0</v>
          </cell>
          <cell r="M174" t="str">
            <v>A/R Trade - Regular - 3rd Parties</v>
          </cell>
        </row>
        <row r="175">
          <cell r="A175">
            <v>519100005</v>
          </cell>
          <cell r="C175" t="str">
            <v>AR Trade - Non Affco:Reman</v>
          </cell>
          <cell r="D175" t="str">
            <v>00 00 106-000-000</v>
          </cell>
          <cell r="E175">
            <v>0</v>
          </cell>
          <cell r="F175">
            <v>0</v>
          </cell>
          <cell r="G175">
            <v>0</v>
          </cell>
          <cell r="H175">
            <v>35821730299</v>
          </cell>
          <cell r="I175">
            <v>176964695</v>
          </cell>
          <cell r="J175">
            <v>10017766467</v>
          </cell>
          <cell r="K175">
            <v>25980928527</v>
          </cell>
          <cell r="L175">
            <v>0</v>
          </cell>
          <cell r="M175" t="str">
            <v>A/R Trade - Regular - 3rd Parties</v>
          </cell>
        </row>
        <row r="176">
          <cell r="A176">
            <v>519100090</v>
          </cell>
          <cell r="C176" t="str">
            <v>BS Adjustment:AR Trade-Non Aff</v>
          </cell>
          <cell r="D176" t="str">
            <v>00 00 106-000-000</v>
          </cell>
          <cell r="E176">
            <v>0</v>
          </cell>
          <cell r="F176">
            <v>0</v>
          </cell>
          <cell r="G176">
            <v>0</v>
          </cell>
          <cell r="H176">
            <v>-18504788745</v>
          </cell>
          <cell r="I176">
            <v>0</v>
          </cell>
          <cell r="J176">
            <v>0</v>
          </cell>
          <cell r="K176">
            <v>-18504788745</v>
          </cell>
          <cell r="L176">
            <v>0</v>
          </cell>
          <cell r="M176" t="str">
            <v>A/R Trade - Regular - 3rd Parties</v>
          </cell>
        </row>
        <row r="177">
          <cell r="A177">
            <v>519100091</v>
          </cell>
          <cell r="C177" t="str">
            <v>BS Adjustment:AR Trade-Non Aff</v>
          </cell>
          <cell r="D177" t="str">
            <v>00 00 106-000-000</v>
          </cell>
          <cell r="E177">
            <v>0</v>
          </cell>
          <cell r="F177">
            <v>0</v>
          </cell>
          <cell r="G177">
            <v>0</v>
          </cell>
          <cell r="H177">
            <v>-2487941812</v>
          </cell>
          <cell r="I177">
            <v>0</v>
          </cell>
          <cell r="J177">
            <v>0</v>
          </cell>
          <cell r="K177">
            <v>-2487941812</v>
          </cell>
          <cell r="L177">
            <v>0</v>
          </cell>
          <cell r="M177" t="str">
            <v>A/R Trade - Regular - 3rd Parties</v>
          </cell>
        </row>
        <row r="178">
          <cell r="A178">
            <v>519100092</v>
          </cell>
          <cell r="C178" t="str">
            <v>BS Adjustment:AR Trade-Non Aff</v>
          </cell>
          <cell r="D178" t="str">
            <v>00 00 106-000-000</v>
          </cell>
          <cell r="E178">
            <v>0</v>
          </cell>
          <cell r="F178">
            <v>0</v>
          </cell>
          <cell r="G178">
            <v>0</v>
          </cell>
          <cell r="H178">
            <v>-1959779363</v>
          </cell>
          <cell r="I178">
            <v>0</v>
          </cell>
          <cell r="J178">
            <v>0</v>
          </cell>
          <cell r="K178">
            <v>-1959779363</v>
          </cell>
          <cell r="L178">
            <v>0</v>
          </cell>
          <cell r="M178" t="str">
            <v>A/R Trade - Regular - 3rd Parties</v>
          </cell>
        </row>
        <row r="179">
          <cell r="A179">
            <v>519100093</v>
          </cell>
          <cell r="C179" t="str">
            <v>BS Adjustment:AR Trade-Non Aff</v>
          </cell>
          <cell r="D179" t="str">
            <v>00 00 106-000-000</v>
          </cell>
          <cell r="E179">
            <v>0</v>
          </cell>
          <cell r="F179">
            <v>0</v>
          </cell>
          <cell r="G179">
            <v>0</v>
          </cell>
          <cell r="H179">
            <v>-55803937</v>
          </cell>
          <cell r="I179">
            <v>0</v>
          </cell>
          <cell r="J179">
            <v>0</v>
          </cell>
          <cell r="K179">
            <v>-55803937</v>
          </cell>
          <cell r="L179">
            <v>0</v>
          </cell>
          <cell r="M179" t="str">
            <v>A/R Trade - Regular - 3rd Parties</v>
          </cell>
        </row>
        <row r="180">
          <cell r="A180">
            <v>519100094</v>
          </cell>
          <cell r="C180" t="str">
            <v>BS Adj:ARTrd-not affco:MHIM</v>
          </cell>
          <cell r="D180" t="str">
            <v>00 00 106-000-000</v>
          </cell>
          <cell r="E180">
            <v>0</v>
          </cell>
          <cell r="F180">
            <v>0</v>
          </cell>
          <cell r="G180">
            <v>0</v>
          </cell>
          <cell r="H180">
            <v>-255801469</v>
          </cell>
          <cell r="I180">
            <v>0</v>
          </cell>
          <cell r="J180">
            <v>0</v>
          </cell>
          <cell r="K180">
            <v>-255801469</v>
          </cell>
          <cell r="L180">
            <v>0</v>
          </cell>
          <cell r="M180" t="str">
            <v>A/R Trade - Regular - 3rd Parties</v>
          </cell>
        </row>
        <row r="181">
          <cell r="A181">
            <v>519100095</v>
          </cell>
          <cell r="C181" t="str">
            <v>BS ADJUSTMENT AR TRADE REMAN 3RD PARTIES</v>
          </cell>
          <cell r="D181" t="str">
            <v>00 00 106-000-000</v>
          </cell>
          <cell r="E181">
            <v>0</v>
          </cell>
          <cell r="F181">
            <v>0</v>
          </cell>
          <cell r="G181">
            <v>0</v>
          </cell>
          <cell r="H181">
            <v>-257111202</v>
          </cell>
          <cell r="I181">
            <v>11087600</v>
          </cell>
          <cell r="J181">
            <v>0</v>
          </cell>
          <cell r="K181">
            <v>-246023602</v>
          </cell>
          <cell r="L181">
            <v>0</v>
          </cell>
          <cell r="M181" t="str">
            <v>A/R Trade - Regular - 3rd Parties</v>
          </cell>
        </row>
        <row r="182">
          <cell r="A182">
            <v>519900000</v>
          </cell>
          <cell r="C182" t="str">
            <v>Penyisihan AR trd Ragu:Non Aff</v>
          </cell>
          <cell r="D182" t="str">
            <v>00 00 110-000-000</v>
          </cell>
          <cell r="E182">
            <v>0</v>
          </cell>
          <cell r="F182">
            <v>0</v>
          </cell>
          <cell r="G182">
            <v>0</v>
          </cell>
          <cell r="H182">
            <v>-37590366823</v>
          </cell>
          <cell r="I182">
            <v>0</v>
          </cell>
          <cell r="J182">
            <v>0</v>
          </cell>
          <cell r="K182">
            <v>-37590366823</v>
          </cell>
          <cell r="L182">
            <v>0</v>
          </cell>
          <cell r="M182" t="str">
            <v>Allow AR trade installment - affco</v>
          </cell>
        </row>
        <row r="183">
          <cell r="A183">
            <v>523100000</v>
          </cell>
          <cell r="B183" t="str">
            <v>0000010318</v>
          </cell>
          <cell r="C183" t="str">
            <v>PT AI</v>
          </cell>
          <cell r="D183" t="str">
            <v>00 00 125-000-001</v>
          </cell>
          <cell r="E183">
            <v>0</v>
          </cell>
          <cell r="F183">
            <v>0</v>
          </cell>
          <cell r="G183">
            <v>0</v>
          </cell>
          <cell r="H183">
            <v>545832700</v>
          </cell>
          <cell r="I183">
            <v>917029211</v>
          </cell>
          <cell r="J183">
            <v>38188197</v>
          </cell>
          <cell r="K183">
            <v>1424673714</v>
          </cell>
          <cell r="L183">
            <v>0</v>
          </cell>
          <cell r="M183" t="str">
            <v>A/R Non Trade - Af-PT AI - Head Office</v>
          </cell>
        </row>
        <row r="184">
          <cell r="A184">
            <v>523100000</v>
          </cell>
          <cell r="B184" t="str">
            <v>0000010611</v>
          </cell>
          <cell r="C184" t="str">
            <v>PT Pama Persada Nusantara</v>
          </cell>
          <cell r="D184" t="str">
            <v>00 00 125-000-112</v>
          </cell>
          <cell r="E184">
            <v>0</v>
          </cell>
          <cell r="F184">
            <v>0</v>
          </cell>
          <cell r="G184">
            <v>0</v>
          </cell>
          <cell r="H184">
            <v>514900592280</v>
          </cell>
          <cell r="I184">
            <v>446922332</v>
          </cell>
          <cell r="J184">
            <v>272514612</v>
          </cell>
          <cell r="K184">
            <v>515075000000</v>
          </cell>
          <cell r="L184">
            <v>0</v>
          </cell>
          <cell r="M184" t="str">
            <v>A/R Non Trade - Af-PT Pama Persada Nusan</v>
          </cell>
        </row>
        <row r="185">
          <cell r="A185">
            <v>523100000</v>
          </cell>
          <cell r="B185" t="str">
            <v>0000010818</v>
          </cell>
          <cell r="C185" t="str">
            <v>PT UTSG</v>
          </cell>
          <cell r="D185" t="str">
            <v>00 00 125-000-222</v>
          </cell>
          <cell r="E185">
            <v>0</v>
          </cell>
          <cell r="F185">
            <v>0</v>
          </cell>
          <cell r="G185">
            <v>0</v>
          </cell>
          <cell r="H185">
            <v>54785700</v>
          </cell>
          <cell r="I185">
            <v>10000000</v>
          </cell>
          <cell r="J185">
            <v>5517750</v>
          </cell>
          <cell r="K185">
            <v>59267950</v>
          </cell>
          <cell r="L185">
            <v>0</v>
          </cell>
          <cell r="M185" t="str">
            <v>A/R Non Trade - Af-PT UT Semen Gresik</v>
          </cell>
        </row>
        <row r="186">
          <cell r="A186">
            <v>523100000</v>
          </cell>
          <cell r="B186" t="str">
            <v>0000012191</v>
          </cell>
          <cell r="C186" t="str">
            <v>PT Komatsu Indonesia</v>
          </cell>
          <cell r="D186" t="str">
            <v>00 00 125-000-088</v>
          </cell>
          <cell r="E186">
            <v>0</v>
          </cell>
          <cell r="F186">
            <v>0</v>
          </cell>
          <cell r="G186">
            <v>0</v>
          </cell>
          <cell r="H186">
            <v>1765828533</v>
          </cell>
          <cell r="I186">
            <v>0</v>
          </cell>
          <cell r="J186">
            <v>0</v>
          </cell>
          <cell r="K186">
            <v>1765828533</v>
          </cell>
          <cell r="L186">
            <v>0</v>
          </cell>
          <cell r="M186" t="str">
            <v>A/R Non Trade - Af-PT Komatsu Indonesia</v>
          </cell>
        </row>
        <row r="187">
          <cell r="A187">
            <v>523100000</v>
          </cell>
          <cell r="B187" t="str">
            <v>0000012312</v>
          </cell>
          <cell r="C187" t="str">
            <v>PT BP</v>
          </cell>
          <cell r="D187" t="str">
            <v>00 00 125-000-210</v>
          </cell>
          <cell r="E187">
            <v>0</v>
          </cell>
          <cell r="F187">
            <v>0</v>
          </cell>
          <cell r="G187">
            <v>0</v>
          </cell>
          <cell r="H187">
            <v>20501573675</v>
          </cell>
          <cell r="I187">
            <v>154873000</v>
          </cell>
          <cell r="J187">
            <v>24520517</v>
          </cell>
          <cell r="K187">
            <v>20631926158</v>
          </cell>
          <cell r="L187">
            <v>0</v>
          </cell>
          <cell r="M187" t="str">
            <v>A/R Non Trade - Af-PT Bina Pertiwi</v>
          </cell>
        </row>
        <row r="188">
          <cell r="A188">
            <v>523100000</v>
          </cell>
          <cell r="B188" t="str">
            <v>0000012313</v>
          </cell>
          <cell r="C188" t="str">
            <v>Komatsu remanufacturing Asia</v>
          </cell>
          <cell r="D188" t="str">
            <v>00 00 125-000-328</v>
          </cell>
          <cell r="E188">
            <v>0</v>
          </cell>
          <cell r="F188">
            <v>0</v>
          </cell>
          <cell r="G188">
            <v>0</v>
          </cell>
          <cell r="H188">
            <v>103668889</v>
          </cell>
          <cell r="I188">
            <v>335947156</v>
          </cell>
          <cell r="J188">
            <v>0</v>
          </cell>
          <cell r="K188">
            <v>439616045</v>
          </cell>
          <cell r="L188">
            <v>0</v>
          </cell>
          <cell r="M188" t="str">
            <v>A/R Non Trade - Af-PT Komatsu Remanufact</v>
          </cell>
        </row>
        <row r="189">
          <cell r="A189">
            <v>523100000</v>
          </cell>
          <cell r="B189" t="str">
            <v>0000012317</v>
          </cell>
          <cell r="C189" t="str">
            <v>PT Traktor Nusantara</v>
          </cell>
          <cell r="D189" t="str">
            <v>00 00 125-000-150</v>
          </cell>
          <cell r="E189">
            <v>0</v>
          </cell>
          <cell r="F189">
            <v>0</v>
          </cell>
          <cell r="G189">
            <v>0</v>
          </cell>
          <cell r="H189">
            <v>195664344</v>
          </cell>
          <cell r="I189">
            <v>0</v>
          </cell>
          <cell r="J189">
            <v>0</v>
          </cell>
          <cell r="K189">
            <v>195664344</v>
          </cell>
          <cell r="L189">
            <v>0</v>
          </cell>
          <cell r="M189" t="str">
            <v>A/R Non Trade - Af-PT Traktor Nusantara</v>
          </cell>
        </row>
        <row r="190">
          <cell r="A190">
            <v>523100000</v>
          </cell>
          <cell r="B190" t="str">
            <v>0000012323</v>
          </cell>
          <cell r="C190" t="str">
            <v>PT UTE</v>
          </cell>
          <cell r="D190" t="str">
            <v>00 00 125-000-156</v>
          </cell>
          <cell r="E190">
            <v>0</v>
          </cell>
          <cell r="F190">
            <v>0</v>
          </cell>
          <cell r="G190">
            <v>0</v>
          </cell>
          <cell r="H190">
            <v>92407046910</v>
          </cell>
          <cell r="I190">
            <v>453600000</v>
          </cell>
          <cell r="J190">
            <v>416686756</v>
          </cell>
          <cell r="K190">
            <v>92443960154</v>
          </cell>
          <cell r="L190">
            <v>0</v>
          </cell>
          <cell r="M190" t="str">
            <v>A/R Non Trade - Af-PT United Tractors Pa</v>
          </cell>
        </row>
        <row r="191">
          <cell r="A191">
            <v>523100000</v>
          </cell>
          <cell r="B191" t="str">
            <v>0000013373</v>
          </cell>
          <cell r="C191" t="str">
            <v>PAMA INDO MINING</v>
          </cell>
          <cell r="D191" t="str">
            <v>00 00 125-000-231</v>
          </cell>
          <cell r="E191">
            <v>0</v>
          </cell>
          <cell r="F191">
            <v>0</v>
          </cell>
          <cell r="G191">
            <v>0</v>
          </cell>
          <cell r="H191">
            <v>20000000</v>
          </cell>
          <cell r="I191">
            <v>0</v>
          </cell>
          <cell r="J191">
            <v>0</v>
          </cell>
          <cell r="K191">
            <v>20000000</v>
          </cell>
          <cell r="L191">
            <v>0</v>
          </cell>
          <cell r="M191" t="str">
            <v>A/R Non Trade - Af-PT Pama Indo Mining</v>
          </cell>
        </row>
        <row r="192">
          <cell r="A192">
            <v>523100000</v>
          </cell>
          <cell r="B192" t="str">
            <v>0000014523</v>
          </cell>
          <cell r="C192" t="str">
            <v>A/R NTrade Koperasi Karyawan Astra</v>
          </cell>
          <cell r="D192" t="str">
            <v>00 00 126-000-078</v>
          </cell>
          <cell r="E192">
            <v>0</v>
          </cell>
          <cell r="F192">
            <v>0</v>
          </cell>
          <cell r="G192">
            <v>0</v>
          </cell>
          <cell r="H192">
            <v>7841178060</v>
          </cell>
          <cell r="I192">
            <v>0</v>
          </cell>
          <cell r="J192">
            <v>7841178060</v>
          </cell>
          <cell r="K192">
            <v>0</v>
          </cell>
          <cell r="L192">
            <v>0</v>
          </cell>
          <cell r="M192" t="str">
            <v>Acc.Receivable - N-Koperasi Karyawan Ast</v>
          </cell>
        </row>
        <row r="193">
          <cell r="A193">
            <v>523100000</v>
          </cell>
          <cell r="B193" t="str">
            <v>0000024370</v>
          </cell>
          <cell r="C193" t="str">
            <v>Multi Prima Universal &lt;Numpang&gt;</v>
          </cell>
          <cell r="D193" t="str">
            <v>00 00 125-000-113</v>
          </cell>
          <cell r="E193">
            <v>0</v>
          </cell>
          <cell r="F193">
            <v>0</v>
          </cell>
          <cell r="G193">
            <v>0</v>
          </cell>
          <cell r="H193">
            <v>580784014</v>
          </cell>
          <cell r="I193">
            <v>0</v>
          </cell>
          <cell r="J193">
            <v>41991945</v>
          </cell>
          <cell r="K193">
            <v>538792069</v>
          </cell>
          <cell r="L193">
            <v>0</v>
          </cell>
          <cell r="M193" t="str">
            <v>A/R Non Trade - Af-PT Pandu Dayatama Pat</v>
          </cell>
        </row>
        <row r="194">
          <cell r="A194">
            <v>523100000</v>
          </cell>
          <cell r="B194" t="str">
            <v>0000024371</v>
          </cell>
          <cell r="C194" t="str">
            <v>PT Telen Orbit Prima (Numpang)</v>
          </cell>
          <cell r="D194" t="str">
            <v>00 00 125-000-134</v>
          </cell>
          <cell r="E194">
            <v>0</v>
          </cell>
          <cell r="F194">
            <v>0</v>
          </cell>
          <cell r="G194">
            <v>0</v>
          </cell>
          <cell r="H194">
            <v>77949518671</v>
          </cell>
          <cell r="I194">
            <v>260040000</v>
          </cell>
          <cell r="J194">
            <v>0</v>
          </cell>
          <cell r="K194">
            <v>78209558671</v>
          </cell>
          <cell r="L194">
            <v>0</v>
          </cell>
          <cell r="M194" t="str">
            <v>A/R Non Trade - Af-PT Skylift Indonesia</v>
          </cell>
        </row>
        <row r="195">
          <cell r="A195">
            <v>523100000</v>
          </cell>
          <cell r="B195" t="str">
            <v>0000025305</v>
          </cell>
          <cell r="C195" t="str">
            <v>TUAH TURANGGA AGUNG &lt;NUMPANG&gt;</v>
          </cell>
          <cell r="D195" t="str">
            <v>00 00 125-000-220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505998376</v>
          </cell>
          <cell r="K195">
            <v>-505998376</v>
          </cell>
          <cell r="L195">
            <v>0</v>
          </cell>
          <cell r="M195" t="str">
            <v>A/R Non Trade - Af-PT Hokkuriku United F</v>
          </cell>
        </row>
        <row r="196">
          <cell r="A196">
            <v>523100000</v>
          </cell>
          <cell r="B196" t="str">
            <v>0000025455</v>
          </cell>
          <cell r="C196" t="str">
            <v>AR Non Trade Affco - HMU (Numpang)</v>
          </cell>
          <cell r="D196" t="str">
            <v>00 00 125-000-220</v>
          </cell>
          <cell r="E196">
            <v>0</v>
          </cell>
          <cell r="F196">
            <v>0</v>
          </cell>
          <cell r="G196">
            <v>0</v>
          </cell>
          <cell r="H196">
            <v>9837446028</v>
          </cell>
          <cell r="I196">
            <v>9388750000</v>
          </cell>
          <cell r="J196">
            <v>9837446028</v>
          </cell>
          <cell r="K196">
            <v>9388750000</v>
          </cell>
          <cell r="L196">
            <v>0</v>
          </cell>
          <cell r="M196" t="str">
            <v>A/R Non Trade - Af-PT Hokkuriku United F</v>
          </cell>
        </row>
        <row r="197">
          <cell r="A197">
            <v>529100000</v>
          </cell>
          <cell r="C197" t="str">
            <v>AR non trade-Non Affco:Biasa</v>
          </cell>
          <cell r="D197" t="str">
            <v>00 00 127-000-000</v>
          </cell>
          <cell r="E197">
            <v>0</v>
          </cell>
          <cell r="F197">
            <v>0</v>
          </cell>
          <cell r="G197">
            <v>0</v>
          </cell>
          <cell r="H197">
            <v>7363080356</v>
          </cell>
          <cell r="I197">
            <v>32540203040</v>
          </cell>
          <cell r="J197">
            <v>0</v>
          </cell>
          <cell r="K197">
            <v>39903283396</v>
          </cell>
          <cell r="L197">
            <v>0</v>
          </cell>
          <cell r="M197" t="str">
            <v>A/R Non Trade - 3rd Parties</v>
          </cell>
        </row>
        <row r="198">
          <cell r="A198">
            <v>529100090</v>
          </cell>
          <cell r="C198" t="str">
            <v>BS Adjustment:AR Non Trade-Non</v>
          </cell>
          <cell r="D198" t="str">
            <v>00 00 127-000-000</v>
          </cell>
          <cell r="E198">
            <v>0</v>
          </cell>
          <cell r="F198">
            <v>0</v>
          </cell>
          <cell r="G198">
            <v>0</v>
          </cell>
          <cell r="H198">
            <v>-88017681</v>
          </cell>
          <cell r="I198">
            <v>0</v>
          </cell>
          <cell r="J198">
            <v>31341308</v>
          </cell>
          <cell r="K198">
            <v>-119358989</v>
          </cell>
          <cell r="L198">
            <v>0</v>
          </cell>
          <cell r="M198" t="str">
            <v>A/R Non Trade - 3rd Parties</v>
          </cell>
        </row>
        <row r="199">
          <cell r="A199">
            <v>910000000</v>
          </cell>
          <cell r="C199" t="str">
            <v>Persediaan Unit</v>
          </cell>
          <cell r="D199" t="str">
            <v>00 00 132-000-000</v>
          </cell>
          <cell r="E199">
            <v>0</v>
          </cell>
          <cell r="F199">
            <v>0</v>
          </cell>
          <cell r="G199">
            <v>0</v>
          </cell>
          <cell r="H199">
            <v>777239875995</v>
          </cell>
          <cell r="I199">
            <v>92725542266</v>
          </cell>
          <cell r="J199">
            <v>0</v>
          </cell>
          <cell r="K199">
            <v>869965418261</v>
          </cell>
          <cell r="L199">
            <v>0</v>
          </cell>
          <cell r="M199" t="str">
            <v>Inventories-Finished Goods</v>
          </cell>
        </row>
        <row r="200">
          <cell r="A200">
            <v>910000100</v>
          </cell>
          <cell r="C200" t="str">
            <v>Persediaan Unit: GR/IR</v>
          </cell>
          <cell r="D200" t="str">
            <v>00 00 132-000-000</v>
          </cell>
          <cell r="E200">
            <v>0</v>
          </cell>
          <cell r="F200">
            <v>0</v>
          </cell>
          <cell r="G200">
            <v>0</v>
          </cell>
          <cell r="H200">
            <v>-56046221462</v>
          </cell>
          <cell r="I200">
            <v>56046221462</v>
          </cell>
          <cell r="J200">
            <v>0</v>
          </cell>
          <cell r="K200">
            <v>0</v>
          </cell>
          <cell r="L200">
            <v>0</v>
          </cell>
          <cell r="M200" t="str">
            <v>Inventories-Finished Goods</v>
          </cell>
        </row>
        <row r="201">
          <cell r="A201">
            <v>920000001</v>
          </cell>
          <cell r="C201" t="str">
            <v>Inventory S.parts - ptp</v>
          </cell>
          <cell r="D201" t="str">
            <v>00 00 133-000-000</v>
          </cell>
          <cell r="E201">
            <v>0</v>
          </cell>
          <cell r="F201">
            <v>0</v>
          </cell>
          <cell r="G201">
            <v>0</v>
          </cell>
          <cell r="H201">
            <v>1407920233573</v>
          </cell>
          <cell r="I201">
            <v>32572879724</v>
          </cell>
          <cell r="J201">
            <v>45157234853</v>
          </cell>
          <cell r="K201">
            <v>1395335878444</v>
          </cell>
          <cell r="L201">
            <v>0</v>
          </cell>
          <cell r="M201" t="str">
            <v>Inventories-Spareparts</v>
          </cell>
        </row>
        <row r="202">
          <cell r="A202">
            <v>920000002</v>
          </cell>
          <cell r="C202" t="str">
            <v>Inventory Reman</v>
          </cell>
          <cell r="D202" t="str">
            <v>00 00 133-000-000</v>
          </cell>
          <cell r="E202">
            <v>0</v>
          </cell>
          <cell r="F202">
            <v>0</v>
          </cell>
          <cell r="G202">
            <v>0</v>
          </cell>
          <cell r="H202">
            <v>56737251342</v>
          </cell>
          <cell r="I202">
            <v>53139998648</v>
          </cell>
          <cell r="J202">
            <v>0</v>
          </cell>
          <cell r="K202">
            <v>109877249990</v>
          </cell>
          <cell r="L202">
            <v>0</v>
          </cell>
          <cell r="M202" t="str">
            <v>Inventories-Spareparts</v>
          </cell>
        </row>
        <row r="203">
          <cell r="A203">
            <v>920000100</v>
          </cell>
          <cell r="C203" t="str">
            <v>Inventory S.parts - grir</v>
          </cell>
          <cell r="D203" t="str">
            <v>00 00 133-000-000</v>
          </cell>
          <cell r="E203">
            <v>0</v>
          </cell>
          <cell r="F203">
            <v>0</v>
          </cell>
          <cell r="G203">
            <v>0</v>
          </cell>
          <cell r="H203">
            <v>-90537738563</v>
          </cell>
          <cell r="I203">
            <v>90537738563</v>
          </cell>
          <cell r="J203">
            <v>0</v>
          </cell>
          <cell r="K203">
            <v>0</v>
          </cell>
          <cell r="L203">
            <v>0</v>
          </cell>
          <cell r="M203" t="str">
            <v>Inventories-Spareparts</v>
          </cell>
        </row>
        <row r="204">
          <cell r="A204">
            <v>920000101</v>
          </cell>
          <cell r="C204" t="str">
            <v>Inventory S.parts - grir consigment</v>
          </cell>
          <cell r="D204" t="str">
            <v>00 00 133-000-000</v>
          </cell>
          <cell r="E204">
            <v>0</v>
          </cell>
          <cell r="F204">
            <v>0</v>
          </cell>
          <cell r="G204">
            <v>0</v>
          </cell>
          <cell r="H204">
            <v>-6028488556</v>
          </cell>
          <cell r="I204">
            <v>6028488556</v>
          </cell>
          <cell r="J204">
            <v>0</v>
          </cell>
          <cell r="K204">
            <v>0</v>
          </cell>
          <cell r="L204">
            <v>0</v>
          </cell>
          <cell r="M204" t="str">
            <v>Inventories-Spareparts</v>
          </cell>
        </row>
        <row r="205">
          <cell r="A205">
            <v>990000000</v>
          </cell>
          <cell r="C205" t="str">
            <v>Inventory Obsolescence - Unit</v>
          </cell>
          <cell r="D205" t="str">
            <v>00 00 141-000-000</v>
          </cell>
          <cell r="E205">
            <v>0</v>
          </cell>
          <cell r="F205">
            <v>0</v>
          </cell>
          <cell r="G205">
            <v>0</v>
          </cell>
          <cell r="H205">
            <v>-12952359760</v>
          </cell>
          <cell r="I205">
            <v>4296432174</v>
          </cell>
          <cell r="J205">
            <v>0</v>
          </cell>
          <cell r="K205">
            <v>-8655927586</v>
          </cell>
          <cell r="L205">
            <v>0</v>
          </cell>
          <cell r="M205" t="str">
            <v>Inventories-Allowance for Obsolescence</v>
          </cell>
        </row>
        <row r="206">
          <cell r="A206">
            <v>990000001</v>
          </cell>
          <cell r="C206" t="str">
            <v>Inventory Obsolescence : Parts</v>
          </cell>
          <cell r="D206" t="str">
            <v>00 00 141-000-000</v>
          </cell>
          <cell r="E206">
            <v>0</v>
          </cell>
          <cell r="F206">
            <v>0</v>
          </cell>
          <cell r="G206">
            <v>0</v>
          </cell>
          <cell r="H206">
            <v>-4878467958</v>
          </cell>
          <cell r="I206">
            <v>0</v>
          </cell>
          <cell r="J206">
            <v>1199917649</v>
          </cell>
          <cell r="K206">
            <v>-6078385607</v>
          </cell>
          <cell r="L206">
            <v>0</v>
          </cell>
          <cell r="M206" t="str">
            <v>Inventories-Allowance for Obsolescence</v>
          </cell>
        </row>
        <row r="207">
          <cell r="A207">
            <v>1020200000</v>
          </cell>
          <cell r="C207" t="str">
            <v>Pajak Dimuka PPH 22</v>
          </cell>
          <cell r="D207" t="str">
            <v>00 00 144-100-000</v>
          </cell>
          <cell r="E207">
            <v>0</v>
          </cell>
          <cell r="F207">
            <v>0</v>
          </cell>
          <cell r="G207">
            <v>0</v>
          </cell>
          <cell r="H207">
            <v>105714878151</v>
          </cell>
          <cell r="I207">
            <v>50963870776</v>
          </cell>
          <cell r="J207">
            <v>156680555592</v>
          </cell>
          <cell r="K207">
            <v>-1806665</v>
          </cell>
          <cell r="L207">
            <v>0</v>
          </cell>
          <cell r="M207" t="str">
            <v>Prepaid Taxes - PPh 22</v>
          </cell>
        </row>
        <row r="208">
          <cell r="A208">
            <v>1020200001</v>
          </cell>
          <cell r="C208" t="str">
            <v>Pajak Dimuka PPH 22 Belanja Ng</v>
          </cell>
          <cell r="D208" t="str">
            <v>00 00 144-100-000</v>
          </cell>
          <cell r="E208">
            <v>0</v>
          </cell>
          <cell r="F208">
            <v>0</v>
          </cell>
          <cell r="G208">
            <v>0</v>
          </cell>
          <cell r="H208">
            <v>1806665</v>
          </cell>
          <cell r="I208">
            <v>0</v>
          </cell>
          <cell r="J208">
            <v>0</v>
          </cell>
          <cell r="K208">
            <v>1806665</v>
          </cell>
          <cell r="L208">
            <v>0</v>
          </cell>
          <cell r="M208" t="str">
            <v>Prepaid Taxes - PPh 22</v>
          </cell>
        </row>
        <row r="209">
          <cell r="A209">
            <v>1020300000</v>
          </cell>
          <cell r="C209" t="str">
            <v>Pajak Dimuka PPH 23</v>
          </cell>
          <cell r="D209" t="str">
            <v>00 00 144-200-000</v>
          </cell>
          <cell r="E209">
            <v>0</v>
          </cell>
          <cell r="F209">
            <v>0</v>
          </cell>
          <cell r="G209">
            <v>0</v>
          </cell>
          <cell r="H209">
            <v>23004376794</v>
          </cell>
          <cell r="I209">
            <v>1044597263</v>
          </cell>
          <cell r="J209">
            <v>24048974057</v>
          </cell>
          <cell r="K209">
            <v>0</v>
          </cell>
          <cell r="L209">
            <v>0</v>
          </cell>
          <cell r="M209" t="str">
            <v>Prepaid Taxes - PPh 23</v>
          </cell>
        </row>
        <row r="210">
          <cell r="A210">
            <v>1020500000</v>
          </cell>
          <cell r="C210" t="str">
            <v>Pajak Dimuka PPH 25 masa</v>
          </cell>
          <cell r="D210" t="str">
            <v>00 00 144-300-000</v>
          </cell>
          <cell r="E210">
            <v>0</v>
          </cell>
          <cell r="F210">
            <v>0</v>
          </cell>
          <cell r="G210">
            <v>0</v>
          </cell>
          <cell r="H210">
            <v>329167322814</v>
          </cell>
          <cell r="I210">
            <v>1693148485</v>
          </cell>
          <cell r="J210">
            <v>330906471299</v>
          </cell>
          <cell r="K210">
            <v>-46000000</v>
          </cell>
          <cell r="L210">
            <v>0</v>
          </cell>
          <cell r="M210" t="str">
            <v>Prepaid Taxes - PPh 25</v>
          </cell>
        </row>
        <row r="211">
          <cell r="A211">
            <v>1020500002</v>
          </cell>
          <cell r="C211" t="str">
            <v>Pajak Dibayar Dimuka:SKFLN</v>
          </cell>
          <cell r="D211" t="str">
            <v>00 00 144-300-000</v>
          </cell>
          <cell r="E211">
            <v>0</v>
          </cell>
          <cell r="F211">
            <v>0</v>
          </cell>
          <cell r="G211">
            <v>0</v>
          </cell>
          <cell r="H211">
            <v>46000000</v>
          </cell>
          <cell r="I211">
            <v>0</v>
          </cell>
          <cell r="J211">
            <v>0</v>
          </cell>
          <cell r="K211">
            <v>46000000</v>
          </cell>
          <cell r="L211">
            <v>0</v>
          </cell>
          <cell r="M211" t="str">
            <v>Prepaid Taxes - PPh 25</v>
          </cell>
        </row>
        <row r="212">
          <cell r="A212">
            <v>1110000000</v>
          </cell>
          <cell r="C212" t="str">
            <v>Sewa Dibayar Dimuka</v>
          </cell>
          <cell r="D212" t="str">
            <v>00 00 145-100-000</v>
          </cell>
          <cell r="E212">
            <v>0</v>
          </cell>
          <cell r="F212">
            <v>0</v>
          </cell>
          <cell r="G212">
            <v>0</v>
          </cell>
          <cell r="H212">
            <v>12271563490</v>
          </cell>
          <cell r="I212">
            <v>76776036</v>
          </cell>
          <cell r="J212">
            <v>0</v>
          </cell>
          <cell r="K212">
            <v>12348339526</v>
          </cell>
          <cell r="L212">
            <v>0</v>
          </cell>
          <cell r="M212" t="str">
            <v>Prepaid Expenses - Rental</v>
          </cell>
        </row>
        <row r="213">
          <cell r="A213">
            <v>1120000000</v>
          </cell>
          <cell r="C213" t="str">
            <v>Asuransi Dibayar Dimuka</v>
          </cell>
          <cell r="D213" t="str">
            <v>00 00 145-200-000</v>
          </cell>
          <cell r="E213">
            <v>0</v>
          </cell>
          <cell r="F213">
            <v>0</v>
          </cell>
          <cell r="G213">
            <v>0</v>
          </cell>
          <cell r="H213">
            <v>1695562874</v>
          </cell>
          <cell r="I213">
            <v>51727304</v>
          </cell>
          <cell r="J213">
            <v>0</v>
          </cell>
          <cell r="K213">
            <v>1747290178</v>
          </cell>
          <cell r="L213">
            <v>0</v>
          </cell>
          <cell r="M213" t="str">
            <v>Prepaid Expenses - Insurance</v>
          </cell>
        </row>
        <row r="214">
          <cell r="A214">
            <v>1210000000</v>
          </cell>
          <cell r="C214" t="str">
            <v>Uang Muka Pembelian:Unit</v>
          </cell>
          <cell r="D214" t="str">
            <v>00 00 148-200-100</v>
          </cell>
          <cell r="E214">
            <v>0</v>
          </cell>
          <cell r="F214">
            <v>0</v>
          </cell>
          <cell r="G214">
            <v>0</v>
          </cell>
          <cell r="H214">
            <v>137953168</v>
          </cell>
          <cell r="I214">
            <v>0</v>
          </cell>
          <cell r="J214">
            <v>0</v>
          </cell>
          <cell r="K214">
            <v>137953168</v>
          </cell>
          <cell r="L214">
            <v>0</v>
          </cell>
          <cell r="M214" t="str">
            <v>Adv.Pay.-3rd Part.-Purchase of Merchandi</v>
          </cell>
        </row>
        <row r="215">
          <cell r="A215">
            <v>1210000001</v>
          </cell>
          <cell r="C215" t="str">
            <v>Uang Muka Pembelian:Supplier:S</v>
          </cell>
          <cell r="D215" t="str">
            <v>00 00 148-200-100</v>
          </cell>
          <cell r="E215">
            <v>0</v>
          </cell>
          <cell r="F215">
            <v>0</v>
          </cell>
          <cell r="G215">
            <v>0</v>
          </cell>
          <cell r="H215">
            <v>8014812918</v>
          </cell>
          <cell r="I215">
            <v>0</v>
          </cell>
          <cell r="J215">
            <v>6445955833</v>
          </cell>
          <cell r="K215">
            <v>1568857085</v>
          </cell>
          <cell r="L215">
            <v>0</v>
          </cell>
          <cell r="M215" t="str">
            <v>Adv.Pay.-3rd Part.-Purchase of Merchandi</v>
          </cell>
        </row>
        <row r="216">
          <cell r="A216">
            <v>1210000090</v>
          </cell>
          <cell r="C216" t="str">
            <v>BS Adjustment:Uang Muka Pembel</v>
          </cell>
          <cell r="D216" t="str">
            <v>00 00 148-200-100</v>
          </cell>
          <cell r="E216">
            <v>0</v>
          </cell>
          <cell r="F216">
            <v>0</v>
          </cell>
          <cell r="G216">
            <v>0</v>
          </cell>
          <cell r="H216">
            <v>-433223557</v>
          </cell>
          <cell r="I216">
            <v>0</v>
          </cell>
          <cell r="J216">
            <v>0</v>
          </cell>
          <cell r="K216">
            <v>-433223557</v>
          </cell>
          <cell r="L216">
            <v>0</v>
          </cell>
          <cell r="M216" t="str">
            <v>Adv.Pay.-3rd Part.-Purchase of Merchandi</v>
          </cell>
        </row>
        <row r="217">
          <cell r="A217">
            <v>1220000000</v>
          </cell>
          <cell r="C217" t="str">
            <v>Uang Muka Perjalanan Dinas</v>
          </cell>
          <cell r="D217" t="str">
            <v>00 00 148-200-600</v>
          </cell>
          <cell r="E217">
            <v>0</v>
          </cell>
          <cell r="F217">
            <v>0</v>
          </cell>
          <cell r="G217">
            <v>0</v>
          </cell>
          <cell r="H217">
            <v>2085257400</v>
          </cell>
          <cell r="I217">
            <v>0</v>
          </cell>
          <cell r="J217">
            <v>0</v>
          </cell>
          <cell r="K217">
            <v>2085257400</v>
          </cell>
          <cell r="L217">
            <v>0</v>
          </cell>
          <cell r="M217" t="str">
            <v>Adv.Pay.-3rd Part.-Travel</v>
          </cell>
        </row>
        <row r="218">
          <cell r="A218">
            <v>1240000001</v>
          </cell>
          <cell r="C218" t="str">
            <v>Advance Welfare</v>
          </cell>
          <cell r="D218" t="str">
            <v>00 00 148-200-900</v>
          </cell>
          <cell r="E218">
            <v>0</v>
          </cell>
          <cell r="F218">
            <v>0</v>
          </cell>
          <cell r="G218">
            <v>0</v>
          </cell>
          <cell r="H218">
            <v>7000000</v>
          </cell>
          <cell r="I218">
            <v>0</v>
          </cell>
          <cell r="J218">
            <v>0</v>
          </cell>
          <cell r="K218">
            <v>7000000</v>
          </cell>
          <cell r="L218">
            <v>0</v>
          </cell>
          <cell r="M218" t="str">
            <v>Adv.Pay.-3rd Part.-Others</v>
          </cell>
        </row>
        <row r="219">
          <cell r="A219">
            <v>1290000001</v>
          </cell>
          <cell r="C219" t="str">
            <v>Uang Muka:Perwakilan/Jobsite</v>
          </cell>
          <cell r="D219" t="str">
            <v>00 00 148-200-600</v>
          </cell>
          <cell r="E219">
            <v>0</v>
          </cell>
          <cell r="F219">
            <v>0</v>
          </cell>
          <cell r="G219">
            <v>0</v>
          </cell>
          <cell r="H219">
            <v>1407419180</v>
          </cell>
          <cell r="I219">
            <v>0</v>
          </cell>
          <cell r="J219">
            <v>0</v>
          </cell>
          <cell r="K219">
            <v>1407419180</v>
          </cell>
          <cell r="L219">
            <v>0</v>
          </cell>
          <cell r="M219" t="str">
            <v>Adv.Pay.-3rd Part.-Travel</v>
          </cell>
        </row>
        <row r="220">
          <cell r="A220">
            <v>1290000002</v>
          </cell>
          <cell r="C220" t="str">
            <v>Uang Muka:Karyawan</v>
          </cell>
          <cell r="D220" t="str">
            <v>00 00 148-200-100</v>
          </cell>
          <cell r="E220">
            <v>0</v>
          </cell>
          <cell r="F220">
            <v>0</v>
          </cell>
          <cell r="G220">
            <v>0</v>
          </cell>
          <cell r="H220">
            <v>6698486511</v>
          </cell>
          <cell r="I220">
            <v>8387181655</v>
          </cell>
          <cell r="J220">
            <v>1173202935</v>
          </cell>
          <cell r="K220">
            <v>13912465231</v>
          </cell>
          <cell r="L220">
            <v>0</v>
          </cell>
          <cell r="M220" t="str">
            <v>Adv.Pay.-3rd Part.-Purchase of Merchandi</v>
          </cell>
        </row>
        <row r="221">
          <cell r="A221">
            <v>1290000003</v>
          </cell>
          <cell r="C221" t="str">
            <v>Advance Karyawan -Travel</v>
          </cell>
          <cell r="D221" t="str">
            <v>00 00 148-200-600</v>
          </cell>
          <cell r="E221">
            <v>0</v>
          </cell>
          <cell r="F221">
            <v>0</v>
          </cell>
          <cell r="G221">
            <v>0</v>
          </cell>
          <cell r="H221">
            <v>3029080366</v>
          </cell>
          <cell r="I221">
            <v>24860722060</v>
          </cell>
          <cell r="J221">
            <v>24500000000</v>
          </cell>
          <cell r="K221">
            <v>3389802426</v>
          </cell>
          <cell r="L221">
            <v>0</v>
          </cell>
          <cell r="M221" t="str">
            <v>Adv.Pay.-3rd Part.-Travel</v>
          </cell>
        </row>
        <row r="222">
          <cell r="A222">
            <v>1550000000</v>
          </cell>
          <cell r="C222" t="str">
            <v>Deferred Tax Asset</v>
          </cell>
          <cell r="D222" t="str">
            <v>00 00 163-000-000</v>
          </cell>
          <cell r="E222">
            <v>0</v>
          </cell>
          <cell r="F222">
            <v>0</v>
          </cell>
          <cell r="G222">
            <v>0</v>
          </cell>
          <cell r="H222">
            <v>59713220841</v>
          </cell>
          <cell r="I222">
            <v>776779393</v>
          </cell>
          <cell r="J222">
            <v>0</v>
          </cell>
          <cell r="K222">
            <v>60490000234</v>
          </cell>
          <cell r="L222">
            <v>0</v>
          </cell>
          <cell r="M222" t="str">
            <v>Deferred Tax Asset</v>
          </cell>
        </row>
        <row r="223">
          <cell r="A223">
            <v>1810100001</v>
          </cell>
          <cell r="C223" t="str">
            <v>Inv shm-HP:KI</v>
          </cell>
          <cell r="D223" t="str">
            <v>00 00 165-100-088</v>
          </cell>
          <cell r="E223">
            <v>0</v>
          </cell>
          <cell r="F223">
            <v>0</v>
          </cell>
          <cell r="G223">
            <v>0</v>
          </cell>
          <cell r="H223">
            <v>39811650949</v>
          </cell>
          <cell r="I223">
            <v>0</v>
          </cell>
          <cell r="J223">
            <v>0</v>
          </cell>
          <cell r="K223">
            <v>39811650949</v>
          </cell>
          <cell r="L223">
            <v>0</v>
          </cell>
          <cell r="M223" t="str">
            <v>Inv.Shares of Stoc-PT Komatsu Indonesia</v>
          </cell>
        </row>
        <row r="224">
          <cell r="A224">
            <v>1810100002</v>
          </cell>
          <cell r="C224" t="str">
            <v>Inv shm-HP:UTSG</v>
          </cell>
          <cell r="D224" t="str">
            <v>00 00 165-100-222</v>
          </cell>
          <cell r="E224">
            <v>0</v>
          </cell>
          <cell r="F224">
            <v>0</v>
          </cell>
          <cell r="G224">
            <v>0</v>
          </cell>
          <cell r="H224">
            <v>3375000000</v>
          </cell>
          <cell r="I224">
            <v>0</v>
          </cell>
          <cell r="J224">
            <v>0</v>
          </cell>
          <cell r="K224">
            <v>3375000000</v>
          </cell>
          <cell r="L224">
            <v>0</v>
          </cell>
          <cell r="M224" t="str">
            <v>Inv.Shares of Stoc-PT UT Semen Gresik</v>
          </cell>
        </row>
        <row r="225">
          <cell r="A225">
            <v>1810100003</v>
          </cell>
          <cell r="C225" t="str">
            <v>Inv shm-HP:UTE</v>
          </cell>
          <cell r="D225" t="str">
            <v>00 00 165-100-156</v>
          </cell>
          <cell r="E225">
            <v>0</v>
          </cell>
          <cell r="F225">
            <v>0</v>
          </cell>
          <cell r="G225">
            <v>0</v>
          </cell>
          <cell r="H225">
            <v>119673000000</v>
          </cell>
          <cell r="I225">
            <v>0</v>
          </cell>
          <cell r="J225">
            <v>0</v>
          </cell>
          <cell r="K225">
            <v>119673000000</v>
          </cell>
          <cell r="L225">
            <v>0</v>
          </cell>
          <cell r="M225" t="str">
            <v>Inv.Shares of Stoc-PT United Tractors Pa</v>
          </cell>
        </row>
        <row r="226">
          <cell r="A226">
            <v>1810100005</v>
          </cell>
          <cell r="C226" t="str">
            <v>Inv shm-HP:PAMA</v>
          </cell>
          <cell r="D226" t="str">
            <v>00 00 165-100-112</v>
          </cell>
          <cell r="E226">
            <v>0</v>
          </cell>
          <cell r="F226">
            <v>0</v>
          </cell>
          <cell r="G226">
            <v>0</v>
          </cell>
          <cell r="H226">
            <v>715875315375</v>
          </cell>
          <cell r="I226">
            <v>0</v>
          </cell>
          <cell r="J226">
            <v>6376088569</v>
          </cell>
          <cell r="K226">
            <v>709499226806</v>
          </cell>
          <cell r="L226">
            <v>0</v>
          </cell>
          <cell r="M226" t="str">
            <v>Inv.Shares of Stoc-PT Pama Persada Nusan</v>
          </cell>
        </row>
        <row r="227">
          <cell r="A227">
            <v>1810100008</v>
          </cell>
          <cell r="C227" t="str">
            <v>Inv shm-HP:SUNRAY</v>
          </cell>
          <cell r="D227" t="str">
            <v>00 00 165-100-212</v>
          </cell>
          <cell r="E227">
            <v>0</v>
          </cell>
          <cell r="F227">
            <v>0</v>
          </cell>
          <cell r="G227">
            <v>0</v>
          </cell>
          <cell r="H227">
            <v>9259099539</v>
          </cell>
          <cell r="I227">
            <v>0</v>
          </cell>
          <cell r="J227">
            <v>0</v>
          </cell>
          <cell r="K227">
            <v>9259099539</v>
          </cell>
          <cell r="L227">
            <v>0</v>
          </cell>
          <cell r="M227" t="str">
            <v>Inv.Shares of Stoc-PT Sunray Pte. Ltd.</v>
          </cell>
        </row>
        <row r="228">
          <cell r="A228">
            <v>1810100011</v>
          </cell>
          <cell r="C228" t="str">
            <v>Inv shm-HP:UTHI</v>
          </cell>
          <cell r="D228" t="str">
            <v>00 00 165-100-245</v>
          </cell>
          <cell r="E228">
            <v>0</v>
          </cell>
          <cell r="F228">
            <v>0</v>
          </cell>
          <cell r="G228">
            <v>0</v>
          </cell>
          <cell r="H228">
            <v>653500000</v>
          </cell>
          <cell r="I228">
            <v>0</v>
          </cell>
          <cell r="J228">
            <v>0</v>
          </cell>
          <cell r="K228">
            <v>653500000</v>
          </cell>
          <cell r="L228">
            <v>0</v>
          </cell>
          <cell r="M228" t="str">
            <v>Inv.Shares of Stoc-UT Heavy Industry (S)</v>
          </cell>
        </row>
        <row r="229">
          <cell r="A229">
            <v>1810100014</v>
          </cell>
          <cell r="C229" t="str">
            <v>Inv shm-HP:UOE</v>
          </cell>
          <cell r="D229" t="str">
            <v>00 00 165-100-305</v>
          </cell>
          <cell r="E229">
            <v>0</v>
          </cell>
          <cell r="F229">
            <v>0</v>
          </cell>
          <cell r="G229">
            <v>0</v>
          </cell>
          <cell r="H229">
            <v>-3773452702</v>
          </cell>
          <cell r="I229">
            <v>0</v>
          </cell>
          <cell r="J229">
            <v>0</v>
          </cell>
          <cell r="K229">
            <v>-3773452702</v>
          </cell>
          <cell r="L229">
            <v>0</v>
          </cell>
          <cell r="M229" t="str">
            <v>Investment in Shar-United Ostermeyer Eng</v>
          </cell>
        </row>
        <row r="230">
          <cell r="A230">
            <v>1810100015</v>
          </cell>
          <cell r="C230" t="str">
            <v>Inv shm-HP:BP</v>
          </cell>
          <cell r="D230" t="str">
            <v>00 00 165-100-210</v>
          </cell>
          <cell r="E230">
            <v>0</v>
          </cell>
          <cell r="F230">
            <v>0</v>
          </cell>
          <cell r="G230">
            <v>0</v>
          </cell>
          <cell r="H230">
            <v>1146000000</v>
          </cell>
          <cell r="I230">
            <v>0</v>
          </cell>
          <cell r="J230">
            <v>0</v>
          </cell>
          <cell r="K230">
            <v>1146000000</v>
          </cell>
          <cell r="L230">
            <v>0</v>
          </cell>
          <cell r="M230" t="str">
            <v>Inv.Shares of Stoc-PT Bina Pertiwi</v>
          </cell>
        </row>
        <row r="231">
          <cell r="A231">
            <v>1810100017</v>
          </cell>
          <cell r="C231" t="str">
            <v>Inv shm-HP:KRA</v>
          </cell>
          <cell r="D231" t="str">
            <v>00 00 165-100-328</v>
          </cell>
          <cell r="E231">
            <v>0</v>
          </cell>
          <cell r="F231">
            <v>0</v>
          </cell>
          <cell r="G231">
            <v>0</v>
          </cell>
          <cell r="H231">
            <v>2522520000</v>
          </cell>
          <cell r="I231">
            <v>0</v>
          </cell>
          <cell r="J231">
            <v>0</v>
          </cell>
          <cell r="K231">
            <v>2522520000</v>
          </cell>
          <cell r="L231">
            <v>0</v>
          </cell>
          <cell r="M231" t="str">
            <v>Investment in Shar-PT Komatsu Remanufact</v>
          </cell>
        </row>
        <row r="232">
          <cell r="A232">
            <v>1810100018</v>
          </cell>
          <cell r="C232" t="str">
            <v>Inv shm-HP:PT Coalindo Energy (numpang)</v>
          </cell>
          <cell r="D232" t="str">
            <v>00 00 165-100-030</v>
          </cell>
          <cell r="E232">
            <v>0</v>
          </cell>
          <cell r="F232">
            <v>0</v>
          </cell>
          <cell r="G232">
            <v>0</v>
          </cell>
          <cell r="H232">
            <v>200000000</v>
          </cell>
          <cell r="I232">
            <v>0</v>
          </cell>
          <cell r="J232">
            <v>0</v>
          </cell>
          <cell r="K232">
            <v>200000000</v>
          </cell>
          <cell r="L232">
            <v>0</v>
          </cell>
          <cell r="M232" t="str">
            <v>Inv.Shares of Stoc-PT Berau Coal</v>
          </cell>
        </row>
        <row r="233">
          <cell r="A233">
            <v>1810100019</v>
          </cell>
          <cell r="C233" t="str">
            <v>Invest.Saham-Harga Pokok TTA (Numpang)</v>
          </cell>
          <cell r="D233" t="str">
            <v>00 00 165-100-349</v>
          </cell>
          <cell r="E233">
            <v>0</v>
          </cell>
          <cell r="F233">
            <v>0</v>
          </cell>
          <cell r="G233">
            <v>0</v>
          </cell>
          <cell r="H233">
            <v>1603034706006</v>
          </cell>
          <cell r="I233">
            <v>0</v>
          </cell>
          <cell r="J233">
            <v>0</v>
          </cell>
          <cell r="K233">
            <v>1603034706006</v>
          </cell>
          <cell r="L233">
            <v>0</v>
          </cell>
          <cell r="M233" t="str">
            <v>Investment in Shar-Swakarsa Sinar Sentos</v>
          </cell>
        </row>
        <row r="234">
          <cell r="A234">
            <v>1810100020</v>
          </cell>
          <cell r="C234" t="str">
            <v>Inv shm-HP: MPU</v>
          </cell>
          <cell r="D234" t="str">
            <v>00 00 165-100-236</v>
          </cell>
          <cell r="E234">
            <v>0</v>
          </cell>
          <cell r="F234">
            <v>0</v>
          </cell>
          <cell r="G234">
            <v>0</v>
          </cell>
          <cell r="H234">
            <v>99999000000</v>
          </cell>
          <cell r="I234">
            <v>0</v>
          </cell>
          <cell r="J234">
            <v>0</v>
          </cell>
          <cell r="K234">
            <v>99999000000</v>
          </cell>
          <cell r="L234">
            <v>0</v>
          </cell>
          <cell r="M234" t="str">
            <v>Inv.Shares of Stoc-PT KSB Indonesia</v>
          </cell>
        </row>
        <row r="235">
          <cell r="A235">
            <v>1810100021</v>
          </cell>
          <cell r="C235" t="str">
            <v>Inv shm-HMU</v>
          </cell>
          <cell r="D235" t="str">
            <v>00 00 165-100-276</v>
          </cell>
          <cell r="E235">
            <v>0</v>
          </cell>
          <cell r="F235">
            <v>0</v>
          </cell>
          <cell r="G235">
            <v>0</v>
          </cell>
          <cell r="H235">
            <v>7875000000</v>
          </cell>
          <cell r="I235">
            <v>0</v>
          </cell>
          <cell r="J235">
            <v>0</v>
          </cell>
          <cell r="K235">
            <v>7875000000</v>
          </cell>
          <cell r="L235">
            <v>0</v>
          </cell>
          <cell r="M235" t="str">
            <v>Investment in Shar-PT Hanken Indonesia</v>
          </cell>
        </row>
        <row r="236">
          <cell r="A236">
            <v>1810200001</v>
          </cell>
          <cell r="C236" t="str">
            <v>Inv shm-GW:KI</v>
          </cell>
          <cell r="D236" t="str">
            <v>00 00 165-100-088</v>
          </cell>
          <cell r="E236">
            <v>0</v>
          </cell>
          <cell r="F236">
            <v>0</v>
          </cell>
          <cell r="G236">
            <v>0</v>
          </cell>
          <cell r="H236">
            <v>-493421880</v>
          </cell>
          <cell r="I236">
            <v>0</v>
          </cell>
          <cell r="J236">
            <v>0</v>
          </cell>
          <cell r="K236">
            <v>-493421880</v>
          </cell>
          <cell r="L236">
            <v>0</v>
          </cell>
          <cell r="M236" t="str">
            <v>Inv.Shares of Stoc-PT Komatsu Indonesia</v>
          </cell>
        </row>
        <row r="237">
          <cell r="A237">
            <v>1810200008</v>
          </cell>
          <cell r="C237" t="str">
            <v>Inv shm-GW:SUNRAY</v>
          </cell>
          <cell r="D237" t="str">
            <v>00 00 165-100-212</v>
          </cell>
          <cell r="E237">
            <v>0</v>
          </cell>
          <cell r="F237">
            <v>0</v>
          </cell>
          <cell r="G237">
            <v>0</v>
          </cell>
          <cell r="H237">
            <v>578361280</v>
          </cell>
          <cell r="I237">
            <v>0</v>
          </cell>
          <cell r="J237">
            <v>0</v>
          </cell>
          <cell r="K237">
            <v>578361280</v>
          </cell>
          <cell r="L237">
            <v>0</v>
          </cell>
          <cell r="M237" t="str">
            <v>Inv.Shares of Stoc-PT Sunray Pte. Ltd.</v>
          </cell>
        </row>
        <row r="238">
          <cell r="A238">
            <v>1810200015</v>
          </cell>
          <cell r="C238" t="str">
            <v>Inv shm-GW:BP</v>
          </cell>
          <cell r="D238" t="str">
            <v>00 00 165-100-210</v>
          </cell>
          <cell r="E238">
            <v>0</v>
          </cell>
          <cell r="F238">
            <v>0</v>
          </cell>
          <cell r="G238">
            <v>0</v>
          </cell>
          <cell r="H238">
            <v>545167920</v>
          </cell>
          <cell r="I238">
            <v>0</v>
          </cell>
          <cell r="J238">
            <v>0</v>
          </cell>
          <cell r="K238">
            <v>545167920</v>
          </cell>
          <cell r="L238">
            <v>0</v>
          </cell>
          <cell r="M238" t="str">
            <v>Inv.Shares of Stoc-PT Bina Pertiwi</v>
          </cell>
        </row>
        <row r="239">
          <cell r="A239">
            <v>1810300001</v>
          </cell>
          <cell r="C239" t="str">
            <v>Inv shm-Laba:KI</v>
          </cell>
          <cell r="D239" t="str">
            <v>00 00 165-100-088</v>
          </cell>
          <cell r="E239">
            <v>0</v>
          </cell>
          <cell r="F239">
            <v>0</v>
          </cell>
          <cell r="G239">
            <v>0</v>
          </cell>
          <cell r="H239">
            <v>81186825637</v>
          </cell>
          <cell r="I239">
            <v>0</v>
          </cell>
          <cell r="J239">
            <v>0</v>
          </cell>
          <cell r="K239">
            <v>81186825637</v>
          </cell>
          <cell r="L239">
            <v>0</v>
          </cell>
          <cell r="M239" t="str">
            <v>Inv.Shares of Stoc-PT Komatsu Indonesia</v>
          </cell>
        </row>
        <row r="240">
          <cell r="A240">
            <v>1810300002</v>
          </cell>
          <cell r="C240" t="str">
            <v>Inv shm-Laba:UTSG</v>
          </cell>
          <cell r="D240" t="str">
            <v>00 00 165-100-222</v>
          </cell>
          <cell r="E240">
            <v>0</v>
          </cell>
          <cell r="F240">
            <v>0</v>
          </cell>
          <cell r="G240">
            <v>0</v>
          </cell>
          <cell r="H240">
            <v>57370428699</v>
          </cell>
          <cell r="I240">
            <v>202125995</v>
          </cell>
          <cell r="J240">
            <v>0</v>
          </cell>
          <cell r="K240">
            <v>57572554694</v>
          </cell>
          <cell r="L240">
            <v>0</v>
          </cell>
          <cell r="M240" t="str">
            <v>Inv.Shares of Stoc-PT UT Semen Gresik</v>
          </cell>
        </row>
        <row r="241">
          <cell r="A241">
            <v>1810300003</v>
          </cell>
          <cell r="C241" t="str">
            <v>Inv shm-Laba:UTE</v>
          </cell>
          <cell r="D241" t="str">
            <v>00 00 165-100-156</v>
          </cell>
          <cell r="E241">
            <v>0</v>
          </cell>
          <cell r="F241">
            <v>0</v>
          </cell>
          <cell r="G241">
            <v>0</v>
          </cell>
          <cell r="H241">
            <v>291329814772</v>
          </cell>
          <cell r="I241">
            <v>3106176657</v>
          </cell>
          <cell r="J241">
            <v>25955</v>
          </cell>
          <cell r="K241">
            <v>294435965474</v>
          </cell>
          <cell r="L241">
            <v>0</v>
          </cell>
          <cell r="M241" t="str">
            <v>Inv.Shares of Stoc-PT United Tractors Pa</v>
          </cell>
        </row>
        <row r="242">
          <cell r="A242">
            <v>1810300004</v>
          </cell>
          <cell r="C242" t="str">
            <v>Inv shm-Laba:PDP</v>
          </cell>
          <cell r="D242" t="str">
            <v>00 00 165-100-113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1765583853</v>
          </cell>
          <cell r="J242">
            <v>0</v>
          </cell>
          <cell r="K242">
            <v>1765583853</v>
          </cell>
          <cell r="L242">
            <v>0</v>
          </cell>
          <cell r="M242" t="str">
            <v>Inv.Shares of Stoc-PT Pandu Dayatama Pat</v>
          </cell>
        </row>
        <row r="243">
          <cell r="A243">
            <v>1810300005</v>
          </cell>
          <cell r="C243" t="str">
            <v>Inv shm-Laba:PAMA</v>
          </cell>
          <cell r="D243" t="str">
            <v>00 00 165-100-112</v>
          </cell>
          <cell r="E243">
            <v>0</v>
          </cell>
          <cell r="F243">
            <v>0</v>
          </cell>
          <cell r="G243">
            <v>0</v>
          </cell>
          <cell r="H243">
            <v>7338853156179</v>
          </cell>
          <cell r="I243">
            <v>160174262260</v>
          </cell>
          <cell r="J243">
            <v>450000000</v>
          </cell>
          <cell r="K243">
            <v>7498577418439</v>
          </cell>
          <cell r="L243">
            <v>0</v>
          </cell>
          <cell r="M243" t="str">
            <v>Inv.Shares of Stoc-PT Pama Persada Nusan</v>
          </cell>
        </row>
        <row r="244">
          <cell r="A244">
            <v>1810300006</v>
          </cell>
          <cell r="C244" t="str">
            <v>Inv shm-Laba:Berau</v>
          </cell>
          <cell r="D244" t="str">
            <v>00 00 165-100-030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361718</v>
          </cell>
          <cell r="J244">
            <v>602612638</v>
          </cell>
          <cell r="K244">
            <v>-602250920</v>
          </cell>
          <cell r="L244">
            <v>0</v>
          </cell>
          <cell r="M244" t="str">
            <v>Inv.Shares of Stoc-PT Berau Coal</v>
          </cell>
        </row>
        <row r="245">
          <cell r="A245">
            <v>1810300007</v>
          </cell>
          <cell r="C245" t="str">
            <v>Inv shm-Laba:HUFI</v>
          </cell>
          <cell r="D245" t="str">
            <v>00 00 165-100-220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10391125</v>
          </cell>
          <cell r="J245">
            <v>0</v>
          </cell>
          <cell r="K245">
            <v>10391125</v>
          </cell>
          <cell r="L245">
            <v>0</v>
          </cell>
          <cell r="M245" t="str">
            <v>Inv.Shares of Stoc-PT Hokkuriku United F</v>
          </cell>
        </row>
        <row r="246">
          <cell r="A246">
            <v>1810300008</v>
          </cell>
          <cell r="C246" t="str">
            <v>Inv shm-Laba:SUNRAY</v>
          </cell>
          <cell r="D246" t="str">
            <v>00 00 165-100-212</v>
          </cell>
          <cell r="E246">
            <v>0</v>
          </cell>
          <cell r="F246">
            <v>0</v>
          </cell>
          <cell r="G246">
            <v>0</v>
          </cell>
          <cell r="H246">
            <v>-9488249833</v>
          </cell>
          <cell r="I246">
            <v>0</v>
          </cell>
          <cell r="J246">
            <v>0</v>
          </cell>
          <cell r="K246">
            <v>-9488249833</v>
          </cell>
          <cell r="L246">
            <v>0</v>
          </cell>
          <cell r="M246" t="str">
            <v>Inv.Shares of Stoc-PT Sunray Pte. Ltd.</v>
          </cell>
        </row>
        <row r="247">
          <cell r="A247">
            <v>1810300011</v>
          </cell>
          <cell r="C247" t="str">
            <v>Inv shm-Laba:UTHI</v>
          </cell>
          <cell r="D247" t="str">
            <v>00 00 165-100-245</v>
          </cell>
          <cell r="E247">
            <v>0</v>
          </cell>
          <cell r="F247">
            <v>0</v>
          </cell>
          <cell r="G247">
            <v>0</v>
          </cell>
          <cell r="H247">
            <v>502245970945</v>
          </cell>
          <cell r="I247">
            <v>5167841125</v>
          </cell>
          <cell r="J247">
            <v>1241200922</v>
          </cell>
          <cell r="K247">
            <v>506172611148</v>
          </cell>
          <cell r="L247">
            <v>0</v>
          </cell>
          <cell r="M247" t="str">
            <v>Inv.Shares of Stoc-UT Heavy Industry (S)</v>
          </cell>
        </row>
        <row r="248">
          <cell r="A248">
            <v>1810300014</v>
          </cell>
          <cell r="C248" t="str">
            <v>Inv shm-Laba:UOE</v>
          </cell>
          <cell r="D248" t="str">
            <v>00 00 165-100-305</v>
          </cell>
          <cell r="E248">
            <v>0</v>
          </cell>
          <cell r="F248">
            <v>0</v>
          </cell>
          <cell r="G248">
            <v>0</v>
          </cell>
          <cell r="H248">
            <v>3773452702</v>
          </cell>
          <cell r="I248">
            <v>0</v>
          </cell>
          <cell r="J248">
            <v>0</v>
          </cell>
          <cell r="K248">
            <v>3773452702</v>
          </cell>
          <cell r="L248">
            <v>0</v>
          </cell>
          <cell r="M248" t="str">
            <v>Investment in Shar-United Ostermeyer Eng</v>
          </cell>
        </row>
        <row r="249">
          <cell r="A249">
            <v>1810300015</v>
          </cell>
          <cell r="C249" t="str">
            <v>Inv shm-Laba:BP</v>
          </cell>
          <cell r="D249" t="str">
            <v>00 00 165-100-210</v>
          </cell>
          <cell r="E249">
            <v>0</v>
          </cell>
          <cell r="F249">
            <v>0</v>
          </cell>
          <cell r="G249">
            <v>0</v>
          </cell>
          <cell r="H249">
            <v>46282096186</v>
          </cell>
          <cell r="I249">
            <v>617093493</v>
          </cell>
          <cell r="J249">
            <v>0</v>
          </cell>
          <cell r="K249">
            <v>46899189679</v>
          </cell>
          <cell r="L249">
            <v>0</v>
          </cell>
          <cell r="M249" t="str">
            <v>Inv.Shares of Stoc-PT Bina Pertiwi</v>
          </cell>
        </row>
        <row r="250">
          <cell r="A250">
            <v>1810300017</v>
          </cell>
          <cell r="C250" t="str">
            <v>Inv shm-Laba:KRA</v>
          </cell>
          <cell r="D250" t="str">
            <v>00 00 165-100-328</v>
          </cell>
          <cell r="E250">
            <v>0</v>
          </cell>
          <cell r="F250">
            <v>0</v>
          </cell>
          <cell r="G250">
            <v>0</v>
          </cell>
          <cell r="H250">
            <v>116336882330</v>
          </cell>
          <cell r="I250">
            <v>1873030710</v>
          </cell>
          <cell r="J250">
            <v>0</v>
          </cell>
          <cell r="K250">
            <v>118209913040</v>
          </cell>
          <cell r="L250">
            <v>0</v>
          </cell>
          <cell r="M250" t="str">
            <v>Investment in Shar-PT Komatsu Remanufact</v>
          </cell>
        </row>
        <row r="251">
          <cell r="A251">
            <v>1810300019</v>
          </cell>
          <cell r="C251" t="str">
            <v>Inv Saham TTA (Numpang)</v>
          </cell>
          <cell r="D251" t="str">
            <v>00 00 165-100-349</v>
          </cell>
          <cell r="E251">
            <v>0</v>
          </cell>
          <cell r="F251">
            <v>0</v>
          </cell>
          <cell r="G251">
            <v>0</v>
          </cell>
          <cell r="H251">
            <v>-12176168520</v>
          </cell>
          <cell r="I251">
            <v>0</v>
          </cell>
          <cell r="J251">
            <v>0</v>
          </cell>
          <cell r="K251">
            <v>-12176168520</v>
          </cell>
          <cell r="L251">
            <v>0</v>
          </cell>
          <cell r="M251" t="str">
            <v>Investment in Shar-Swakarsa Sinar Sentos</v>
          </cell>
        </row>
        <row r="252">
          <cell r="A252">
            <v>1810300020</v>
          </cell>
          <cell r="C252" t="str">
            <v>Inv Shm - Laba : MPU (Numpang)</v>
          </cell>
          <cell r="D252" t="str">
            <v>00 00 165-100-236</v>
          </cell>
          <cell r="E252">
            <v>0</v>
          </cell>
          <cell r="F252">
            <v>0</v>
          </cell>
          <cell r="G252">
            <v>0</v>
          </cell>
          <cell r="H252">
            <v>37691738620</v>
          </cell>
          <cell r="I252">
            <v>0</v>
          </cell>
          <cell r="J252">
            <v>0</v>
          </cell>
          <cell r="K252">
            <v>37691738620</v>
          </cell>
          <cell r="L252">
            <v>0</v>
          </cell>
          <cell r="M252" t="str">
            <v>Inv.Shares of Stoc-PT KSB Indonesia</v>
          </cell>
        </row>
        <row r="253">
          <cell r="A253">
            <v>1810300021</v>
          </cell>
          <cell r="C253" t="str">
            <v>Inv shm-Laba:HMU</v>
          </cell>
          <cell r="D253" t="str">
            <v>00 00 165-100-276</v>
          </cell>
          <cell r="E253">
            <v>0</v>
          </cell>
          <cell r="F253">
            <v>0</v>
          </cell>
          <cell r="G253">
            <v>0</v>
          </cell>
          <cell r="H253">
            <v>-30596026</v>
          </cell>
          <cell r="I253">
            <v>0</v>
          </cell>
          <cell r="J253">
            <v>0</v>
          </cell>
          <cell r="K253">
            <v>-30596026</v>
          </cell>
          <cell r="L253">
            <v>0</v>
          </cell>
          <cell r="M253" t="str">
            <v>Investment in Shar-PT Hanken Indonesia</v>
          </cell>
        </row>
        <row r="254">
          <cell r="A254">
            <v>1810400001</v>
          </cell>
          <cell r="C254" t="str">
            <v>Inv shm-Dvdn:KI</v>
          </cell>
          <cell r="D254" t="str">
            <v>00 00 165-100-088</v>
          </cell>
          <cell r="E254">
            <v>0</v>
          </cell>
          <cell r="F254">
            <v>0</v>
          </cell>
          <cell r="G254">
            <v>0</v>
          </cell>
          <cell r="H254">
            <v>-19295554706</v>
          </cell>
          <cell r="I254">
            <v>0</v>
          </cell>
          <cell r="J254">
            <v>0</v>
          </cell>
          <cell r="K254">
            <v>-19295554706</v>
          </cell>
          <cell r="L254">
            <v>0</v>
          </cell>
          <cell r="M254" t="str">
            <v>Inv.Shares of Stoc-PT Komatsu Indonesia</v>
          </cell>
        </row>
        <row r="255">
          <cell r="A255">
            <v>1810400002</v>
          </cell>
          <cell r="C255" t="str">
            <v>Inv shm-Dvdn:UTSG</v>
          </cell>
          <cell r="D255" t="str">
            <v>00 00 165-100-222</v>
          </cell>
          <cell r="E255">
            <v>0</v>
          </cell>
          <cell r="F255">
            <v>0</v>
          </cell>
          <cell r="G255">
            <v>0</v>
          </cell>
          <cell r="H255">
            <v>-19160240052</v>
          </cell>
          <cell r="I255">
            <v>0</v>
          </cell>
          <cell r="J255">
            <v>0</v>
          </cell>
          <cell r="K255">
            <v>-19160240052</v>
          </cell>
          <cell r="L255">
            <v>0</v>
          </cell>
          <cell r="M255" t="str">
            <v>Inv.Shares of Stoc-PT UT Semen Gresik</v>
          </cell>
        </row>
        <row r="256">
          <cell r="A256">
            <v>1810400003</v>
          </cell>
          <cell r="C256" t="str">
            <v>Inv shm-Dvdn:UTE</v>
          </cell>
          <cell r="D256" t="str">
            <v>00 00 165-100-156</v>
          </cell>
          <cell r="E256">
            <v>0</v>
          </cell>
          <cell r="F256">
            <v>0</v>
          </cell>
          <cell r="G256">
            <v>0</v>
          </cell>
          <cell r="H256">
            <v>-72645912894</v>
          </cell>
          <cell r="I256">
            <v>0</v>
          </cell>
          <cell r="J256">
            <v>0</v>
          </cell>
          <cell r="K256">
            <v>-72645912894</v>
          </cell>
          <cell r="L256">
            <v>0</v>
          </cell>
          <cell r="M256" t="str">
            <v>Inv.Shares of Stoc-PT United Tractors Pa</v>
          </cell>
        </row>
        <row r="257">
          <cell r="A257">
            <v>1810400005</v>
          </cell>
          <cell r="C257" t="str">
            <v>Inv shm-Dvdn:PAMA</v>
          </cell>
          <cell r="D257" t="str">
            <v>00 00 165-100-112</v>
          </cell>
          <cell r="E257">
            <v>0</v>
          </cell>
          <cell r="F257">
            <v>0</v>
          </cell>
          <cell r="G257">
            <v>0</v>
          </cell>
          <cell r="H257">
            <v>-1925704320758</v>
          </cell>
          <cell r="I257">
            <v>0</v>
          </cell>
          <cell r="J257">
            <v>0</v>
          </cell>
          <cell r="K257">
            <v>-1925704320758</v>
          </cell>
          <cell r="L257">
            <v>0</v>
          </cell>
          <cell r="M257" t="str">
            <v>Inv.Shares of Stoc-PT Pama Persada Nusan</v>
          </cell>
        </row>
        <row r="258">
          <cell r="A258">
            <v>1810400008</v>
          </cell>
          <cell r="C258" t="str">
            <v>Inv shm-Dvdn:SUNRAY</v>
          </cell>
          <cell r="D258" t="str">
            <v>00 00 165-100-212</v>
          </cell>
          <cell r="E258">
            <v>0</v>
          </cell>
          <cell r="F258">
            <v>0</v>
          </cell>
          <cell r="G258">
            <v>0</v>
          </cell>
          <cell r="H258">
            <v>-349210986</v>
          </cell>
          <cell r="I258">
            <v>0</v>
          </cell>
          <cell r="J258">
            <v>0</v>
          </cell>
          <cell r="K258">
            <v>-349210986</v>
          </cell>
          <cell r="L258">
            <v>0</v>
          </cell>
          <cell r="M258" t="str">
            <v>Inv.Shares of Stoc-PT Sunray Pte. Ltd.</v>
          </cell>
        </row>
        <row r="259">
          <cell r="A259">
            <v>1810400011</v>
          </cell>
          <cell r="C259" t="str">
            <v>Inv shm-Dvdn:UTHI</v>
          </cell>
          <cell r="D259" t="str">
            <v>00 00 165-100-245</v>
          </cell>
          <cell r="E259">
            <v>0</v>
          </cell>
          <cell r="F259">
            <v>0</v>
          </cell>
          <cell r="G259">
            <v>0</v>
          </cell>
          <cell r="H259">
            <v>-175557910800</v>
          </cell>
          <cell r="I259">
            <v>0</v>
          </cell>
          <cell r="J259">
            <v>0</v>
          </cell>
          <cell r="K259">
            <v>-175557910800</v>
          </cell>
          <cell r="L259">
            <v>0</v>
          </cell>
          <cell r="M259" t="str">
            <v>Inv.Shares of Stoc-UT Heavy Industry (S)</v>
          </cell>
        </row>
        <row r="260">
          <cell r="A260">
            <v>1810400015</v>
          </cell>
          <cell r="C260" t="str">
            <v>Inv shm-Dvdn:BP</v>
          </cell>
          <cell r="D260" t="str">
            <v>00 00 165-100-210</v>
          </cell>
          <cell r="E260">
            <v>0</v>
          </cell>
          <cell r="F260">
            <v>0</v>
          </cell>
          <cell r="G260">
            <v>0</v>
          </cell>
          <cell r="H260">
            <v>-11171300000</v>
          </cell>
          <cell r="I260">
            <v>0</v>
          </cell>
          <cell r="J260">
            <v>0</v>
          </cell>
          <cell r="K260">
            <v>-11171300000</v>
          </cell>
          <cell r="L260">
            <v>0</v>
          </cell>
          <cell r="M260" t="str">
            <v>Inv.Shares of Stoc-PT Bina Pertiwi</v>
          </cell>
        </row>
        <row r="261">
          <cell r="A261">
            <v>1810400017</v>
          </cell>
          <cell r="C261" t="str">
            <v>Inv shm-Dvdn:KRA</v>
          </cell>
          <cell r="D261" t="str">
            <v>00 00 165-100-328</v>
          </cell>
          <cell r="E261">
            <v>0</v>
          </cell>
          <cell r="F261">
            <v>0</v>
          </cell>
          <cell r="G261">
            <v>0</v>
          </cell>
          <cell r="H261">
            <v>-40324926050</v>
          </cell>
          <cell r="I261">
            <v>3043390645</v>
          </cell>
          <cell r="J261">
            <v>880131</v>
          </cell>
          <cell r="K261">
            <v>-37282415536</v>
          </cell>
          <cell r="L261">
            <v>0</v>
          </cell>
          <cell r="M261" t="str">
            <v>Investment in Shar-PT Komatsu Remanufact</v>
          </cell>
        </row>
        <row r="262">
          <cell r="A262">
            <v>2010100000</v>
          </cell>
          <cell r="C262" t="str">
            <v>Hak Atas Tanah</v>
          </cell>
          <cell r="D262" t="str">
            <v>00 00 179-000-000</v>
          </cell>
          <cell r="E262">
            <v>0</v>
          </cell>
          <cell r="F262">
            <v>0</v>
          </cell>
          <cell r="G262">
            <v>0</v>
          </cell>
          <cell r="H262">
            <v>314303972458</v>
          </cell>
          <cell r="I262">
            <v>0</v>
          </cell>
          <cell r="J262">
            <v>0</v>
          </cell>
          <cell r="K262">
            <v>314303972458</v>
          </cell>
          <cell r="L262">
            <v>0</v>
          </cell>
          <cell r="M262" t="str">
            <v>Landrights</v>
          </cell>
        </row>
        <row r="263">
          <cell r="A263">
            <v>2010200000</v>
          </cell>
          <cell r="C263" t="str">
            <v>PPE:Building</v>
          </cell>
          <cell r="D263" t="str">
            <v>00 00 174-020-000</v>
          </cell>
          <cell r="E263">
            <v>0</v>
          </cell>
          <cell r="F263">
            <v>0</v>
          </cell>
          <cell r="G263">
            <v>0</v>
          </cell>
          <cell r="H263">
            <v>309115981219</v>
          </cell>
          <cell r="I263">
            <v>3933944642</v>
          </cell>
          <cell r="J263">
            <v>0</v>
          </cell>
          <cell r="K263">
            <v>313049925861</v>
          </cell>
          <cell r="L263">
            <v>0</v>
          </cell>
          <cell r="M263" t="str">
            <v>PPE - Building</v>
          </cell>
        </row>
        <row r="264">
          <cell r="A264">
            <v>2010300000</v>
          </cell>
          <cell r="C264" t="str">
            <v>PPE:Machine,Tools&amp;Eq</v>
          </cell>
          <cell r="D264" t="str">
            <v>00 00 174-090-000</v>
          </cell>
          <cell r="E264">
            <v>0</v>
          </cell>
          <cell r="F264">
            <v>0</v>
          </cell>
          <cell r="G264">
            <v>0</v>
          </cell>
          <cell r="H264">
            <v>319105423751</v>
          </cell>
          <cell r="I264">
            <v>0</v>
          </cell>
          <cell r="J264">
            <v>0</v>
          </cell>
          <cell r="K264">
            <v>319105423751</v>
          </cell>
          <cell r="L264">
            <v>0</v>
          </cell>
          <cell r="M264" t="str">
            <v>PPE - Tools &amp; Other Equipment</v>
          </cell>
        </row>
        <row r="265">
          <cell r="A265">
            <v>2010300001</v>
          </cell>
          <cell r="C265" t="str">
            <v>PPE:Leasehold Improv</v>
          </cell>
          <cell r="D265" t="str">
            <v>00 00 191-000-000</v>
          </cell>
          <cell r="E265">
            <v>0</v>
          </cell>
          <cell r="F265">
            <v>0</v>
          </cell>
          <cell r="G265">
            <v>0</v>
          </cell>
          <cell r="H265">
            <v>116546143776</v>
          </cell>
          <cell r="I265">
            <v>17256299000</v>
          </cell>
          <cell r="J265">
            <v>0</v>
          </cell>
          <cell r="K265">
            <v>133802442776</v>
          </cell>
          <cell r="L265">
            <v>0</v>
          </cell>
          <cell r="M265" t="str">
            <v>Leasehold Improvements</v>
          </cell>
        </row>
        <row r="266">
          <cell r="A266">
            <v>2010400000</v>
          </cell>
          <cell r="C266" t="str">
            <v>PPE:Transport. Equip</v>
          </cell>
          <cell r="D266" t="str">
            <v>00 00 174-060-000</v>
          </cell>
          <cell r="E266">
            <v>0</v>
          </cell>
          <cell r="F266">
            <v>0</v>
          </cell>
          <cell r="G266">
            <v>0</v>
          </cell>
          <cell r="H266">
            <v>132412729308</v>
          </cell>
          <cell r="I266">
            <v>0</v>
          </cell>
          <cell r="J266">
            <v>0</v>
          </cell>
          <cell r="K266">
            <v>132412729308</v>
          </cell>
          <cell r="L266">
            <v>0</v>
          </cell>
          <cell r="M266" t="str">
            <v>PPE - Transportation Equipment</v>
          </cell>
        </row>
        <row r="267">
          <cell r="A267">
            <v>2010500000</v>
          </cell>
          <cell r="C267" t="str">
            <v>PPE:Office Eqp.&amp;Mess</v>
          </cell>
          <cell r="D267" t="str">
            <v>00 00 174-070-000</v>
          </cell>
          <cell r="E267">
            <v>0</v>
          </cell>
          <cell r="F267">
            <v>0</v>
          </cell>
          <cell r="G267">
            <v>0</v>
          </cell>
          <cell r="H267">
            <v>154688219499</v>
          </cell>
          <cell r="I267">
            <v>0</v>
          </cell>
          <cell r="J267">
            <v>0</v>
          </cell>
          <cell r="K267">
            <v>154688219499</v>
          </cell>
          <cell r="L267">
            <v>0</v>
          </cell>
          <cell r="M267" t="str">
            <v>PPE - Office Equipment</v>
          </cell>
        </row>
        <row r="268">
          <cell r="A268">
            <v>2010600000</v>
          </cell>
          <cell r="C268" t="str">
            <v>PPE:Furniture&amp;Fixtur</v>
          </cell>
          <cell r="D268" t="str">
            <v>00 00 174-080-000</v>
          </cell>
          <cell r="E268">
            <v>0</v>
          </cell>
          <cell r="F268">
            <v>0</v>
          </cell>
          <cell r="G268">
            <v>0</v>
          </cell>
          <cell r="H268">
            <v>13821306072</v>
          </cell>
          <cell r="I268">
            <v>0</v>
          </cell>
          <cell r="J268">
            <v>0</v>
          </cell>
          <cell r="K268">
            <v>13821306072</v>
          </cell>
          <cell r="L268">
            <v>0</v>
          </cell>
          <cell r="M268" t="str">
            <v>PPE - Furniture &amp; Fixture</v>
          </cell>
        </row>
        <row r="269">
          <cell r="A269">
            <v>2050200000</v>
          </cell>
          <cell r="C269" t="str">
            <v>Akm. penyusutan-FA:Gedung</v>
          </cell>
          <cell r="D269" t="str">
            <v>00 00 175-020-000</v>
          </cell>
          <cell r="E269">
            <v>0</v>
          </cell>
          <cell r="F269">
            <v>0</v>
          </cell>
          <cell r="G269">
            <v>0</v>
          </cell>
          <cell r="H269">
            <v>-73248125216</v>
          </cell>
          <cell r="I269">
            <v>0</v>
          </cell>
          <cell r="J269">
            <v>0</v>
          </cell>
          <cell r="K269">
            <v>-73248125216</v>
          </cell>
          <cell r="L269">
            <v>0</v>
          </cell>
          <cell r="M269" t="str">
            <v>Accum. Deprec.- PPE - Buildings</v>
          </cell>
        </row>
        <row r="270">
          <cell r="A270">
            <v>2050300000</v>
          </cell>
          <cell r="C270" t="str">
            <v>Akm. penyusutan-FA:Peralatan d</v>
          </cell>
          <cell r="D270" t="str">
            <v>00 00 175-090-000</v>
          </cell>
          <cell r="E270">
            <v>0</v>
          </cell>
          <cell r="F270">
            <v>0</v>
          </cell>
          <cell r="G270">
            <v>0</v>
          </cell>
          <cell r="H270">
            <v>-169333825938</v>
          </cell>
          <cell r="I270">
            <v>0</v>
          </cell>
          <cell r="J270">
            <v>0</v>
          </cell>
          <cell r="K270">
            <v>-169333825938</v>
          </cell>
          <cell r="L270">
            <v>0</v>
          </cell>
          <cell r="M270" t="str">
            <v>Accum. Deprec.- PPE - Tools &amp; Other Equi</v>
          </cell>
        </row>
        <row r="271">
          <cell r="A271">
            <v>2050300001</v>
          </cell>
          <cell r="C271" t="str">
            <v>Akm. penyusutan-FA:Prasarana</v>
          </cell>
          <cell r="D271" t="str">
            <v>00 00 191-100-000</v>
          </cell>
          <cell r="E271">
            <v>0</v>
          </cell>
          <cell r="F271">
            <v>0</v>
          </cell>
          <cell r="G271">
            <v>0</v>
          </cell>
          <cell r="H271">
            <v>-34450332491</v>
          </cell>
          <cell r="I271">
            <v>0</v>
          </cell>
          <cell r="J271">
            <v>0</v>
          </cell>
          <cell r="K271">
            <v>-34450332491</v>
          </cell>
          <cell r="L271">
            <v>0</v>
          </cell>
          <cell r="M271" t="str">
            <v>Accum. Depreciation-Leasehold Improvemen</v>
          </cell>
        </row>
        <row r="272">
          <cell r="A272">
            <v>2050400000</v>
          </cell>
          <cell r="C272" t="str">
            <v>Akm. penyusutan-FA:Peralatan transport</v>
          </cell>
          <cell r="D272" t="str">
            <v>00 00 175-060-000</v>
          </cell>
          <cell r="E272">
            <v>0</v>
          </cell>
          <cell r="F272">
            <v>0</v>
          </cell>
          <cell r="G272">
            <v>0</v>
          </cell>
          <cell r="H272">
            <v>-107746606329</v>
          </cell>
          <cell r="I272">
            <v>0</v>
          </cell>
          <cell r="J272">
            <v>0</v>
          </cell>
          <cell r="K272">
            <v>-107746606329</v>
          </cell>
          <cell r="L272">
            <v>0</v>
          </cell>
          <cell r="M272" t="str">
            <v>Accum. Deprec.- PPE - Transport.Equipmen</v>
          </cell>
        </row>
        <row r="273">
          <cell r="A273">
            <v>2050500000</v>
          </cell>
          <cell r="C273" t="str">
            <v>Akm. penyusutan-FA:Peralatan kantor</v>
          </cell>
          <cell r="D273" t="str">
            <v>00 00 175-070-000</v>
          </cell>
          <cell r="E273">
            <v>0</v>
          </cell>
          <cell r="F273">
            <v>0</v>
          </cell>
          <cell r="G273">
            <v>0</v>
          </cell>
          <cell r="H273">
            <v>-106127913285</v>
          </cell>
          <cell r="I273">
            <v>0</v>
          </cell>
          <cell r="J273">
            <v>0</v>
          </cell>
          <cell r="K273">
            <v>-106127913285</v>
          </cell>
          <cell r="L273">
            <v>0</v>
          </cell>
          <cell r="M273" t="str">
            <v>Accum. Deprec.- PPE - Office Equipment</v>
          </cell>
        </row>
        <row r="274">
          <cell r="A274">
            <v>2050600000</v>
          </cell>
          <cell r="C274" t="str">
            <v>Akm. penyusutan-FA:Perlengkapan</v>
          </cell>
          <cell r="D274" t="str">
            <v>00 00 175-080-000</v>
          </cell>
          <cell r="E274">
            <v>0</v>
          </cell>
          <cell r="F274">
            <v>0</v>
          </cell>
          <cell r="G274">
            <v>0</v>
          </cell>
          <cell r="H274">
            <v>-9632905109</v>
          </cell>
          <cell r="I274">
            <v>0</v>
          </cell>
          <cell r="J274">
            <v>0</v>
          </cell>
          <cell r="K274">
            <v>-9632905109</v>
          </cell>
          <cell r="L274">
            <v>0</v>
          </cell>
          <cell r="M274" t="str">
            <v>Accum. Deprec.- PPE - Furniture &amp; Fixtur</v>
          </cell>
        </row>
        <row r="275">
          <cell r="A275">
            <v>2110100000</v>
          </cell>
          <cell r="C275" t="str">
            <v>Aktiva yang dioperasikan</v>
          </cell>
          <cell r="D275" t="str">
            <v>00 00 170-000-000</v>
          </cell>
          <cell r="E275">
            <v>0</v>
          </cell>
          <cell r="F275">
            <v>0</v>
          </cell>
          <cell r="G275">
            <v>0</v>
          </cell>
          <cell r="H275">
            <v>23281996170</v>
          </cell>
          <cell r="I275">
            <v>0</v>
          </cell>
          <cell r="J275">
            <v>0</v>
          </cell>
          <cell r="K275">
            <v>23281996170</v>
          </cell>
          <cell r="L275">
            <v>0</v>
          </cell>
          <cell r="M275" t="str">
            <v>Equipment for Lease</v>
          </cell>
        </row>
        <row r="276">
          <cell r="A276">
            <v>2150100000</v>
          </cell>
          <cell r="C276" t="str">
            <v>Ak. Penyusutan Aktiva operasi</v>
          </cell>
          <cell r="D276" t="str">
            <v>00 00 171-000-000</v>
          </cell>
          <cell r="E276">
            <v>0</v>
          </cell>
          <cell r="F276">
            <v>0</v>
          </cell>
          <cell r="G276">
            <v>0</v>
          </cell>
          <cell r="H276">
            <v>-8211951253</v>
          </cell>
          <cell r="I276">
            <v>0</v>
          </cell>
          <cell r="J276">
            <v>0</v>
          </cell>
          <cell r="K276">
            <v>-8211951253</v>
          </cell>
          <cell r="L276">
            <v>0</v>
          </cell>
          <cell r="M276" t="str">
            <v>Accum. Depreciation-Equipment for Lease</v>
          </cell>
        </row>
        <row r="277">
          <cell r="A277">
            <v>2910900000</v>
          </cell>
          <cell r="C277" t="str">
            <v>PPE : Investment Properties</v>
          </cell>
          <cell r="D277" t="str">
            <v>00 00 174-020-000</v>
          </cell>
          <cell r="E277">
            <v>0</v>
          </cell>
          <cell r="F277">
            <v>0</v>
          </cell>
          <cell r="G277">
            <v>0</v>
          </cell>
          <cell r="H277">
            <v>14486547782</v>
          </cell>
          <cell r="I277">
            <v>0</v>
          </cell>
          <cell r="J277">
            <v>0</v>
          </cell>
          <cell r="K277">
            <v>14486547782</v>
          </cell>
          <cell r="L277">
            <v>0</v>
          </cell>
          <cell r="M277" t="str">
            <v>PPE - Building</v>
          </cell>
        </row>
        <row r="278">
          <cell r="A278">
            <v>2910900001</v>
          </cell>
          <cell r="C278" t="str">
            <v>PPE:Investment Properties - Fair Value</v>
          </cell>
          <cell r="D278" t="str">
            <v>00 00 174-020-000</v>
          </cell>
          <cell r="E278">
            <v>0</v>
          </cell>
          <cell r="F278">
            <v>0</v>
          </cell>
          <cell r="G278">
            <v>0</v>
          </cell>
          <cell r="H278">
            <v>7804252218</v>
          </cell>
          <cell r="I278">
            <v>0</v>
          </cell>
          <cell r="J278">
            <v>0</v>
          </cell>
          <cell r="K278">
            <v>7804252218</v>
          </cell>
          <cell r="L278">
            <v>0</v>
          </cell>
          <cell r="M278" t="str">
            <v>PPE - Building</v>
          </cell>
        </row>
        <row r="279">
          <cell r="A279">
            <v>2920000000</v>
          </cell>
          <cell r="C279" t="str">
            <v>Bangunan Dalam Proses</v>
          </cell>
          <cell r="D279" t="str">
            <v>00 00 189-000-000</v>
          </cell>
          <cell r="E279">
            <v>0</v>
          </cell>
          <cell r="F279">
            <v>0</v>
          </cell>
          <cell r="G279">
            <v>0</v>
          </cell>
          <cell r="H279">
            <v>57440323803</v>
          </cell>
          <cell r="I279">
            <v>7533977204</v>
          </cell>
          <cell r="J279">
            <v>21190243642</v>
          </cell>
          <cell r="K279">
            <v>43784057365</v>
          </cell>
          <cell r="L279">
            <v>0</v>
          </cell>
          <cell r="M279" t="str">
            <v>Construction in Progress</v>
          </cell>
        </row>
        <row r="280">
          <cell r="A280">
            <v>2920000001</v>
          </cell>
          <cell r="C280" t="str">
            <v>U/M Pembelian Aktiva Tetap</v>
          </cell>
          <cell r="D280" t="str">
            <v>00 00 189-000-000</v>
          </cell>
          <cell r="E280">
            <v>0</v>
          </cell>
          <cell r="F280">
            <v>0</v>
          </cell>
          <cell r="G280">
            <v>0</v>
          </cell>
          <cell r="H280">
            <v>5080697141</v>
          </cell>
          <cell r="I280">
            <v>0</v>
          </cell>
          <cell r="J280">
            <v>5080697141</v>
          </cell>
          <cell r="K280">
            <v>0</v>
          </cell>
          <cell r="L280">
            <v>0</v>
          </cell>
          <cell r="M280" t="str">
            <v>Construction in Progress</v>
          </cell>
        </row>
        <row r="281">
          <cell r="A281">
            <v>2930000000</v>
          </cell>
          <cell r="C281" t="str">
            <v>Pinjaman Karyawan</v>
          </cell>
          <cell r="D281" t="str">
            <v>00 00 193-000-000</v>
          </cell>
          <cell r="E281">
            <v>0</v>
          </cell>
          <cell r="F281">
            <v>0</v>
          </cell>
          <cell r="G281">
            <v>0</v>
          </cell>
          <cell r="H281">
            <v>23583744987</v>
          </cell>
          <cell r="I281">
            <v>118387800</v>
          </cell>
          <cell r="J281">
            <v>0</v>
          </cell>
          <cell r="K281">
            <v>23702132787</v>
          </cell>
          <cell r="L281">
            <v>0</v>
          </cell>
          <cell r="M281" t="str">
            <v>Loans to Officers and Employees</v>
          </cell>
        </row>
        <row r="282">
          <cell r="A282">
            <v>2940300000</v>
          </cell>
          <cell r="C282" t="str">
            <v>Beban Yg Ditangguhkan:Pro Cred</v>
          </cell>
          <cell r="D282" t="str">
            <v>00 00 185-900-000</v>
          </cell>
          <cell r="E282">
            <v>0</v>
          </cell>
          <cell r="F282">
            <v>0</v>
          </cell>
          <cell r="G282">
            <v>0</v>
          </cell>
          <cell r="H282">
            <v>21885234107</v>
          </cell>
          <cell r="I282">
            <v>0</v>
          </cell>
          <cell r="J282">
            <v>1013898196</v>
          </cell>
          <cell r="K282">
            <v>20871335911</v>
          </cell>
          <cell r="L282">
            <v>0</v>
          </cell>
          <cell r="M282" t="str">
            <v>Deffered others</v>
          </cell>
        </row>
        <row r="283">
          <cell r="A283">
            <v>2960100000</v>
          </cell>
          <cell r="C283" t="str">
            <v>Claim for Tax Refund:PPH</v>
          </cell>
          <cell r="D283" t="str">
            <v>00 00 192-100-000</v>
          </cell>
          <cell r="E283">
            <v>0</v>
          </cell>
          <cell r="F283">
            <v>0</v>
          </cell>
          <cell r="G283">
            <v>0</v>
          </cell>
          <cell r="H283">
            <v>7621012352</v>
          </cell>
          <cell r="I283">
            <v>0</v>
          </cell>
          <cell r="J283">
            <v>0</v>
          </cell>
          <cell r="K283">
            <v>7621012352</v>
          </cell>
          <cell r="L283">
            <v>0</v>
          </cell>
          <cell r="M283" t="str">
            <v>Claims for tax refund-income tax</v>
          </cell>
        </row>
        <row r="284">
          <cell r="A284">
            <v>2990100003</v>
          </cell>
          <cell r="C284" t="str">
            <v>Jaminan:Keanggotaan</v>
          </cell>
          <cell r="D284" t="str">
            <v>00 00 194-200-000</v>
          </cell>
          <cell r="E284">
            <v>0</v>
          </cell>
          <cell r="F284">
            <v>0</v>
          </cell>
          <cell r="G284">
            <v>0</v>
          </cell>
          <cell r="H284">
            <v>355925000</v>
          </cell>
          <cell r="I284">
            <v>0</v>
          </cell>
          <cell r="J284">
            <v>0</v>
          </cell>
          <cell r="K284">
            <v>355925000</v>
          </cell>
          <cell r="L284">
            <v>0</v>
          </cell>
          <cell r="M284" t="str">
            <v>Sec.&amp; Refund.Deposit - 3rd Parties</v>
          </cell>
        </row>
        <row r="285">
          <cell r="A285">
            <v>2990100004</v>
          </cell>
          <cell r="C285" t="str">
            <v>Jaminan:Residence</v>
          </cell>
          <cell r="D285" t="str">
            <v>00 00 194-200-000</v>
          </cell>
          <cell r="E285">
            <v>0</v>
          </cell>
          <cell r="F285">
            <v>0</v>
          </cell>
          <cell r="G285">
            <v>0</v>
          </cell>
          <cell r="H285">
            <v>57945000</v>
          </cell>
          <cell r="I285">
            <v>0</v>
          </cell>
          <cell r="J285">
            <v>0</v>
          </cell>
          <cell r="K285">
            <v>57945000</v>
          </cell>
          <cell r="L285">
            <v>0</v>
          </cell>
          <cell r="M285" t="str">
            <v>Sec.&amp; Refund.Deposit - 3rd Parties</v>
          </cell>
        </row>
        <row r="286">
          <cell r="A286">
            <v>2990300000</v>
          </cell>
          <cell r="C286" t="str">
            <v>Aktiva Berwujud-Medali Emas Ta</v>
          </cell>
          <cell r="D286" t="str">
            <v>00 00 199-000-000</v>
          </cell>
          <cell r="E286">
            <v>0</v>
          </cell>
          <cell r="F286">
            <v>0</v>
          </cell>
          <cell r="G286">
            <v>0</v>
          </cell>
          <cell r="H286">
            <v>428174610</v>
          </cell>
          <cell r="I286">
            <v>27759522</v>
          </cell>
          <cell r="J286">
            <v>0</v>
          </cell>
          <cell r="K286">
            <v>455934132</v>
          </cell>
          <cell r="L286">
            <v>0</v>
          </cell>
          <cell r="M286" t="str">
            <v>Others Assets</v>
          </cell>
        </row>
        <row r="287">
          <cell r="A287">
            <v>3213000000</v>
          </cell>
          <cell r="B287" t="str">
            <v>0040000878</v>
          </cell>
          <cell r="C287" t="str">
            <v>A/P trade:affco:KRA</v>
          </cell>
          <cell r="D287" t="str">
            <v>00 00 210-000-328</v>
          </cell>
          <cell r="E287">
            <v>0</v>
          </cell>
          <cell r="F287">
            <v>0</v>
          </cell>
          <cell r="G287">
            <v>0</v>
          </cell>
          <cell r="H287">
            <v>-50755504732</v>
          </cell>
          <cell r="I287">
            <v>6923647499</v>
          </cell>
          <cell r="J287">
            <v>69566613033</v>
          </cell>
          <cell r="K287">
            <v>-113398470266</v>
          </cell>
          <cell r="L287">
            <v>0</v>
          </cell>
          <cell r="M287" t="str">
            <v>A/P Trade - AffCo -PT Komatsu Remanufact</v>
          </cell>
        </row>
        <row r="288">
          <cell r="A288">
            <v>3213000000</v>
          </cell>
          <cell r="B288" t="str">
            <v>0040001568</v>
          </cell>
          <cell r="C288" t="str">
            <v>A/P Trade UTPE</v>
          </cell>
          <cell r="D288" t="str">
            <v>00 00 210-000-156</v>
          </cell>
          <cell r="E288">
            <v>0</v>
          </cell>
          <cell r="F288">
            <v>0</v>
          </cell>
          <cell r="G288">
            <v>0</v>
          </cell>
          <cell r="H288">
            <v>-7937982849</v>
          </cell>
          <cell r="I288">
            <v>0</v>
          </cell>
          <cell r="J288">
            <v>3084436006</v>
          </cell>
          <cell r="K288">
            <v>-11022418855</v>
          </cell>
          <cell r="L288">
            <v>0</v>
          </cell>
          <cell r="M288" t="str">
            <v>A/P Trade - AffCo -PT United Tractors Pa</v>
          </cell>
        </row>
        <row r="289">
          <cell r="A289">
            <v>3213000000</v>
          </cell>
          <cell r="B289" t="str">
            <v>0040002483</v>
          </cell>
          <cell r="C289" t="str">
            <v>HMU</v>
          </cell>
          <cell r="D289" t="str">
            <v>00 00 210-000-220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32640</v>
          </cell>
          <cell r="J289">
            <v>3283870290</v>
          </cell>
          <cell r="K289">
            <v>-3283837650</v>
          </cell>
          <cell r="L289">
            <v>0</v>
          </cell>
          <cell r="M289" t="str">
            <v>A/P Trade - AffCo -PT Hokkuriku United F</v>
          </cell>
        </row>
        <row r="290">
          <cell r="A290">
            <v>3213000000</v>
          </cell>
          <cell r="B290" t="str">
            <v>0080000754</v>
          </cell>
          <cell r="C290" t="str">
            <v>ASTRA GRAPHIA</v>
          </cell>
          <cell r="D290" t="str">
            <v>00 00 210-000-014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767250</v>
          </cell>
          <cell r="K290">
            <v>-767250</v>
          </cell>
          <cell r="L290">
            <v>0</v>
          </cell>
          <cell r="M290" t="str">
            <v>A/P Trade - AffCo -PT Astra Graphia</v>
          </cell>
        </row>
        <row r="291">
          <cell r="A291">
            <v>3213000000</v>
          </cell>
          <cell r="B291" t="str">
            <v>0120000002</v>
          </cell>
          <cell r="C291" t="str">
            <v>PT UTE</v>
          </cell>
          <cell r="D291" t="str">
            <v>00 00 210-000-156</v>
          </cell>
          <cell r="E291">
            <v>0</v>
          </cell>
          <cell r="F291">
            <v>0</v>
          </cell>
          <cell r="G291">
            <v>0</v>
          </cell>
          <cell r="H291">
            <v>-412335847</v>
          </cell>
          <cell r="I291">
            <v>1249474390</v>
          </cell>
          <cell r="J291">
            <v>17749013357</v>
          </cell>
          <cell r="K291">
            <v>-16911874814</v>
          </cell>
          <cell r="L291">
            <v>0</v>
          </cell>
          <cell r="M291" t="str">
            <v>A/P Trade - AffCo -PT United Tractors Pa</v>
          </cell>
        </row>
        <row r="292">
          <cell r="A292">
            <v>3213000000</v>
          </cell>
          <cell r="B292" t="str">
            <v>0120000003</v>
          </cell>
          <cell r="C292" t="str">
            <v>PT Komatsu Indonesia</v>
          </cell>
          <cell r="D292" t="str">
            <v>00 00 210-000-088</v>
          </cell>
          <cell r="E292">
            <v>0</v>
          </cell>
          <cell r="F292">
            <v>0</v>
          </cell>
          <cell r="G292">
            <v>0</v>
          </cell>
          <cell r="H292">
            <v>-290356311673</v>
          </cell>
          <cell r="I292">
            <v>0</v>
          </cell>
          <cell r="J292">
            <v>2324984400</v>
          </cell>
          <cell r="K292">
            <v>-292681296073</v>
          </cell>
          <cell r="L292">
            <v>0</v>
          </cell>
          <cell r="M292" t="str">
            <v>A/P Trade - AffCo -PT Komatsu Indonesia</v>
          </cell>
        </row>
        <row r="293">
          <cell r="A293">
            <v>3213000000</v>
          </cell>
          <cell r="B293" t="str">
            <v>0120000005</v>
          </cell>
          <cell r="C293" t="str">
            <v>PT Traktor Nusantara</v>
          </cell>
          <cell r="D293" t="str">
            <v>00 00 210-000-150</v>
          </cell>
          <cell r="E293">
            <v>0</v>
          </cell>
          <cell r="F293">
            <v>0</v>
          </cell>
          <cell r="G293">
            <v>0</v>
          </cell>
          <cell r="H293">
            <v>-97895155</v>
          </cell>
          <cell r="I293">
            <v>0</v>
          </cell>
          <cell r="J293">
            <v>0</v>
          </cell>
          <cell r="K293">
            <v>-97895155</v>
          </cell>
          <cell r="L293">
            <v>0</v>
          </cell>
          <cell r="M293" t="str">
            <v>A/P Trade - AffCo -PT Traktor Nusantara</v>
          </cell>
        </row>
        <row r="294">
          <cell r="A294">
            <v>3213000000</v>
          </cell>
          <cell r="B294" t="str">
            <v>0120000006</v>
          </cell>
          <cell r="C294" t="str">
            <v>PT Bina Pertiwi</v>
          </cell>
          <cell r="D294" t="str">
            <v>00 00 210-000-210</v>
          </cell>
          <cell r="E294">
            <v>0</v>
          </cell>
          <cell r="F294">
            <v>0</v>
          </cell>
          <cell r="G294">
            <v>0</v>
          </cell>
          <cell r="H294">
            <v>-2270428263</v>
          </cell>
          <cell r="I294">
            <v>2792335083</v>
          </cell>
          <cell r="J294">
            <v>521906820</v>
          </cell>
          <cell r="K294">
            <v>0</v>
          </cell>
          <cell r="L294">
            <v>0</v>
          </cell>
          <cell r="M294" t="str">
            <v>A/P Trade - AffCo -PT Bina Pertiwi</v>
          </cell>
        </row>
        <row r="295">
          <cell r="A295">
            <v>3213000000</v>
          </cell>
          <cell r="B295" t="str">
            <v>0120000046</v>
          </cell>
          <cell r="C295" t="str">
            <v>A/P Trade - UTE</v>
          </cell>
          <cell r="D295" t="str">
            <v>00 00 210-000-156</v>
          </cell>
          <cell r="E295">
            <v>0</v>
          </cell>
          <cell r="F295">
            <v>0</v>
          </cell>
          <cell r="G295">
            <v>0</v>
          </cell>
          <cell r="H295">
            <v>-5331026250</v>
          </cell>
          <cell r="I295">
            <v>0</v>
          </cell>
          <cell r="J295">
            <v>7972557700</v>
          </cell>
          <cell r="K295">
            <v>-13303583950</v>
          </cell>
          <cell r="L295">
            <v>0</v>
          </cell>
          <cell r="M295" t="str">
            <v>A/P Trade - AffCo -PT United Tractors Pa</v>
          </cell>
        </row>
        <row r="296">
          <cell r="A296">
            <v>3213000000</v>
          </cell>
          <cell r="B296" t="str">
            <v>0120000176</v>
          </cell>
          <cell r="C296" t="str">
            <v>MULTI PRIMA UNIVERSAL</v>
          </cell>
          <cell r="D296" t="str">
            <v>00 00 210-000-113</v>
          </cell>
          <cell r="E296">
            <v>0</v>
          </cell>
          <cell r="F296">
            <v>0</v>
          </cell>
          <cell r="G296">
            <v>0</v>
          </cell>
          <cell r="H296">
            <v>-310367887</v>
          </cell>
          <cell r="I296">
            <v>310367887</v>
          </cell>
          <cell r="J296">
            <v>0</v>
          </cell>
          <cell r="K296">
            <v>0</v>
          </cell>
          <cell r="L296">
            <v>0</v>
          </cell>
          <cell r="M296" t="str">
            <v>A/P Trade - AffCo -PT Pandu Dayatama Pat</v>
          </cell>
        </row>
        <row r="297">
          <cell r="A297">
            <v>3219000000</v>
          </cell>
          <cell r="C297" t="str">
            <v>Hutang Usaha-Lokal:Non Affco</v>
          </cell>
          <cell r="D297" t="str">
            <v>00 00 211-000-000</v>
          </cell>
          <cell r="E297">
            <v>0</v>
          </cell>
          <cell r="F297">
            <v>0</v>
          </cell>
          <cell r="G297">
            <v>0</v>
          </cell>
          <cell r="H297">
            <v>-417775488041</v>
          </cell>
          <cell r="I297">
            <v>3330851888</v>
          </cell>
          <cell r="J297">
            <v>67724872942</v>
          </cell>
          <cell r="K297">
            <v>-482169509095</v>
          </cell>
          <cell r="L297">
            <v>0</v>
          </cell>
          <cell r="M297" t="str">
            <v>A/P Trade - 3rd Parties</v>
          </cell>
        </row>
        <row r="298">
          <cell r="A298">
            <v>3219000090</v>
          </cell>
          <cell r="C298" t="str">
            <v>BS Adjustment:AP Trade-Lokal:N</v>
          </cell>
          <cell r="D298" t="str">
            <v>00 00 211-000-000</v>
          </cell>
          <cell r="E298">
            <v>0</v>
          </cell>
          <cell r="F298">
            <v>0</v>
          </cell>
          <cell r="G298">
            <v>0</v>
          </cell>
          <cell r="H298">
            <v>7274819019</v>
          </cell>
          <cell r="I298">
            <v>337806629</v>
          </cell>
          <cell r="J298">
            <v>0</v>
          </cell>
          <cell r="K298">
            <v>7612625648</v>
          </cell>
          <cell r="L298">
            <v>0</v>
          </cell>
          <cell r="M298" t="str">
            <v>A/P Trade - 3rd Parties</v>
          </cell>
        </row>
        <row r="299">
          <cell r="A299">
            <v>3253000000</v>
          </cell>
          <cell r="B299" t="str">
            <v>0010000029</v>
          </cell>
          <cell r="C299" t="str">
            <v>AP Trade Affco : KAP</v>
          </cell>
          <cell r="D299" t="str">
            <v>00 00 212-000-058</v>
          </cell>
          <cell r="E299">
            <v>0</v>
          </cell>
          <cell r="F299">
            <v>0</v>
          </cell>
          <cell r="G299">
            <v>0</v>
          </cell>
          <cell r="H299">
            <v>-2584740</v>
          </cell>
          <cell r="I299">
            <v>0</v>
          </cell>
          <cell r="J299">
            <v>0</v>
          </cell>
          <cell r="K299">
            <v>-2584740</v>
          </cell>
          <cell r="L299">
            <v>0</v>
          </cell>
          <cell r="M299" t="str">
            <v>AP Trade Related P-Komatsu Asia Pacific</v>
          </cell>
        </row>
        <row r="300">
          <cell r="A300">
            <v>3253000000</v>
          </cell>
          <cell r="B300" t="str">
            <v>0030000092</v>
          </cell>
          <cell r="C300" t="str">
            <v>AP Trade Affco : KAP</v>
          </cell>
          <cell r="D300" t="str">
            <v>00 00 212-000-058</v>
          </cell>
          <cell r="E300">
            <v>0</v>
          </cell>
          <cell r="F300">
            <v>0</v>
          </cell>
          <cell r="G300">
            <v>0</v>
          </cell>
          <cell r="H300">
            <v>-12116816572</v>
          </cell>
          <cell r="I300">
            <v>0</v>
          </cell>
          <cell r="J300">
            <v>1098637743</v>
          </cell>
          <cell r="K300">
            <v>-13215454315</v>
          </cell>
          <cell r="L300">
            <v>0</v>
          </cell>
          <cell r="M300" t="str">
            <v>AP Trade Related P-Komatsu Asia Pacific</v>
          </cell>
        </row>
        <row r="301">
          <cell r="A301">
            <v>3253000000</v>
          </cell>
          <cell r="B301" t="str">
            <v>0030000146</v>
          </cell>
          <cell r="C301" t="str">
            <v>AP trde LN Multico</v>
          </cell>
          <cell r="D301" t="str">
            <v>00 00 212-000-073</v>
          </cell>
          <cell r="E301">
            <v>0</v>
          </cell>
          <cell r="F301">
            <v>0</v>
          </cell>
          <cell r="G301">
            <v>0</v>
          </cell>
          <cell r="H301">
            <v>-187234445</v>
          </cell>
          <cell r="I301">
            <v>0</v>
          </cell>
          <cell r="J301">
            <v>0</v>
          </cell>
          <cell r="K301">
            <v>-187234445</v>
          </cell>
          <cell r="L301">
            <v>0</v>
          </cell>
          <cell r="M301" t="str">
            <v>AP Trade Related P-Multi Corporation (S)</v>
          </cell>
        </row>
        <row r="302">
          <cell r="A302">
            <v>3253000000</v>
          </cell>
          <cell r="B302" t="str">
            <v>0080000988</v>
          </cell>
          <cell r="C302" t="str">
            <v>AP Tarde LN : Rel Par - MCS</v>
          </cell>
          <cell r="D302" t="str">
            <v>00 00 212-000-073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71284659</v>
          </cell>
          <cell r="K302">
            <v>-71284659</v>
          </cell>
          <cell r="L302">
            <v>0</v>
          </cell>
          <cell r="M302" t="str">
            <v>AP Trade Related P-Multi Corporation (S)</v>
          </cell>
        </row>
        <row r="303">
          <cell r="A303">
            <v>3253000000</v>
          </cell>
          <cell r="B303" t="str">
            <v>0120000087</v>
          </cell>
          <cell r="C303" t="str">
            <v>A/P Trade Affco - UTHI</v>
          </cell>
          <cell r="D303" t="str">
            <v>00 00 210-000-245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66009150</v>
          </cell>
          <cell r="J303">
            <v>66009150</v>
          </cell>
          <cell r="K303">
            <v>0</v>
          </cell>
          <cell r="L303">
            <v>0</v>
          </cell>
          <cell r="M303" t="str">
            <v>A/P Trade - AffCo -UT Heavy Industry (S)</v>
          </cell>
        </row>
        <row r="304">
          <cell r="A304">
            <v>3253000000</v>
          </cell>
          <cell r="B304" t="str">
            <v>0120000101</v>
          </cell>
          <cell r="C304" t="str">
            <v>A/P Trade Affco - UTHI</v>
          </cell>
          <cell r="D304" t="str">
            <v>00 00 210-000-245</v>
          </cell>
          <cell r="E304">
            <v>0</v>
          </cell>
          <cell r="F304">
            <v>0</v>
          </cell>
          <cell r="G304">
            <v>0</v>
          </cell>
          <cell r="H304">
            <v>11421763870</v>
          </cell>
          <cell r="I304">
            <v>0</v>
          </cell>
          <cell r="J304">
            <v>11421763870</v>
          </cell>
          <cell r="K304">
            <v>0</v>
          </cell>
          <cell r="L304">
            <v>0</v>
          </cell>
          <cell r="M304" t="str">
            <v>A/P Trade - AffCo -UT Heavy Industry (S)</v>
          </cell>
        </row>
        <row r="305">
          <cell r="A305">
            <v>3253000000</v>
          </cell>
          <cell r="B305" t="str">
            <v>0120000102</v>
          </cell>
          <cell r="C305" t="str">
            <v>A/P Trade Affco - UTHI</v>
          </cell>
          <cell r="D305" t="str">
            <v>00 00 210-000-245</v>
          </cell>
          <cell r="E305">
            <v>0</v>
          </cell>
          <cell r="F305">
            <v>0</v>
          </cell>
          <cell r="G305">
            <v>0</v>
          </cell>
          <cell r="H305">
            <v>1147431805</v>
          </cell>
          <cell r="I305">
            <v>0</v>
          </cell>
          <cell r="J305">
            <v>1147431805</v>
          </cell>
          <cell r="K305">
            <v>0</v>
          </cell>
          <cell r="L305">
            <v>0</v>
          </cell>
          <cell r="M305" t="str">
            <v>A/P Trade - AffCo -UT Heavy Industry (S)</v>
          </cell>
        </row>
        <row r="306">
          <cell r="A306">
            <v>3253000000</v>
          </cell>
          <cell r="B306" t="str">
            <v>0120000103</v>
          </cell>
          <cell r="C306" t="str">
            <v>A/P Trade Affco - UTHI</v>
          </cell>
          <cell r="D306" t="str">
            <v>00 00 210-000-245</v>
          </cell>
          <cell r="E306">
            <v>0</v>
          </cell>
          <cell r="F306">
            <v>0</v>
          </cell>
          <cell r="G306">
            <v>0</v>
          </cell>
          <cell r="H306">
            <v>-7666302812</v>
          </cell>
          <cell r="I306">
            <v>7666302812</v>
          </cell>
          <cell r="J306">
            <v>0</v>
          </cell>
          <cell r="K306">
            <v>0</v>
          </cell>
          <cell r="L306">
            <v>0</v>
          </cell>
          <cell r="M306" t="str">
            <v>A/P Trade - AffCo -UT Heavy Industry (S)</v>
          </cell>
        </row>
        <row r="307">
          <cell r="A307">
            <v>3259000000</v>
          </cell>
          <cell r="C307" t="str">
            <v>AP trade-Luar Negeri:Non Affco</v>
          </cell>
          <cell r="D307" t="str">
            <v>00 00 211-000-000</v>
          </cell>
          <cell r="E307">
            <v>0</v>
          </cell>
          <cell r="F307">
            <v>0</v>
          </cell>
          <cell r="G307">
            <v>0</v>
          </cell>
          <cell r="H307">
            <v>-1237971900569</v>
          </cell>
          <cell r="I307">
            <v>6696958182</v>
          </cell>
          <cell r="J307">
            <v>36255297380</v>
          </cell>
          <cell r="K307">
            <v>-1267530239767</v>
          </cell>
          <cell r="L307">
            <v>0</v>
          </cell>
          <cell r="M307" t="str">
            <v>A/P Trade - 3rd Parties</v>
          </cell>
        </row>
        <row r="308">
          <cell r="A308">
            <v>3259000090</v>
          </cell>
          <cell r="C308" t="str">
            <v>BS Adjustment:AP Trade-Luar Ne</v>
          </cell>
          <cell r="D308" t="str">
            <v>00 00 211-000-000</v>
          </cell>
          <cell r="E308">
            <v>0</v>
          </cell>
          <cell r="F308">
            <v>0</v>
          </cell>
          <cell r="G308">
            <v>0</v>
          </cell>
          <cell r="H308">
            <v>8532124074</v>
          </cell>
          <cell r="I308">
            <v>0</v>
          </cell>
          <cell r="J308">
            <v>0</v>
          </cell>
          <cell r="K308">
            <v>8532124074</v>
          </cell>
          <cell r="L308">
            <v>0</v>
          </cell>
          <cell r="M308" t="str">
            <v>A/P Trade - 3rd Parties</v>
          </cell>
        </row>
        <row r="309">
          <cell r="A309">
            <v>3263100000</v>
          </cell>
          <cell r="B309" t="str">
            <v>0040000005</v>
          </cell>
          <cell r="C309" t="str">
            <v>AP Non Trade Rel Par : Isuzu Sales Operation</v>
          </cell>
          <cell r="D309" t="str">
            <v>00 00 220-000-004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2218500000</v>
          </cell>
          <cell r="K309">
            <v>-2218500000</v>
          </cell>
          <cell r="L309">
            <v>0</v>
          </cell>
          <cell r="M309" t="str">
            <v>A/P - Non Trade - -PT AI - Isuzu Sales</v>
          </cell>
        </row>
        <row r="310">
          <cell r="A310">
            <v>3263100000</v>
          </cell>
          <cell r="B310" t="str">
            <v>0040000713</v>
          </cell>
          <cell r="C310" t="str">
            <v>AP Non Trade Rel Par : Astra Graphia</v>
          </cell>
          <cell r="D310" t="str">
            <v>00 00 220-000-014</v>
          </cell>
          <cell r="E310">
            <v>0</v>
          </cell>
          <cell r="F310">
            <v>0</v>
          </cell>
          <cell r="G310">
            <v>0</v>
          </cell>
          <cell r="H310">
            <v>-2105830</v>
          </cell>
          <cell r="I310">
            <v>0</v>
          </cell>
          <cell r="J310">
            <v>0</v>
          </cell>
          <cell r="K310">
            <v>-2105830</v>
          </cell>
          <cell r="L310">
            <v>0</v>
          </cell>
          <cell r="M310" t="str">
            <v>A/P - Non Trade - -PT Astra Graphia</v>
          </cell>
        </row>
        <row r="311">
          <cell r="A311">
            <v>3263100000</v>
          </cell>
          <cell r="B311" t="str">
            <v>0040000878</v>
          </cell>
          <cell r="C311" t="str">
            <v>A/P non Trade Affco - KRA</v>
          </cell>
          <cell r="D311" t="str">
            <v>00 00 220-000-328</v>
          </cell>
          <cell r="E311">
            <v>0</v>
          </cell>
          <cell r="F311">
            <v>0</v>
          </cell>
          <cell r="G311">
            <v>0</v>
          </cell>
          <cell r="H311">
            <v>101500000</v>
          </cell>
          <cell r="I311">
            <v>0</v>
          </cell>
          <cell r="J311">
            <v>101500000</v>
          </cell>
          <cell r="K311">
            <v>0</v>
          </cell>
          <cell r="L311">
            <v>0</v>
          </cell>
          <cell r="M311" t="str">
            <v>A/P - Non Trade - -PT Komatsu Remanufact</v>
          </cell>
        </row>
        <row r="312">
          <cell r="A312">
            <v>3263100000</v>
          </cell>
          <cell r="B312" t="str">
            <v>0040002227</v>
          </cell>
          <cell r="C312" t="str">
            <v>AP Nontrade affco - Pama Persada</v>
          </cell>
          <cell r="D312" t="str">
            <v>00 00 220-000-112</v>
          </cell>
          <cell r="E312">
            <v>0</v>
          </cell>
          <cell r="F312">
            <v>0</v>
          </cell>
          <cell r="G312">
            <v>0</v>
          </cell>
          <cell r="H312">
            <v>-145411271</v>
          </cell>
          <cell r="I312">
            <v>145411271</v>
          </cell>
          <cell r="J312">
            <v>446922332</v>
          </cell>
          <cell r="K312">
            <v>-446922332</v>
          </cell>
          <cell r="L312">
            <v>0</v>
          </cell>
          <cell r="M312" t="str">
            <v>A/P - Non Trade - -PT Pama Persada Nusan</v>
          </cell>
        </row>
        <row r="313">
          <cell r="A313">
            <v>3263100000</v>
          </cell>
          <cell r="B313" t="str">
            <v>0070000000</v>
          </cell>
          <cell r="C313" t="str">
            <v>AP Non Trade Lokal : Asuransi Astra Buana</v>
          </cell>
          <cell r="D313" t="str">
            <v>00 00 220-000-026</v>
          </cell>
          <cell r="E313">
            <v>0</v>
          </cell>
          <cell r="F313">
            <v>0</v>
          </cell>
          <cell r="G313">
            <v>0</v>
          </cell>
          <cell r="H313">
            <v>-2632077170</v>
          </cell>
          <cell r="I313">
            <v>0</v>
          </cell>
          <cell r="J313">
            <v>245380874</v>
          </cell>
          <cell r="K313">
            <v>-2877458044</v>
          </cell>
          <cell r="L313">
            <v>0</v>
          </cell>
          <cell r="M313" t="str">
            <v>A/P - Non Trade - -PT Asuransi Astra Bua</v>
          </cell>
        </row>
        <row r="314">
          <cell r="A314">
            <v>3263100000</v>
          </cell>
          <cell r="B314" t="str">
            <v>0070000049</v>
          </cell>
          <cell r="C314" t="str">
            <v>AP Non Trade Local Affco - AAB</v>
          </cell>
          <cell r="D314" t="str">
            <v>00 00 220-000-026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61057650</v>
          </cell>
          <cell r="K314">
            <v>-61057650</v>
          </cell>
          <cell r="L314">
            <v>0</v>
          </cell>
          <cell r="M314" t="str">
            <v>A/P - Non Trade - -PT Asuransi Astra Bua</v>
          </cell>
        </row>
        <row r="315">
          <cell r="A315">
            <v>3263100000</v>
          </cell>
          <cell r="B315" t="str">
            <v>0080000044</v>
          </cell>
          <cell r="C315" t="str">
            <v>AP Nontrade affco - Astra graphia</v>
          </cell>
          <cell r="D315" t="str">
            <v>00 00 220-000-014</v>
          </cell>
          <cell r="E315">
            <v>0</v>
          </cell>
          <cell r="F315">
            <v>0</v>
          </cell>
          <cell r="G315">
            <v>0</v>
          </cell>
          <cell r="H315">
            <v>-11073229</v>
          </cell>
          <cell r="I315">
            <v>0</v>
          </cell>
          <cell r="J315">
            <v>0</v>
          </cell>
          <cell r="K315">
            <v>-11073229</v>
          </cell>
          <cell r="L315">
            <v>0</v>
          </cell>
          <cell r="M315" t="str">
            <v>A/P - Non Trade - -PT Astra Graphia</v>
          </cell>
        </row>
        <row r="316">
          <cell r="A316">
            <v>3263100000</v>
          </cell>
          <cell r="B316" t="str">
            <v>0080000250</v>
          </cell>
          <cell r="C316" t="str">
            <v>AP Non Trade Rel Part: SAR</v>
          </cell>
          <cell r="D316" t="str">
            <v>00 00 220-000-209</v>
          </cell>
          <cell r="E316">
            <v>0</v>
          </cell>
          <cell r="F316">
            <v>0</v>
          </cell>
          <cell r="G316">
            <v>0</v>
          </cell>
          <cell r="H316">
            <v>-694022019</v>
          </cell>
          <cell r="I316">
            <v>0</v>
          </cell>
          <cell r="J316">
            <v>0</v>
          </cell>
          <cell r="K316">
            <v>-694022019</v>
          </cell>
          <cell r="L316">
            <v>0</v>
          </cell>
          <cell r="M316" t="str">
            <v>A/P - Non Trade - -PT Serasi Autoraya</v>
          </cell>
        </row>
        <row r="317">
          <cell r="A317">
            <v>3263100000</v>
          </cell>
          <cell r="B317" t="str">
            <v>0080000484</v>
          </cell>
          <cell r="C317" t="str">
            <v>AP Non Trade Rel Par : Daihatsu Sales Operation</v>
          </cell>
          <cell r="D317" t="str">
            <v>00 00 220-000-003</v>
          </cell>
          <cell r="E317">
            <v>0</v>
          </cell>
          <cell r="F317">
            <v>0</v>
          </cell>
          <cell r="G317">
            <v>0</v>
          </cell>
          <cell r="H317">
            <v>-21340801</v>
          </cell>
          <cell r="I317">
            <v>0</v>
          </cell>
          <cell r="J317">
            <v>0</v>
          </cell>
          <cell r="K317">
            <v>-21340801</v>
          </cell>
          <cell r="L317">
            <v>0</v>
          </cell>
          <cell r="M317" t="str">
            <v>A/P - Non Trade - -PT AI - Daihatsu Sale</v>
          </cell>
        </row>
        <row r="318">
          <cell r="A318">
            <v>3263100000</v>
          </cell>
          <cell r="B318" t="str">
            <v>0080000498</v>
          </cell>
          <cell r="C318" t="str">
            <v>AP Non Trade Lokal : Astra Graphia</v>
          </cell>
          <cell r="D318" t="str">
            <v>00 00 220-000-014</v>
          </cell>
          <cell r="E318">
            <v>0</v>
          </cell>
          <cell r="F318">
            <v>0</v>
          </cell>
          <cell r="G318">
            <v>0</v>
          </cell>
          <cell r="H318">
            <v>-33932911</v>
          </cell>
          <cell r="I318">
            <v>0</v>
          </cell>
          <cell r="J318">
            <v>0</v>
          </cell>
          <cell r="K318">
            <v>-33932911</v>
          </cell>
          <cell r="L318">
            <v>0</v>
          </cell>
          <cell r="M318" t="str">
            <v>A/P - Non Trade - -PT Astra Graphia</v>
          </cell>
        </row>
        <row r="319">
          <cell r="A319">
            <v>3263100000</v>
          </cell>
          <cell r="B319" t="str">
            <v>0080000570</v>
          </cell>
          <cell r="C319" t="str">
            <v>AP Nontrade affco - Astra graphia</v>
          </cell>
          <cell r="D319" t="str">
            <v>00 00 220-000-014</v>
          </cell>
          <cell r="E319">
            <v>0</v>
          </cell>
          <cell r="F319">
            <v>0</v>
          </cell>
          <cell r="G319">
            <v>0</v>
          </cell>
          <cell r="H319">
            <v>8820000</v>
          </cell>
          <cell r="I319">
            <v>0</v>
          </cell>
          <cell r="J319">
            <v>0</v>
          </cell>
          <cell r="K319">
            <v>8820000</v>
          </cell>
          <cell r="L319">
            <v>0</v>
          </cell>
          <cell r="M319" t="str">
            <v>A/P - Non Trade - -PT Astra Graphia</v>
          </cell>
        </row>
        <row r="320">
          <cell r="A320">
            <v>3263100000</v>
          </cell>
          <cell r="B320" t="str">
            <v>0080000629</v>
          </cell>
          <cell r="C320" t="str">
            <v>AP Non Trade Rel Part: AAB</v>
          </cell>
          <cell r="D320" t="str">
            <v>00 00 220-000-026</v>
          </cell>
          <cell r="E320">
            <v>0</v>
          </cell>
          <cell r="F320">
            <v>0</v>
          </cell>
          <cell r="G320">
            <v>0</v>
          </cell>
          <cell r="H320">
            <v>-86821000</v>
          </cell>
          <cell r="I320">
            <v>0</v>
          </cell>
          <cell r="J320">
            <v>0</v>
          </cell>
          <cell r="K320">
            <v>-86821000</v>
          </cell>
          <cell r="L320">
            <v>0</v>
          </cell>
          <cell r="M320" t="str">
            <v>A/P - Non Trade - -PT Asuransi Astra Bua</v>
          </cell>
        </row>
        <row r="321">
          <cell r="A321">
            <v>3263100000</v>
          </cell>
          <cell r="B321" t="str">
            <v>0080001313</v>
          </cell>
          <cell r="C321" t="str">
            <v>AI-TSO</v>
          </cell>
          <cell r="D321" t="str">
            <v>00 00 220-000-002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723950000</v>
          </cell>
          <cell r="K321">
            <v>-723950000</v>
          </cell>
          <cell r="L321">
            <v>0</v>
          </cell>
          <cell r="M321" t="str">
            <v>A/P - Non Trade - -PT AI - Toyota Sales</v>
          </cell>
        </row>
        <row r="322">
          <cell r="A322">
            <v>3263100000</v>
          </cell>
          <cell r="B322" t="str">
            <v>0080001845</v>
          </cell>
          <cell r="C322" t="str">
            <v>AP Non trade Affco : AI</v>
          </cell>
          <cell r="D322" t="str">
            <v>00 00 220-000-001</v>
          </cell>
          <cell r="E322">
            <v>0</v>
          </cell>
          <cell r="F322">
            <v>0</v>
          </cell>
          <cell r="G322">
            <v>0</v>
          </cell>
          <cell r="H322">
            <v>-723950000</v>
          </cell>
          <cell r="I322">
            <v>748950000</v>
          </cell>
          <cell r="J322">
            <v>25000000</v>
          </cell>
          <cell r="K322">
            <v>0</v>
          </cell>
          <cell r="L322">
            <v>0</v>
          </cell>
          <cell r="M322" t="str">
            <v>A/P - Non Trade - -PT AI - Head Office</v>
          </cell>
        </row>
        <row r="323">
          <cell r="A323">
            <v>3263100000</v>
          </cell>
          <cell r="B323" t="str">
            <v>0080002034</v>
          </cell>
          <cell r="C323" t="str">
            <v>AP Non Trade Rel Part: SAR</v>
          </cell>
          <cell r="D323" t="str">
            <v>00 00 220-000-209</v>
          </cell>
          <cell r="E323">
            <v>0</v>
          </cell>
          <cell r="F323">
            <v>0</v>
          </cell>
          <cell r="G323">
            <v>0</v>
          </cell>
          <cell r="H323">
            <v>-1763568046</v>
          </cell>
          <cell r="I323">
            <v>0</v>
          </cell>
          <cell r="J323">
            <v>0</v>
          </cell>
          <cell r="K323">
            <v>-1763568046</v>
          </cell>
          <cell r="L323">
            <v>0</v>
          </cell>
          <cell r="M323" t="str">
            <v>A/P - Non Trade - -PT Serasi Autoraya</v>
          </cell>
        </row>
        <row r="324">
          <cell r="A324">
            <v>3263100000</v>
          </cell>
          <cell r="B324" t="str">
            <v>0080002338</v>
          </cell>
          <cell r="C324" t="str">
            <v>AP Non Trade Rel Parties : Serasi Autoraya</v>
          </cell>
          <cell r="D324" t="str">
            <v>00 00 220-000-209</v>
          </cell>
          <cell r="E324">
            <v>0</v>
          </cell>
          <cell r="F324">
            <v>0</v>
          </cell>
          <cell r="G324">
            <v>0</v>
          </cell>
          <cell r="H324">
            <v>-566115</v>
          </cell>
          <cell r="I324">
            <v>0</v>
          </cell>
          <cell r="J324">
            <v>0</v>
          </cell>
          <cell r="K324">
            <v>-566115</v>
          </cell>
          <cell r="L324">
            <v>0</v>
          </cell>
          <cell r="M324" t="str">
            <v>A/P - Non Trade - -PT Serasi Autoraya</v>
          </cell>
        </row>
        <row r="325">
          <cell r="A325">
            <v>3263100000</v>
          </cell>
          <cell r="B325" t="str">
            <v>0080002418</v>
          </cell>
          <cell r="C325" t="str">
            <v>AP Non Trade Rel Part - Astra Graphia</v>
          </cell>
          <cell r="D325" t="str">
            <v>00 00 220-000-014</v>
          </cell>
          <cell r="E325">
            <v>0</v>
          </cell>
          <cell r="F325">
            <v>0</v>
          </cell>
          <cell r="G325">
            <v>0</v>
          </cell>
          <cell r="H325">
            <v>-48396636</v>
          </cell>
          <cell r="I325">
            <v>0</v>
          </cell>
          <cell r="J325">
            <v>0</v>
          </cell>
          <cell r="K325">
            <v>-48396636</v>
          </cell>
          <cell r="L325">
            <v>0</v>
          </cell>
          <cell r="M325" t="str">
            <v>A/P - Non Trade - -PT Astra Graphia</v>
          </cell>
        </row>
        <row r="326">
          <cell r="A326">
            <v>3263100000</v>
          </cell>
          <cell r="B326" t="str">
            <v>0080002628</v>
          </cell>
          <cell r="C326" t="str">
            <v>AP Nontrade affco - AI</v>
          </cell>
          <cell r="D326" t="str">
            <v>00 00 220-000-001</v>
          </cell>
          <cell r="E326">
            <v>0</v>
          </cell>
          <cell r="F326">
            <v>0</v>
          </cell>
          <cell r="G326">
            <v>0</v>
          </cell>
          <cell r="H326">
            <v>-13188197</v>
          </cell>
          <cell r="I326">
            <v>13188197</v>
          </cell>
          <cell r="J326">
            <v>0</v>
          </cell>
          <cell r="K326">
            <v>0</v>
          </cell>
          <cell r="L326">
            <v>0</v>
          </cell>
          <cell r="M326" t="str">
            <v>A/P - Non Trade - -PT AI - Head Office</v>
          </cell>
        </row>
        <row r="327">
          <cell r="A327">
            <v>3263100000</v>
          </cell>
          <cell r="B327" t="str">
            <v>0080002765</v>
          </cell>
          <cell r="C327" t="str">
            <v>Serasi Auto Raya</v>
          </cell>
          <cell r="D327" t="str">
            <v>00 00 220-000-209</v>
          </cell>
          <cell r="E327">
            <v>0</v>
          </cell>
          <cell r="F327">
            <v>0</v>
          </cell>
          <cell r="G327">
            <v>0</v>
          </cell>
          <cell r="H327">
            <v>-6588000</v>
          </cell>
          <cell r="I327">
            <v>0</v>
          </cell>
          <cell r="J327">
            <v>0</v>
          </cell>
          <cell r="K327">
            <v>-6588000</v>
          </cell>
          <cell r="L327">
            <v>0</v>
          </cell>
          <cell r="M327" t="str">
            <v>A/P - Non Trade - -PT Serasi Autoraya</v>
          </cell>
        </row>
        <row r="328">
          <cell r="A328">
            <v>3263100000</v>
          </cell>
          <cell r="B328" t="str">
            <v>0080002865</v>
          </cell>
          <cell r="C328" t="str">
            <v>AP Non Trade: Astra Graphia</v>
          </cell>
          <cell r="D328" t="str">
            <v>00 00 220-000-014</v>
          </cell>
          <cell r="E328">
            <v>0</v>
          </cell>
          <cell r="F328">
            <v>0</v>
          </cell>
          <cell r="G328">
            <v>0</v>
          </cell>
          <cell r="H328">
            <v>-1469680</v>
          </cell>
          <cell r="I328">
            <v>0</v>
          </cell>
          <cell r="J328">
            <v>0</v>
          </cell>
          <cell r="K328">
            <v>-1469680</v>
          </cell>
          <cell r="L328">
            <v>0</v>
          </cell>
          <cell r="M328" t="str">
            <v>A/P - Non Trade - -PT Astra Graphia</v>
          </cell>
        </row>
        <row r="329">
          <cell r="A329">
            <v>3263100000</v>
          </cell>
          <cell r="B329" t="str">
            <v>0080002872</v>
          </cell>
          <cell r="C329" t="str">
            <v>Astra Graphia</v>
          </cell>
          <cell r="D329" t="str">
            <v>00 00 220-000-014</v>
          </cell>
          <cell r="E329">
            <v>0</v>
          </cell>
          <cell r="F329">
            <v>0</v>
          </cell>
          <cell r="G329">
            <v>0</v>
          </cell>
          <cell r="H329">
            <v>-407998</v>
          </cell>
          <cell r="I329">
            <v>0</v>
          </cell>
          <cell r="J329">
            <v>0</v>
          </cell>
          <cell r="K329">
            <v>-407998</v>
          </cell>
          <cell r="L329">
            <v>0</v>
          </cell>
          <cell r="M329" t="str">
            <v>A/P - Non Trade - -PT Astra Graphia</v>
          </cell>
        </row>
        <row r="330">
          <cell r="A330">
            <v>3263100000</v>
          </cell>
          <cell r="B330" t="str">
            <v>0080002873</v>
          </cell>
          <cell r="C330" t="str">
            <v>AP Non Trade Affco: AI-Daihatsu</v>
          </cell>
          <cell r="D330" t="str">
            <v>00 00 220-000-003</v>
          </cell>
          <cell r="E330">
            <v>0</v>
          </cell>
          <cell r="F330">
            <v>0</v>
          </cell>
          <cell r="G330">
            <v>0</v>
          </cell>
          <cell r="H330">
            <v>-2885511</v>
          </cell>
          <cell r="I330">
            <v>0</v>
          </cell>
          <cell r="J330">
            <v>0</v>
          </cell>
          <cell r="K330">
            <v>-2885511</v>
          </cell>
          <cell r="L330">
            <v>0</v>
          </cell>
          <cell r="M330" t="str">
            <v>A/P - Non Trade - -PT AI - Daihatsu Sale</v>
          </cell>
        </row>
        <row r="331">
          <cell r="A331">
            <v>3263100000</v>
          </cell>
          <cell r="B331" t="str">
            <v>0080002880</v>
          </cell>
          <cell r="C331" t="str">
            <v>AI-Toyota</v>
          </cell>
          <cell r="D331" t="str">
            <v>00 00 220-000-002</v>
          </cell>
          <cell r="E331">
            <v>0</v>
          </cell>
          <cell r="F331">
            <v>0</v>
          </cell>
          <cell r="G331">
            <v>0</v>
          </cell>
          <cell r="H331">
            <v>-1212736</v>
          </cell>
          <cell r="I331">
            <v>0</v>
          </cell>
          <cell r="J331">
            <v>0</v>
          </cell>
          <cell r="K331">
            <v>-1212736</v>
          </cell>
          <cell r="L331">
            <v>0</v>
          </cell>
          <cell r="M331" t="str">
            <v>A/P - Non Trade - -PT AI - Toyota Sales</v>
          </cell>
        </row>
        <row r="332">
          <cell r="A332">
            <v>3263100000</v>
          </cell>
          <cell r="B332" t="str">
            <v>0080002945</v>
          </cell>
          <cell r="C332" t="str">
            <v>AP Non Trade: Astra Graphia</v>
          </cell>
          <cell r="D332" t="str">
            <v>00 00 220-000-014</v>
          </cell>
          <cell r="E332">
            <v>0</v>
          </cell>
          <cell r="F332">
            <v>0</v>
          </cell>
          <cell r="G332">
            <v>0</v>
          </cell>
          <cell r="H332">
            <v>-17719290</v>
          </cell>
          <cell r="I332">
            <v>0</v>
          </cell>
          <cell r="J332">
            <v>0</v>
          </cell>
          <cell r="K332">
            <v>-17719290</v>
          </cell>
          <cell r="L332">
            <v>0</v>
          </cell>
          <cell r="M332" t="str">
            <v>A/P - Non Trade - -PT Astra Graphia</v>
          </cell>
        </row>
        <row r="333">
          <cell r="A333">
            <v>3263100000</v>
          </cell>
          <cell r="B333" t="str">
            <v>0080002949</v>
          </cell>
          <cell r="C333" t="str">
            <v>AP Non Trade Local Affco - Astra Graphia</v>
          </cell>
          <cell r="D333" t="str">
            <v>00 00 220-000-014</v>
          </cell>
          <cell r="E333">
            <v>0</v>
          </cell>
          <cell r="F333">
            <v>0</v>
          </cell>
          <cell r="G333">
            <v>0</v>
          </cell>
          <cell r="H333">
            <v>-12148132</v>
          </cell>
          <cell r="I333">
            <v>0</v>
          </cell>
          <cell r="J333">
            <v>0</v>
          </cell>
          <cell r="K333">
            <v>-12148132</v>
          </cell>
          <cell r="L333">
            <v>0</v>
          </cell>
          <cell r="M333" t="str">
            <v>A/P - Non Trade - -PT Astra Graphia</v>
          </cell>
        </row>
        <row r="334">
          <cell r="A334">
            <v>3263100000</v>
          </cell>
          <cell r="B334" t="str">
            <v>0080002983</v>
          </cell>
          <cell r="C334" t="str">
            <v>AP Non Trade Affco: AI-Isuzu</v>
          </cell>
          <cell r="D334" t="str">
            <v>00 00 220-000-004</v>
          </cell>
          <cell r="E334">
            <v>0</v>
          </cell>
          <cell r="F334">
            <v>0</v>
          </cell>
          <cell r="G334">
            <v>0</v>
          </cell>
          <cell r="H334">
            <v>-10614645</v>
          </cell>
          <cell r="I334">
            <v>0</v>
          </cell>
          <cell r="J334">
            <v>0</v>
          </cell>
          <cell r="K334">
            <v>-10614645</v>
          </cell>
          <cell r="L334">
            <v>0</v>
          </cell>
          <cell r="M334" t="str">
            <v>A/P - Non Trade - -PT AI - Isuzu Sales</v>
          </cell>
        </row>
        <row r="335">
          <cell r="A335">
            <v>3263100000</v>
          </cell>
          <cell r="B335" t="str">
            <v>0080003364</v>
          </cell>
          <cell r="C335" t="str">
            <v>HMU</v>
          </cell>
          <cell r="D335" t="str">
            <v>00 00 220-000-220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9831227624</v>
          </cell>
          <cell r="J335">
            <v>21204855967</v>
          </cell>
          <cell r="K335">
            <v>-11373628343</v>
          </cell>
          <cell r="L335">
            <v>0</v>
          </cell>
          <cell r="M335" t="str">
            <v>A/P - Non Trade - -PT Hokkuriku United F</v>
          </cell>
        </row>
        <row r="336">
          <cell r="A336">
            <v>3263100000</v>
          </cell>
          <cell r="B336" t="str">
            <v>0080003479</v>
          </cell>
          <cell r="C336" t="str">
            <v>AI - ISUZU</v>
          </cell>
          <cell r="D336" t="str">
            <v>00 00 220-000-004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1672528</v>
          </cell>
          <cell r="K336">
            <v>-1672528</v>
          </cell>
          <cell r="L336">
            <v>0</v>
          </cell>
          <cell r="M336" t="str">
            <v>A/P - Non Trade - -PT AI - Isuzu Sales</v>
          </cell>
        </row>
        <row r="337">
          <cell r="A337">
            <v>3263100000</v>
          </cell>
          <cell r="B337" t="str">
            <v>0110000175</v>
          </cell>
          <cell r="C337" t="str">
            <v>AI-Isuzu</v>
          </cell>
          <cell r="D337" t="str">
            <v>00 00 220-000-004</v>
          </cell>
          <cell r="E337">
            <v>0</v>
          </cell>
          <cell r="F337">
            <v>0</v>
          </cell>
          <cell r="G337">
            <v>0</v>
          </cell>
          <cell r="H337">
            <v>-352700</v>
          </cell>
          <cell r="I337">
            <v>0</v>
          </cell>
          <cell r="J337">
            <v>0</v>
          </cell>
          <cell r="K337">
            <v>-352700</v>
          </cell>
          <cell r="L337">
            <v>0</v>
          </cell>
          <cell r="M337" t="str">
            <v>A/P - Non Trade - -PT AI - Isuzu Sales</v>
          </cell>
        </row>
        <row r="338">
          <cell r="A338">
            <v>3263100000</v>
          </cell>
          <cell r="B338" t="str">
            <v>0120000006</v>
          </cell>
          <cell r="C338" t="str">
            <v>PT Bina Pertiwi</v>
          </cell>
          <cell r="D338" t="str">
            <v>00 00 220-000-210</v>
          </cell>
          <cell r="E338">
            <v>0</v>
          </cell>
          <cell r="F338">
            <v>0</v>
          </cell>
          <cell r="G338">
            <v>0</v>
          </cell>
          <cell r="H338">
            <v>2648000</v>
          </cell>
          <cell r="I338">
            <v>0</v>
          </cell>
          <cell r="J338">
            <v>2648000</v>
          </cell>
          <cell r="K338">
            <v>0</v>
          </cell>
          <cell r="L338">
            <v>0</v>
          </cell>
          <cell r="M338" t="str">
            <v>A/P - Non Trade - -PT Bina Pertiwi</v>
          </cell>
        </row>
        <row r="339">
          <cell r="A339">
            <v>3269000000</v>
          </cell>
          <cell r="C339" t="str">
            <v>AP Non trade-Lokal:Non Affco</v>
          </cell>
          <cell r="D339" t="str">
            <v>00 00 224-000-000</v>
          </cell>
          <cell r="E339">
            <v>0</v>
          </cell>
          <cell r="F339">
            <v>0</v>
          </cell>
          <cell r="G339">
            <v>0</v>
          </cell>
          <cell r="H339">
            <v>-56487384267</v>
          </cell>
          <cell r="I339">
            <v>4940654568</v>
          </cell>
          <cell r="J339">
            <v>10173840766</v>
          </cell>
          <cell r="K339">
            <v>-61720570465</v>
          </cell>
          <cell r="L339">
            <v>0</v>
          </cell>
          <cell r="M339" t="str">
            <v>A/P -  Non Trade - 3rd Parties</v>
          </cell>
        </row>
        <row r="340">
          <cell r="A340">
            <v>3269000002</v>
          </cell>
          <cell r="C340" t="str">
            <v>AP Non trade-Lkl:Titipan karya</v>
          </cell>
          <cell r="D340" t="str">
            <v>00 00 224-000-000</v>
          </cell>
          <cell r="E340">
            <v>0</v>
          </cell>
          <cell r="F340">
            <v>0</v>
          </cell>
          <cell r="G340">
            <v>0</v>
          </cell>
          <cell r="H340">
            <v>-3700240667</v>
          </cell>
          <cell r="I340">
            <v>0</v>
          </cell>
          <cell r="J340">
            <v>104235288</v>
          </cell>
          <cell r="K340">
            <v>-3804475955</v>
          </cell>
          <cell r="L340">
            <v>0</v>
          </cell>
          <cell r="M340" t="str">
            <v>A/P -  Non Trade - 3rd Parties</v>
          </cell>
        </row>
        <row r="341">
          <cell r="A341">
            <v>3269000090</v>
          </cell>
          <cell r="C341" t="str">
            <v>BS Adjustment:AP Non Trade-Lok</v>
          </cell>
          <cell r="D341" t="str">
            <v>00 00 224-000-000</v>
          </cell>
          <cell r="E341">
            <v>0</v>
          </cell>
          <cell r="F341">
            <v>0</v>
          </cell>
          <cell r="G341">
            <v>0</v>
          </cell>
          <cell r="H341">
            <v>49000859</v>
          </cell>
          <cell r="I341">
            <v>0</v>
          </cell>
          <cell r="J341">
            <v>0</v>
          </cell>
          <cell r="K341">
            <v>49000859</v>
          </cell>
          <cell r="L341">
            <v>0</v>
          </cell>
          <cell r="M341" t="str">
            <v>A/P -  Non Trade - 3rd Parties</v>
          </cell>
        </row>
        <row r="342">
          <cell r="A342">
            <v>3283000000</v>
          </cell>
          <cell r="B342" t="str">
            <v>0030000092</v>
          </cell>
          <cell r="C342" t="str">
            <v>AP Non Trade Affco : KAP</v>
          </cell>
          <cell r="D342" t="str">
            <v>00 00 222-000-058</v>
          </cell>
          <cell r="E342">
            <v>0</v>
          </cell>
          <cell r="F342">
            <v>0</v>
          </cell>
          <cell r="G342">
            <v>0</v>
          </cell>
          <cell r="H342">
            <v>-41554003</v>
          </cell>
          <cell r="I342">
            <v>0</v>
          </cell>
          <cell r="J342">
            <v>0</v>
          </cell>
          <cell r="K342">
            <v>-41554003</v>
          </cell>
          <cell r="L342">
            <v>0</v>
          </cell>
          <cell r="M342" t="str">
            <v>Account Payable - -Komatsu Asia Pacific</v>
          </cell>
        </row>
        <row r="343">
          <cell r="A343">
            <v>3283000000</v>
          </cell>
          <cell r="B343" t="str">
            <v>0030000496</v>
          </cell>
          <cell r="C343" t="str">
            <v>MULTICO MKT SVC</v>
          </cell>
          <cell r="D343" t="str">
            <v>00 00 222-000-073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11125620</v>
          </cell>
          <cell r="K343">
            <v>-11125620</v>
          </cell>
          <cell r="L343">
            <v>0</v>
          </cell>
          <cell r="M343" t="str">
            <v>Account Payable - -Multi Corporation (S)</v>
          </cell>
        </row>
        <row r="344">
          <cell r="A344">
            <v>3283000000</v>
          </cell>
          <cell r="B344" t="str">
            <v>0030000497</v>
          </cell>
          <cell r="C344" t="str">
            <v>MULTICO MKT SVC</v>
          </cell>
          <cell r="D344" t="str">
            <v>00 00 222-000-073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333710902</v>
          </cell>
          <cell r="K344">
            <v>-333710902</v>
          </cell>
          <cell r="L344">
            <v>0</v>
          </cell>
          <cell r="M344" t="str">
            <v>Account Payable - -Multi Corporation (S)</v>
          </cell>
        </row>
        <row r="345">
          <cell r="A345">
            <v>3283000000</v>
          </cell>
          <cell r="B345" t="str">
            <v>0080003519</v>
          </cell>
          <cell r="C345" t="str">
            <v>MULTICO MKT SVC</v>
          </cell>
          <cell r="D345" t="str">
            <v>00 00 222-000-073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432898436</v>
          </cell>
          <cell r="K345">
            <v>-432898436</v>
          </cell>
          <cell r="L345">
            <v>0</v>
          </cell>
          <cell r="M345" t="str">
            <v>Account Payable - -Multi Corporation (S)</v>
          </cell>
        </row>
        <row r="346">
          <cell r="A346">
            <v>3283000000</v>
          </cell>
          <cell r="B346" t="str">
            <v>0120000087</v>
          </cell>
          <cell r="C346" t="str">
            <v>A/P Non Trade - UTHI</v>
          </cell>
          <cell r="D346" t="str">
            <v>00 00 220-000-245</v>
          </cell>
          <cell r="E346">
            <v>0</v>
          </cell>
          <cell r="F346">
            <v>0</v>
          </cell>
          <cell r="G346">
            <v>0</v>
          </cell>
          <cell r="H346">
            <v>-138989378824</v>
          </cell>
          <cell r="I346">
            <v>0</v>
          </cell>
          <cell r="J346">
            <v>0</v>
          </cell>
          <cell r="K346">
            <v>-138989378824</v>
          </cell>
          <cell r="L346">
            <v>0</v>
          </cell>
          <cell r="M346" t="str">
            <v>A/P - Non Trade - -UT Heavy Industry (S)</v>
          </cell>
        </row>
        <row r="347">
          <cell r="A347">
            <v>3283000000</v>
          </cell>
          <cell r="B347" t="str">
            <v>0120000088</v>
          </cell>
          <cell r="C347" t="str">
            <v>A/P Non Trade - UTHI</v>
          </cell>
          <cell r="D347" t="str">
            <v>00 00 220-000-245</v>
          </cell>
          <cell r="E347">
            <v>0</v>
          </cell>
          <cell r="F347">
            <v>0</v>
          </cell>
          <cell r="G347">
            <v>0</v>
          </cell>
          <cell r="H347">
            <v>9170084383</v>
          </cell>
          <cell r="I347">
            <v>0</v>
          </cell>
          <cell r="J347">
            <v>0</v>
          </cell>
          <cell r="K347">
            <v>9170084383</v>
          </cell>
          <cell r="L347">
            <v>0</v>
          </cell>
          <cell r="M347" t="str">
            <v>A/P - Non Trade - -UT Heavy Industry (S)</v>
          </cell>
        </row>
        <row r="348">
          <cell r="A348">
            <v>3283000000</v>
          </cell>
          <cell r="B348" t="str">
            <v>0120000089</v>
          </cell>
          <cell r="C348" t="str">
            <v>A/P NON TRADE - UTHI</v>
          </cell>
          <cell r="D348" t="str">
            <v>00 00 220-000-245</v>
          </cell>
          <cell r="E348">
            <v>0</v>
          </cell>
          <cell r="F348">
            <v>0</v>
          </cell>
          <cell r="G348">
            <v>0</v>
          </cell>
          <cell r="H348">
            <v>-6494536</v>
          </cell>
          <cell r="I348">
            <v>0</v>
          </cell>
          <cell r="J348">
            <v>0</v>
          </cell>
          <cell r="K348">
            <v>-6494536</v>
          </cell>
          <cell r="L348">
            <v>0</v>
          </cell>
          <cell r="M348" t="str">
            <v>A/P - Non Trade - -UT Heavy Industry (S)</v>
          </cell>
        </row>
        <row r="349">
          <cell r="A349">
            <v>3283000000</v>
          </cell>
          <cell r="B349" t="str">
            <v>0120000090</v>
          </cell>
          <cell r="C349" t="str">
            <v>A/P non Trade - UTHI</v>
          </cell>
          <cell r="D349" t="str">
            <v>00 00 220-000-245</v>
          </cell>
          <cell r="E349">
            <v>0</v>
          </cell>
          <cell r="F349">
            <v>0</v>
          </cell>
          <cell r="G349">
            <v>0</v>
          </cell>
          <cell r="H349">
            <v>-2280747228</v>
          </cell>
          <cell r="I349">
            <v>0</v>
          </cell>
          <cell r="J349">
            <v>0</v>
          </cell>
          <cell r="K349">
            <v>-2280747228</v>
          </cell>
          <cell r="L349">
            <v>0</v>
          </cell>
          <cell r="M349" t="str">
            <v>A/P - Non Trade - -UT Heavy Industry (S)</v>
          </cell>
        </row>
        <row r="350">
          <cell r="A350">
            <v>3283000000</v>
          </cell>
          <cell r="B350" t="str">
            <v>0120000092</v>
          </cell>
          <cell r="C350" t="str">
            <v>A/P Non Trade - UTHI</v>
          </cell>
          <cell r="D350" t="str">
            <v>00 00 220-000-245</v>
          </cell>
          <cell r="E350">
            <v>0</v>
          </cell>
          <cell r="F350">
            <v>0</v>
          </cell>
          <cell r="G350">
            <v>0</v>
          </cell>
          <cell r="H350">
            <v>-234045446581</v>
          </cell>
          <cell r="I350">
            <v>0</v>
          </cell>
          <cell r="J350">
            <v>0</v>
          </cell>
          <cell r="K350">
            <v>-234045446581</v>
          </cell>
          <cell r="L350">
            <v>0</v>
          </cell>
          <cell r="M350" t="str">
            <v>A/P - Non Trade - -UT Heavy Industry (S)</v>
          </cell>
        </row>
        <row r="351">
          <cell r="A351">
            <v>3283000000</v>
          </cell>
          <cell r="B351" t="str">
            <v>0120000101</v>
          </cell>
          <cell r="C351" t="str">
            <v>A/P Non Trade Affco - UTHI</v>
          </cell>
          <cell r="D351" t="str">
            <v>00 00 220-000-245</v>
          </cell>
          <cell r="E351">
            <v>0</v>
          </cell>
          <cell r="F351">
            <v>0</v>
          </cell>
          <cell r="G351">
            <v>0</v>
          </cell>
          <cell r="H351">
            <v>47497422077</v>
          </cell>
          <cell r="I351">
            <v>0</v>
          </cell>
          <cell r="J351">
            <v>0</v>
          </cell>
          <cell r="K351">
            <v>47497422077</v>
          </cell>
          <cell r="L351">
            <v>0</v>
          </cell>
          <cell r="M351" t="str">
            <v>A/P - Non Trade - -UT Heavy Industry (S)</v>
          </cell>
        </row>
        <row r="352">
          <cell r="A352">
            <v>3283000000</v>
          </cell>
          <cell r="B352" t="str">
            <v>0120000102</v>
          </cell>
          <cell r="C352" t="str">
            <v>A/P Non Trade Affco - UTHI</v>
          </cell>
          <cell r="D352" t="str">
            <v>00 00 220-000-245</v>
          </cell>
          <cell r="E352">
            <v>0</v>
          </cell>
          <cell r="F352">
            <v>0</v>
          </cell>
          <cell r="G352">
            <v>0</v>
          </cell>
          <cell r="H352">
            <v>888046775</v>
          </cell>
          <cell r="I352">
            <v>0</v>
          </cell>
          <cell r="J352">
            <v>0</v>
          </cell>
          <cell r="K352">
            <v>888046775</v>
          </cell>
          <cell r="L352">
            <v>0</v>
          </cell>
          <cell r="M352" t="str">
            <v>A/P - Non Trade - -UT Heavy Industry (S)</v>
          </cell>
        </row>
        <row r="353">
          <cell r="A353">
            <v>3283000000</v>
          </cell>
          <cell r="B353" t="str">
            <v>0120000103</v>
          </cell>
          <cell r="C353" t="str">
            <v>A/P Non Trade UTHI</v>
          </cell>
          <cell r="D353" t="str">
            <v>00 00 220-000-245</v>
          </cell>
          <cell r="E353">
            <v>0</v>
          </cell>
          <cell r="F353">
            <v>0</v>
          </cell>
          <cell r="G353">
            <v>0</v>
          </cell>
          <cell r="H353">
            <v>-2719807</v>
          </cell>
          <cell r="I353">
            <v>0</v>
          </cell>
          <cell r="J353">
            <v>0</v>
          </cell>
          <cell r="K353">
            <v>-2719807</v>
          </cell>
          <cell r="L353">
            <v>0</v>
          </cell>
          <cell r="M353" t="str">
            <v>A/P - Non Trade - -UT Heavy Industry (S)</v>
          </cell>
        </row>
        <row r="354">
          <cell r="A354">
            <v>3283000000</v>
          </cell>
          <cell r="B354" t="str">
            <v>0120000131</v>
          </cell>
          <cell r="C354" t="str">
            <v>Acc Payable non trd LN UTHI</v>
          </cell>
          <cell r="D354" t="str">
            <v>00 00 220-000-245</v>
          </cell>
          <cell r="E354">
            <v>0</v>
          </cell>
          <cell r="F354">
            <v>0</v>
          </cell>
          <cell r="G354">
            <v>0</v>
          </cell>
          <cell r="H354">
            <v>-2712842006</v>
          </cell>
          <cell r="I354">
            <v>0</v>
          </cell>
          <cell r="J354">
            <v>0</v>
          </cell>
          <cell r="K354">
            <v>-2712842006</v>
          </cell>
          <cell r="L354">
            <v>0</v>
          </cell>
          <cell r="M354" t="str">
            <v>A/P - Non Trade - -UT Heavy Industry (S)</v>
          </cell>
        </row>
        <row r="355">
          <cell r="A355">
            <v>3283000000</v>
          </cell>
          <cell r="B355" t="str">
            <v>0120000136</v>
          </cell>
          <cell r="C355" t="str">
            <v>A/P Non Trade - UT Heavy Industry</v>
          </cell>
          <cell r="D355" t="str">
            <v>00 00 220-000-245</v>
          </cell>
          <cell r="E355">
            <v>0</v>
          </cell>
          <cell r="F355">
            <v>0</v>
          </cell>
          <cell r="G355">
            <v>0</v>
          </cell>
          <cell r="H355">
            <v>9379399754</v>
          </cell>
          <cell r="I355">
            <v>0</v>
          </cell>
          <cell r="J355">
            <v>0</v>
          </cell>
          <cell r="K355">
            <v>9379399754</v>
          </cell>
          <cell r="L355">
            <v>0</v>
          </cell>
          <cell r="M355" t="str">
            <v>A/P - Non Trade - -UT Heavy Industry (S)</v>
          </cell>
        </row>
        <row r="356">
          <cell r="A356">
            <v>3283000000</v>
          </cell>
          <cell r="B356" t="str">
            <v>0120000141</v>
          </cell>
          <cell r="C356" t="str">
            <v>AP Non Trade Affco - UTHI</v>
          </cell>
          <cell r="D356" t="str">
            <v>00 00 220-000-245</v>
          </cell>
          <cell r="E356">
            <v>0</v>
          </cell>
          <cell r="F356">
            <v>0</v>
          </cell>
          <cell r="G356">
            <v>0</v>
          </cell>
          <cell r="H356">
            <v>-4592282409</v>
          </cell>
          <cell r="I356">
            <v>0</v>
          </cell>
          <cell r="J356">
            <v>917029211</v>
          </cell>
          <cell r="K356">
            <v>-5509311620</v>
          </cell>
          <cell r="L356">
            <v>0</v>
          </cell>
          <cell r="M356" t="str">
            <v>A/P - Non Trade - -UT Heavy Industry (S)</v>
          </cell>
        </row>
        <row r="357">
          <cell r="A357">
            <v>3283000000</v>
          </cell>
          <cell r="B357" t="str">
            <v>0120000151</v>
          </cell>
          <cell r="C357" t="str">
            <v>A/P Non Trade - UTHI</v>
          </cell>
          <cell r="D357" t="str">
            <v>00 00 220-000-245</v>
          </cell>
          <cell r="E357">
            <v>0</v>
          </cell>
          <cell r="F357">
            <v>0</v>
          </cell>
          <cell r="G357">
            <v>0</v>
          </cell>
          <cell r="H357">
            <v>644550700</v>
          </cell>
          <cell r="I357">
            <v>0</v>
          </cell>
          <cell r="J357">
            <v>0</v>
          </cell>
          <cell r="K357">
            <v>644550700</v>
          </cell>
          <cell r="L357">
            <v>0</v>
          </cell>
          <cell r="M357" t="str">
            <v>A/P - Non Trade - -UT Heavy Industry (S)</v>
          </cell>
        </row>
        <row r="358">
          <cell r="A358">
            <v>3283000000</v>
          </cell>
          <cell r="B358" t="str">
            <v>0120000166</v>
          </cell>
          <cell r="C358" t="str">
            <v>A/P Non Trade Affco LN : UTHI</v>
          </cell>
          <cell r="D358" t="str">
            <v>00 00 220-000-245</v>
          </cell>
          <cell r="E358">
            <v>0</v>
          </cell>
          <cell r="F358">
            <v>0</v>
          </cell>
          <cell r="G358">
            <v>0</v>
          </cell>
          <cell r="H358">
            <v>-5839034716</v>
          </cell>
          <cell r="I358">
            <v>0</v>
          </cell>
          <cell r="J358">
            <v>0</v>
          </cell>
          <cell r="K358">
            <v>-5839034716</v>
          </cell>
          <cell r="L358">
            <v>0</v>
          </cell>
          <cell r="M358" t="str">
            <v>A/P - Non Trade - -UT Heavy Industry (S)</v>
          </cell>
        </row>
        <row r="359">
          <cell r="A359">
            <v>3289000000</v>
          </cell>
          <cell r="C359" t="str">
            <v>AP Non trade-Luar Neg:Non Affc</v>
          </cell>
          <cell r="D359" t="str">
            <v>00 00 224-000-000</v>
          </cell>
          <cell r="E359">
            <v>0</v>
          </cell>
          <cell r="F359">
            <v>0</v>
          </cell>
          <cell r="G359">
            <v>0</v>
          </cell>
          <cell r="H359">
            <v>-813232278</v>
          </cell>
          <cell r="I359">
            <v>777734958</v>
          </cell>
          <cell r="J359">
            <v>0</v>
          </cell>
          <cell r="K359">
            <v>-35497320</v>
          </cell>
          <cell r="L359">
            <v>0</v>
          </cell>
          <cell r="M359" t="str">
            <v>A/P -  Non Trade - 3rd Parties</v>
          </cell>
        </row>
        <row r="360">
          <cell r="A360">
            <v>3289000090</v>
          </cell>
          <cell r="C360" t="str">
            <v>BS Adjustment:AP Non Trade-Lua</v>
          </cell>
          <cell r="D360" t="str">
            <v>00 00 224-000-000</v>
          </cell>
          <cell r="E360">
            <v>0</v>
          </cell>
          <cell r="F360">
            <v>0</v>
          </cell>
          <cell r="G360">
            <v>0</v>
          </cell>
          <cell r="H360">
            <v>-8936698</v>
          </cell>
          <cell r="I360">
            <v>0</v>
          </cell>
          <cell r="J360">
            <v>0</v>
          </cell>
          <cell r="K360">
            <v>-8936698</v>
          </cell>
          <cell r="L360">
            <v>0</v>
          </cell>
          <cell r="M360" t="str">
            <v>A/P -  Non Trade - 3rd Parties</v>
          </cell>
        </row>
        <row r="361">
          <cell r="A361">
            <v>3309000000</v>
          </cell>
          <cell r="C361" t="str">
            <v>Hutang Dividen:Non Affco</v>
          </cell>
          <cell r="D361" t="str">
            <v>00 00 233-200-000</v>
          </cell>
          <cell r="E361">
            <v>0</v>
          </cell>
          <cell r="F361">
            <v>0</v>
          </cell>
          <cell r="G361">
            <v>0</v>
          </cell>
          <cell r="H361">
            <v>-2105477437</v>
          </cell>
          <cell r="I361">
            <v>0</v>
          </cell>
          <cell r="J361">
            <v>0</v>
          </cell>
          <cell r="K361">
            <v>-2105477437</v>
          </cell>
          <cell r="L361">
            <v>0</v>
          </cell>
          <cell r="M361" t="str">
            <v>Dividend Payable-Others</v>
          </cell>
        </row>
        <row r="362">
          <cell r="A362">
            <v>3413000000</v>
          </cell>
          <cell r="B362" t="str">
            <v>0000010611</v>
          </cell>
          <cell r="C362" t="str">
            <v>Customers Deposit</v>
          </cell>
          <cell r="D362" t="str">
            <v>00 00 242-000-000</v>
          </cell>
          <cell r="E362">
            <v>0</v>
          </cell>
          <cell r="F362">
            <v>0</v>
          </cell>
          <cell r="G362">
            <v>0</v>
          </cell>
          <cell r="H362">
            <v>-74088000</v>
          </cell>
          <cell r="I362">
            <v>74088000</v>
          </cell>
          <cell r="J362">
            <v>0</v>
          </cell>
          <cell r="K362">
            <v>0</v>
          </cell>
          <cell r="L362">
            <v>0</v>
          </cell>
          <cell r="M362" t="str">
            <v>Customers Deposit</v>
          </cell>
        </row>
        <row r="363">
          <cell r="A363">
            <v>3413000000</v>
          </cell>
          <cell r="B363" t="str">
            <v>0000012312</v>
          </cell>
          <cell r="C363" t="str">
            <v>Customer Deposit</v>
          </cell>
          <cell r="D363" t="str">
            <v>00 00 242-000-000</v>
          </cell>
          <cell r="E363">
            <v>0</v>
          </cell>
          <cell r="F363">
            <v>0</v>
          </cell>
          <cell r="G363">
            <v>0</v>
          </cell>
          <cell r="H363">
            <v>-11664274710</v>
          </cell>
          <cell r="I363">
            <v>11664274710</v>
          </cell>
          <cell r="J363">
            <v>0</v>
          </cell>
          <cell r="K363">
            <v>0</v>
          </cell>
          <cell r="L363">
            <v>0</v>
          </cell>
          <cell r="M363" t="str">
            <v>Customers Deposit</v>
          </cell>
        </row>
        <row r="364">
          <cell r="A364">
            <v>3413000000</v>
          </cell>
          <cell r="B364" t="str">
            <v>0000013373</v>
          </cell>
          <cell r="C364" t="str">
            <v>PAMA INDO MINING</v>
          </cell>
          <cell r="D364" t="str">
            <v>00 00 242-000-000</v>
          </cell>
          <cell r="E364">
            <v>0</v>
          </cell>
          <cell r="F364">
            <v>0</v>
          </cell>
          <cell r="G364">
            <v>0</v>
          </cell>
          <cell r="H364">
            <v>-20000000</v>
          </cell>
          <cell r="I364">
            <v>20000000</v>
          </cell>
          <cell r="J364">
            <v>0</v>
          </cell>
          <cell r="K364">
            <v>0</v>
          </cell>
          <cell r="L364">
            <v>0</v>
          </cell>
          <cell r="M364" t="str">
            <v>Customers Deposit</v>
          </cell>
        </row>
        <row r="365">
          <cell r="A365">
            <v>3413000000</v>
          </cell>
          <cell r="B365" t="str">
            <v>0000014523</v>
          </cell>
          <cell r="C365" t="str">
            <v>Customer Deposit</v>
          </cell>
          <cell r="D365" t="str">
            <v>00 00 242-000-000</v>
          </cell>
          <cell r="E365">
            <v>0</v>
          </cell>
          <cell r="F365">
            <v>0</v>
          </cell>
          <cell r="G365">
            <v>0</v>
          </cell>
          <cell r="H365">
            <v>-8969000</v>
          </cell>
          <cell r="I365">
            <v>8969000</v>
          </cell>
          <cell r="J365">
            <v>0</v>
          </cell>
          <cell r="K365">
            <v>0</v>
          </cell>
          <cell r="L365">
            <v>0</v>
          </cell>
          <cell r="M365" t="str">
            <v>Customers Deposit</v>
          </cell>
        </row>
        <row r="366">
          <cell r="A366">
            <v>3413000000</v>
          </cell>
          <cell r="B366" t="str">
            <v>0000015913</v>
          </cell>
          <cell r="C366" t="str">
            <v>Customer Deposit</v>
          </cell>
          <cell r="D366" t="str">
            <v>00 00 242-000-000</v>
          </cell>
          <cell r="E366">
            <v>0</v>
          </cell>
          <cell r="F366">
            <v>0</v>
          </cell>
          <cell r="G366">
            <v>0</v>
          </cell>
          <cell r="H366">
            <v>-116919880</v>
          </cell>
          <cell r="I366">
            <v>0</v>
          </cell>
          <cell r="J366">
            <v>0</v>
          </cell>
          <cell r="K366">
            <v>-116919880</v>
          </cell>
          <cell r="L366">
            <v>0</v>
          </cell>
          <cell r="M366" t="str">
            <v>Customers Deposit</v>
          </cell>
        </row>
        <row r="367">
          <cell r="A367">
            <v>3413000000</v>
          </cell>
          <cell r="B367" t="str">
            <v>0000020888</v>
          </cell>
          <cell r="C367" t="str">
            <v>Customer Deposit</v>
          </cell>
          <cell r="D367" t="str">
            <v>00 00 242-000-000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80643910</v>
          </cell>
          <cell r="K367">
            <v>-80643910</v>
          </cell>
          <cell r="L367">
            <v>0</v>
          </cell>
          <cell r="M367" t="str">
            <v>Customers Deposit</v>
          </cell>
        </row>
        <row r="368">
          <cell r="A368">
            <v>3413000000</v>
          </cell>
          <cell r="B368" t="str">
            <v>0000024370</v>
          </cell>
          <cell r="C368" t="str">
            <v>Customer Deposit</v>
          </cell>
          <cell r="D368" t="str">
            <v>00 00 242-000-000</v>
          </cell>
          <cell r="E368">
            <v>0</v>
          </cell>
          <cell r="F368">
            <v>0</v>
          </cell>
          <cell r="G368">
            <v>0</v>
          </cell>
          <cell r="H368">
            <v>-49652269</v>
          </cell>
          <cell r="I368">
            <v>49652269</v>
          </cell>
          <cell r="J368">
            <v>0</v>
          </cell>
          <cell r="K368">
            <v>0</v>
          </cell>
          <cell r="L368">
            <v>0</v>
          </cell>
          <cell r="M368" t="str">
            <v>Customers Deposit</v>
          </cell>
        </row>
        <row r="369">
          <cell r="A369">
            <v>3413000000</v>
          </cell>
          <cell r="B369" t="str">
            <v>0000024371</v>
          </cell>
          <cell r="C369" t="str">
            <v>Customer Deposit</v>
          </cell>
          <cell r="D369" t="str">
            <v>00 00 242-000-000</v>
          </cell>
          <cell r="E369">
            <v>0</v>
          </cell>
          <cell r="F369">
            <v>0</v>
          </cell>
          <cell r="G369">
            <v>0</v>
          </cell>
          <cell r="H369">
            <v>-17805240</v>
          </cell>
          <cell r="I369">
            <v>0</v>
          </cell>
          <cell r="J369">
            <v>0</v>
          </cell>
          <cell r="K369">
            <v>-17805240</v>
          </cell>
          <cell r="L369">
            <v>0</v>
          </cell>
          <cell r="M369" t="str">
            <v>Customers Deposit</v>
          </cell>
        </row>
        <row r="370">
          <cell r="A370">
            <v>3413000001</v>
          </cell>
          <cell r="B370" t="str">
            <v>0000010611</v>
          </cell>
          <cell r="C370" t="str">
            <v>Customers Deposit</v>
          </cell>
          <cell r="D370" t="str">
            <v>00 00 242-000-000</v>
          </cell>
          <cell r="E370">
            <v>0</v>
          </cell>
          <cell r="F370">
            <v>0</v>
          </cell>
          <cell r="G370">
            <v>0</v>
          </cell>
          <cell r="H370">
            <v>-279057970</v>
          </cell>
          <cell r="I370">
            <v>172343533</v>
          </cell>
          <cell r="J370">
            <v>0</v>
          </cell>
          <cell r="K370">
            <v>-106714437</v>
          </cell>
          <cell r="L370">
            <v>0</v>
          </cell>
          <cell r="M370" t="str">
            <v>Customers Deposit</v>
          </cell>
        </row>
        <row r="371">
          <cell r="A371">
            <v>3413000001</v>
          </cell>
          <cell r="B371" t="str">
            <v>0000010619</v>
          </cell>
          <cell r="C371" t="str">
            <v>Customer Deposit</v>
          </cell>
          <cell r="D371" t="str">
            <v>00 00 242-000-000</v>
          </cell>
          <cell r="E371">
            <v>0</v>
          </cell>
          <cell r="F371">
            <v>0</v>
          </cell>
          <cell r="G371">
            <v>0</v>
          </cell>
          <cell r="H371">
            <v>-1739335</v>
          </cell>
          <cell r="I371">
            <v>1739335</v>
          </cell>
          <cell r="J371">
            <v>0</v>
          </cell>
          <cell r="K371">
            <v>0</v>
          </cell>
          <cell r="L371">
            <v>0</v>
          </cell>
          <cell r="M371" t="str">
            <v>Customers Deposit</v>
          </cell>
        </row>
        <row r="372">
          <cell r="A372">
            <v>3413000001</v>
          </cell>
          <cell r="B372" t="str">
            <v>0000010818</v>
          </cell>
          <cell r="C372" t="str">
            <v>Customers Deposit</v>
          </cell>
          <cell r="D372" t="str">
            <v>00 00 242-000-000</v>
          </cell>
          <cell r="E372">
            <v>0</v>
          </cell>
          <cell r="F372">
            <v>0</v>
          </cell>
          <cell r="G372">
            <v>0</v>
          </cell>
          <cell r="H372">
            <v>-4599510</v>
          </cell>
          <cell r="I372">
            <v>4599510</v>
          </cell>
          <cell r="J372">
            <v>0</v>
          </cell>
          <cell r="K372">
            <v>0</v>
          </cell>
          <cell r="L372">
            <v>0</v>
          </cell>
          <cell r="M372" t="str">
            <v>Customers Deposit</v>
          </cell>
        </row>
        <row r="373">
          <cell r="A373">
            <v>3413000001</v>
          </cell>
          <cell r="B373" t="str">
            <v>0000012312</v>
          </cell>
          <cell r="C373" t="str">
            <v>Customers deposit</v>
          </cell>
          <cell r="D373" t="str">
            <v>00 00 242-000-000</v>
          </cell>
          <cell r="E373">
            <v>0</v>
          </cell>
          <cell r="F373">
            <v>0</v>
          </cell>
          <cell r="G373">
            <v>0</v>
          </cell>
          <cell r="H373">
            <v>-14931288</v>
          </cell>
          <cell r="I373">
            <v>14931288</v>
          </cell>
          <cell r="J373">
            <v>0</v>
          </cell>
          <cell r="K373">
            <v>0</v>
          </cell>
          <cell r="L373">
            <v>0</v>
          </cell>
          <cell r="M373" t="str">
            <v>Customers Deposit</v>
          </cell>
        </row>
        <row r="374">
          <cell r="A374">
            <v>3413000001</v>
          </cell>
          <cell r="B374" t="str">
            <v>0000012463</v>
          </cell>
          <cell r="C374" t="str">
            <v>Customer Deposit</v>
          </cell>
          <cell r="D374" t="str">
            <v>00 00 242-000-000</v>
          </cell>
          <cell r="E374">
            <v>0</v>
          </cell>
          <cell r="F374">
            <v>0</v>
          </cell>
          <cell r="G374">
            <v>0</v>
          </cell>
          <cell r="H374">
            <v>-1402450</v>
          </cell>
          <cell r="I374">
            <v>1402450</v>
          </cell>
          <cell r="J374">
            <v>0</v>
          </cell>
          <cell r="K374">
            <v>0</v>
          </cell>
          <cell r="L374">
            <v>0</v>
          </cell>
          <cell r="M374" t="str">
            <v>Customers Deposit</v>
          </cell>
        </row>
        <row r="375">
          <cell r="A375">
            <v>3413000001</v>
          </cell>
          <cell r="B375" t="str">
            <v>0000012472</v>
          </cell>
          <cell r="C375" t="str">
            <v>Customer Deposit</v>
          </cell>
          <cell r="D375" t="str">
            <v>00 00 242-000-000</v>
          </cell>
          <cell r="E375">
            <v>0</v>
          </cell>
          <cell r="F375">
            <v>0</v>
          </cell>
          <cell r="G375">
            <v>0</v>
          </cell>
          <cell r="H375">
            <v>600851</v>
          </cell>
          <cell r="I375">
            <v>0</v>
          </cell>
          <cell r="J375">
            <v>600851</v>
          </cell>
          <cell r="K375">
            <v>0</v>
          </cell>
          <cell r="L375">
            <v>0</v>
          </cell>
          <cell r="M375" t="str">
            <v>Customers Deposit</v>
          </cell>
        </row>
        <row r="376">
          <cell r="A376">
            <v>3413000001</v>
          </cell>
          <cell r="B376" t="str">
            <v>0000013373</v>
          </cell>
          <cell r="C376" t="str">
            <v>Customer Deposit</v>
          </cell>
          <cell r="D376" t="str">
            <v>00 00 242-000-000</v>
          </cell>
          <cell r="E376">
            <v>0</v>
          </cell>
          <cell r="F376">
            <v>0</v>
          </cell>
          <cell r="G376">
            <v>0</v>
          </cell>
          <cell r="H376">
            <v>-315212</v>
          </cell>
          <cell r="I376">
            <v>315212</v>
          </cell>
          <cell r="J376">
            <v>0</v>
          </cell>
          <cell r="K376">
            <v>0</v>
          </cell>
          <cell r="L376">
            <v>0</v>
          </cell>
          <cell r="M376" t="str">
            <v>Customers Deposit</v>
          </cell>
        </row>
        <row r="377">
          <cell r="A377">
            <v>3413000001</v>
          </cell>
          <cell r="B377" t="str">
            <v>0000013661</v>
          </cell>
          <cell r="C377" t="str">
            <v>Customer Deposit</v>
          </cell>
          <cell r="D377" t="str">
            <v>00 00 242-000-000</v>
          </cell>
          <cell r="E377">
            <v>0</v>
          </cell>
          <cell r="F377">
            <v>0</v>
          </cell>
          <cell r="G377">
            <v>0</v>
          </cell>
          <cell r="H377">
            <v>-99311</v>
          </cell>
          <cell r="I377">
            <v>99311</v>
          </cell>
          <cell r="J377">
            <v>0</v>
          </cell>
          <cell r="K377">
            <v>0</v>
          </cell>
          <cell r="L377">
            <v>0</v>
          </cell>
          <cell r="M377" t="str">
            <v>Customers Deposit</v>
          </cell>
        </row>
        <row r="378">
          <cell r="A378">
            <v>3413000001</v>
          </cell>
          <cell r="B378" t="str">
            <v>0000014783</v>
          </cell>
          <cell r="C378" t="str">
            <v>Customer Deposit</v>
          </cell>
          <cell r="D378" t="str">
            <v>00 00 242-000-000</v>
          </cell>
          <cell r="E378">
            <v>0</v>
          </cell>
          <cell r="F378">
            <v>0</v>
          </cell>
          <cell r="G378">
            <v>0</v>
          </cell>
          <cell r="H378">
            <v>-734443</v>
          </cell>
          <cell r="I378">
            <v>0</v>
          </cell>
          <cell r="J378">
            <v>0</v>
          </cell>
          <cell r="K378">
            <v>-734443</v>
          </cell>
          <cell r="L378">
            <v>0</v>
          </cell>
          <cell r="M378" t="str">
            <v>Customers Deposit</v>
          </cell>
        </row>
        <row r="379">
          <cell r="A379">
            <v>3413000001</v>
          </cell>
          <cell r="B379" t="str">
            <v>0000015179</v>
          </cell>
          <cell r="C379" t="str">
            <v>Customer Deposit</v>
          </cell>
          <cell r="D379" t="str">
            <v>00 00 242-000-000</v>
          </cell>
          <cell r="E379">
            <v>0</v>
          </cell>
          <cell r="F379">
            <v>0</v>
          </cell>
          <cell r="G379">
            <v>0</v>
          </cell>
          <cell r="H379">
            <v>-82632732</v>
          </cell>
          <cell r="I379">
            <v>82632732</v>
          </cell>
          <cell r="J379">
            <v>0</v>
          </cell>
          <cell r="K379">
            <v>0</v>
          </cell>
          <cell r="L379">
            <v>0</v>
          </cell>
          <cell r="M379" t="str">
            <v>Customers Deposit</v>
          </cell>
        </row>
        <row r="380">
          <cell r="A380">
            <v>3413000001</v>
          </cell>
          <cell r="B380" t="str">
            <v>0000019344</v>
          </cell>
          <cell r="C380" t="str">
            <v>Customer Deposit</v>
          </cell>
          <cell r="D380" t="str">
            <v>00 00 242-000-000</v>
          </cell>
          <cell r="E380">
            <v>0</v>
          </cell>
          <cell r="F380">
            <v>0</v>
          </cell>
          <cell r="G380">
            <v>0</v>
          </cell>
          <cell r="H380">
            <v>-517306</v>
          </cell>
          <cell r="I380">
            <v>517306</v>
          </cell>
          <cell r="J380">
            <v>0</v>
          </cell>
          <cell r="K380">
            <v>0</v>
          </cell>
          <cell r="L380">
            <v>0</v>
          </cell>
          <cell r="M380" t="str">
            <v>Customers Deposit</v>
          </cell>
        </row>
        <row r="381">
          <cell r="A381">
            <v>3413000001</v>
          </cell>
          <cell r="B381" t="str">
            <v>0000019505</v>
          </cell>
          <cell r="C381" t="str">
            <v>Customer Deposit</v>
          </cell>
          <cell r="D381" t="str">
            <v>00 00 242-000-000</v>
          </cell>
          <cell r="E381">
            <v>0</v>
          </cell>
          <cell r="F381">
            <v>0</v>
          </cell>
          <cell r="G381">
            <v>0</v>
          </cell>
          <cell r="H381">
            <v>-28039724</v>
          </cell>
          <cell r="I381">
            <v>28039724</v>
          </cell>
          <cell r="J381">
            <v>0</v>
          </cell>
          <cell r="K381">
            <v>0</v>
          </cell>
          <cell r="L381">
            <v>0</v>
          </cell>
          <cell r="M381" t="str">
            <v>Customers Deposit</v>
          </cell>
        </row>
        <row r="382">
          <cell r="A382">
            <v>3413000001</v>
          </cell>
          <cell r="B382" t="str">
            <v>0000020862</v>
          </cell>
          <cell r="C382" t="str">
            <v>Customers Deposit</v>
          </cell>
          <cell r="D382" t="str">
            <v>00 00 242-000-000</v>
          </cell>
          <cell r="E382">
            <v>0</v>
          </cell>
          <cell r="F382">
            <v>0</v>
          </cell>
          <cell r="G382">
            <v>0</v>
          </cell>
          <cell r="H382">
            <v>-6797272</v>
          </cell>
          <cell r="I382">
            <v>0</v>
          </cell>
          <cell r="J382">
            <v>0</v>
          </cell>
          <cell r="K382">
            <v>-6797272</v>
          </cell>
          <cell r="L382">
            <v>0</v>
          </cell>
          <cell r="M382" t="str">
            <v>Customers Deposit</v>
          </cell>
        </row>
        <row r="383">
          <cell r="A383">
            <v>3413000001</v>
          </cell>
          <cell r="B383" t="str">
            <v>0000024370</v>
          </cell>
          <cell r="C383" t="str">
            <v>Customer Deposit</v>
          </cell>
          <cell r="D383" t="str">
            <v>00 00 242-000-000</v>
          </cell>
          <cell r="E383">
            <v>0</v>
          </cell>
          <cell r="F383">
            <v>0</v>
          </cell>
          <cell r="G383">
            <v>0</v>
          </cell>
          <cell r="H383">
            <v>-1980000</v>
          </cell>
          <cell r="I383">
            <v>1980000</v>
          </cell>
          <cell r="J383">
            <v>0</v>
          </cell>
          <cell r="K383">
            <v>0</v>
          </cell>
          <cell r="L383">
            <v>0</v>
          </cell>
          <cell r="M383" t="str">
            <v>Customers Deposit</v>
          </cell>
        </row>
        <row r="384">
          <cell r="A384">
            <v>3413000001</v>
          </cell>
          <cell r="B384" t="str">
            <v>0000025455</v>
          </cell>
          <cell r="C384" t="str">
            <v>Customer Deposit</v>
          </cell>
          <cell r="D384" t="str">
            <v>00 00 242-000-000</v>
          </cell>
          <cell r="H384">
            <v>-4300000</v>
          </cell>
          <cell r="I384">
            <v>129800</v>
          </cell>
          <cell r="J384">
            <v>0</v>
          </cell>
          <cell r="K384">
            <v>-4170200</v>
          </cell>
          <cell r="M384" t="str">
            <v>Customers Deposit</v>
          </cell>
        </row>
        <row r="385">
          <cell r="A385">
            <v>3419000000</v>
          </cell>
          <cell r="C385" t="str">
            <v>Uang muka pelanggan:Non Affco</v>
          </cell>
          <cell r="D385" t="str">
            <v>00 00 242-000-000</v>
          </cell>
          <cell r="E385">
            <v>0</v>
          </cell>
          <cell r="F385">
            <v>0</v>
          </cell>
          <cell r="G385">
            <v>0</v>
          </cell>
          <cell r="H385">
            <v>-179464468888</v>
          </cell>
          <cell r="I385">
            <v>92581172153</v>
          </cell>
          <cell r="J385">
            <v>0</v>
          </cell>
          <cell r="K385">
            <v>-86883296735</v>
          </cell>
          <cell r="L385">
            <v>0</v>
          </cell>
          <cell r="M385" t="str">
            <v>Customers Deposit</v>
          </cell>
        </row>
        <row r="386">
          <cell r="A386">
            <v>3419000001</v>
          </cell>
          <cell r="C386" t="str">
            <v>Uang muka pelanggan:Non Affco-Suku Cadang</v>
          </cell>
          <cell r="D386" t="str">
            <v>00 00 242-000-000</v>
          </cell>
          <cell r="E386">
            <v>0</v>
          </cell>
          <cell r="F386">
            <v>0</v>
          </cell>
          <cell r="G386">
            <v>0</v>
          </cell>
          <cell r="H386">
            <v>-16847620160</v>
          </cell>
          <cell r="I386">
            <v>11288471505</v>
          </cell>
          <cell r="J386">
            <v>0</v>
          </cell>
          <cell r="K386">
            <v>-5559148655</v>
          </cell>
          <cell r="L386">
            <v>0</v>
          </cell>
          <cell r="M386" t="str">
            <v>Customers Deposit</v>
          </cell>
        </row>
        <row r="387">
          <cell r="A387">
            <v>3419000002</v>
          </cell>
          <cell r="C387" t="str">
            <v>Uang muka pelanggan:Non Affco-Servis</v>
          </cell>
          <cell r="D387" t="str">
            <v>00 00 242-000-000</v>
          </cell>
          <cell r="E387">
            <v>0</v>
          </cell>
          <cell r="F387">
            <v>0</v>
          </cell>
          <cell r="G387">
            <v>0</v>
          </cell>
          <cell r="H387">
            <v>-1368411991</v>
          </cell>
          <cell r="I387">
            <v>0</v>
          </cell>
          <cell r="J387">
            <v>0</v>
          </cell>
          <cell r="K387">
            <v>-1368411991</v>
          </cell>
          <cell r="L387">
            <v>0</v>
          </cell>
          <cell r="M387" t="str">
            <v>Customers Deposit</v>
          </cell>
        </row>
        <row r="388">
          <cell r="A388">
            <v>3419000090</v>
          </cell>
          <cell r="C388" t="str">
            <v>BS Adjustment:Customer Down Pa</v>
          </cell>
          <cell r="D388" t="str">
            <v>00 00 242-000-000</v>
          </cell>
          <cell r="E388">
            <v>0</v>
          </cell>
          <cell r="F388">
            <v>0</v>
          </cell>
          <cell r="G388">
            <v>0</v>
          </cell>
          <cell r="H388">
            <v>-1093154139</v>
          </cell>
          <cell r="I388">
            <v>0</v>
          </cell>
          <cell r="J388">
            <v>0</v>
          </cell>
          <cell r="K388">
            <v>-1093154139</v>
          </cell>
          <cell r="L388">
            <v>0</v>
          </cell>
          <cell r="M388" t="str">
            <v>Customers Deposit</v>
          </cell>
        </row>
        <row r="389">
          <cell r="A389">
            <v>3419000091</v>
          </cell>
          <cell r="C389" t="str">
            <v>Uang muka pelg:Non Affco (Inte</v>
          </cell>
          <cell r="D389" t="str">
            <v>00 00 242-000-000</v>
          </cell>
          <cell r="E389">
            <v>0</v>
          </cell>
          <cell r="F389">
            <v>0</v>
          </cell>
          <cell r="G389">
            <v>0</v>
          </cell>
          <cell r="H389">
            <v>938774186</v>
          </cell>
          <cell r="I389">
            <v>0</v>
          </cell>
          <cell r="J389">
            <v>0</v>
          </cell>
          <cell r="K389">
            <v>938774186</v>
          </cell>
          <cell r="L389">
            <v>0</v>
          </cell>
          <cell r="M389" t="str">
            <v>Customers Deposit</v>
          </cell>
        </row>
        <row r="390">
          <cell r="A390">
            <v>3419000092</v>
          </cell>
          <cell r="C390" t="str">
            <v>Customers Deposit</v>
          </cell>
          <cell r="D390" t="str">
            <v>00 00 242-000-000</v>
          </cell>
          <cell r="E390">
            <v>0</v>
          </cell>
          <cell r="F390">
            <v>0</v>
          </cell>
          <cell r="G390">
            <v>0</v>
          </cell>
          <cell r="H390">
            <v>3169737</v>
          </cell>
          <cell r="I390">
            <v>0</v>
          </cell>
          <cell r="J390">
            <v>0</v>
          </cell>
          <cell r="K390">
            <v>3169737</v>
          </cell>
          <cell r="L390">
            <v>0</v>
          </cell>
          <cell r="M390" t="str">
            <v>Customers Deposit</v>
          </cell>
        </row>
        <row r="391">
          <cell r="A391">
            <v>3530000000</v>
          </cell>
          <cell r="C391" t="str">
            <v>Accrued : Proffesional Fee</v>
          </cell>
          <cell r="D391" t="str">
            <v>00 00 235-200-000</v>
          </cell>
          <cell r="E391">
            <v>0</v>
          </cell>
          <cell r="F391">
            <v>0</v>
          </cell>
          <cell r="G391">
            <v>0</v>
          </cell>
          <cell r="H391">
            <v>-900000000</v>
          </cell>
          <cell r="I391">
            <v>0</v>
          </cell>
          <cell r="J391">
            <v>0</v>
          </cell>
          <cell r="K391">
            <v>-900000000</v>
          </cell>
          <cell r="L391">
            <v>0</v>
          </cell>
          <cell r="M391" t="str">
            <v>Accrued Expenses - Salaries and Bonus</v>
          </cell>
        </row>
        <row r="392">
          <cell r="A392">
            <v>3540000002</v>
          </cell>
          <cell r="C392" t="str">
            <v>Accrued - Waranty &amp; Delivery</v>
          </cell>
          <cell r="D392" t="str">
            <v>00 00 235-900-000</v>
          </cell>
          <cell r="E392">
            <v>0</v>
          </cell>
          <cell r="F392">
            <v>0</v>
          </cell>
          <cell r="G392">
            <v>0</v>
          </cell>
          <cell r="H392">
            <v>-72878084919</v>
          </cell>
          <cell r="I392">
            <v>189308545</v>
          </cell>
          <cell r="J392">
            <v>0</v>
          </cell>
          <cell r="K392">
            <v>-72688776374</v>
          </cell>
          <cell r="L392">
            <v>0</v>
          </cell>
          <cell r="M392" t="str">
            <v>Acrrued Expenses - Others</v>
          </cell>
        </row>
        <row r="393">
          <cell r="A393">
            <v>3540000010</v>
          </cell>
          <cell r="C393" t="str">
            <v>Accrued - Product Support</v>
          </cell>
          <cell r="D393" t="str">
            <v>00 00 235-900-000</v>
          </cell>
          <cell r="E393">
            <v>0</v>
          </cell>
          <cell r="F393">
            <v>0</v>
          </cell>
          <cell r="G393">
            <v>0</v>
          </cell>
          <cell r="H393">
            <v>-4822142818</v>
          </cell>
          <cell r="I393">
            <v>1769001005</v>
          </cell>
          <cell r="J393">
            <v>13349318641</v>
          </cell>
          <cell r="K393">
            <v>-16402460454</v>
          </cell>
          <cell r="L393">
            <v>0</v>
          </cell>
          <cell r="M393" t="str">
            <v>Acrrued Expenses - Others</v>
          </cell>
        </row>
        <row r="394">
          <cell r="A394">
            <v>3550000000</v>
          </cell>
          <cell r="C394" t="str">
            <v>Accrued - Utility (telp,vsat)</v>
          </cell>
          <cell r="D394" t="str">
            <v>00 00 235-800-000</v>
          </cell>
          <cell r="E394">
            <v>0</v>
          </cell>
          <cell r="F394">
            <v>0</v>
          </cell>
          <cell r="G394">
            <v>0</v>
          </cell>
          <cell r="H394">
            <v>-3600000000</v>
          </cell>
          <cell r="I394">
            <v>576821613</v>
          </cell>
          <cell r="J394">
            <v>0</v>
          </cell>
          <cell r="K394">
            <v>-3023178387</v>
          </cell>
          <cell r="L394">
            <v>0</v>
          </cell>
          <cell r="M394" t="str">
            <v>Accrued Expenses - Repair and Maintenanc</v>
          </cell>
        </row>
        <row r="395">
          <cell r="A395">
            <v>3590000000</v>
          </cell>
          <cell r="C395" t="str">
            <v>Accrued : Others</v>
          </cell>
          <cell r="D395" t="str">
            <v>00 00 235-900-000</v>
          </cell>
          <cell r="E395">
            <v>0</v>
          </cell>
          <cell r="F395">
            <v>0</v>
          </cell>
          <cell r="G395">
            <v>0</v>
          </cell>
          <cell r="H395">
            <v>-91099600858</v>
          </cell>
          <cell r="I395">
            <v>0</v>
          </cell>
          <cell r="J395">
            <v>13954500000</v>
          </cell>
          <cell r="K395">
            <v>-105054100858</v>
          </cell>
          <cell r="L395">
            <v>0</v>
          </cell>
          <cell r="M395" t="str">
            <v>Acrrued Expenses - Others</v>
          </cell>
        </row>
        <row r="396">
          <cell r="A396">
            <v>3590000009</v>
          </cell>
          <cell r="C396" t="str">
            <v>Accrued : Employee Benefit</v>
          </cell>
          <cell r="D396" t="str">
            <v>00 00 269-000-000</v>
          </cell>
          <cell r="E396">
            <v>0</v>
          </cell>
          <cell r="F396">
            <v>0</v>
          </cell>
          <cell r="G396">
            <v>0</v>
          </cell>
          <cell r="H396">
            <v>-85785360168</v>
          </cell>
          <cell r="I396">
            <v>0</v>
          </cell>
          <cell r="J396">
            <v>0</v>
          </cell>
          <cell r="K396">
            <v>-85785360168</v>
          </cell>
          <cell r="L396">
            <v>0</v>
          </cell>
          <cell r="M396" t="str">
            <v>Accrued expense-Employee benefit</v>
          </cell>
        </row>
        <row r="397">
          <cell r="A397">
            <v>3590000100</v>
          </cell>
          <cell r="C397" t="str">
            <v>Selisih hrg pembelian-unit</v>
          </cell>
          <cell r="D397" t="str">
            <v>00 00 235-900-000</v>
          </cell>
          <cell r="E397">
            <v>0</v>
          </cell>
          <cell r="F397">
            <v>0</v>
          </cell>
          <cell r="G397">
            <v>0</v>
          </cell>
          <cell r="H397">
            <v>99890929874</v>
          </cell>
          <cell r="I397">
            <v>0</v>
          </cell>
          <cell r="J397">
            <v>99890929874</v>
          </cell>
          <cell r="K397">
            <v>0</v>
          </cell>
          <cell r="L397">
            <v>0</v>
          </cell>
          <cell r="M397" t="str">
            <v>Acrrued Expenses - Others</v>
          </cell>
        </row>
        <row r="398">
          <cell r="A398">
            <v>3590000202</v>
          </cell>
          <cell r="C398" t="str">
            <v>PPV - S. Parts - new</v>
          </cell>
          <cell r="D398" t="str">
            <v>00 00 235-900-000</v>
          </cell>
          <cell r="E398">
            <v>0</v>
          </cell>
          <cell r="F398">
            <v>0</v>
          </cell>
          <cell r="G398">
            <v>0</v>
          </cell>
          <cell r="H398">
            <v>-3532730</v>
          </cell>
          <cell r="I398">
            <v>3532730</v>
          </cell>
          <cell r="J398">
            <v>0</v>
          </cell>
          <cell r="K398">
            <v>0</v>
          </cell>
          <cell r="L398">
            <v>0</v>
          </cell>
          <cell r="M398" t="str">
            <v>Acrrued Expenses - Others</v>
          </cell>
        </row>
        <row r="399">
          <cell r="A399">
            <v>3620100000</v>
          </cell>
          <cell r="C399" t="str">
            <v>Hutang Pajak:PPh 21-Karyawan</v>
          </cell>
          <cell r="D399" t="str">
            <v>00 00 237-100-000</v>
          </cell>
          <cell r="E399">
            <v>0</v>
          </cell>
          <cell r="F399">
            <v>0</v>
          </cell>
          <cell r="G399">
            <v>0</v>
          </cell>
          <cell r="H399">
            <v>-3483748445</v>
          </cell>
          <cell r="I399">
            <v>0</v>
          </cell>
          <cell r="J399">
            <v>0</v>
          </cell>
          <cell r="K399">
            <v>-3483748445</v>
          </cell>
          <cell r="L399">
            <v>0</v>
          </cell>
          <cell r="M399" t="str">
            <v>Taxes Payable - Income Tax Art. 21</v>
          </cell>
        </row>
        <row r="400">
          <cell r="A400">
            <v>3620100001</v>
          </cell>
          <cell r="C400" t="str">
            <v>Hutang Pajak PPH 21 T. Ahli</v>
          </cell>
          <cell r="D400" t="str">
            <v>00 00 237-100-000</v>
          </cell>
          <cell r="E400">
            <v>0</v>
          </cell>
          <cell r="F400">
            <v>0</v>
          </cell>
          <cell r="G400">
            <v>0</v>
          </cell>
          <cell r="H400">
            <v>62228248</v>
          </cell>
          <cell r="I400">
            <v>0</v>
          </cell>
          <cell r="J400">
            <v>0</v>
          </cell>
          <cell r="K400">
            <v>62228248</v>
          </cell>
          <cell r="L400">
            <v>0</v>
          </cell>
          <cell r="M400" t="str">
            <v>Taxes Payable - Income Tax Art. 21</v>
          </cell>
        </row>
        <row r="401">
          <cell r="A401">
            <v>3620300000</v>
          </cell>
          <cell r="C401" t="str">
            <v>Hutang Pajak PPH 23</v>
          </cell>
          <cell r="D401" t="str">
            <v>00 00 237-200-000</v>
          </cell>
          <cell r="E401">
            <v>0</v>
          </cell>
          <cell r="F401">
            <v>0</v>
          </cell>
          <cell r="G401">
            <v>0</v>
          </cell>
          <cell r="H401">
            <v>-626422726</v>
          </cell>
          <cell r="I401">
            <v>2575344</v>
          </cell>
          <cell r="J401">
            <v>0</v>
          </cell>
          <cell r="K401">
            <v>-623847382</v>
          </cell>
          <cell r="L401">
            <v>0</v>
          </cell>
          <cell r="M401" t="str">
            <v>Taxes Payable - Income Tax Art. 23</v>
          </cell>
        </row>
        <row r="402">
          <cell r="A402">
            <v>3620600000</v>
          </cell>
          <cell r="C402" t="str">
            <v>Hutang Pajak PPH 26</v>
          </cell>
          <cell r="D402" t="str">
            <v>00 00 237-400-000</v>
          </cell>
          <cell r="E402">
            <v>0</v>
          </cell>
          <cell r="F402">
            <v>0</v>
          </cell>
          <cell r="G402">
            <v>0</v>
          </cell>
          <cell r="H402">
            <v>-4646945</v>
          </cell>
          <cell r="I402">
            <v>0</v>
          </cell>
          <cell r="J402">
            <v>7128647</v>
          </cell>
          <cell r="K402">
            <v>-11775592</v>
          </cell>
          <cell r="L402">
            <v>0</v>
          </cell>
          <cell r="M402" t="str">
            <v>Taxes Payable - Income Tax Art. 26</v>
          </cell>
        </row>
        <row r="403">
          <cell r="A403">
            <v>3620900000</v>
          </cell>
          <cell r="C403" t="str">
            <v>Tax Payable - Pph 29</v>
          </cell>
          <cell r="D403" t="str">
            <v>00 00 237-500-000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459632574195</v>
          </cell>
          <cell r="J403">
            <v>458290995728</v>
          </cell>
          <cell r="K403">
            <v>1341578467</v>
          </cell>
          <cell r="L403">
            <v>0</v>
          </cell>
          <cell r="M403" t="str">
            <v>Taxes Payable - Income Tax Art. 29</v>
          </cell>
        </row>
        <row r="404">
          <cell r="A404">
            <v>3630100000</v>
          </cell>
          <cell r="C404" t="str">
            <v>PPN Masuk yang dikreditkan</v>
          </cell>
          <cell r="D404" t="str">
            <v>00 00 237-600-000</v>
          </cell>
          <cell r="E404">
            <v>0</v>
          </cell>
          <cell r="F404">
            <v>0</v>
          </cell>
          <cell r="G404">
            <v>0</v>
          </cell>
          <cell r="H404">
            <v>-162874186845</v>
          </cell>
          <cell r="I404">
            <v>237088135979</v>
          </cell>
          <cell r="J404">
            <v>1444649745</v>
          </cell>
          <cell r="K404">
            <v>72769299389</v>
          </cell>
          <cell r="L404">
            <v>0</v>
          </cell>
          <cell r="M404" t="str">
            <v>Taxes Payable - Value Added Tax - Output</v>
          </cell>
        </row>
        <row r="405">
          <cell r="A405">
            <v>3630100001</v>
          </cell>
          <cell r="C405" t="str">
            <v>PPN Masukan:temporary (unit)</v>
          </cell>
          <cell r="D405" t="str">
            <v>00 00 237-600-000</v>
          </cell>
          <cell r="E405">
            <v>0</v>
          </cell>
          <cell r="F405">
            <v>0</v>
          </cell>
          <cell r="G405">
            <v>0</v>
          </cell>
          <cell r="H405">
            <v>1852500</v>
          </cell>
          <cell r="I405">
            <v>0</v>
          </cell>
          <cell r="J405">
            <v>1852500</v>
          </cell>
          <cell r="K405">
            <v>0</v>
          </cell>
          <cell r="L405">
            <v>0</v>
          </cell>
          <cell r="M405" t="str">
            <v>Taxes Payable - Value Added Tax - Output</v>
          </cell>
        </row>
        <row r="406">
          <cell r="A406">
            <v>3630100002</v>
          </cell>
          <cell r="C406" t="str">
            <v>PPN-Masukkan:Temporary</v>
          </cell>
          <cell r="D406" t="str">
            <v>00 00 237-600-000</v>
          </cell>
          <cell r="E406">
            <v>0</v>
          </cell>
          <cell r="F406">
            <v>0</v>
          </cell>
          <cell r="G406">
            <v>0</v>
          </cell>
          <cell r="H406">
            <v>236397247027</v>
          </cell>
          <cell r="I406">
            <v>0</v>
          </cell>
          <cell r="J406">
            <v>236397247027</v>
          </cell>
          <cell r="K406">
            <v>0</v>
          </cell>
          <cell r="L406">
            <v>0</v>
          </cell>
          <cell r="M406" t="str">
            <v>Taxes Payable - Value Added Tax - Output</v>
          </cell>
        </row>
        <row r="407">
          <cell r="A407">
            <v>3630200000</v>
          </cell>
          <cell r="C407" t="str">
            <v>PPN Keluaran</v>
          </cell>
          <cell r="D407" t="str">
            <v>00 00 237-600-000</v>
          </cell>
          <cell r="E407">
            <v>0</v>
          </cell>
          <cell r="F407">
            <v>0</v>
          </cell>
          <cell r="G407">
            <v>0</v>
          </cell>
          <cell r="H407">
            <v>-124447660770</v>
          </cell>
          <cell r="I407">
            <v>0</v>
          </cell>
          <cell r="J407">
            <v>72393364063</v>
          </cell>
          <cell r="K407">
            <v>-196841024833</v>
          </cell>
          <cell r="L407">
            <v>0</v>
          </cell>
          <cell r="M407" t="str">
            <v>Taxes Payable - Value Added Tax - Output</v>
          </cell>
        </row>
        <row r="408">
          <cell r="A408">
            <v>3630200001</v>
          </cell>
          <cell r="C408" t="str">
            <v>PPN-Keluaran:Temporary</v>
          </cell>
          <cell r="D408" t="str">
            <v>00 00 106-000-000</v>
          </cell>
          <cell r="E408">
            <v>0</v>
          </cell>
          <cell r="F408">
            <v>0</v>
          </cell>
          <cell r="G408">
            <v>0</v>
          </cell>
          <cell r="H408">
            <v>-72393364063</v>
          </cell>
          <cell r="I408">
            <v>72393364063</v>
          </cell>
          <cell r="J408">
            <v>0</v>
          </cell>
          <cell r="K408">
            <v>0</v>
          </cell>
          <cell r="L408">
            <v>0</v>
          </cell>
          <cell r="M408" t="str">
            <v>A/R Trade - Regular - 3rd Parties</v>
          </cell>
        </row>
        <row r="409">
          <cell r="A409">
            <v>3720000000</v>
          </cell>
          <cell r="C409" t="str">
            <v>Deferred revenue SVC : FMC</v>
          </cell>
          <cell r="D409" t="str">
            <v>00 00 255-900-000</v>
          </cell>
          <cell r="E409">
            <v>0</v>
          </cell>
          <cell r="F409">
            <v>0</v>
          </cell>
          <cell r="G409">
            <v>0</v>
          </cell>
          <cell r="H409">
            <v>-92527422827</v>
          </cell>
          <cell r="I409">
            <v>10342758239</v>
          </cell>
          <cell r="J409">
            <v>7028865810</v>
          </cell>
          <cell r="K409">
            <v>-89213530398</v>
          </cell>
          <cell r="L409">
            <v>0</v>
          </cell>
          <cell r="M409" t="str">
            <v>Deferred Income - Others</v>
          </cell>
        </row>
        <row r="410">
          <cell r="A410">
            <v>3740000000</v>
          </cell>
          <cell r="C410" t="str">
            <v>Def.Inc:Consolidated</v>
          </cell>
          <cell r="D410" t="str">
            <v>00 00 273-000-000</v>
          </cell>
          <cell r="E410">
            <v>0</v>
          </cell>
          <cell r="F410">
            <v>0</v>
          </cell>
          <cell r="G410">
            <v>0</v>
          </cell>
          <cell r="H410">
            <v>-376632071351</v>
          </cell>
          <cell r="I410">
            <v>9947410733</v>
          </cell>
          <cell r="J410">
            <v>38954277052</v>
          </cell>
          <cell r="K410">
            <v>-405638937670</v>
          </cell>
          <cell r="L410">
            <v>0</v>
          </cell>
          <cell r="M410" t="str">
            <v>Deferred Income on Sale and Leaseback</v>
          </cell>
        </row>
        <row r="411">
          <cell r="A411">
            <v>3910000000</v>
          </cell>
          <cell r="B411" t="str">
            <v>0090000114</v>
          </cell>
          <cell r="C411" t="str">
            <v>Curr.Mat. LTD: SMBC-FC</v>
          </cell>
          <cell r="D411" t="str">
            <v>00 00 258-120-540</v>
          </cell>
          <cell r="E411">
            <v>0</v>
          </cell>
          <cell r="F411">
            <v>0</v>
          </cell>
          <cell r="G411">
            <v>0</v>
          </cell>
          <cell r="H411">
            <v>-46825000000</v>
          </cell>
          <cell r="I411">
            <v>0</v>
          </cell>
          <cell r="J411">
            <v>0</v>
          </cell>
          <cell r="K411">
            <v>-46825000000</v>
          </cell>
          <cell r="L411">
            <v>0</v>
          </cell>
          <cell r="M411" t="str">
            <v>Current Maturit - Sumitomo Mitsui Bankin</v>
          </cell>
        </row>
        <row r="412">
          <cell r="A412">
            <v>5520000000</v>
          </cell>
          <cell r="C412" t="str">
            <v>Modal saham:Common Stock</v>
          </cell>
          <cell r="D412" t="str">
            <v>00 00 280-200-000</v>
          </cell>
          <cell r="E412">
            <v>0</v>
          </cell>
          <cell r="F412">
            <v>0</v>
          </cell>
          <cell r="G412">
            <v>0</v>
          </cell>
          <cell r="H412">
            <v>-831719320750</v>
          </cell>
          <cell r="I412">
            <v>0</v>
          </cell>
          <cell r="J412">
            <v>0</v>
          </cell>
          <cell r="K412">
            <v>-831719320750</v>
          </cell>
          <cell r="L412">
            <v>0</v>
          </cell>
          <cell r="M412" t="str">
            <v>Capital Stock - Common Stock</v>
          </cell>
        </row>
        <row r="413">
          <cell r="A413">
            <v>5601000000</v>
          </cell>
          <cell r="C413" t="str">
            <v>Modal saham:Agio-PT United Tra</v>
          </cell>
          <cell r="D413" t="str">
            <v>00 00 285-100-000</v>
          </cell>
          <cell r="E413">
            <v>0</v>
          </cell>
          <cell r="F413">
            <v>0</v>
          </cell>
          <cell r="G413">
            <v>0</v>
          </cell>
          <cell r="H413">
            <v>-3760805163550</v>
          </cell>
          <cell r="I413">
            <v>0</v>
          </cell>
          <cell r="J413">
            <v>0</v>
          </cell>
          <cell r="K413">
            <v>-3760805163550</v>
          </cell>
          <cell r="L413">
            <v>0</v>
          </cell>
          <cell r="M413" t="str">
            <v>Paid in Cap.in Excess of PV - Company</v>
          </cell>
        </row>
        <row r="414">
          <cell r="A414">
            <v>5601000001</v>
          </cell>
          <cell r="C414" t="str">
            <v>Cap.Stock:Opsi-PTUT</v>
          </cell>
          <cell r="D414" t="str">
            <v>00 00 285-100-000</v>
          </cell>
          <cell r="E414">
            <v>0</v>
          </cell>
          <cell r="F414">
            <v>0</v>
          </cell>
          <cell r="G414">
            <v>0</v>
          </cell>
          <cell r="H414">
            <v>-20758457933</v>
          </cell>
          <cell r="I414">
            <v>0</v>
          </cell>
          <cell r="J414">
            <v>0</v>
          </cell>
          <cell r="K414">
            <v>-20758457933</v>
          </cell>
          <cell r="L414">
            <v>0</v>
          </cell>
          <cell r="M414" t="str">
            <v>Paid in Cap.in Excess of PV - Company</v>
          </cell>
        </row>
        <row r="415">
          <cell r="A415">
            <v>5603000000</v>
          </cell>
          <cell r="C415" t="str">
            <v>Modal saham:Agio-Affco - KI</v>
          </cell>
          <cell r="D415" t="str">
            <v>00 00 285-200-088</v>
          </cell>
          <cell r="E415">
            <v>0</v>
          </cell>
          <cell r="F415">
            <v>0</v>
          </cell>
          <cell r="G415">
            <v>0</v>
          </cell>
          <cell r="H415">
            <v>-132980636927</v>
          </cell>
          <cell r="I415">
            <v>150075000000</v>
          </cell>
          <cell r="J415">
            <v>0</v>
          </cell>
          <cell r="K415">
            <v>17094363073</v>
          </cell>
          <cell r="L415">
            <v>0</v>
          </cell>
          <cell r="M415" t="str">
            <v>Paid in Capital   -PT Komatsu Indonesia</v>
          </cell>
        </row>
        <row r="416">
          <cell r="A416">
            <v>5603000001</v>
          </cell>
          <cell r="C416" t="str">
            <v>Modal saham : Agio - Pamapersada Nusantara</v>
          </cell>
          <cell r="D416" t="str">
            <v>00 00 285-200-112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450000000</v>
          </cell>
          <cell r="J416">
            <v>150075000000</v>
          </cell>
          <cell r="K416">
            <v>-149625000000</v>
          </cell>
          <cell r="L416">
            <v>0</v>
          </cell>
          <cell r="M416" t="str">
            <v>Paid in Capital   -PT Pama Persada Nusan</v>
          </cell>
        </row>
        <row r="417">
          <cell r="A417">
            <v>5608000000</v>
          </cell>
          <cell r="C417" t="str">
            <v>Unrealize gain on investment - KI</v>
          </cell>
          <cell r="D417" t="str">
            <v>00 00 288-600-000</v>
          </cell>
          <cell r="E417">
            <v>0</v>
          </cell>
          <cell r="F417">
            <v>0</v>
          </cell>
          <cell r="G417">
            <v>0</v>
          </cell>
          <cell r="H417">
            <v>-65691388406</v>
          </cell>
          <cell r="I417">
            <v>0</v>
          </cell>
          <cell r="J417">
            <v>0</v>
          </cell>
          <cell r="K417">
            <v>-65691388406</v>
          </cell>
          <cell r="L417">
            <v>0</v>
          </cell>
          <cell r="M417" t="str">
            <v>Unrealized gain on investment</v>
          </cell>
        </row>
        <row r="418">
          <cell r="A418">
            <v>5910000000</v>
          </cell>
          <cell r="C418" t="str">
            <v>Appropriated Retained Earnings</v>
          </cell>
          <cell r="D418" t="str">
            <v>00 00 290-200-000</v>
          </cell>
          <cell r="E418">
            <v>0</v>
          </cell>
          <cell r="F418">
            <v>0</v>
          </cell>
          <cell r="G418">
            <v>0</v>
          </cell>
          <cell r="H418">
            <v>-142580227500</v>
          </cell>
          <cell r="I418">
            <v>0</v>
          </cell>
          <cell r="J418">
            <v>0</v>
          </cell>
          <cell r="K418">
            <v>-142580227500</v>
          </cell>
          <cell r="L418">
            <v>0</v>
          </cell>
          <cell r="M418" t="str">
            <v>R/E - Appropriated</v>
          </cell>
        </row>
        <row r="419">
          <cell r="A419">
            <v>5920000000</v>
          </cell>
          <cell r="C419" t="str">
            <v>Unappropriated Retained Earnings</v>
          </cell>
          <cell r="D419" t="str">
            <v>00 00 290-100-000</v>
          </cell>
          <cell r="E419">
            <v>0</v>
          </cell>
          <cell r="F419">
            <v>0</v>
          </cell>
          <cell r="G419">
            <v>0</v>
          </cell>
          <cell r="H419">
            <v>-8753669840775</v>
          </cell>
          <cell r="I419">
            <v>0</v>
          </cell>
          <cell r="J419">
            <v>0</v>
          </cell>
          <cell r="K419">
            <v>-8753669840775</v>
          </cell>
          <cell r="L419">
            <v>0</v>
          </cell>
          <cell r="M419" t="str">
            <v>R/E - Unappropriated</v>
          </cell>
        </row>
        <row r="420">
          <cell r="A420">
            <v>5940000000</v>
          </cell>
          <cell r="C420" t="str">
            <v>Translation adjustment-selisih penjabaran</v>
          </cell>
          <cell r="D420" t="str">
            <v>00 00 289-000-000</v>
          </cell>
          <cell r="E420">
            <v>0</v>
          </cell>
          <cell r="F420">
            <v>0</v>
          </cell>
          <cell r="G420">
            <v>0</v>
          </cell>
          <cell r="H420">
            <v>-135506455166</v>
          </cell>
          <cell r="I420">
            <v>1219811391</v>
          </cell>
          <cell r="J420">
            <v>0</v>
          </cell>
          <cell r="K420">
            <v>-134286643775</v>
          </cell>
          <cell r="L420">
            <v>0</v>
          </cell>
          <cell r="M420" t="str">
            <v>Diff. in foreign currency translation</v>
          </cell>
        </row>
        <row r="421">
          <cell r="A421">
            <v>5960000000</v>
          </cell>
          <cell r="C421" t="str">
            <v>FV Revaluation Reserve on Hedge Acctg (NUMPANG)</v>
          </cell>
          <cell r="D421" t="str">
            <v>00 00 289-400-000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6376088569</v>
          </cell>
          <cell r="J421">
            <v>0</v>
          </cell>
          <cell r="K421">
            <v>6376088569</v>
          </cell>
          <cell r="L421">
            <v>0</v>
          </cell>
          <cell r="M421" t="str">
            <v>Currency translation diff.-other</v>
          </cell>
        </row>
        <row r="422">
          <cell r="A422">
            <v>6011100000</v>
          </cell>
          <cell r="C422" t="str">
            <v>Penjualan unit baru:lokal</v>
          </cell>
          <cell r="D422" t="str">
            <v>00 00 300-200-000</v>
          </cell>
          <cell r="E422">
            <v>0</v>
          </cell>
          <cell r="F422">
            <v>0</v>
          </cell>
          <cell r="G422">
            <v>0</v>
          </cell>
          <cell r="H422">
            <v>-1140853321551</v>
          </cell>
          <cell r="I422">
            <v>0</v>
          </cell>
          <cell r="J422">
            <v>0</v>
          </cell>
          <cell r="K422">
            <v>-1140853321551</v>
          </cell>
          <cell r="L422">
            <v>0</v>
          </cell>
          <cell r="M422" t="str">
            <v>Sales-Finished Goods-Regular-3rd.Parties</v>
          </cell>
        </row>
        <row r="423">
          <cell r="A423">
            <v>6011100600</v>
          </cell>
          <cell r="C423" t="str">
            <v>Penjualan unit Product Support</v>
          </cell>
          <cell r="D423" t="str">
            <v>00 00 300-200-000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13349318641</v>
          </cell>
          <cell r="J423">
            <v>0</v>
          </cell>
          <cell r="K423">
            <v>13349318641</v>
          </cell>
          <cell r="L423">
            <v>0</v>
          </cell>
          <cell r="M423" t="str">
            <v>Sales-Finished Goods-Regular-3rd.Parties</v>
          </cell>
        </row>
        <row r="424">
          <cell r="A424">
            <v>6011500000</v>
          </cell>
          <cell r="C424" t="str">
            <v>Penjualan unit baru</v>
          </cell>
          <cell r="D424" t="str">
            <v>00 00 300-200-000</v>
          </cell>
          <cell r="E424">
            <v>0</v>
          </cell>
          <cell r="F424">
            <v>0</v>
          </cell>
          <cell r="G424">
            <v>0</v>
          </cell>
          <cell r="H424">
            <v>-1963500000</v>
          </cell>
          <cell r="I424">
            <v>0</v>
          </cell>
          <cell r="J424">
            <v>0</v>
          </cell>
          <cell r="K424">
            <v>-1963500000</v>
          </cell>
          <cell r="L424">
            <v>0</v>
          </cell>
          <cell r="M424" t="str">
            <v>Sales-Finished Goods-Regular-3rd.Parties</v>
          </cell>
        </row>
        <row r="425">
          <cell r="A425">
            <v>6012100000</v>
          </cell>
          <cell r="C425" t="str">
            <v>Penjualan unit yg diperbaiki:lokal</v>
          </cell>
          <cell r="D425" t="str">
            <v>00 00 300-200-000</v>
          </cell>
          <cell r="E425">
            <v>0</v>
          </cell>
          <cell r="F425">
            <v>0</v>
          </cell>
          <cell r="G425">
            <v>0</v>
          </cell>
          <cell r="H425">
            <v>-2134611000</v>
          </cell>
          <cell r="I425">
            <v>0</v>
          </cell>
          <cell r="J425">
            <v>0</v>
          </cell>
          <cell r="K425">
            <v>-2134611000</v>
          </cell>
          <cell r="L425">
            <v>0</v>
          </cell>
          <cell r="M425" t="str">
            <v>Sales-Finished Goods-Regular-3rd.Parties</v>
          </cell>
        </row>
        <row r="426">
          <cell r="A426">
            <v>6020100000</v>
          </cell>
          <cell r="C426" t="str">
            <v>Penjualan Suku Cadang:Direct</v>
          </cell>
          <cell r="D426" t="str">
            <v>00 00 302-200-000</v>
          </cell>
          <cell r="E426">
            <v>0</v>
          </cell>
          <cell r="F426">
            <v>0</v>
          </cell>
          <cell r="G426">
            <v>0</v>
          </cell>
          <cell r="H426">
            <v>-391955192503</v>
          </cell>
          <cell r="I426">
            <v>0</v>
          </cell>
          <cell r="J426">
            <v>0</v>
          </cell>
          <cell r="K426">
            <v>-391955192503</v>
          </cell>
          <cell r="L426">
            <v>0</v>
          </cell>
          <cell r="M426" t="str">
            <v>Sales-Parts-Regular-3rd Parties</v>
          </cell>
        </row>
        <row r="427">
          <cell r="A427">
            <v>6020100001</v>
          </cell>
          <cell r="C427" t="str">
            <v>Penjualan Suku Cadang:Service</v>
          </cell>
          <cell r="D427" t="str">
            <v>00 00 302-200-000</v>
          </cell>
          <cell r="E427">
            <v>0</v>
          </cell>
          <cell r="F427">
            <v>0</v>
          </cell>
          <cell r="G427">
            <v>0</v>
          </cell>
          <cell r="H427">
            <v>-209259596</v>
          </cell>
          <cell r="I427">
            <v>0</v>
          </cell>
          <cell r="J427">
            <v>0</v>
          </cell>
          <cell r="K427">
            <v>-209259596</v>
          </cell>
          <cell r="L427">
            <v>0</v>
          </cell>
          <cell r="M427" t="str">
            <v>Sales-Parts-Regular-3rd Parties</v>
          </cell>
        </row>
        <row r="428">
          <cell r="A428">
            <v>6061000000</v>
          </cell>
          <cell r="C428" t="str">
            <v>Pendapatan Operasi Unit Rental</v>
          </cell>
          <cell r="D428" t="str">
            <v>00 00 320-200-000</v>
          </cell>
          <cell r="E428">
            <v>0</v>
          </cell>
          <cell r="F428">
            <v>0</v>
          </cell>
          <cell r="G428">
            <v>0</v>
          </cell>
          <cell r="H428">
            <v>-716099076</v>
          </cell>
          <cell r="I428">
            <v>0</v>
          </cell>
          <cell r="J428">
            <v>0</v>
          </cell>
          <cell r="K428">
            <v>-716099076</v>
          </cell>
          <cell r="L428">
            <v>0</v>
          </cell>
          <cell r="M428" t="str">
            <v>Sales-Revenue from Rental-3rd Parties</v>
          </cell>
        </row>
        <row r="429">
          <cell r="A429">
            <v>6062000000</v>
          </cell>
          <cell r="C429" t="str">
            <v>Pendapatan Jasa Service:Worksh</v>
          </cell>
          <cell r="D429" t="str">
            <v>00 00 321-000-000</v>
          </cell>
          <cell r="E429">
            <v>0</v>
          </cell>
          <cell r="F429">
            <v>0</v>
          </cell>
          <cell r="G429">
            <v>0</v>
          </cell>
          <cell r="H429">
            <v>-18718731086</v>
          </cell>
          <cell r="I429">
            <v>0</v>
          </cell>
          <cell r="J429">
            <v>0</v>
          </cell>
          <cell r="K429">
            <v>-18718731086</v>
          </cell>
          <cell r="L429">
            <v>0</v>
          </cell>
          <cell r="M429" t="str">
            <v>Sales-Revenue fr.Repair &amp; Maint.Service</v>
          </cell>
        </row>
        <row r="430">
          <cell r="A430">
            <v>6062000001</v>
          </cell>
          <cell r="C430" t="str">
            <v>Pendapatan Jasa Service:Field</v>
          </cell>
          <cell r="D430" t="str">
            <v>00 00 321-000-000</v>
          </cell>
          <cell r="E430">
            <v>0</v>
          </cell>
          <cell r="F430">
            <v>0</v>
          </cell>
          <cell r="G430">
            <v>0</v>
          </cell>
          <cell r="H430">
            <v>-27157550085</v>
          </cell>
          <cell r="I430">
            <v>0</v>
          </cell>
          <cell r="J430">
            <v>0</v>
          </cell>
          <cell r="K430">
            <v>-27157550085</v>
          </cell>
          <cell r="L430">
            <v>0</v>
          </cell>
          <cell r="M430" t="str">
            <v>Sales-Revenue fr.Repair &amp; Maint.Service</v>
          </cell>
        </row>
        <row r="431">
          <cell r="A431">
            <v>6062000002</v>
          </cell>
          <cell r="C431" t="str">
            <v>Pendapatan Jasa Service:PAP</v>
          </cell>
          <cell r="D431" t="str">
            <v>00 00 321-000-000</v>
          </cell>
          <cell r="E431">
            <v>0</v>
          </cell>
          <cell r="F431">
            <v>0</v>
          </cell>
          <cell r="G431">
            <v>0</v>
          </cell>
          <cell r="H431">
            <v>-6467850</v>
          </cell>
          <cell r="I431">
            <v>0</v>
          </cell>
          <cell r="J431">
            <v>0</v>
          </cell>
          <cell r="K431">
            <v>-6467850</v>
          </cell>
          <cell r="L431">
            <v>0</v>
          </cell>
          <cell r="M431" t="str">
            <v>Sales-Revenue fr.Repair &amp; Maint.Service</v>
          </cell>
        </row>
        <row r="432">
          <cell r="A432">
            <v>6062000003</v>
          </cell>
          <cell r="C432" t="str">
            <v>Pendapatan Jasa Service:PTA</v>
          </cell>
          <cell r="D432" t="str">
            <v>00 00 321-000-000</v>
          </cell>
          <cell r="E432">
            <v>0</v>
          </cell>
          <cell r="F432">
            <v>0</v>
          </cell>
          <cell r="G432">
            <v>0</v>
          </cell>
          <cell r="H432">
            <v>-1831500</v>
          </cell>
          <cell r="I432">
            <v>0</v>
          </cell>
          <cell r="J432">
            <v>0</v>
          </cell>
          <cell r="K432">
            <v>-1831500</v>
          </cell>
          <cell r="L432">
            <v>0</v>
          </cell>
          <cell r="M432" t="str">
            <v>Sales-Revenue fr.Repair &amp; Maint.Service</v>
          </cell>
        </row>
        <row r="433">
          <cell r="A433">
            <v>6062000004</v>
          </cell>
          <cell r="C433" t="str">
            <v>Pendapatan Jasa service : FMC</v>
          </cell>
          <cell r="D433" t="str">
            <v>00 00 321-000-000</v>
          </cell>
          <cell r="E433">
            <v>0</v>
          </cell>
          <cell r="F433">
            <v>0</v>
          </cell>
          <cell r="G433">
            <v>0</v>
          </cell>
          <cell r="H433">
            <v>-27356284400</v>
          </cell>
          <cell r="I433">
            <v>7719776311</v>
          </cell>
          <cell r="J433">
            <v>10019770544</v>
          </cell>
          <cell r="K433">
            <v>-29656278633</v>
          </cell>
          <cell r="L433">
            <v>0</v>
          </cell>
          <cell r="M433" t="str">
            <v>Sales-Revenue fr.Repair &amp; Maint.Service</v>
          </cell>
        </row>
        <row r="434">
          <cell r="A434">
            <v>6062000005</v>
          </cell>
          <cell r="C434" t="str">
            <v>Pendapatan Jasa service : Paket</v>
          </cell>
          <cell r="D434" t="str">
            <v>00 00 321-000-000</v>
          </cell>
          <cell r="E434">
            <v>0</v>
          </cell>
          <cell r="F434">
            <v>0</v>
          </cell>
          <cell r="G434">
            <v>0</v>
          </cell>
          <cell r="H434">
            <v>-163715909</v>
          </cell>
          <cell r="I434">
            <v>0</v>
          </cell>
          <cell r="J434">
            <v>0</v>
          </cell>
          <cell r="K434">
            <v>-163715909</v>
          </cell>
          <cell r="L434">
            <v>0</v>
          </cell>
          <cell r="M434" t="str">
            <v>Sales-Revenue fr.Repair &amp; Maint.Service</v>
          </cell>
        </row>
        <row r="435">
          <cell r="A435">
            <v>6062000011</v>
          </cell>
          <cell r="C435" t="str">
            <v>Pendapatan Reman: Workshop</v>
          </cell>
          <cell r="D435" t="str">
            <v>00 00 321-000-000</v>
          </cell>
          <cell r="E435">
            <v>0</v>
          </cell>
          <cell r="F435">
            <v>0</v>
          </cell>
          <cell r="G435">
            <v>0</v>
          </cell>
          <cell r="H435">
            <v>-13805540372</v>
          </cell>
          <cell r="I435">
            <v>0</v>
          </cell>
          <cell r="J435">
            <v>0</v>
          </cell>
          <cell r="K435">
            <v>-13805540372</v>
          </cell>
          <cell r="L435">
            <v>0</v>
          </cell>
          <cell r="M435" t="str">
            <v>Sales-Revenue fr.Repair &amp; Maint.Service</v>
          </cell>
        </row>
        <row r="436">
          <cell r="A436">
            <v>6120100000</v>
          </cell>
          <cell r="C436" t="str">
            <v>Potongan Penjualan:Suku Cadang</v>
          </cell>
          <cell r="D436" t="str">
            <v>00 00 302-200-000</v>
          </cell>
          <cell r="E436">
            <v>0</v>
          </cell>
          <cell r="F436">
            <v>0</v>
          </cell>
          <cell r="G436">
            <v>0</v>
          </cell>
          <cell r="H436">
            <v>4301111681</v>
          </cell>
          <cell r="I436">
            <v>0</v>
          </cell>
          <cell r="J436">
            <v>0</v>
          </cell>
          <cell r="K436">
            <v>4301111681</v>
          </cell>
          <cell r="L436">
            <v>0</v>
          </cell>
          <cell r="M436" t="str">
            <v>Sales-Parts-Regular-3rd Parties</v>
          </cell>
        </row>
        <row r="437">
          <cell r="A437">
            <v>6220100000</v>
          </cell>
          <cell r="C437" t="str">
            <v>Retur Penjualan:Suku Cadang</v>
          </cell>
          <cell r="D437" t="str">
            <v>00 00 372-200-000</v>
          </cell>
          <cell r="E437">
            <v>0</v>
          </cell>
          <cell r="F437">
            <v>0</v>
          </cell>
          <cell r="G437">
            <v>0</v>
          </cell>
          <cell r="H437">
            <v>1308647887</v>
          </cell>
          <cell r="I437">
            <v>0</v>
          </cell>
          <cell r="J437">
            <v>0</v>
          </cell>
          <cell r="K437">
            <v>1308647887</v>
          </cell>
          <cell r="L437">
            <v>0</v>
          </cell>
          <cell r="M437" t="str">
            <v>Sales Ret.-Parts-Regular-3rd Parties</v>
          </cell>
        </row>
        <row r="438">
          <cell r="A438">
            <v>6511100000</v>
          </cell>
          <cell r="C438" t="str">
            <v>HPP-unit baru:lokal</v>
          </cell>
          <cell r="D438" t="str">
            <v>00 00 400-200-000</v>
          </cell>
          <cell r="E438">
            <v>0</v>
          </cell>
          <cell r="F438">
            <v>0</v>
          </cell>
          <cell r="G438">
            <v>0</v>
          </cell>
          <cell r="H438">
            <v>896177862878</v>
          </cell>
          <cell r="I438">
            <v>32666189381</v>
          </cell>
          <cell r="J438">
            <v>4296432174</v>
          </cell>
          <cell r="K438">
            <v>924547620085</v>
          </cell>
          <cell r="L438">
            <v>0</v>
          </cell>
          <cell r="M438" t="str">
            <v>Cost of Sales-Fin.Goods-Reg.-3rd.Parties</v>
          </cell>
        </row>
        <row r="439">
          <cell r="A439">
            <v>6511100001</v>
          </cell>
          <cell r="C439" t="str">
            <v>HPP Unit baru - PPV</v>
          </cell>
          <cell r="D439" t="str">
            <v>00 00 400-200-000</v>
          </cell>
          <cell r="E439">
            <v>0</v>
          </cell>
          <cell r="F439">
            <v>0</v>
          </cell>
          <cell r="G439">
            <v>0</v>
          </cell>
          <cell r="H439">
            <v>-4440775822</v>
          </cell>
          <cell r="I439">
            <v>65342158542</v>
          </cell>
          <cell r="J439">
            <v>15307628191</v>
          </cell>
          <cell r="K439">
            <v>45593754529</v>
          </cell>
          <cell r="L439">
            <v>0</v>
          </cell>
          <cell r="M439" t="str">
            <v>Cost of Sales-Fin.Goods-Reg.-3rd.Parties</v>
          </cell>
        </row>
        <row r="440">
          <cell r="A440">
            <v>6512100000</v>
          </cell>
          <cell r="C440" t="str">
            <v>HPP-unit yg diperbaiki:lokal</v>
          </cell>
          <cell r="D440" t="str">
            <v>00 00 400-200-000</v>
          </cell>
          <cell r="E440">
            <v>0</v>
          </cell>
          <cell r="F440">
            <v>0</v>
          </cell>
          <cell r="G440">
            <v>0</v>
          </cell>
          <cell r="H440">
            <v>2253906000</v>
          </cell>
          <cell r="I440">
            <v>0</v>
          </cell>
          <cell r="J440">
            <v>0</v>
          </cell>
          <cell r="K440">
            <v>2253906000</v>
          </cell>
          <cell r="L440">
            <v>0</v>
          </cell>
          <cell r="M440" t="str">
            <v>Cost of Sales-Fin.Goods-Reg.-3rd.Parties</v>
          </cell>
        </row>
        <row r="441">
          <cell r="A441">
            <v>6520100000</v>
          </cell>
          <cell r="C441" t="str">
            <v>Cost Unit Part - Komatsu</v>
          </cell>
          <cell r="D441" t="str">
            <v>00 00 402-200-000</v>
          </cell>
          <cell r="E441">
            <v>0</v>
          </cell>
          <cell r="F441">
            <v>0</v>
          </cell>
          <cell r="G441">
            <v>0</v>
          </cell>
          <cell r="H441">
            <v>286401209219</v>
          </cell>
          <cell r="I441">
            <v>1688143370</v>
          </cell>
          <cell r="J441">
            <v>3532730</v>
          </cell>
          <cell r="K441">
            <v>288085819859</v>
          </cell>
          <cell r="L441">
            <v>0</v>
          </cell>
          <cell r="M441" t="str">
            <v>Cost of Sales-Parts-Regular-3rd Parties</v>
          </cell>
        </row>
        <row r="442">
          <cell r="A442">
            <v>6520100001</v>
          </cell>
          <cell r="C442" t="str">
            <v>HP Penjualan-Suku Cadang:Kehil</v>
          </cell>
          <cell r="D442" t="str">
            <v>00 00 402-200-000</v>
          </cell>
          <cell r="E442">
            <v>0</v>
          </cell>
          <cell r="F442">
            <v>0</v>
          </cell>
          <cell r="G442">
            <v>0</v>
          </cell>
          <cell r="H442">
            <v>587631584</v>
          </cell>
          <cell r="I442">
            <v>0</v>
          </cell>
          <cell r="J442">
            <v>0</v>
          </cell>
          <cell r="K442">
            <v>587631584</v>
          </cell>
          <cell r="L442">
            <v>0</v>
          </cell>
          <cell r="M442" t="str">
            <v>Cost of Sales-Parts-Regular-3rd Parties</v>
          </cell>
        </row>
        <row r="443">
          <cell r="A443">
            <v>6520100002</v>
          </cell>
          <cell r="C443" t="str">
            <v>HP Penjualan-Suku Cadang:Kerus</v>
          </cell>
          <cell r="D443" t="str">
            <v>00 00 402-200-000</v>
          </cell>
          <cell r="E443">
            <v>0</v>
          </cell>
          <cell r="F443">
            <v>0</v>
          </cell>
          <cell r="G443">
            <v>0</v>
          </cell>
          <cell r="H443">
            <v>46720634</v>
          </cell>
          <cell r="I443">
            <v>0</v>
          </cell>
          <cell r="J443">
            <v>0</v>
          </cell>
          <cell r="K443">
            <v>46720634</v>
          </cell>
          <cell r="L443">
            <v>0</v>
          </cell>
          <cell r="M443" t="str">
            <v>Cost of Sales-Parts-Regular-3rd Parties</v>
          </cell>
        </row>
        <row r="444">
          <cell r="A444">
            <v>6520100003</v>
          </cell>
          <cell r="C444" t="str">
            <v>HP-Penjualan S.Parts PTS</v>
          </cell>
          <cell r="D444" t="str">
            <v>00 00 402-200-000</v>
          </cell>
          <cell r="E444">
            <v>0</v>
          </cell>
          <cell r="F444">
            <v>0</v>
          </cell>
          <cell r="G444">
            <v>0</v>
          </cell>
          <cell r="H444">
            <v>139656402</v>
          </cell>
          <cell r="I444">
            <v>0</v>
          </cell>
          <cell r="J444">
            <v>0</v>
          </cell>
          <cell r="K444">
            <v>139656402</v>
          </cell>
          <cell r="L444">
            <v>0</v>
          </cell>
          <cell r="M444" t="str">
            <v>Cost of Sales-Parts-Regular-3rd Parties</v>
          </cell>
        </row>
        <row r="445">
          <cell r="A445">
            <v>6520100004</v>
          </cell>
          <cell r="C445" t="str">
            <v>Cost Part: Handl&amp;inkl</v>
          </cell>
          <cell r="D445" t="str">
            <v>00 00 402-200-000</v>
          </cell>
          <cell r="E445">
            <v>0</v>
          </cell>
          <cell r="F445">
            <v>0</v>
          </cell>
          <cell r="G445">
            <v>0</v>
          </cell>
          <cell r="H445">
            <v>1177384787</v>
          </cell>
          <cell r="I445">
            <v>0</v>
          </cell>
          <cell r="J445">
            <v>0</v>
          </cell>
          <cell r="K445">
            <v>1177384787</v>
          </cell>
          <cell r="L445">
            <v>0</v>
          </cell>
          <cell r="M445" t="str">
            <v>Cost of Sales-Parts-Regular-3rd Parties</v>
          </cell>
        </row>
        <row r="446">
          <cell r="A446">
            <v>6520100099</v>
          </cell>
          <cell r="C446" t="str">
            <v>Cost Unit Part - Others</v>
          </cell>
          <cell r="D446" t="str">
            <v>00 00 402-200-000</v>
          </cell>
          <cell r="E446">
            <v>0</v>
          </cell>
          <cell r="F446">
            <v>0</v>
          </cell>
          <cell r="G446">
            <v>0</v>
          </cell>
          <cell r="H446">
            <v>2166915297</v>
          </cell>
          <cell r="I446">
            <v>0</v>
          </cell>
          <cell r="J446">
            <v>0</v>
          </cell>
          <cell r="K446">
            <v>2166915297</v>
          </cell>
          <cell r="L446">
            <v>0</v>
          </cell>
          <cell r="M446" t="str">
            <v>Cost of Sales-Parts-Regular-3rd Parties</v>
          </cell>
        </row>
        <row r="447">
          <cell r="A447">
            <v>6520100999</v>
          </cell>
          <cell r="C447" t="str">
            <v>HP-Penjualan S.Parts Production order</v>
          </cell>
          <cell r="D447" t="str">
            <v>00 00 402-200-000</v>
          </cell>
          <cell r="E447">
            <v>0</v>
          </cell>
          <cell r="F447">
            <v>0</v>
          </cell>
          <cell r="G447">
            <v>0</v>
          </cell>
          <cell r="H447">
            <v>-672368890</v>
          </cell>
          <cell r="I447">
            <v>672368890</v>
          </cell>
          <cell r="J447">
            <v>0</v>
          </cell>
          <cell r="K447">
            <v>0</v>
          </cell>
          <cell r="L447">
            <v>0</v>
          </cell>
          <cell r="M447" t="str">
            <v>Cost of Sales-Parts-Regular-3rd Parties</v>
          </cell>
        </row>
        <row r="448">
          <cell r="A448">
            <v>6561000001</v>
          </cell>
          <cell r="C448" t="str">
            <v>HP Pendapatan Rental Unit:Peny</v>
          </cell>
          <cell r="D448" t="str">
            <v>00 00 420-200-000</v>
          </cell>
          <cell r="E448">
            <v>0</v>
          </cell>
          <cell r="F448">
            <v>0</v>
          </cell>
          <cell r="G448">
            <v>0</v>
          </cell>
          <cell r="H448">
            <v>353810780</v>
          </cell>
          <cell r="I448">
            <v>0</v>
          </cell>
          <cell r="J448">
            <v>0</v>
          </cell>
          <cell r="K448">
            <v>353810780</v>
          </cell>
          <cell r="L448">
            <v>0</v>
          </cell>
          <cell r="M448" t="str">
            <v>Cost of Rental - 3rd Parties</v>
          </cell>
        </row>
        <row r="449">
          <cell r="A449">
            <v>6561000002</v>
          </cell>
          <cell r="C449" t="str">
            <v>COST OF RENTAL-CONS GOODS</v>
          </cell>
          <cell r="D449" t="str">
            <v>00 00 420-200-000</v>
          </cell>
          <cell r="E449">
            <v>0</v>
          </cell>
          <cell r="F449">
            <v>0</v>
          </cell>
          <cell r="G449">
            <v>0</v>
          </cell>
          <cell r="H449">
            <v>242928250</v>
          </cell>
          <cell r="I449">
            <v>0</v>
          </cell>
          <cell r="J449">
            <v>0</v>
          </cell>
          <cell r="K449">
            <v>242928250</v>
          </cell>
          <cell r="L449">
            <v>0</v>
          </cell>
          <cell r="M449" t="str">
            <v>Cost of Rental - 3rd Parties</v>
          </cell>
        </row>
        <row r="450">
          <cell r="A450">
            <v>6561000005</v>
          </cell>
          <cell r="C450" t="str">
            <v>Cost of Rental - Subcon</v>
          </cell>
          <cell r="D450" t="str">
            <v>00 00 420-200-000</v>
          </cell>
          <cell r="E450">
            <v>0</v>
          </cell>
          <cell r="F450">
            <v>0</v>
          </cell>
          <cell r="G450">
            <v>0</v>
          </cell>
          <cell r="H450">
            <v>120780116</v>
          </cell>
          <cell r="I450">
            <v>0</v>
          </cell>
          <cell r="J450">
            <v>0</v>
          </cell>
          <cell r="K450">
            <v>120780116</v>
          </cell>
          <cell r="L450">
            <v>0</v>
          </cell>
          <cell r="M450" t="str">
            <v>Cost of Rental - 3rd Parties</v>
          </cell>
        </row>
        <row r="451">
          <cell r="A451">
            <v>6561000099</v>
          </cell>
          <cell r="C451" t="str">
            <v>Cost of Rental - Others</v>
          </cell>
          <cell r="D451" t="str">
            <v>00 00 420-200-000</v>
          </cell>
          <cell r="E451">
            <v>0</v>
          </cell>
          <cell r="F451">
            <v>0</v>
          </cell>
          <cell r="G451">
            <v>0</v>
          </cell>
          <cell r="H451">
            <v>41108040</v>
          </cell>
          <cell r="I451">
            <v>0</v>
          </cell>
          <cell r="J451">
            <v>0</v>
          </cell>
          <cell r="K451">
            <v>41108040</v>
          </cell>
          <cell r="L451">
            <v>0</v>
          </cell>
          <cell r="M451" t="str">
            <v>Cost of Rental - 3rd Parties</v>
          </cell>
        </row>
        <row r="452">
          <cell r="A452">
            <v>6562000000</v>
          </cell>
          <cell r="C452" t="str">
            <v>HP Pendapatan:Servis:Upah</v>
          </cell>
          <cell r="D452" t="str">
            <v>00 00 421-000-000</v>
          </cell>
          <cell r="E452">
            <v>0</v>
          </cell>
          <cell r="F452">
            <v>0</v>
          </cell>
          <cell r="G452">
            <v>0</v>
          </cell>
          <cell r="H452">
            <v>6258408192</v>
          </cell>
          <cell r="I452">
            <v>1775000000</v>
          </cell>
          <cell r="J452">
            <v>0</v>
          </cell>
          <cell r="K452">
            <v>8033408192</v>
          </cell>
          <cell r="L452">
            <v>0</v>
          </cell>
          <cell r="M452" t="str">
            <v>Cost of Repair &amp; Maintenance Service</v>
          </cell>
        </row>
        <row r="453">
          <cell r="A453">
            <v>6562000001</v>
          </cell>
          <cell r="C453" t="str">
            <v>Cost of Service Penyusutan</v>
          </cell>
          <cell r="D453" t="str">
            <v>00 00 421-000-000</v>
          </cell>
          <cell r="E453">
            <v>0</v>
          </cell>
          <cell r="F453">
            <v>0</v>
          </cell>
          <cell r="G453">
            <v>0</v>
          </cell>
          <cell r="H453">
            <v>1804055219</v>
          </cell>
          <cell r="I453">
            <v>0</v>
          </cell>
          <cell r="J453">
            <v>0</v>
          </cell>
          <cell r="K453">
            <v>1804055219</v>
          </cell>
          <cell r="L453">
            <v>0</v>
          </cell>
          <cell r="M453" t="str">
            <v>Cost of Repair &amp; Maintenance Service</v>
          </cell>
        </row>
        <row r="454">
          <cell r="A454">
            <v>6562000002</v>
          </cell>
          <cell r="C454" t="str">
            <v>Cost of Service Bahan baku</v>
          </cell>
          <cell r="D454" t="str">
            <v>00 00 421-000-000</v>
          </cell>
          <cell r="E454">
            <v>0</v>
          </cell>
          <cell r="F454">
            <v>0</v>
          </cell>
          <cell r="G454">
            <v>0</v>
          </cell>
          <cell r="H454">
            <v>1576636348</v>
          </cell>
          <cell r="I454">
            <v>0</v>
          </cell>
          <cell r="J454">
            <v>0</v>
          </cell>
          <cell r="K454">
            <v>1576636348</v>
          </cell>
          <cell r="L454">
            <v>0</v>
          </cell>
          <cell r="M454" t="str">
            <v>Cost of Repair &amp; Maintenance Service</v>
          </cell>
        </row>
        <row r="455">
          <cell r="A455">
            <v>6562000003</v>
          </cell>
          <cell r="C455" t="str">
            <v>Cost of Service Repair&amp;mainten</v>
          </cell>
          <cell r="D455" t="str">
            <v>00 00 421-000-000</v>
          </cell>
          <cell r="E455">
            <v>0</v>
          </cell>
          <cell r="F455">
            <v>0</v>
          </cell>
          <cell r="G455">
            <v>0</v>
          </cell>
          <cell r="H455">
            <v>38899382936</v>
          </cell>
          <cell r="I455">
            <v>0</v>
          </cell>
          <cell r="J455">
            <v>0</v>
          </cell>
          <cell r="K455">
            <v>38899382936</v>
          </cell>
          <cell r="L455">
            <v>0</v>
          </cell>
          <cell r="M455" t="str">
            <v>Cost of Repair &amp; Maintenance Service</v>
          </cell>
        </row>
        <row r="456">
          <cell r="A456">
            <v>6562000004</v>
          </cell>
          <cell r="C456" t="str">
            <v>Cost of Service Pengangkutan</v>
          </cell>
          <cell r="D456" t="str">
            <v>00 00 421-000-000</v>
          </cell>
          <cell r="E456">
            <v>0</v>
          </cell>
          <cell r="F456">
            <v>0</v>
          </cell>
          <cell r="G456">
            <v>0</v>
          </cell>
          <cell r="H456">
            <v>516167006</v>
          </cell>
          <cell r="I456">
            <v>0</v>
          </cell>
          <cell r="J456">
            <v>0</v>
          </cell>
          <cell r="K456">
            <v>516167006</v>
          </cell>
          <cell r="L456">
            <v>0</v>
          </cell>
          <cell r="M456" t="str">
            <v>Cost of Repair &amp; Maintenance Service</v>
          </cell>
        </row>
        <row r="457">
          <cell r="A457">
            <v>6562000005</v>
          </cell>
          <cell r="C457" t="str">
            <v>Cost of Service Job Calc Sheet</v>
          </cell>
          <cell r="D457" t="str">
            <v>00 00 421-000-000</v>
          </cell>
          <cell r="E457">
            <v>0</v>
          </cell>
          <cell r="F457">
            <v>0</v>
          </cell>
          <cell r="G457">
            <v>0</v>
          </cell>
          <cell r="H457">
            <v>-17358664586</v>
          </cell>
          <cell r="I457">
            <v>0</v>
          </cell>
          <cell r="J457">
            <v>0</v>
          </cell>
          <cell r="K457">
            <v>-17358664586</v>
          </cell>
          <cell r="L457">
            <v>0</v>
          </cell>
          <cell r="M457" t="str">
            <v>Cost of Repair &amp; Maintenance Service</v>
          </cell>
        </row>
        <row r="458">
          <cell r="A458">
            <v>6562000006</v>
          </cell>
          <cell r="C458" t="str">
            <v>Cost of Service Perjalanan din</v>
          </cell>
          <cell r="D458" t="str">
            <v>00 00 421-000-000</v>
          </cell>
          <cell r="E458">
            <v>0</v>
          </cell>
          <cell r="F458">
            <v>0</v>
          </cell>
          <cell r="G458">
            <v>0</v>
          </cell>
          <cell r="H458">
            <v>676234499</v>
          </cell>
          <cell r="I458">
            <v>0</v>
          </cell>
          <cell r="J458">
            <v>0</v>
          </cell>
          <cell r="K458">
            <v>676234499</v>
          </cell>
          <cell r="L458">
            <v>0</v>
          </cell>
          <cell r="M458" t="str">
            <v>Cost of Repair &amp; Maintenance Service</v>
          </cell>
        </row>
        <row r="459">
          <cell r="A459">
            <v>6562000007</v>
          </cell>
          <cell r="C459" t="str">
            <v>Cost of Service By tdk langsun</v>
          </cell>
          <cell r="D459" t="str">
            <v>00 00 421-000-000</v>
          </cell>
          <cell r="E459">
            <v>0</v>
          </cell>
          <cell r="F459">
            <v>0</v>
          </cell>
          <cell r="G459">
            <v>0</v>
          </cell>
          <cell r="H459">
            <v>7067960945</v>
          </cell>
          <cell r="I459">
            <v>0</v>
          </cell>
          <cell r="J459">
            <v>0</v>
          </cell>
          <cell r="K459">
            <v>7067960945</v>
          </cell>
          <cell r="L459">
            <v>0</v>
          </cell>
          <cell r="M459" t="str">
            <v>Cost of Repair &amp; Maintenance Service</v>
          </cell>
        </row>
        <row r="460">
          <cell r="A460">
            <v>6562000009</v>
          </cell>
          <cell r="C460" t="str">
            <v>Cost of Service P T A</v>
          </cell>
          <cell r="D460" t="str">
            <v>00 00 421-000-000</v>
          </cell>
          <cell r="E460">
            <v>0</v>
          </cell>
          <cell r="F460">
            <v>0</v>
          </cell>
          <cell r="G460">
            <v>0</v>
          </cell>
          <cell r="H460">
            <v>2294351992</v>
          </cell>
          <cell r="I460">
            <v>0</v>
          </cell>
          <cell r="J460">
            <v>0</v>
          </cell>
          <cell r="K460">
            <v>2294351992</v>
          </cell>
          <cell r="L460">
            <v>0</v>
          </cell>
          <cell r="M460" t="str">
            <v>Cost of Repair &amp; Maintenance Service</v>
          </cell>
        </row>
        <row r="461">
          <cell r="A461">
            <v>6562000010</v>
          </cell>
          <cell r="C461" t="str">
            <v>Cost Service - Sub Contractors</v>
          </cell>
          <cell r="D461" t="str">
            <v>00 00 421-000-000</v>
          </cell>
          <cell r="E461">
            <v>0</v>
          </cell>
          <cell r="F461">
            <v>0</v>
          </cell>
          <cell r="G461">
            <v>0</v>
          </cell>
          <cell r="H461">
            <v>2605871147</v>
          </cell>
          <cell r="I461">
            <v>0</v>
          </cell>
          <cell r="J461">
            <v>0</v>
          </cell>
          <cell r="K461">
            <v>2605871147</v>
          </cell>
          <cell r="L461">
            <v>0</v>
          </cell>
          <cell r="M461" t="str">
            <v>Cost of Repair &amp; Maintenance Service</v>
          </cell>
        </row>
        <row r="462">
          <cell r="A462">
            <v>6562000011</v>
          </cell>
          <cell r="C462" t="str">
            <v>Cost of Service</v>
          </cell>
          <cell r="D462" t="str">
            <v>00 00 421-000-000</v>
          </cell>
          <cell r="E462">
            <v>0</v>
          </cell>
          <cell r="F462">
            <v>0</v>
          </cell>
          <cell r="G462">
            <v>0</v>
          </cell>
          <cell r="H462">
            <v>555239928</v>
          </cell>
          <cell r="I462">
            <v>0</v>
          </cell>
          <cell r="J462">
            <v>0</v>
          </cell>
          <cell r="K462">
            <v>555239928</v>
          </cell>
          <cell r="L462">
            <v>0</v>
          </cell>
          <cell r="M462" t="str">
            <v>Cost of Repair &amp; Maintenance Service</v>
          </cell>
        </row>
        <row r="463">
          <cell r="A463">
            <v>6562000012</v>
          </cell>
          <cell r="C463" t="str">
            <v>COST OF SVC : KENDARAAN</v>
          </cell>
          <cell r="D463" t="str">
            <v>00 00 421-000-000</v>
          </cell>
          <cell r="E463">
            <v>0</v>
          </cell>
          <cell r="F463">
            <v>0</v>
          </cell>
          <cell r="G463">
            <v>0</v>
          </cell>
          <cell r="H463">
            <v>2965256712</v>
          </cell>
          <cell r="I463">
            <v>0</v>
          </cell>
          <cell r="J463">
            <v>0</v>
          </cell>
          <cell r="K463">
            <v>2965256712</v>
          </cell>
          <cell r="L463">
            <v>0</v>
          </cell>
          <cell r="M463" t="str">
            <v>Cost of Repair &amp; Maintenance Service</v>
          </cell>
        </row>
        <row r="464">
          <cell r="A464">
            <v>6562000016</v>
          </cell>
          <cell r="C464" t="str">
            <v>HPP Servis: Perjalanan Dinas</v>
          </cell>
          <cell r="D464" t="str">
            <v>00 00 421-000-000</v>
          </cell>
          <cell r="E464">
            <v>0</v>
          </cell>
          <cell r="F464">
            <v>0</v>
          </cell>
          <cell r="G464">
            <v>0</v>
          </cell>
          <cell r="H464">
            <v>222401510</v>
          </cell>
          <cell r="I464">
            <v>0</v>
          </cell>
          <cell r="J464">
            <v>0</v>
          </cell>
          <cell r="K464">
            <v>222401510</v>
          </cell>
          <cell r="L464">
            <v>0</v>
          </cell>
          <cell r="M464" t="str">
            <v>Cost of Repair &amp; Maintenance Service</v>
          </cell>
        </row>
        <row r="465">
          <cell r="A465">
            <v>6562000045</v>
          </cell>
          <cell r="C465" t="str">
            <v>HPP Reman: Direct</v>
          </cell>
          <cell r="D465" t="str">
            <v>00 00 421-000-000</v>
          </cell>
          <cell r="E465">
            <v>0</v>
          </cell>
          <cell r="F465">
            <v>0</v>
          </cell>
          <cell r="G465">
            <v>0</v>
          </cell>
          <cell r="H465">
            <v>2644392306</v>
          </cell>
          <cell r="I465">
            <v>8300000000</v>
          </cell>
          <cell r="J465">
            <v>0</v>
          </cell>
          <cell r="K465">
            <v>10944392306</v>
          </cell>
          <cell r="L465">
            <v>0</v>
          </cell>
          <cell r="M465" t="str">
            <v>Cost of Repair &amp; Maintenance Service</v>
          </cell>
        </row>
        <row r="466">
          <cell r="A466">
            <v>6562000046</v>
          </cell>
          <cell r="C466" t="str">
            <v>HPP Reman: Production Order</v>
          </cell>
          <cell r="D466" t="str">
            <v>00 00 421-000-000</v>
          </cell>
          <cell r="E466">
            <v>0</v>
          </cell>
          <cell r="F466">
            <v>0</v>
          </cell>
          <cell r="G466">
            <v>0</v>
          </cell>
          <cell r="H466">
            <v>5203292671</v>
          </cell>
          <cell r="I466">
            <v>0</v>
          </cell>
          <cell r="J466">
            <v>5203292671</v>
          </cell>
          <cell r="K466">
            <v>0</v>
          </cell>
          <cell r="L466">
            <v>0</v>
          </cell>
          <cell r="M466" t="str">
            <v>Cost of Repair &amp; Maintenance Service</v>
          </cell>
        </row>
        <row r="467">
          <cell r="A467">
            <v>6562000050</v>
          </cell>
          <cell r="C467" t="str">
            <v>HPP Reman : Salary</v>
          </cell>
          <cell r="D467" t="str">
            <v>00 00 421-000-000</v>
          </cell>
          <cell r="E467">
            <v>0</v>
          </cell>
          <cell r="F467">
            <v>0</v>
          </cell>
          <cell r="G467">
            <v>0</v>
          </cell>
          <cell r="H467">
            <v>246966893</v>
          </cell>
          <cell r="I467">
            <v>83000000</v>
          </cell>
          <cell r="J467">
            <v>0</v>
          </cell>
          <cell r="K467">
            <v>329966893</v>
          </cell>
          <cell r="L467">
            <v>0</v>
          </cell>
          <cell r="M467" t="str">
            <v>Cost of Repair &amp; Maintenance Service</v>
          </cell>
        </row>
        <row r="468">
          <cell r="A468">
            <v>6562000052</v>
          </cell>
          <cell r="C468" t="str">
            <v>HPP Reman : Bahan Pembantu</v>
          </cell>
          <cell r="D468" t="str">
            <v>00 00 421-000-000</v>
          </cell>
          <cell r="E468">
            <v>0</v>
          </cell>
          <cell r="F468">
            <v>0</v>
          </cell>
          <cell r="G468">
            <v>0</v>
          </cell>
          <cell r="H468">
            <v>131058200</v>
          </cell>
          <cell r="I468">
            <v>0</v>
          </cell>
          <cell r="J468">
            <v>0</v>
          </cell>
          <cell r="K468">
            <v>131058200</v>
          </cell>
          <cell r="L468">
            <v>0</v>
          </cell>
          <cell r="M468" t="str">
            <v>Cost of Repair &amp; Maintenance Service</v>
          </cell>
        </row>
        <row r="469">
          <cell r="A469">
            <v>6562000053</v>
          </cell>
          <cell r="C469" t="str">
            <v>HPP Reman : R &amp; M</v>
          </cell>
          <cell r="D469" t="str">
            <v>00 00 421-000-000</v>
          </cell>
          <cell r="E469">
            <v>0</v>
          </cell>
          <cell r="F469">
            <v>0</v>
          </cell>
          <cell r="G469">
            <v>0</v>
          </cell>
          <cell r="H469">
            <v>-3535937083</v>
          </cell>
          <cell r="I469">
            <v>0</v>
          </cell>
          <cell r="J469">
            <v>0</v>
          </cell>
          <cell r="K469">
            <v>-3535937083</v>
          </cell>
          <cell r="L469">
            <v>0</v>
          </cell>
          <cell r="M469" t="str">
            <v>Cost of Repair &amp; Maintenance Service</v>
          </cell>
        </row>
        <row r="470">
          <cell r="A470">
            <v>6562000055</v>
          </cell>
          <cell r="C470" t="str">
            <v>HPP Reman : JCS</v>
          </cell>
          <cell r="D470" t="str">
            <v>00 00 421-000-000</v>
          </cell>
          <cell r="E470">
            <v>0</v>
          </cell>
          <cell r="F470">
            <v>0</v>
          </cell>
          <cell r="G470">
            <v>0</v>
          </cell>
          <cell r="H470">
            <v>11032572328</v>
          </cell>
          <cell r="I470">
            <v>0</v>
          </cell>
          <cell r="J470">
            <v>11751840014</v>
          </cell>
          <cell r="K470">
            <v>-719267686</v>
          </cell>
          <cell r="L470">
            <v>0</v>
          </cell>
          <cell r="M470" t="str">
            <v>Cost of Repair &amp; Maintenance Service</v>
          </cell>
        </row>
        <row r="471">
          <cell r="A471">
            <v>6562000056</v>
          </cell>
          <cell r="C471" t="str">
            <v>HPP REMAN : Travel</v>
          </cell>
          <cell r="D471" t="str">
            <v>00 00 421-000-000</v>
          </cell>
          <cell r="E471">
            <v>0</v>
          </cell>
          <cell r="F471">
            <v>0</v>
          </cell>
          <cell r="G471">
            <v>0</v>
          </cell>
          <cell r="H471">
            <v>52574949</v>
          </cell>
          <cell r="I471">
            <v>0</v>
          </cell>
          <cell r="J471">
            <v>0</v>
          </cell>
          <cell r="K471">
            <v>52574949</v>
          </cell>
          <cell r="L471">
            <v>0</v>
          </cell>
          <cell r="M471" t="str">
            <v>Cost of Repair &amp; Maintenance Service</v>
          </cell>
        </row>
        <row r="472">
          <cell r="A472">
            <v>6562000057</v>
          </cell>
          <cell r="C472" t="str">
            <v>HPP Reman : Bengkel Luar</v>
          </cell>
          <cell r="D472" t="str">
            <v>00 00 421-000-000</v>
          </cell>
          <cell r="E472">
            <v>0</v>
          </cell>
          <cell r="F472">
            <v>0</v>
          </cell>
          <cell r="G472">
            <v>0</v>
          </cell>
          <cell r="H472">
            <v>3060281982</v>
          </cell>
          <cell r="I472">
            <v>0</v>
          </cell>
          <cell r="J472">
            <v>0</v>
          </cell>
          <cell r="K472">
            <v>3060281982</v>
          </cell>
          <cell r="L472">
            <v>0</v>
          </cell>
          <cell r="M472" t="str">
            <v>Cost of Repair &amp; Maintenance Service</v>
          </cell>
        </row>
        <row r="473">
          <cell r="A473">
            <v>6562000060</v>
          </cell>
          <cell r="C473" t="str">
            <v>HPP Reman : SUBKON</v>
          </cell>
          <cell r="D473" t="str">
            <v>00 00 421-000-000</v>
          </cell>
          <cell r="E473">
            <v>0</v>
          </cell>
          <cell r="F473">
            <v>0</v>
          </cell>
          <cell r="G473">
            <v>0</v>
          </cell>
          <cell r="H473">
            <v>365095225</v>
          </cell>
          <cell r="I473">
            <v>0</v>
          </cell>
          <cell r="J473">
            <v>0</v>
          </cell>
          <cell r="K473">
            <v>365095225</v>
          </cell>
          <cell r="L473">
            <v>0</v>
          </cell>
          <cell r="M473" t="str">
            <v>Cost of Repair &amp; Maintenance Service</v>
          </cell>
        </row>
        <row r="474">
          <cell r="A474">
            <v>6562000061</v>
          </cell>
          <cell r="C474" t="str">
            <v>HPP Reman : Rent</v>
          </cell>
          <cell r="D474" t="str">
            <v>00 00 421-000-000</v>
          </cell>
          <cell r="E474">
            <v>0</v>
          </cell>
          <cell r="F474">
            <v>0</v>
          </cell>
          <cell r="G474">
            <v>0</v>
          </cell>
          <cell r="H474">
            <v>2218641</v>
          </cell>
          <cell r="I474">
            <v>0</v>
          </cell>
          <cell r="J474">
            <v>0</v>
          </cell>
          <cell r="K474">
            <v>2218641</v>
          </cell>
          <cell r="L474">
            <v>0</v>
          </cell>
          <cell r="M474" t="str">
            <v>Cost of Repair &amp; Maintenance Service</v>
          </cell>
        </row>
        <row r="475">
          <cell r="A475">
            <v>6562000062</v>
          </cell>
          <cell r="C475" t="str">
            <v>HPP Reman : Kendaraan</v>
          </cell>
          <cell r="D475" t="str">
            <v>00 00 421-000-000</v>
          </cell>
          <cell r="E475">
            <v>0</v>
          </cell>
          <cell r="F475">
            <v>0</v>
          </cell>
          <cell r="G475">
            <v>0</v>
          </cell>
          <cell r="H475">
            <v>1250950</v>
          </cell>
          <cell r="I475">
            <v>0</v>
          </cell>
          <cell r="J475">
            <v>0</v>
          </cell>
          <cell r="K475">
            <v>1250950</v>
          </cell>
          <cell r="L475">
            <v>0</v>
          </cell>
          <cell r="M475" t="str">
            <v>Cost of Repair &amp; Maintenance Service</v>
          </cell>
        </row>
        <row r="476">
          <cell r="A476">
            <v>6562000088</v>
          </cell>
          <cell r="C476" t="str">
            <v>HPP Reman : Lain-lain</v>
          </cell>
          <cell r="D476" t="str">
            <v>00 00 421-000-000</v>
          </cell>
          <cell r="E476">
            <v>0</v>
          </cell>
          <cell r="F476">
            <v>0</v>
          </cell>
          <cell r="G476">
            <v>0</v>
          </cell>
          <cell r="H476">
            <v>312757929</v>
          </cell>
          <cell r="I476">
            <v>0</v>
          </cell>
          <cell r="J476">
            <v>0</v>
          </cell>
          <cell r="K476">
            <v>312757929</v>
          </cell>
          <cell r="L476">
            <v>0</v>
          </cell>
          <cell r="M476" t="str">
            <v>Cost of Repair &amp; Maintenance Service</v>
          </cell>
        </row>
        <row r="477">
          <cell r="A477">
            <v>6562000099</v>
          </cell>
          <cell r="C477" t="str">
            <v>HP Pendapatan:Servis:Lain-lain</v>
          </cell>
          <cell r="D477" t="str">
            <v>00 00 421-000-000</v>
          </cell>
          <cell r="E477">
            <v>0</v>
          </cell>
          <cell r="F477">
            <v>0</v>
          </cell>
          <cell r="G477">
            <v>0</v>
          </cell>
          <cell r="H477">
            <v>5033418948</v>
          </cell>
          <cell r="I477">
            <v>0</v>
          </cell>
          <cell r="J477">
            <v>0</v>
          </cell>
          <cell r="K477">
            <v>5033418948</v>
          </cell>
          <cell r="L477">
            <v>0</v>
          </cell>
          <cell r="M477" t="str">
            <v>Cost of Repair &amp; Maintenance Service</v>
          </cell>
        </row>
        <row r="478">
          <cell r="A478">
            <v>6562000100</v>
          </cell>
          <cell r="C478" t="str">
            <v>PTA:Production Order</v>
          </cell>
          <cell r="D478" t="str">
            <v>00 00 148-100-210</v>
          </cell>
          <cell r="E478">
            <v>0</v>
          </cell>
          <cell r="F478">
            <v>0</v>
          </cell>
          <cell r="G478">
            <v>0</v>
          </cell>
          <cell r="H478">
            <v>3306484514</v>
          </cell>
          <cell r="I478">
            <v>0</v>
          </cell>
          <cell r="J478">
            <v>3306484514</v>
          </cell>
          <cell r="K478">
            <v>0</v>
          </cell>
          <cell r="L478">
            <v>0</v>
          </cell>
          <cell r="M478" t="str">
            <v>Advance Payment   -PT Bina Pertiwi</v>
          </cell>
        </row>
        <row r="479">
          <cell r="A479">
            <v>7100000000</v>
          </cell>
          <cell r="C479" t="str">
            <v>Biaya penjualan:pengiriman brg dagangan</v>
          </cell>
          <cell r="D479" t="str">
            <v>01 00 716-000-000</v>
          </cell>
          <cell r="E479">
            <v>0</v>
          </cell>
          <cell r="F479">
            <v>0</v>
          </cell>
          <cell r="G479">
            <v>0</v>
          </cell>
          <cell r="H479">
            <v>-5387616</v>
          </cell>
          <cell r="I479">
            <v>11845902184</v>
          </cell>
          <cell r="J479">
            <v>0</v>
          </cell>
          <cell r="K479">
            <v>11840514568</v>
          </cell>
          <cell r="L479">
            <v>0</v>
          </cell>
          <cell r="M479" t="str">
            <v>Shipping &amp; Warehousing   - Marketing Div</v>
          </cell>
        </row>
        <row r="480">
          <cell r="A480">
            <v>7100000001</v>
          </cell>
          <cell r="C480" t="str">
            <v>Biaya penjualan:asuransi</v>
          </cell>
          <cell r="D480" t="str">
            <v>01 00 752-000-000</v>
          </cell>
          <cell r="E480">
            <v>0</v>
          </cell>
          <cell r="F480">
            <v>0</v>
          </cell>
          <cell r="G480">
            <v>0</v>
          </cell>
          <cell r="H480">
            <v>988996356</v>
          </cell>
          <cell r="I480">
            <v>0</v>
          </cell>
          <cell r="J480">
            <v>0</v>
          </cell>
          <cell r="K480">
            <v>988996356</v>
          </cell>
          <cell r="L480">
            <v>0</v>
          </cell>
          <cell r="M480" t="str">
            <v>Insurance                - Marketing Div</v>
          </cell>
        </row>
        <row r="481">
          <cell r="A481">
            <v>7100000004</v>
          </cell>
          <cell r="C481" t="str">
            <v>Warranty &amp; Delivery - UTHI</v>
          </cell>
          <cell r="D481" t="str">
            <v>01 00 756-000-000</v>
          </cell>
          <cell r="E481">
            <v>0</v>
          </cell>
          <cell r="F481">
            <v>0</v>
          </cell>
          <cell r="G481">
            <v>0</v>
          </cell>
          <cell r="H481">
            <v>172828041</v>
          </cell>
          <cell r="I481">
            <v>0</v>
          </cell>
          <cell r="J481">
            <v>172828041</v>
          </cell>
          <cell r="K481">
            <v>0</v>
          </cell>
          <cell r="L481">
            <v>0</v>
          </cell>
          <cell r="M481" t="str">
            <v>After Sales Service      - Marketing Div</v>
          </cell>
        </row>
        <row r="482">
          <cell r="A482">
            <v>7100000005</v>
          </cell>
          <cell r="C482" t="str">
            <v>Biaya penjualan:warranty &amp; delivery</v>
          </cell>
          <cell r="D482" t="str">
            <v>01 00 756-000-000</v>
          </cell>
          <cell r="E482">
            <v>0</v>
          </cell>
          <cell r="F482">
            <v>0</v>
          </cell>
          <cell r="G482">
            <v>0</v>
          </cell>
          <cell r="H482">
            <v>13987874183</v>
          </cell>
          <cell r="I482">
            <v>0</v>
          </cell>
          <cell r="J482">
            <v>13987874183</v>
          </cell>
          <cell r="K482">
            <v>0</v>
          </cell>
          <cell r="L482">
            <v>0</v>
          </cell>
          <cell r="M482" t="str">
            <v>After Sales Service      - Marketing Div</v>
          </cell>
        </row>
        <row r="483">
          <cell r="A483">
            <v>7100000101</v>
          </cell>
          <cell r="C483" t="str">
            <v>Biaya penjualan:penghasilan karyawan</v>
          </cell>
          <cell r="D483" t="str">
            <v>01 00 700-000-000</v>
          </cell>
          <cell r="E483">
            <v>0</v>
          </cell>
          <cell r="F483">
            <v>0</v>
          </cell>
          <cell r="G483">
            <v>0</v>
          </cell>
          <cell r="H483">
            <v>7405368466</v>
          </cell>
          <cell r="I483">
            <v>1001500000</v>
          </cell>
          <cell r="J483">
            <v>0</v>
          </cell>
          <cell r="K483">
            <v>8406868466</v>
          </cell>
          <cell r="L483">
            <v>0</v>
          </cell>
          <cell r="M483" t="str">
            <v>Employees Compensation   - Marketing Div</v>
          </cell>
        </row>
        <row r="484">
          <cell r="A484">
            <v>7100000102</v>
          </cell>
          <cell r="C484" t="str">
            <v>Biaya penjualan:kesejahteraan karyawan</v>
          </cell>
          <cell r="D484" t="str">
            <v>01 00 701-000-000</v>
          </cell>
          <cell r="E484">
            <v>0</v>
          </cell>
          <cell r="F484">
            <v>0</v>
          </cell>
          <cell r="G484">
            <v>0</v>
          </cell>
          <cell r="H484">
            <v>82945120</v>
          </cell>
          <cell r="I484">
            <v>0</v>
          </cell>
          <cell r="J484">
            <v>0</v>
          </cell>
          <cell r="K484">
            <v>82945120</v>
          </cell>
          <cell r="L484">
            <v>0</v>
          </cell>
          <cell r="M484" t="str">
            <v>Employees Welfare        - Marketing Div</v>
          </cell>
        </row>
        <row r="485">
          <cell r="A485">
            <v>7100000103</v>
          </cell>
          <cell r="C485" t="str">
            <v>Biaya penjualan:jamuan</v>
          </cell>
          <cell r="D485" t="str">
            <v>01 00 705-000-000</v>
          </cell>
          <cell r="E485">
            <v>0</v>
          </cell>
          <cell r="F485">
            <v>0</v>
          </cell>
          <cell r="G485">
            <v>0</v>
          </cell>
          <cell r="H485">
            <v>45890276</v>
          </cell>
          <cell r="I485">
            <v>0</v>
          </cell>
          <cell r="J485">
            <v>0</v>
          </cell>
          <cell r="K485">
            <v>45890276</v>
          </cell>
          <cell r="L485">
            <v>0</v>
          </cell>
          <cell r="M485" t="str">
            <v>Entertainment            - Marketing Div</v>
          </cell>
        </row>
        <row r="486">
          <cell r="A486">
            <v>7100000104</v>
          </cell>
          <cell r="C486" t="str">
            <v>Biaya penjualan:perjalanan dinas</v>
          </cell>
          <cell r="D486" t="str">
            <v>01 00 706-000-000</v>
          </cell>
          <cell r="E486">
            <v>0</v>
          </cell>
          <cell r="F486">
            <v>0</v>
          </cell>
          <cell r="G486">
            <v>0</v>
          </cell>
          <cell r="H486">
            <v>801324808</v>
          </cell>
          <cell r="I486">
            <v>0</v>
          </cell>
          <cell r="J486">
            <v>0</v>
          </cell>
          <cell r="K486">
            <v>801324808</v>
          </cell>
          <cell r="L486">
            <v>0</v>
          </cell>
          <cell r="M486" t="str">
            <v>Transportation &amp; Travell - Marketing Div</v>
          </cell>
        </row>
        <row r="487">
          <cell r="A487">
            <v>7100000106</v>
          </cell>
          <cell r="C487" t="str">
            <v>Biaya penjualan:promosi</v>
          </cell>
          <cell r="D487" t="str">
            <v>01 00 708-000-000</v>
          </cell>
          <cell r="E487">
            <v>0</v>
          </cell>
          <cell r="F487">
            <v>0</v>
          </cell>
          <cell r="G487">
            <v>0</v>
          </cell>
          <cell r="H487">
            <v>42780000</v>
          </cell>
          <cell r="I487">
            <v>0</v>
          </cell>
          <cell r="J487">
            <v>0</v>
          </cell>
          <cell r="K487">
            <v>42780000</v>
          </cell>
          <cell r="L487">
            <v>0</v>
          </cell>
          <cell r="M487" t="str">
            <v>Advertising &amp; Promotion  - Marketing Div</v>
          </cell>
        </row>
        <row r="488">
          <cell r="A488">
            <v>7100000107</v>
          </cell>
          <cell r="C488" t="str">
            <v>Biaya penjualan: komunikasi</v>
          </cell>
          <cell r="D488" t="str">
            <v>01 00 722-000-000</v>
          </cell>
          <cell r="E488">
            <v>0</v>
          </cell>
          <cell r="F488">
            <v>0</v>
          </cell>
          <cell r="G488">
            <v>0</v>
          </cell>
          <cell r="H488">
            <v>14866090</v>
          </cell>
          <cell r="I488">
            <v>0</v>
          </cell>
          <cell r="J488">
            <v>0</v>
          </cell>
          <cell r="K488">
            <v>14866090</v>
          </cell>
          <cell r="L488">
            <v>0</v>
          </cell>
          <cell r="M488" t="str">
            <v>Telephone, Telex &amp; Fax   - Marketing Div</v>
          </cell>
        </row>
        <row r="489">
          <cell r="A489">
            <v>7100000114</v>
          </cell>
          <cell r="C489" t="str">
            <v>Biaya Penjualan: Perjalanan Dinas (PO)</v>
          </cell>
          <cell r="D489" t="str">
            <v>01 00 706-000-000</v>
          </cell>
          <cell r="E489">
            <v>0</v>
          </cell>
          <cell r="F489">
            <v>0</v>
          </cell>
          <cell r="G489">
            <v>0</v>
          </cell>
          <cell r="H489">
            <v>103217549</v>
          </cell>
          <cell r="I489">
            <v>0</v>
          </cell>
          <cell r="J489">
            <v>0</v>
          </cell>
          <cell r="K489">
            <v>103217549</v>
          </cell>
          <cell r="L489">
            <v>0</v>
          </cell>
          <cell r="M489" t="str">
            <v>Transportation &amp; Travell - Marketing Div</v>
          </cell>
        </row>
        <row r="490">
          <cell r="A490">
            <v>7110000000</v>
          </cell>
          <cell r="C490" t="str">
            <v>Penghasilan Karyawan</v>
          </cell>
          <cell r="D490" t="str">
            <v>99 00 700-000-000</v>
          </cell>
          <cell r="E490">
            <v>0</v>
          </cell>
          <cell r="F490">
            <v>0</v>
          </cell>
          <cell r="G490">
            <v>0</v>
          </cell>
          <cell r="H490">
            <v>13447808286</v>
          </cell>
          <cell r="I490">
            <v>11298751495</v>
          </cell>
          <cell r="J490">
            <v>0</v>
          </cell>
          <cell r="K490">
            <v>24746559781</v>
          </cell>
          <cell r="L490">
            <v>0</v>
          </cell>
          <cell r="M490" t="str">
            <v>Employees Compensation   - Other Div</v>
          </cell>
        </row>
        <row r="491">
          <cell r="A491">
            <v>7120000000</v>
          </cell>
          <cell r="C491" t="str">
            <v>Kesejahteraan karyawan</v>
          </cell>
          <cell r="D491" t="str">
            <v>99 00 701-000-000</v>
          </cell>
          <cell r="E491">
            <v>0</v>
          </cell>
          <cell r="F491">
            <v>0</v>
          </cell>
          <cell r="G491">
            <v>0</v>
          </cell>
          <cell r="H491">
            <v>300210490</v>
          </cell>
          <cell r="I491">
            <v>0</v>
          </cell>
          <cell r="J491">
            <v>0</v>
          </cell>
          <cell r="K491">
            <v>300210490</v>
          </cell>
          <cell r="L491">
            <v>0</v>
          </cell>
          <cell r="M491" t="str">
            <v>Employees Welfare        - Other Div</v>
          </cell>
        </row>
        <row r="492">
          <cell r="A492">
            <v>7120000001</v>
          </cell>
          <cell r="C492" t="str">
            <v>Welfare:JAMSOSTEK &amp; YDPA</v>
          </cell>
          <cell r="D492" t="str">
            <v>99 00 701-000-000</v>
          </cell>
          <cell r="E492">
            <v>0</v>
          </cell>
          <cell r="F492">
            <v>0</v>
          </cell>
          <cell r="G492">
            <v>0</v>
          </cell>
          <cell r="H492">
            <v>1596647309</v>
          </cell>
          <cell r="I492">
            <v>0</v>
          </cell>
          <cell r="J492">
            <v>0</v>
          </cell>
          <cell r="K492">
            <v>1596647309</v>
          </cell>
          <cell r="L492">
            <v>0</v>
          </cell>
          <cell r="M492" t="str">
            <v>Employees Welfare        - Other Div</v>
          </cell>
        </row>
        <row r="493">
          <cell r="A493">
            <v>7120000002</v>
          </cell>
          <cell r="C493" t="str">
            <v>Welfare:Asuransi Kecelakaan Ke</v>
          </cell>
          <cell r="D493" t="str">
            <v>99 00 701-000-000</v>
          </cell>
          <cell r="E493">
            <v>0</v>
          </cell>
          <cell r="F493">
            <v>0</v>
          </cell>
          <cell r="G493">
            <v>0</v>
          </cell>
          <cell r="H493">
            <v>89808802</v>
          </cell>
          <cell r="I493">
            <v>0</v>
          </cell>
          <cell r="J493">
            <v>0</v>
          </cell>
          <cell r="K493">
            <v>89808802</v>
          </cell>
          <cell r="L493">
            <v>0</v>
          </cell>
          <cell r="M493" t="str">
            <v>Employees Welfare        - Other Div</v>
          </cell>
        </row>
        <row r="494">
          <cell r="A494">
            <v>7120000003</v>
          </cell>
          <cell r="C494" t="str">
            <v>Welfare:Keselamatan &amp; Kesehata</v>
          </cell>
          <cell r="D494" t="str">
            <v>99 00 701-000-000</v>
          </cell>
          <cell r="E494">
            <v>0</v>
          </cell>
          <cell r="F494">
            <v>0</v>
          </cell>
          <cell r="G494">
            <v>0</v>
          </cell>
          <cell r="H494">
            <v>79502813</v>
          </cell>
          <cell r="I494">
            <v>9266000</v>
          </cell>
          <cell r="J494">
            <v>0</v>
          </cell>
          <cell r="K494">
            <v>88768813</v>
          </cell>
          <cell r="L494">
            <v>0</v>
          </cell>
          <cell r="M494" t="str">
            <v>Employees Welfare        - Other Div</v>
          </cell>
        </row>
        <row r="495">
          <cell r="A495">
            <v>7120000004</v>
          </cell>
          <cell r="C495" t="str">
            <v>Welfare:Pengobatan &amp; Tunjangan</v>
          </cell>
          <cell r="D495" t="str">
            <v>99 00 701-000-000</v>
          </cell>
          <cell r="E495">
            <v>0</v>
          </cell>
          <cell r="F495">
            <v>0</v>
          </cell>
          <cell r="G495">
            <v>0</v>
          </cell>
          <cell r="H495">
            <v>878998602</v>
          </cell>
          <cell r="I495">
            <v>46817110</v>
          </cell>
          <cell r="J495">
            <v>0</v>
          </cell>
          <cell r="K495">
            <v>925815712</v>
          </cell>
          <cell r="L495">
            <v>0</v>
          </cell>
          <cell r="M495" t="str">
            <v>Employees Welfare        - Other Div</v>
          </cell>
        </row>
        <row r="496">
          <cell r="A496">
            <v>7120000005</v>
          </cell>
          <cell r="C496" t="str">
            <v>Employees Welfare - Catering</v>
          </cell>
          <cell r="D496" t="str">
            <v>99 00 701-000-000</v>
          </cell>
          <cell r="E496">
            <v>0</v>
          </cell>
          <cell r="F496">
            <v>0</v>
          </cell>
          <cell r="G496">
            <v>0</v>
          </cell>
          <cell r="H496">
            <v>922863002</v>
          </cell>
          <cell r="I496">
            <v>8623500</v>
          </cell>
          <cell r="J496">
            <v>0</v>
          </cell>
          <cell r="K496">
            <v>931486502</v>
          </cell>
          <cell r="L496">
            <v>0</v>
          </cell>
          <cell r="M496" t="str">
            <v>Employees Welfare        - Other Div</v>
          </cell>
        </row>
        <row r="497">
          <cell r="A497">
            <v>7120000055</v>
          </cell>
          <cell r="C497" t="str">
            <v>Welfare: Catering (Park Doc)</v>
          </cell>
          <cell r="D497" t="str">
            <v>99 00 701-000-000</v>
          </cell>
          <cell r="E497">
            <v>0</v>
          </cell>
          <cell r="F497">
            <v>0</v>
          </cell>
          <cell r="G497">
            <v>0</v>
          </cell>
          <cell r="H497">
            <v>295954118</v>
          </cell>
          <cell r="I497">
            <v>0</v>
          </cell>
          <cell r="J497">
            <v>0</v>
          </cell>
          <cell r="K497">
            <v>295954118</v>
          </cell>
          <cell r="L497">
            <v>0</v>
          </cell>
          <cell r="M497" t="str">
            <v>Employees Welfare        - Other Div</v>
          </cell>
        </row>
        <row r="498">
          <cell r="A498">
            <v>7130000000</v>
          </cell>
          <cell r="C498" t="str">
            <v>LISTLatihan &amp; Pendidikan</v>
          </cell>
          <cell r="D498" t="str">
            <v>99 00 707-000-000</v>
          </cell>
          <cell r="E498">
            <v>0</v>
          </cell>
          <cell r="F498">
            <v>0</v>
          </cell>
          <cell r="G498">
            <v>0</v>
          </cell>
          <cell r="H498">
            <v>63562432</v>
          </cell>
          <cell r="I498">
            <v>270306267</v>
          </cell>
          <cell r="J498">
            <v>0</v>
          </cell>
          <cell r="K498">
            <v>333868699</v>
          </cell>
          <cell r="L498">
            <v>0</v>
          </cell>
          <cell r="M498" t="str">
            <v>Training &amp; Education     - Other Div</v>
          </cell>
        </row>
        <row r="499">
          <cell r="A499">
            <v>7210000000</v>
          </cell>
          <cell r="C499" t="str">
            <v>Sumbangan</v>
          </cell>
          <cell r="D499" t="str">
            <v>99 00 726-000-000</v>
          </cell>
          <cell r="E499">
            <v>0</v>
          </cell>
          <cell r="F499">
            <v>0</v>
          </cell>
          <cell r="G499">
            <v>0</v>
          </cell>
          <cell r="H499">
            <v>-138866500</v>
          </cell>
          <cell r="I499">
            <v>170800000</v>
          </cell>
          <cell r="J499">
            <v>0</v>
          </cell>
          <cell r="K499">
            <v>31933500</v>
          </cell>
          <cell r="L499">
            <v>0</v>
          </cell>
          <cell r="M499" t="str">
            <v>Donation                 - Other Div</v>
          </cell>
        </row>
        <row r="500">
          <cell r="A500">
            <v>7220000000</v>
          </cell>
          <cell r="C500" t="str">
            <v>Representasi</v>
          </cell>
          <cell r="D500" t="str">
            <v>99 00 704-000-000</v>
          </cell>
          <cell r="E500">
            <v>0</v>
          </cell>
          <cell r="F500">
            <v>0</v>
          </cell>
          <cell r="G500">
            <v>0</v>
          </cell>
          <cell r="H500">
            <v>152103198</v>
          </cell>
          <cell r="I500">
            <v>10000000</v>
          </cell>
          <cell r="J500">
            <v>0</v>
          </cell>
          <cell r="K500">
            <v>162103198</v>
          </cell>
          <cell r="L500">
            <v>0</v>
          </cell>
          <cell r="M500" t="str">
            <v>Representation           - Other Div</v>
          </cell>
        </row>
        <row r="501">
          <cell r="A501">
            <v>7230000000</v>
          </cell>
          <cell r="C501" t="str">
            <v>Jamuan</v>
          </cell>
          <cell r="D501" t="str">
            <v>99 00 705-000-000</v>
          </cell>
          <cell r="E501">
            <v>0</v>
          </cell>
          <cell r="F501">
            <v>0</v>
          </cell>
          <cell r="G501">
            <v>0</v>
          </cell>
          <cell r="H501">
            <v>97924749</v>
          </cell>
          <cell r="I501">
            <v>2357000</v>
          </cell>
          <cell r="J501">
            <v>0</v>
          </cell>
          <cell r="K501">
            <v>100281749</v>
          </cell>
          <cell r="L501">
            <v>0</v>
          </cell>
          <cell r="M501" t="str">
            <v>Entertainment            - Other Div</v>
          </cell>
        </row>
        <row r="502">
          <cell r="A502">
            <v>7410000000</v>
          </cell>
          <cell r="C502" t="str">
            <v>Advertising &amp; Promotion</v>
          </cell>
          <cell r="D502" t="str">
            <v>99 00 708-000-000</v>
          </cell>
          <cell r="E502">
            <v>0</v>
          </cell>
          <cell r="F502">
            <v>0</v>
          </cell>
          <cell r="G502">
            <v>0</v>
          </cell>
          <cell r="H502">
            <v>163394145</v>
          </cell>
          <cell r="I502">
            <v>1225655</v>
          </cell>
          <cell r="J502">
            <v>0</v>
          </cell>
          <cell r="K502">
            <v>164619800</v>
          </cell>
          <cell r="L502">
            <v>0</v>
          </cell>
          <cell r="M502" t="str">
            <v>Advertising &amp; Promotion  - Other Div</v>
          </cell>
        </row>
        <row r="503">
          <cell r="A503">
            <v>7410000001</v>
          </cell>
          <cell r="C503" t="str">
            <v>Adv &amp; Prom - Gathering</v>
          </cell>
          <cell r="D503" t="str">
            <v>99 00 708-000-000</v>
          </cell>
          <cell r="E503">
            <v>0</v>
          </cell>
          <cell r="F503">
            <v>0</v>
          </cell>
          <cell r="G503">
            <v>0</v>
          </cell>
          <cell r="H503">
            <v>334672950</v>
          </cell>
          <cell r="I503">
            <v>0</v>
          </cell>
          <cell r="J503">
            <v>0</v>
          </cell>
          <cell r="K503">
            <v>334672950</v>
          </cell>
          <cell r="L503">
            <v>0</v>
          </cell>
          <cell r="M503" t="str">
            <v>Advertising &amp; Promotion  - Other Div</v>
          </cell>
        </row>
        <row r="504">
          <cell r="A504">
            <v>7410000002</v>
          </cell>
          <cell r="C504" t="str">
            <v>Adv &amp; Prom - Barang Promosi</v>
          </cell>
          <cell r="D504" t="str">
            <v>99 00 708-000-000</v>
          </cell>
          <cell r="E504">
            <v>0</v>
          </cell>
          <cell r="F504">
            <v>0</v>
          </cell>
          <cell r="G504">
            <v>0</v>
          </cell>
          <cell r="H504">
            <v>130825000</v>
          </cell>
          <cell r="I504">
            <v>0</v>
          </cell>
          <cell r="J504">
            <v>0</v>
          </cell>
          <cell r="K504">
            <v>130825000</v>
          </cell>
          <cell r="L504">
            <v>0</v>
          </cell>
          <cell r="M504" t="str">
            <v>Advertising &amp; Promotion  - Other Div</v>
          </cell>
        </row>
        <row r="505">
          <cell r="A505">
            <v>7460000000</v>
          </cell>
          <cell r="C505" t="str">
            <v>Pengiriman &amp; Pergudangan</v>
          </cell>
          <cell r="D505" t="str">
            <v>99 00 716-000-000</v>
          </cell>
          <cell r="E505">
            <v>0</v>
          </cell>
          <cell r="F505">
            <v>0</v>
          </cell>
          <cell r="G505">
            <v>0</v>
          </cell>
          <cell r="H505">
            <v>3236245645</v>
          </cell>
          <cell r="I505">
            <v>0</v>
          </cell>
          <cell r="J505">
            <v>3236245645</v>
          </cell>
          <cell r="K505">
            <v>0</v>
          </cell>
          <cell r="L505">
            <v>0</v>
          </cell>
          <cell r="M505" t="str">
            <v>Shipping &amp; Warehousing   - Other Div</v>
          </cell>
        </row>
        <row r="506">
          <cell r="A506">
            <v>7510000000</v>
          </cell>
          <cell r="C506" t="str">
            <v>Kendaraan &amp; Peralatannya</v>
          </cell>
          <cell r="D506" t="str">
            <v>99 00 711-000-000</v>
          </cell>
          <cell r="E506">
            <v>0</v>
          </cell>
          <cell r="F506">
            <v>0</v>
          </cell>
          <cell r="G506">
            <v>0</v>
          </cell>
          <cell r="H506">
            <v>412988656</v>
          </cell>
          <cell r="I506">
            <v>0</v>
          </cell>
          <cell r="J506">
            <v>0</v>
          </cell>
          <cell r="K506">
            <v>412988656</v>
          </cell>
          <cell r="L506">
            <v>0</v>
          </cell>
          <cell r="M506" t="str">
            <v>Fuel &amp; Lubricant         - Other Div</v>
          </cell>
        </row>
        <row r="507">
          <cell r="A507">
            <v>7520000000</v>
          </cell>
          <cell r="C507" t="str">
            <v>Perbaikan &amp; Pemeliharaan</v>
          </cell>
          <cell r="D507" t="str">
            <v>99 00 710-000-000</v>
          </cell>
          <cell r="E507">
            <v>0</v>
          </cell>
          <cell r="F507">
            <v>0</v>
          </cell>
          <cell r="G507">
            <v>0</v>
          </cell>
          <cell r="H507">
            <v>284411932</v>
          </cell>
          <cell r="I507">
            <v>1785000</v>
          </cell>
          <cell r="J507">
            <v>0</v>
          </cell>
          <cell r="K507">
            <v>286196932</v>
          </cell>
          <cell r="L507">
            <v>0</v>
          </cell>
          <cell r="M507" t="str">
            <v>Repairs &amp; Maintenance    - Other Div</v>
          </cell>
        </row>
        <row r="508">
          <cell r="A508">
            <v>7520000001</v>
          </cell>
          <cell r="C508" t="str">
            <v>RM Exp: Kendaraan</v>
          </cell>
          <cell r="D508" t="str">
            <v>99 00 710-000-000</v>
          </cell>
          <cell r="E508">
            <v>0</v>
          </cell>
          <cell r="F508">
            <v>0</v>
          </cell>
          <cell r="G508">
            <v>0</v>
          </cell>
          <cell r="H508">
            <v>323030741</v>
          </cell>
          <cell r="I508">
            <v>21092036</v>
          </cell>
          <cell r="J508">
            <v>0</v>
          </cell>
          <cell r="K508">
            <v>344122777</v>
          </cell>
          <cell r="L508">
            <v>0</v>
          </cell>
          <cell r="M508" t="str">
            <v>Repairs &amp; Maintenance    - Other Div</v>
          </cell>
        </row>
        <row r="509">
          <cell r="A509">
            <v>7520000002</v>
          </cell>
          <cell r="C509" t="str">
            <v>RM Exp: Equipment</v>
          </cell>
          <cell r="D509" t="str">
            <v>99 00 710-000-000</v>
          </cell>
          <cell r="E509">
            <v>0</v>
          </cell>
          <cell r="F509">
            <v>0</v>
          </cell>
          <cell r="G509">
            <v>0</v>
          </cell>
          <cell r="H509">
            <v>216646899</v>
          </cell>
          <cell r="I509">
            <v>1505000</v>
          </cell>
          <cell r="J509">
            <v>0</v>
          </cell>
          <cell r="K509">
            <v>218151899</v>
          </cell>
          <cell r="L509">
            <v>0</v>
          </cell>
          <cell r="M509" t="str">
            <v>Repairs &amp; Maintenance    - Other Div</v>
          </cell>
        </row>
        <row r="510">
          <cell r="A510">
            <v>7540000000</v>
          </cell>
          <cell r="C510" t="str">
            <v>Utiliti</v>
          </cell>
          <cell r="D510" t="str">
            <v>99 00 712-000-000</v>
          </cell>
          <cell r="E510">
            <v>0</v>
          </cell>
          <cell r="F510">
            <v>0</v>
          </cell>
          <cell r="G510">
            <v>0</v>
          </cell>
          <cell r="H510">
            <v>685452342</v>
          </cell>
          <cell r="I510">
            <v>203551570</v>
          </cell>
          <cell r="J510">
            <v>0</v>
          </cell>
          <cell r="K510">
            <v>889003912</v>
          </cell>
          <cell r="L510">
            <v>0</v>
          </cell>
          <cell r="M510" t="str">
            <v>Utilities                - Other Div</v>
          </cell>
        </row>
        <row r="511">
          <cell r="A511">
            <v>7540000001</v>
          </cell>
          <cell r="C511" t="str">
            <v>Utility Expense: Air</v>
          </cell>
          <cell r="D511" t="str">
            <v>99 00 712-000-000</v>
          </cell>
          <cell r="E511">
            <v>0</v>
          </cell>
          <cell r="F511">
            <v>0</v>
          </cell>
          <cell r="G511">
            <v>0</v>
          </cell>
          <cell r="H511">
            <v>259121102</v>
          </cell>
          <cell r="I511">
            <v>135000</v>
          </cell>
          <cell r="J511">
            <v>0</v>
          </cell>
          <cell r="K511">
            <v>259256102</v>
          </cell>
          <cell r="L511">
            <v>0</v>
          </cell>
          <cell r="M511" t="str">
            <v>Utilities                - Other Div</v>
          </cell>
        </row>
        <row r="512">
          <cell r="A512">
            <v>7540000002</v>
          </cell>
          <cell r="C512" t="str">
            <v>Utility Expense: Kebersihan</v>
          </cell>
          <cell r="D512" t="str">
            <v>99 00 712-000-000</v>
          </cell>
          <cell r="E512">
            <v>0</v>
          </cell>
          <cell r="F512">
            <v>0</v>
          </cell>
          <cell r="G512">
            <v>0</v>
          </cell>
          <cell r="H512">
            <v>375654912</v>
          </cell>
          <cell r="I512">
            <v>0</v>
          </cell>
          <cell r="J512">
            <v>0</v>
          </cell>
          <cell r="K512">
            <v>375654912</v>
          </cell>
          <cell r="L512">
            <v>0</v>
          </cell>
          <cell r="M512" t="str">
            <v>Utilities                - Other Div</v>
          </cell>
        </row>
        <row r="513">
          <cell r="A513">
            <v>7540000003</v>
          </cell>
          <cell r="C513" t="str">
            <v>Utility Expense: Keperluan Mess &amp; Dapur</v>
          </cell>
          <cell r="D513" t="str">
            <v>99 00 712-000-000</v>
          </cell>
          <cell r="E513">
            <v>0</v>
          </cell>
          <cell r="F513">
            <v>0</v>
          </cell>
          <cell r="G513">
            <v>0</v>
          </cell>
          <cell r="H513">
            <v>220039483</v>
          </cell>
          <cell r="I513">
            <v>0</v>
          </cell>
          <cell r="J513">
            <v>0</v>
          </cell>
          <cell r="K513">
            <v>220039483</v>
          </cell>
          <cell r="L513">
            <v>0</v>
          </cell>
          <cell r="M513" t="str">
            <v>Utilities                - Other Div</v>
          </cell>
        </row>
        <row r="514">
          <cell r="A514">
            <v>7550000000</v>
          </cell>
          <cell r="C514" t="str">
            <v>Komunikasi</v>
          </cell>
          <cell r="D514" t="str">
            <v>99 00 722-000-000</v>
          </cell>
          <cell r="E514">
            <v>0</v>
          </cell>
          <cell r="F514">
            <v>0</v>
          </cell>
          <cell r="G514">
            <v>0</v>
          </cell>
          <cell r="H514">
            <v>553631240</v>
          </cell>
          <cell r="I514">
            <v>388002</v>
          </cell>
          <cell r="J514">
            <v>0</v>
          </cell>
          <cell r="K514">
            <v>554019242</v>
          </cell>
          <cell r="L514">
            <v>0</v>
          </cell>
          <cell r="M514" t="str">
            <v>Telephone, Telex &amp; Fax   - Other Div</v>
          </cell>
        </row>
        <row r="515">
          <cell r="A515">
            <v>7550000001</v>
          </cell>
          <cell r="C515" t="str">
            <v>Komunikasi - VSAT</v>
          </cell>
          <cell r="D515" t="str">
            <v>99 00 722-000-000</v>
          </cell>
          <cell r="E515">
            <v>0</v>
          </cell>
          <cell r="F515">
            <v>0</v>
          </cell>
          <cell r="G515">
            <v>0</v>
          </cell>
          <cell r="H515">
            <v>1884237574</v>
          </cell>
          <cell r="I515">
            <v>0</v>
          </cell>
          <cell r="J515">
            <v>776821613</v>
          </cell>
          <cell r="K515">
            <v>1107415961</v>
          </cell>
          <cell r="L515">
            <v>0</v>
          </cell>
          <cell r="M515" t="str">
            <v>Telephone, Telex &amp; Fax   - Other Div</v>
          </cell>
        </row>
        <row r="516">
          <cell r="A516">
            <v>7560000000</v>
          </cell>
          <cell r="C516" t="str">
            <v>Perjalanan Dinas</v>
          </cell>
          <cell r="D516" t="str">
            <v>99 00 706-000-000</v>
          </cell>
          <cell r="E516">
            <v>0</v>
          </cell>
          <cell r="F516">
            <v>0</v>
          </cell>
          <cell r="G516">
            <v>0</v>
          </cell>
          <cell r="H516">
            <v>1018458307</v>
          </cell>
          <cell r="I516">
            <v>77746189</v>
          </cell>
          <cell r="J516">
            <v>16837500</v>
          </cell>
          <cell r="K516">
            <v>1079366996</v>
          </cell>
          <cell r="L516">
            <v>0</v>
          </cell>
          <cell r="M516" t="str">
            <v>Transportation &amp; Travell.- Other Div</v>
          </cell>
        </row>
        <row r="517">
          <cell r="A517">
            <v>7560000001</v>
          </cell>
          <cell r="C517" t="str">
            <v>Biaya Perjalanan Dinas: Transport</v>
          </cell>
          <cell r="D517" t="str">
            <v>99 00 706-000-000</v>
          </cell>
          <cell r="E517">
            <v>0</v>
          </cell>
          <cell r="F517">
            <v>0</v>
          </cell>
          <cell r="G517">
            <v>0</v>
          </cell>
          <cell r="H517">
            <v>731946689</v>
          </cell>
          <cell r="I517">
            <v>25836400</v>
          </cell>
          <cell r="J517">
            <v>0</v>
          </cell>
          <cell r="K517">
            <v>757783089</v>
          </cell>
          <cell r="L517">
            <v>0</v>
          </cell>
          <cell r="M517" t="str">
            <v>Transportation &amp; Travell.- Other Div</v>
          </cell>
        </row>
        <row r="518">
          <cell r="A518">
            <v>7570000000</v>
          </cell>
          <cell r="C518" t="str">
            <v>Keperluan Kantor</v>
          </cell>
          <cell r="D518" t="str">
            <v>99 00 724-000-000</v>
          </cell>
          <cell r="E518">
            <v>0</v>
          </cell>
          <cell r="F518">
            <v>0</v>
          </cell>
          <cell r="G518">
            <v>0</v>
          </cell>
          <cell r="H518">
            <v>132680118</v>
          </cell>
          <cell r="I518">
            <v>13850500</v>
          </cell>
          <cell r="J518">
            <v>0</v>
          </cell>
          <cell r="K518">
            <v>146530618</v>
          </cell>
          <cell r="L518">
            <v>0</v>
          </cell>
          <cell r="M518" t="str">
            <v>Office Expenses          - Other Div</v>
          </cell>
        </row>
        <row r="519">
          <cell r="A519">
            <v>7570000001</v>
          </cell>
          <cell r="C519" t="str">
            <v>Office Expense: Office &amp; Comp Supplies</v>
          </cell>
          <cell r="D519" t="str">
            <v>99 00 724-000-000</v>
          </cell>
          <cell r="E519">
            <v>0</v>
          </cell>
          <cell r="F519">
            <v>0</v>
          </cell>
          <cell r="G519">
            <v>0</v>
          </cell>
          <cell r="H519">
            <v>215441917</v>
          </cell>
          <cell r="I519">
            <v>250000</v>
          </cell>
          <cell r="J519">
            <v>0</v>
          </cell>
          <cell r="K519">
            <v>215691917</v>
          </cell>
          <cell r="L519">
            <v>0</v>
          </cell>
          <cell r="M519" t="str">
            <v>Office Expenses          - Other Div</v>
          </cell>
        </row>
        <row r="520">
          <cell r="A520">
            <v>7570000002</v>
          </cell>
          <cell r="C520" t="str">
            <v>Office expense - LVA</v>
          </cell>
          <cell r="D520" t="str">
            <v>99 00 724-000-000</v>
          </cell>
          <cell r="E520">
            <v>0</v>
          </cell>
          <cell r="F520">
            <v>0</v>
          </cell>
          <cell r="G520">
            <v>0</v>
          </cell>
          <cell r="H520">
            <v>150476875</v>
          </cell>
          <cell r="I520">
            <v>29870000</v>
          </cell>
          <cell r="J520">
            <v>0</v>
          </cell>
          <cell r="K520">
            <v>180346875</v>
          </cell>
          <cell r="L520">
            <v>0</v>
          </cell>
          <cell r="M520" t="str">
            <v>Office Expenses          - Other Div</v>
          </cell>
        </row>
        <row r="521">
          <cell r="A521">
            <v>7580000000</v>
          </cell>
          <cell r="C521" t="str">
            <v>Keamanan</v>
          </cell>
          <cell r="D521" t="str">
            <v>99 00 760-000-000</v>
          </cell>
          <cell r="E521">
            <v>0</v>
          </cell>
          <cell r="F521">
            <v>0</v>
          </cell>
          <cell r="G521">
            <v>0</v>
          </cell>
          <cell r="H521">
            <v>1856011388</v>
          </cell>
          <cell r="I521">
            <v>74301443</v>
          </cell>
          <cell r="J521">
            <v>0</v>
          </cell>
          <cell r="K521">
            <v>1930312831</v>
          </cell>
          <cell r="L521">
            <v>0</v>
          </cell>
          <cell r="M521" t="str">
            <v>Security                 - Other Div</v>
          </cell>
        </row>
        <row r="522">
          <cell r="A522">
            <v>7590000000</v>
          </cell>
          <cell r="C522" t="str">
            <v>Biaya Sewa</v>
          </cell>
          <cell r="D522" t="str">
            <v>99 00 738-000-000</v>
          </cell>
          <cell r="E522">
            <v>0</v>
          </cell>
          <cell r="F522">
            <v>0</v>
          </cell>
          <cell r="G522">
            <v>0</v>
          </cell>
          <cell r="H522">
            <v>774677720</v>
          </cell>
          <cell r="I522">
            <v>207872006</v>
          </cell>
          <cell r="J522">
            <v>76776036</v>
          </cell>
          <cell r="K522">
            <v>905773690</v>
          </cell>
          <cell r="L522">
            <v>0</v>
          </cell>
          <cell r="M522" t="str">
            <v>Rent Expense             - Other Div</v>
          </cell>
        </row>
        <row r="523">
          <cell r="A523">
            <v>7590000001</v>
          </cell>
          <cell r="C523" t="str">
            <v>Biaya Sewa: Kendaraan</v>
          </cell>
          <cell r="D523" t="str">
            <v>99 00 738-000-000</v>
          </cell>
          <cell r="E523">
            <v>0</v>
          </cell>
          <cell r="F523">
            <v>0</v>
          </cell>
          <cell r="G523">
            <v>0</v>
          </cell>
          <cell r="H523">
            <v>1247014345</v>
          </cell>
          <cell r="I523">
            <v>255350769</v>
          </cell>
          <cell r="J523">
            <v>0</v>
          </cell>
          <cell r="K523">
            <v>1502365114</v>
          </cell>
          <cell r="L523">
            <v>0</v>
          </cell>
          <cell r="M523" t="str">
            <v>Rent Expense             - Other Div</v>
          </cell>
        </row>
        <row r="524">
          <cell r="A524">
            <v>7590000002</v>
          </cell>
          <cell r="C524" t="str">
            <v>Biaya Sewa Lainnya (Numpang)</v>
          </cell>
          <cell r="D524" t="str">
            <v>99 00 738-000-000</v>
          </cell>
          <cell r="E524">
            <v>0</v>
          </cell>
          <cell r="F524">
            <v>0</v>
          </cell>
          <cell r="G524">
            <v>0</v>
          </cell>
          <cell r="H524">
            <v>18068520</v>
          </cell>
          <cell r="I524">
            <v>34499302</v>
          </cell>
          <cell r="J524">
            <v>0</v>
          </cell>
          <cell r="K524">
            <v>52567822</v>
          </cell>
          <cell r="L524">
            <v>0</v>
          </cell>
          <cell r="M524" t="str">
            <v>Rent Expense             - Other Div</v>
          </cell>
        </row>
        <row r="525">
          <cell r="A525">
            <v>7600000000</v>
          </cell>
          <cell r="C525" t="str">
            <v>Pertemuan</v>
          </cell>
          <cell r="D525" t="str">
            <v>99 00 799-000-000</v>
          </cell>
          <cell r="E525">
            <v>0</v>
          </cell>
          <cell r="F525">
            <v>0</v>
          </cell>
          <cell r="G525">
            <v>0</v>
          </cell>
          <cell r="H525">
            <v>57046468</v>
          </cell>
          <cell r="I525">
            <v>30773943</v>
          </cell>
          <cell r="J525">
            <v>60592871</v>
          </cell>
          <cell r="K525">
            <v>27227540</v>
          </cell>
          <cell r="L525">
            <v>0</v>
          </cell>
          <cell r="M525" t="str">
            <v>Miscellaneous            - Other Div</v>
          </cell>
        </row>
        <row r="526">
          <cell r="A526">
            <v>7610000000</v>
          </cell>
          <cell r="C526" t="str">
            <v>Asuransi</v>
          </cell>
          <cell r="D526" t="str">
            <v>99 00 752-000-000</v>
          </cell>
          <cell r="E526">
            <v>0</v>
          </cell>
          <cell r="F526">
            <v>0</v>
          </cell>
          <cell r="G526">
            <v>0</v>
          </cell>
          <cell r="H526">
            <v>182602165</v>
          </cell>
          <cell r="I526">
            <v>2132310</v>
          </cell>
          <cell r="J526">
            <v>51727304</v>
          </cell>
          <cell r="K526">
            <v>133007171</v>
          </cell>
          <cell r="L526">
            <v>0</v>
          </cell>
          <cell r="M526" t="str">
            <v>Insurance                - Other Div</v>
          </cell>
        </row>
        <row r="527">
          <cell r="A527">
            <v>7630000000</v>
          </cell>
          <cell r="C527" t="str">
            <v>Penyusutan Perabotan mess</v>
          </cell>
          <cell r="D527" t="str">
            <v>99 00 718-000-000</v>
          </cell>
          <cell r="E527">
            <v>0</v>
          </cell>
          <cell r="F527">
            <v>0</v>
          </cell>
          <cell r="G527">
            <v>0</v>
          </cell>
          <cell r="H527">
            <v>5046664696</v>
          </cell>
          <cell r="I527">
            <v>0</v>
          </cell>
          <cell r="J527">
            <v>0</v>
          </cell>
          <cell r="K527">
            <v>5046664696</v>
          </cell>
          <cell r="L527">
            <v>0</v>
          </cell>
          <cell r="M527" t="str">
            <v>Depreciation             - Other Div</v>
          </cell>
        </row>
        <row r="528">
          <cell r="A528">
            <v>7710000000</v>
          </cell>
          <cell r="C528" t="str">
            <v>Perijinan &amp; Pajak</v>
          </cell>
          <cell r="D528" t="str">
            <v>99 00 736-000-000</v>
          </cell>
          <cell r="E528">
            <v>0</v>
          </cell>
          <cell r="F528">
            <v>0</v>
          </cell>
          <cell r="G528">
            <v>0</v>
          </cell>
          <cell r="H528">
            <v>197256282</v>
          </cell>
          <cell r="I528">
            <v>62633468</v>
          </cell>
          <cell r="J528">
            <v>0</v>
          </cell>
          <cell r="K528">
            <v>259889750</v>
          </cell>
          <cell r="L528">
            <v>0</v>
          </cell>
          <cell r="M528" t="str">
            <v>Taxes &amp; Licences         - Other Div</v>
          </cell>
        </row>
        <row r="529">
          <cell r="A529">
            <v>7710000001</v>
          </cell>
          <cell r="C529" t="str">
            <v>Perijinan &amp; Pajak - SW</v>
          </cell>
          <cell r="D529" t="str">
            <v>99 00 736-000-000</v>
          </cell>
          <cell r="E529">
            <v>0</v>
          </cell>
          <cell r="F529">
            <v>0</v>
          </cell>
          <cell r="G529">
            <v>0</v>
          </cell>
          <cell r="H529">
            <v>110220000</v>
          </cell>
          <cell r="I529">
            <v>0</v>
          </cell>
          <cell r="J529">
            <v>0</v>
          </cell>
          <cell r="K529">
            <v>110220000</v>
          </cell>
          <cell r="L529">
            <v>0</v>
          </cell>
          <cell r="M529" t="str">
            <v>Taxes &amp; Licences         - Other Div</v>
          </cell>
        </row>
        <row r="530">
          <cell r="A530">
            <v>7720000000</v>
          </cell>
          <cell r="C530" t="str">
            <v>Jasa Tenaga Ahli</v>
          </cell>
          <cell r="D530" t="str">
            <v>99 00 728-000-000</v>
          </cell>
          <cell r="E530">
            <v>0</v>
          </cell>
          <cell r="F530">
            <v>0</v>
          </cell>
          <cell r="G530">
            <v>0</v>
          </cell>
          <cell r="H530">
            <v>6508856121</v>
          </cell>
          <cell r="I530">
            <v>0</v>
          </cell>
          <cell r="J530">
            <v>0</v>
          </cell>
          <cell r="K530">
            <v>6508856121</v>
          </cell>
          <cell r="L530">
            <v>0</v>
          </cell>
          <cell r="M530" t="str">
            <v>Professional Fees        - Other Div</v>
          </cell>
        </row>
        <row r="531">
          <cell r="A531">
            <v>7990000099</v>
          </cell>
          <cell r="C531" t="str">
            <v>Biaya Operasi Lain-lain</v>
          </cell>
          <cell r="D531" t="str">
            <v>99 00 799-000-000</v>
          </cell>
          <cell r="E531">
            <v>0</v>
          </cell>
          <cell r="F531">
            <v>0</v>
          </cell>
          <cell r="G531">
            <v>0</v>
          </cell>
          <cell r="H531">
            <v>-1837151</v>
          </cell>
          <cell r="I531">
            <v>0</v>
          </cell>
          <cell r="J531">
            <v>0</v>
          </cell>
          <cell r="K531">
            <v>-1837151</v>
          </cell>
          <cell r="L531">
            <v>0</v>
          </cell>
          <cell r="M531" t="str">
            <v>Miscellaneous            - Other Div</v>
          </cell>
        </row>
        <row r="532">
          <cell r="A532">
            <v>9110000002</v>
          </cell>
          <cell r="C532" t="str">
            <v>Bagian Laba(Rugi) Affco:UTSG</v>
          </cell>
          <cell r="D532" t="str">
            <v>00 00 800-000-222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202125995</v>
          </cell>
          <cell r="K532">
            <v>-202125995</v>
          </cell>
          <cell r="L532">
            <v>0</v>
          </cell>
          <cell r="M532" t="str">
            <v>Equity in NI AffCo-PT UT Semen Gresik</v>
          </cell>
        </row>
        <row r="533">
          <cell r="A533">
            <v>9110000003</v>
          </cell>
          <cell r="C533" t="str">
            <v>Bagian Laba(Rugi) Affco:UTE</v>
          </cell>
          <cell r="D533" t="str">
            <v>00 00 800-000-156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25955</v>
          </cell>
          <cell r="J533">
            <v>3106176657</v>
          </cell>
          <cell r="K533">
            <v>-3106150702</v>
          </cell>
          <cell r="L533">
            <v>0</v>
          </cell>
          <cell r="M533" t="str">
            <v>Equity in NI AffCo-PT United Tractors Pa</v>
          </cell>
        </row>
        <row r="534">
          <cell r="A534">
            <v>9110000004</v>
          </cell>
          <cell r="C534" t="str">
            <v>R/L affco PDP</v>
          </cell>
          <cell r="D534" t="str">
            <v>00 00 800-000-113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1765583853</v>
          </cell>
          <cell r="K534">
            <v>-1765583853</v>
          </cell>
          <cell r="L534">
            <v>0</v>
          </cell>
          <cell r="M534" t="str">
            <v>Equity in NI AffCo-PT Pandu Dayatama Pat</v>
          </cell>
        </row>
        <row r="535">
          <cell r="A535">
            <v>9110000005</v>
          </cell>
          <cell r="C535" t="str">
            <v>Bagian Laba(Rugi) Affco:PAMA</v>
          </cell>
          <cell r="D535" t="str">
            <v>00 00 800-000-112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160174262260</v>
          </cell>
          <cell r="K535">
            <v>-160174262260</v>
          </cell>
          <cell r="L535">
            <v>0</v>
          </cell>
          <cell r="M535" t="str">
            <v>Equity in NI AffCo-PT Pama Persada Nusan</v>
          </cell>
        </row>
        <row r="536">
          <cell r="A536">
            <v>9110000006</v>
          </cell>
          <cell r="C536" t="str">
            <v>Bagian Laba(Rugi) Affco:BERAU</v>
          </cell>
          <cell r="D536" t="str">
            <v>00 00 800-000-030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602612638</v>
          </cell>
          <cell r="J536">
            <v>361718</v>
          </cell>
          <cell r="K536">
            <v>602250920</v>
          </cell>
          <cell r="L536">
            <v>0</v>
          </cell>
          <cell r="M536" t="str">
            <v>Equity in NI AffCo-PT Berau Coal</v>
          </cell>
        </row>
        <row r="537">
          <cell r="A537">
            <v>9110000007</v>
          </cell>
          <cell r="C537" t="str">
            <v>Bagian Laba(Rugi) Affco:HUFI</v>
          </cell>
          <cell r="D537" t="str">
            <v>00 00 800-000-220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10391125</v>
          </cell>
          <cell r="K537">
            <v>-10391125</v>
          </cell>
          <cell r="L537">
            <v>0</v>
          </cell>
          <cell r="M537" t="str">
            <v>Equity in NI AffCo-PT Hokkuriku United F</v>
          </cell>
        </row>
        <row r="538">
          <cell r="A538">
            <v>9110000011</v>
          </cell>
          <cell r="C538" t="str">
            <v>Bagian Laba(Rugi) Affco:UTHI</v>
          </cell>
          <cell r="D538" t="str">
            <v>00 00 800-000-245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21389531</v>
          </cell>
          <cell r="J538">
            <v>5167841125</v>
          </cell>
          <cell r="K538">
            <v>-5146451594</v>
          </cell>
          <cell r="L538">
            <v>0</v>
          </cell>
          <cell r="M538" t="str">
            <v>Equity in NI AffCo-UT Heavy Industry (S)</v>
          </cell>
        </row>
        <row r="539">
          <cell r="A539">
            <v>9110000015</v>
          </cell>
          <cell r="C539" t="str">
            <v>Bagian Laba(Rugi) Affco:Bina P</v>
          </cell>
          <cell r="D539" t="str">
            <v>00 00 800-000-210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617093493</v>
          </cell>
          <cell r="K539">
            <v>-617093493</v>
          </cell>
          <cell r="L539">
            <v>0</v>
          </cell>
          <cell r="M539" t="str">
            <v>Equity in NI AffCo-PT Bina Pertiwi</v>
          </cell>
        </row>
        <row r="540">
          <cell r="A540">
            <v>9110000017</v>
          </cell>
          <cell r="C540" t="str">
            <v>Bagian Laba(Rugi) Affco:KRA</v>
          </cell>
          <cell r="D540" t="str">
            <v>00 00 800-000-328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1873030710</v>
          </cell>
          <cell r="K540">
            <v>-1873030710</v>
          </cell>
          <cell r="L540">
            <v>0</v>
          </cell>
          <cell r="M540" t="str">
            <v>Equity in Net Inco-PT Komatsu Remanufact</v>
          </cell>
        </row>
        <row r="541">
          <cell r="A541">
            <v>9160000000</v>
          </cell>
          <cell r="B541" t="str">
            <v>0000010818</v>
          </cell>
          <cell r="C541" t="str">
            <v>Management Fee UTSG</v>
          </cell>
          <cell r="D541" t="str">
            <v>00 00 820-100-222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10000000</v>
          </cell>
          <cell r="K541">
            <v>-10000000</v>
          </cell>
          <cell r="L541">
            <v>0</v>
          </cell>
          <cell r="M541" t="str">
            <v>Inc. Management Fe-PT UT Semen Gresik</v>
          </cell>
        </row>
        <row r="542">
          <cell r="A542">
            <v>9170000000</v>
          </cell>
          <cell r="C542" t="str">
            <v>Rent Income</v>
          </cell>
          <cell r="D542" t="str">
            <v>00 00 817-200-000</v>
          </cell>
          <cell r="E542">
            <v>0</v>
          </cell>
          <cell r="F542">
            <v>0</v>
          </cell>
          <cell r="G542">
            <v>0</v>
          </cell>
          <cell r="H542">
            <v>794925000</v>
          </cell>
          <cell r="I542">
            <v>0</v>
          </cell>
          <cell r="J542">
            <v>1299337136</v>
          </cell>
          <cell r="K542">
            <v>-504412136</v>
          </cell>
          <cell r="L542">
            <v>0</v>
          </cell>
          <cell r="M542" t="str">
            <v>Rent Income - Third Parties</v>
          </cell>
        </row>
        <row r="543">
          <cell r="A543">
            <v>9211000000</v>
          </cell>
          <cell r="C543" t="str">
            <v>Interest Income - Deposito</v>
          </cell>
          <cell r="D543" t="str">
            <v>00 00 809-100-990</v>
          </cell>
          <cell r="E543">
            <v>0</v>
          </cell>
          <cell r="F543">
            <v>0</v>
          </cell>
          <cell r="G543">
            <v>0</v>
          </cell>
          <cell r="H543">
            <v>-2373616553</v>
          </cell>
          <cell r="I543">
            <v>0</v>
          </cell>
          <cell r="J543">
            <v>0</v>
          </cell>
          <cell r="K543">
            <v>-2373616553</v>
          </cell>
          <cell r="L543">
            <v>0</v>
          </cell>
          <cell r="M543" t="str">
            <v>Int.Income - Time -Other</v>
          </cell>
        </row>
        <row r="544">
          <cell r="A544">
            <v>9220000000</v>
          </cell>
          <cell r="C544" t="str">
            <v>Jasa Giro-Others</v>
          </cell>
          <cell r="D544" t="str">
            <v>00 00 809-300-990</v>
          </cell>
          <cell r="E544">
            <v>0</v>
          </cell>
          <cell r="F544">
            <v>0</v>
          </cell>
          <cell r="G544">
            <v>0</v>
          </cell>
          <cell r="H544">
            <v>-344451518</v>
          </cell>
          <cell r="I544">
            <v>0</v>
          </cell>
          <cell r="J544">
            <v>0</v>
          </cell>
          <cell r="K544">
            <v>-344451518</v>
          </cell>
          <cell r="L544">
            <v>0</v>
          </cell>
          <cell r="M544" t="str">
            <v>Int. Income-Bank C-Other</v>
          </cell>
        </row>
        <row r="545">
          <cell r="A545">
            <v>9263100000</v>
          </cell>
          <cell r="C545" t="str">
            <v>Interest Income : AR NT Affco</v>
          </cell>
          <cell r="D545" t="str">
            <v>00 00 808-300-000</v>
          </cell>
          <cell r="E545">
            <v>0</v>
          </cell>
          <cell r="F545">
            <v>0</v>
          </cell>
          <cell r="G545">
            <v>0</v>
          </cell>
          <cell r="H545">
            <v>-4779216193</v>
          </cell>
          <cell r="I545">
            <v>4779216193</v>
          </cell>
          <cell r="J545">
            <v>0</v>
          </cell>
          <cell r="K545">
            <v>0</v>
          </cell>
          <cell r="L545">
            <v>0</v>
          </cell>
          <cell r="M545" t="str">
            <v>Int.Income fr.Company-A/R-AffCo</v>
          </cell>
        </row>
        <row r="546">
          <cell r="A546">
            <v>9263100000</v>
          </cell>
          <cell r="B546" t="str">
            <v>0000010611</v>
          </cell>
          <cell r="C546" t="str">
            <v>PT Pama Persada Nusantara</v>
          </cell>
          <cell r="D546" t="str">
            <v>00 00 808-300-112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127103341</v>
          </cell>
          <cell r="J546">
            <v>889268702</v>
          </cell>
          <cell r="K546">
            <v>-762165361</v>
          </cell>
          <cell r="L546">
            <v>0</v>
          </cell>
          <cell r="M546" t="str">
            <v>Int.Income - A/R  -PT Pama Persada Nusan</v>
          </cell>
        </row>
        <row r="547">
          <cell r="A547">
            <v>9263100000</v>
          </cell>
          <cell r="B547" t="str">
            <v>0000012312</v>
          </cell>
          <cell r="C547" t="str">
            <v>PT BP</v>
          </cell>
          <cell r="D547" t="str">
            <v>00 00 808-300-210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24520517</v>
          </cell>
          <cell r="J547">
            <v>181406777</v>
          </cell>
          <cell r="K547">
            <v>-156886260</v>
          </cell>
          <cell r="L547">
            <v>0</v>
          </cell>
          <cell r="M547" t="str">
            <v>Int.Income - A/R  -PT Bina Pertiwi</v>
          </cell>
        </row>
        <row r="548">
          <cell r="A548">
            <v>9263100000</v>
          </cell>
          <cell r="B548" t="str">
            <v>0000012323</v>
          </cell>
          <cell r="C548" t="str">
            <v>PT UTE</v>
          </cell>
          <cell r="D548" t="str">
            <v>00 00 808-300-156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416686756</v>
          </cell>
          <cell r="J548">
            <v>968560489</v>
          </cell>
          <cell r="K548">
            <v>-551873733</v>
          </cell>
          <cell r="L548">
            <v>0</v>
          </cell>
          <cell r="M548" t="str">
            <v>Int.Income - A/R  -PT United Tractors Pa</v>
          </cell>
        </row>
        <row r="549">
          <cell r="A549">
            <v>9263100000</v>
          </cell>
          <cell r="B549" t="str">
            <v>0000024370</v>
          </cell>
          <cell r="C549" t="str">
            <v>MULTI PRIMA UNIVERSAL (NUMPANG)</v>
          </cell>
          <cell r="D549" t="str">
            <v>00 00 808-300-113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1030664239</v>
          </cell>
          <cell r="K549">
            <v>-1030664239</v>
          </cell>
          <cell r="L549">
            <v>0</v>
          </cell>
          <cell r="M549" t="str">
            <v>Int.Income - A/R  -PT Pandu Dayatama Pat</v>
          </cell>
        </row>
        <row r="550">
          <cell r="A550">
            <v>9263100000</v>
          </cell>
          <cell r="B550" t="str">
            <v>0000025305</v>
          </cell>
          <cell r="C550" t="str">
            <v>Interest Inc TTA (Numpang)</v>
          </cell>
          <cell r="D550" t="str">
            <v>00 00 808-300-220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505998376</v>
          </cell>
          <cell r="J550">
            <v>1605327869</v>
          </cell>
          <cell r="K550">
            <v>-1099329493</v>
          </cell>
          <cell r="L550">
            <v>0</v>
          </cell>
          <cell r="M550" t="str">
            <v>Int.Income - A/R  -PT Hokkuriku United F</v>
          </cell>
        </row>
        <row r="551">
          <cell r="A551">
            <v>9263100000</v>
          </cell>
          <cell r="B551" t="str">
            <v>0000025455</v>
          </cell>
          <cell r="C551" t="str">
            <v>Interest Income : HMU</v>
          </cell>
          <cell r="D551" t="str">
            <v>00 00 808-300-276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6218404</v>
          </cell>
          <cell r="J551">
            <v>103988117</v>
          </cell>
          <cell r="K551">
            <v>-97769713</v>
          </cell>
          <cell r="L551">
            <v>0</v>
          </cell>
          <cell r="M551" t="str">
            <v>Int.Income fr.Comp-PT Hanken Indonesia</v>
          </cell>
        </row>
        <row r="552">
          <cell r="A552">
            <v>9330300000</v>
          </cell>
          <cell r="C552" t="str">
            <v>Keuntungan/rugi jual aktiva te</v>
          </cell>
          <cell r="D552" t="str">
            <v>00 00 830-100-000</v>
          </cell>
          <cell r="E552">
            <v>0</v>
          </cell>
          <cell r="F552">
            <v>0</v>
          </cell>
          <cell r="G552">
            <v>0</v>
          </cell>
          <cell r="H552">
            <v>-31500000</v>
          </cell>
          <cell r="I552">
            <v>0</v>
          </cell>
          <cell r="J552">
            <v>0</v>
          </cell>
          <cell r="K552">
            <v>-31500000</v>
          </cell>
          <cell r="L552">
            <v>0</v>
          </cell>
          <cell r="M552" t="str">
            <v>Gain(Loss) onSale&amp;Disposal ofPPE-3rd Par</v>
          </cell>
        </row>
        <row r="553">
          <cell r="A553">
            <v>9410000000</v>
          </cell>
          <cell r="C553" t="str">
            <v>Interest Expenses - Bank</v>
          </cell>
          <cell r="D553" t="str">
            <v>00 00 850-100-990</v>
          </cell>
          <cell r="E553">
            <v>0</v>
          </cell>
          <cell r="F553">
            <v>0</v>
          </cell>
          <cell r="G553">
            <v>0</v>
          </cell>
          <cell r="H553">
            <v>928762685</v>
          </cell>
          <cell r="I553">
            <v>0</v>
          </cell>
          <cell r="J553">
            <v>27759522</v>
          </cell>
          <cell r="K553">
            <v>901003163</v>
          </cell>
          <cell r="L553">
            <v>0</v>
          </cell>
          <cell r="M553" t="str">
            <v>Interest Exp-short-Other</v>
          </cell>
        </row>
        <row r="554">
          <cell r="A554">
            <v>9510000000</v>
          </cell>
          <cell r="C554" t="str">
            <v>Interest Expenses - LKBB</v>
          </cell>
          <cell r="D554" t="str">
            <v>00 00 850-100-990</v>
          </cell>
          <cell r="E554">
            <v>0</v>
          </cell>
          <cell r="F554">
            <v>0</v>
          </cell>
          <cell r="G554">
            <v>0</v>
          </cell>
          <cell r="H554">
            <v>-12548158</v>
          </cell>
          <cell r="I554">
            <v>71286474</v>
          </cell>
          <cell r="J554">
            <v>0</v>
          </cell>
          <cell r="K554">
            <v>58738316</v>
          </cell>
          <cell r="L554">
            <v>0</v>
          </cell>
          <cell r="M554" t="str">
            <v>Interest Exp-short-Other</v>
          </cell>
        </row>
        <row r="555">
          <cell r="A555">
            <v>9610000000</v>
          </cell>
          <cell r="C555" t="str">
            <v>Bank Charges</v>
          </cell>
          <cell r="D555" t="str">
            <v>00 00 873-000-000</v>
          </cell>
          <cell r="E555">
            <v>0</v>
          </cell>
          <cell r="F555">
            <v>0</v>
          </cell>
          <cell r="G555">
            <v>0</v>
          </cell>
          <cell r="H555">
            <v>177090271</v>
          </cell>
          <cell r="I555">
            <v>0</v>
          </cell>
          <cell r="J555">
            <v>0</v>
          </cell>
          <cell r="K555">
            <v>177090271</v>
          </cell>
          <cell r="L555">
            <v>0</v>
          </cell>
          <cell r="M555" t="str">
            <v>Bank charges</v>
          </cell>
        </row>
        <row r="556">
          <cell r="A556">
            <v>9620000001</v>
          </cell>
          <cell r="C556" t="str">
            <v>Selisih Kurs:Piutang Usaha</v>
          </cell>
          <cell r="D556" t="str">
            <v>00 00 855-000-000</v>
          </cell>
          <cell r="E556">
            <v>0</v>
          </cell>
          <cell r="F556">
            <v>0</v>
          </cell>
          <cell r="G556">
            <v>0</v>
          </cell>
          <cell r="H556">
            <v>4710652834</v>
          </cell>
          <cell r="I556">
            <v>0</v>
          </cell>
          <cell r="J556">
            <v>0</v>
          </cell>
          <cell r="K556">
            <v>4710652834</v>
          </cell>
          <cell r="L556">
            <v>0</v>
          </cell>
          <cell r="M556" t="str">
            <v>Realized gain/loss on Foreign Exchang</v>
          </cell>
        </row>
        <row r="557">
          <cell r="A557">
            <v>9620000002</v>
          </cell>
          <cell r="C557" t="str">
            <v>Selisih Kurs:Hutang Usaha &amp; DP</v>
          </cell>
          <cell r="D557" t="str">
            <v>00 00 855-000-000</v>
          </cell>
          <cell r="E557">
            <v>0</v>
          </cell>
          <cell r="F557">
            <v>0</v>
          </cell>
          <cell r="G557">
            <v>0</v>
          </cell>
          <cell r="H557">
            <v>-6124378469</v>
          </cell>
          <cell r="I557">
            <v>0</v>
          </cell>
          <cell r="J557">
            <v>0</v>
          </cell>
          <cell r="K557">
            <v>-6124378469</v>
          </cell>
          <cell r="L557">
            <v>0</v>
          </cell>
          <cell r="M557" t="str">
            <v>Realized gain/loss on Foreign Exchang</v>
          </cell>
        </row>
        <row r="558">
          <cell r="A558">
            <v>9620000007</v>
          </cell>
          <cell r="C558" t="str">
            <v>Selisih kurs:Uang muka (R)</v>
          </cell>
          <cell r="D558" t="str">
            <v>00 00 855-000-000</v>
          </cell>
          <cell r="E558">
            <v>0</v>
          </cell>
          <cell r="F558">
            <v>0</v>
          </cell>
          <cell r="G558">
            <v>0</v>
          </cell>
          <cell r="H558">
            <v>-568776</v>
          </cell>
          <cell r="I558">
            <v>0</v>
          </cell>
          <cell r="J558">
            <v>0</v>
          </cell>
          <cell r="K558">
            <v>-568776</v>
          </cell>
          <cell r="L558">
            <v>0</v>
          </cell>
          <cell r="M558" t="str">
            <v>Realized gain/loss on Foreign Exchang</v>
          </cell>
        </row>
        <row r="559">
          <cell r="A559">
            <v>9620000008</v>
          </cell>
          <cell r="C559" t="str">
            <v>Selisih kurs:DP Customer (R)</v>
          </cell>
          <cell r="D559" t="str">
            <v>00 00 855-000-000</v>
          </cell>
          <cell r="E559">
            <v>0</v>
          </cell>
          <cell r="F559">
            <v>0</v>
          </cell>
          <cell r="G559">
            <v>0</v>
          </cell>
          <cell r="H559">
            <v>-553858089</v>
          </cell>
          <cell r="I559">
            <v>0</v>
          </cell>
          <cell r="J559">
            <v>0</v>
          </cell>
          <cell r="K559">
            <v>-553858089</v>
          </cell>
          <cell r="L559">
            <v>0</v>
          </cell>
          <cell r="M559" t="str">
            <v>Realized gain/loss on Foreign Exchang</v>
          </cell>
        </row>
        <row r="560">
          <cell r="A560">
            <v>9620000009</v>
          </cell>
          <cell r="C560" t="str">
            <v>Selisih Kurs:Lain-lain</v>
          </cell>
          <cell r="D560" t="str">
            <v>00 00 855-000-000</v>
          </cell>
          <cell r="E560">
            <v>0</v>
          </cell>
          <cell r="F560">
            <v>0</v>
          </cell>
          <cell r="G560">
            <v>0</v>
          </cell>
          <cell r="H560">
            <v>17292601541</v>
          </cell>
          <cell r="I560">
            <v>0</v>
          </cell>
          <cell r="J560">
            <v>0</v>
          </cell>
          <cell r="K560">
            <v>17292601541</v>
          </cell>
          <cell r="L560">
            <v>0</v>
          </cell>
          <cell r="M560" t="str">
            <v>Realized gain/loss on Foreign Exchang</v>
          </cell>
        </row>
        <row r="561">
          <cell r="A561">
            <v>9620000010</v>
          </cell>
          <cell r="C561" t="str">
            <v>Selisih kurs:AR NON(R)</v>
          </cell>
          <cell r="D561" t="str">
            <v>00 00 855-000-000</v>
          </cell>
          <cell r="E561">
            <v>0</v>
          </cell>
          <cell r="F561">
            <v>0</v>
          </cell>
          <cell r="G561">
            <v>0</v>
          </cell>
          <cell r="H561">
            <v>38861051</v>
          </cell>
          <cell r="I561">
            <v>0</v>
          </cell>
          <cell r="J561">
            <v>0</v>
          </cell>
          <cell r="K561">
            <v>38861051</v>
          </cell>
          <cell r="L561">
            <v>0</v>
          </cell>
          <cell r="M561" t="str">
            <v>Realized gain/loss on Foreign Exchang</v>
          </cell>
        </row>
        <row r="562">
          <cell r="A562">
            <v>9620000011</v>
          </cell>
          <cell r="C562" t="str">
            <v>Selisih kurs:AP NON(R)</v>
          </cell>
          <cell r="D562" t="str">
            <v>00 00 855-000-000</v>
          </cell>
          <cell r="E562">
            <v>0</v>
          </cell>
          <cell r="F562">
            <v>0</v>
          </cell>
          <cell r="G562">
            <v>0</v>
          </cell>
          <cell r="H562">
            <v>-241838007</v>
          </cell>
          <cell r="I562">
            <v>0</v>
          </cell>
          <cell r="J562">
            <v>0</v>
          </cell>
          <cell r="K562">
            <v>-241838007</v>
          </cell>
          <cell r="L562">
            <v>0</v>
          </cell>
          <cell r="M562" t="str">
            <v>Realized gain/loss on Foreign Exchang</v>
          </cell>
        </row>
        <row r="563">
          <cell r="A563">
            <v>9620000101</v>
          </cell>
          <cell r="C563" t="str">
            <v>Selisih kurs - A/R Trade</v>
          </cell>
          <cell r="D563" t="str">
            <v>00 00 855-000-000</v>
          </cell>
          <cell r="E563">
            <v>0</v>
          </cell>
          <cell r="F563">
            <v>0</v>
          </cell>
          <cell r="G563">
            <v>0</v>
          </cell>
          <cell r="H563">
            <v>-11045860588</v>
          </cell>
          <cell r="I563">
            <v>17000000</v>
          </cell>
          <cell r="J563">
            <v>0</v>
          </cell>
          <cell r="K563">
            <v>-11028860588</v>
          </cell>
          <cell r="L563">
            <v>0</v>
          </cell>
          <cell r="M563" t="str">
            <v>Realized gain/loss on Foreign Exchang</v>
          </cell>
        </row>
        <row r="564">
          <cell r="A564">
            <v>9620000102</v>
          </cell>
          <cell r="C564" t="str">
            <v>Selisih kurs - A/P Customer Dp</v>
          </cell>
          <cell r="D564" t="str">
            <v>00 00 855-000-000</v>
          </cell>
          <cell r="E564">
            <v>0</v>
          </cell>
          <cell r="F564">
            <v>0</v>
          </cell>
          <cell r="G564">
            <v>0</v>
          </cell>
          <cell r="H564">
            <v>3480876098</v>
          </cell>
          <cell r="I564">
            <v>0</v>
          </cell>
          <cell r="J564">
            <v>337806629</v>
          </cell>
          <cell r="K564">
            <v>3143069469</v>
          </cell>
          <cell r="L564">
            <v>0</v>
          </cell>
          <cell r="M564" t="str">
            <v>Realized gain/loss on Foreign Exchang</v>
          </cell>
        </row>
        <row r="565">
          <cell r="A565">
            <v>9620000104</v>
          </cell>
          <cell r="C565" t="str">
            <v>Selisih kurs - Long Term Debt</v>
          </cell>
          <cell r="D565" t="str">
            <v>00 00 855-000-000</v>
          </cell>
          <cell r="E565">
            <v>0</v>
          </cell>
          <cell r="F565">
            <v>0</v>
          </cell>
          <cell r="G565">
            <v>0</v>
          </cell>
          <cell r="H565">
            <v>-175000000</v>
          </cell>
          <cell r="I565">
            <v>0</v>
          </cell>
          <cell r="J565">
            <v>0</v>
          </cell>
          <cell r="K565">
            <v>-175000000</v>
          </cell>
          <cell r="L565">
            <v>0</v>
          </cell>
          <cell r="M565" t="str">
            <v>Realized gain/loss on Foreign Exchang</v>
          </cell>
        </row>
        <row r="566">
          <cell r="A566">
            <v>9620000107</v>
          </cell>
          <cell r="C566" t="str">
            <v>Selisih kurs - UANG MUKA (U)</v>
          </cell>
          <cell r="D566" t="str">
            <v>00 00 855-000-000</v>
          </cell>
          <cell r="E566">
            <v>0</v>
          </cell>
          <cell r="F566">
            <v>0</v>
          </cell>
          <cell r="G566">
            <v>0</v>
          </cell>
          <cell r="H566">
            <v>79867743</v>
          </cell>
          <cell r="I566">
            <v>0</v>
          </cell>
          <cell r="J566">
            <v>0</v>
          </cell>
          <cell r="K566">
            <v>79867743</v>
          </cell>
          <cell r="L566">
            <v>0</v>
          </cell>
          <cell r="M566" t="str">
            <v>Realized gain/loss on Foreign Exchang</v>
          </cell>
        </row>
        <row r="567">
          <cell r="A567">
            <v>9620000108</v>
          </cell>
          <cell r="C567" t="str">
            <v>Selisih kurs - DP CUSTOMER (U)</v>
          </cell>
          <cell r="D567" t="str">
            <v>00 00 855-000-000</v>
          </cell>
          <cell r="E567">
            <v>0</v>
          </cell>
          <cell r="F567">
            <v>0</v>
          </cell>
          <cell r="G567">
            <v>0</v>
          </cell>
          <cell r="H567">
            <v>1198891376</v>
          </cell>
          <cell r="I567">
            <v>0</v>
          </cell>
          <cell r="J567">
            <v>0</v>
          </cell>
          <cell r="K567">
            <v>1198891376</v>
          </cell>
          <cell r="L567">
            <v>0</v>
          </cell>
          <cell r="M567" t="str">
            <v>Realized gain/loss on Foreign Exchang</v>
          </cell>
        </row>
        <row r="568">
          <cell r="A568">
            <v>9620000109</v>
          </cell>
          <cell r="C568" t="str">
            <v>Selisih Kurs - Lain lain</v>
          </cell>
          <cell r="D568" t="str">
            <v>00 00 855-000-000</v>
          </cell>
          <cell r="E568">
            <v>0</v>
          </cell>
          <cell r="F568">
            <v>0</v>
          </cell>
          <cell r="G568">
            <v>0</v>
          </cell>
          <cell r="H568">
            <v>-10276685919</v>
          </cell>
          <cell r="I568">
            <v>0</v>
          </cell>
          <cell r="J568">
            <v>0</v>
          </cell>
          <cell r="K568">
            <v>-10276685919</v>
          </cell>
          <cell r="L568">
            <v>0</v>
          </cell>
          <cell r="M568" t="str">
            <v>Realized gain/loss on Foreign Exchang</v>
          </cell>
        </row>
        <row r="569">
          <cell r="A569">
            <v>9620000110</v>
          </cell>
          <cell r="C569" t="str">
            <v>Selisih kurs - AR NON(U)</v>
          </cell>
          <cell r="D569" t="str">
            <v>00 00 855-000-000</v>
          </cell>
          <cell r="E569">
            <v>0</v>
          </cell>
          <cell r="F569">
            <v>0</v>
          </cell>
          <cell r="G569">
            <v>0</v>
          </cell>
          <cell r="H569">
            <v>2168813859</v>
          </cell>
          <cell r="I569">
            <v>31341308</v>
          </cell>
          <cell r="J569">
            <v>0</v>
          </cell>
          <cell r="K569">
            <v>2200155167</v>
          </cell>
          <cell r="L569">
            <v>0</v>
          </cell>
          <cell r="M569" t="str">
            <v>Realized gain/loss on Foreign Exchang</v>
          </cell>
        </row>
        <row r="570">
          <cell r="A570">
            <v>9620000111</v>
          </cell>
          <cell r="C570" t="str">
            <v>Selisih kurs - AP NON(U)</v>
          </cell>
          <cell r="D570" t="str">
            <v>00 00 855-000-000</v>
          </cell>
          <cell r="E570">
            <v>0</v>
          </cell>
          <cell r="F570">
            <v>0</v>
          </cell>
          <cell r="G570">
            <v>0</v>
          </cell>
          <cell r="H570">
            <v>-461971618</v>
          </cell>
          <cell r="I570">
            <v>0</v>
          </cell>
          <cell r="J570">
            <v>0</v>
          </cell>
          <cell r="K570">
            <v>-461971618</v>
          </cell>
          <cell r="L570">
            <v>0</v>
          </cell>
          <cell r="M570" t="str">
            <v>Realized gain/loss on Foreign Exchang</v>
          </cell>
        </row>
        <row r="571">
          <cell r="A571">
            <v>9911000000</v>
          </cell>
          <cell r="C571" t="str">
            <v>Emisi saham</v>
          </cell>
          <cell r="D571" t="str">
            <v>00 00 849-000-000</v>
          </cell>
          <cell r="E571">
            <v>0</v>
          </cell>
          <cell r="F571">
            <v>0</v>
          </cell>
          <cell r="G571">
            <v>0</v>
          </cell>
          <cell r="H571">
            <v>10000000</v>
          </cell>
          <cell r="I571">
            <v>0</v>
          </cell>
          <cell r="J571">
            <v>0</v>
          </cell>
          <cell r="K571">
            <v>10000000</v>
          </cell>
          <cell r="L571">
            <v>0</v>
          </cell>
          <cell r="M571" t="str">
            <v>Other Income</v>
          </cell>
        </row>
        <row r="572">
          <cell r="A572">
            <v>9940000000</v>
          </cell>
          <cell r="C572" t="str">
            <v>Denda Yang Dibayar</v>
          </cell>
          <cell r="D572" t="str">
            <v>00 00 899-000-000</v>
          </cell>
          <cell r="E572">
            <v>0</v>
          </cell>
          <cell r="F572">
            <v>0</v>
          </cell>
          <cell r="G572">
            <v>0</v>
          </cell>
          <cell r="H572">
            <v>21591174</v>
          </cell>
          <cell r="I572">
            <v>0</v>
          </cell>
          <cell r="J572">
            <v>0</v>
          </cell>
          <cell r="K572">
            <v>21591174</v>
          </cell>
          <cell r="L572">
            <v>0</v>
          </cell>
          <cell r="M572" t="str">
            <v>Other Charges</v>
          </cell>
        </row>
        <row r="573">
          <cell r="A573">
            <v>9990000003</v>
          </cell>
          <cell r="C573" t="str">
            <v>Deferred Tax Income (Expense)</v>
          </cell>
          <cell r="D573" t="str">
            <v>00 00 922-000-000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776779393</v>
          </cell>
          <cell r="K573">
            <v>-776779393</v>
          </cell>
          <cell r="L573">
            <v>0</v>
          </cell>
          <cell r="M573" t="str">
            <v>Deferred Income Tax</v>
          </cell>
        </row>
        <row r="574">
          <cell r="A574">
            <v>9990000009</v>
          </cell>
          <cell r="C574" t="str">
            <v>Provision for income tax</v>
          </cell>
          <cell r="D574" t="str">
            <v>00 00 920-000-000</v>
          </cell>
          <cell r="E574">
            <v>0</v>
          </cell>
          <cell r="F574">
            <v>0</v>
          </cell>
          <cell r="G574">
            <v>0</v>
          </cell>
          <cell r="H574">
            <v>-388474137879</v>
          </cell>
          <cell r="I574">
            <v>456597847243</v>
          </cell>
          <cell r="J574">
            <v>0</v>
          </cell>
          <cell r="K574">
            <v>68123709364</v>
          </cell>
          <cell r="L574">
            <v>0</v>
          </cell>
          <cell r="M574" t="str">
            <v>Current Income Tax</v>
          </cell>
        </row>
        <row r="575">
          <cell r="A575">
            <v>9990000099</v>
          </cell>
          <cell r="C575" t="str">
            <v>Penghasilan Lainnya:Lain-lain</v>
          </cell>
          <cell r="D575" t="str">
            <v>00 00 849-000-000</v>
          </cell>
          <cell r="E575">
            <v>0</v>
          </cell>
          <cell r="F575">
            <v>0</v>
          </cell>
          <cell r="G575">
            <v>0</v>
          </cell>
          <cell r="H575">
            <v>-51230553543</v>
          </cell>
          <cell r="I575">
            <v>245531903</v>
          </cell>
          <cell r="J575">
            <v>3043390645</v>
          </cell>
          <cell r="K575">
            <v>-54028412285</v>
          </cell>
          <cell r="L575">
            <v>0</v>
          </cell>
          <cell r="M575" t="str">
            <v>Other Income</v>
          </cell>
        </row>
        <row r="576">
          <cell r="A576">
            <v>9990000999</v>
          </cell>
          <cell r="C576" t="str">
            <v>UNREALIZED INCOME UNIT SALES</v>
          </cell>
          <cell r="D576" t="str">
            <v>00 00 899-000-000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38466051331</v>
          </cell>
          <cell r="J576">
            <v>9947410733</v>
          </cell>
          <cell r="K576">
            <v>28518640598</v>
          </cell>
          <cell r="L576">
            <v>0</v>
          </cell>
          <cell r="M576" t="str">
            <v>Other Charges</v>
          </cell>
        </row>
        <row r="577">
          <cell r="A577">
            <v>9999900034</v>
          </cell>
          <cell r="C577" t="str">
            <v>Cross:HO - Branch</v>
          </cell>
          <cell r="D577" t="str">
            <v>00 00 106-000-000</v>
          </cell>
          <cell r="E577">
            <v>0</v>
          </cell>
          <cell r="F577">
            <v>0</v>
          </cell>
          <cell r="G577">
            <v>0</v>
          </cell>
          <cell r="H577">
            <v>3681486185</v>
          </cell>
          <cell r="I577">
            <v>0</v>
          </cell>
          <cell r="J577">
            <v>3681486185</v>
          </cell>
          <cell r="K577">
            <v>0</v>
          </cell>
          <cell r="L577">
            <v>0</v>
          </cell>
          <cell r="M577" t="str">
            <v>A/R Trade - Regular - 3rd Parties</v>
          </cell>
        </row>
        <row r="578">
          <cell r="A578">
            <v>9999900037</v>
          </cell>
          <cell r="C578" t="str">
            <v>Cross account - advance</v>
          </cell>
          <cell r="D578" t="str">
            <v>00 00 148-200-600</v>
          </cell>
          <cell r="E578">
            <v>0</v>
          </cell>
          <cell r="F578">
            <v>0</v>
          </cell>
          <cell r="G578">
            <v>0</v>
          </cell>
          <cell r="H578">
            <v>79722607</v>
          </cell>
          <cell r="I578">
            <v>0</v>
          </cell>
          <cell r="J578">
            <v>79722607</v>
          </cell>
          <cell r="K578">
            <v>0</v>
          </cell>
          <cell r="L578">
            <v>0</v>
          </cell>
          <cell r="M578" t="str">
            <v>Adv.Pay.-3rd Part.-Travel</v>
          </cell>
        </row>
        <row r="579">
          <cell r="A579">
            <v>9999900039</v>
          </cell>
          <cell r="C579" t="str">
            <v>Cross:Loan</v>
          </cell>
          <cell r="D579" t="str">
            <v>00 00 193-000-000</v>
          </cell>
          <cell r="E579">
            <v>0</v>
          </cell>
          <cell r="F579">
            <v>0</v>
          </cell>
          <cell r="G579">
            <v>0</v>
          </cell>
          <cell r="H579">
            <v>65000</v>
          </cell>
          <cell r="I579">
            <v>0</v>
          </cell>
          <cell r="J579">
            <v>65000</v>
          </cell>
          <cell r="K579">
            <v>0</v>
          </cell>
          <cell r="L579">
            <v>0</v>
          </cell>
          <cell r="M579" t="str">
            <v>Loans to Officers and Employees</v>
          </cell>
        </row>
        <row r="580">
          <cell r="A580">
            <v>9999900043</v>
          </cell>
          <cell r="C580" t="str">
            <v>Cross:AR</v>
          </cell>
          <cell r="D580" t="str">
            <v>00 00 000-000-000</v>
          </cell>
          <cell r="E580">
            <v>0</v>
          </cell>
          <cell r="F580">
            <v>0</v>
          </cell>
          <cell r="G580">
            <v>0</v>
          </cell>
          <cell r="H580">
            <v>63134345978</v>
          </cell>
          <cell r="I580">
            <v>0</v>
          </cell>
          <cell r="J580">
            <v>63134345978</v>
          </cell>
          <cell r="K580">
            <v>0</v>
          </cell>
          <cell r="L580">
            <v>0</v>
          </cell>
          <cell r="M580" t="str">
            <v>Restricted Cash-LC-PT BPD Bengkulu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put09"/>
      <sheetName val="IM (in)"/>
      <sheetName val="IM (out)"/>
      <sheetName val="IM"/>
      <sheetName val="Input-BP"/>
      <sheetName val="Input-Data"/>
      <sheetName val="Asset"/>
      <sheetName val="Cont."/>
      <sheetName val="Current"/>
      <sheetName val="Input10_A"/>
      <sheetName val="Input10_B"/>
      <sheetName val="Input10_C"/>
      <sheetName val="Input10_D"/>
      <sheetName val="4"/>
      <sheetName val="AOP"/>
      <sheetName val="87B"/>
      <sheetName val="87-90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  <sheetName val="102"/>
      <sheetName val="103"/>
      <sheetName val="104"/>
      <sheetName val="108"/>
      <sheetName val="109"/>
      <sheetName val="110"/>
      <sheetName val="NOTE"/>
      <sheetName val="105"/>
      <sheetName val="106"/>
      <sheetName val="107"/>
      <sheetName val="SUD"/>
    </sheetNames>
    <sheetDataSet>
      <sheetData sheetId="0">
        <row r="6">
          <cell r="B6">
            <v>1</v>
          </cell>
          <cell r="C6" t="str">
            <v>S0363</v>
          </cell>
          <cell r="D6" t="str">
            <v>PT Astra International Tbk - AWSO</v>
          </cell>
        </row>
        <row r="7">
          <cell r="B7">
            <v>2</v>
          </cell>
          <cell r="C7" t="str">
            <v>S0173</v>
          </cell>
          <cell r="D7" t="str">
            <v>PT Astra International Tbk - BSO</v>
          </cell>
        </row>
        <row r="8">
          <cell r="B8">
            <v>3</v>
          </cell>
          <cell r="C8" t="str">
            <v>S0003</v>
          </cell>
          <cell r="D8" t="str">
            <v>PT Astra International Tbk - DSO</v>
          </cell>
        </row>
        <row r="9">
          <cell r="B9">
            <v>4</v>
          </cell>
          <cell r="C9" t="str">
            <v>S0001</v>
          </cell>
          <cell r="D9" t="str">
            <v>PT Astra International Tbk - HO</v>
          </cell>
        </row>
        <row r="10">
          <cell r="B10">
            <v>5</v>
          </cell>
          <cell r="C10" t="str">
            <v>S0005</v>
          </cell>
          <cell r="D10" t="str">
            <v>PT Astra International Tbk - HSO</v>
          </cell>
        </row>
        <row r="11">
          <cell r="B11">
            <v>6</v>
          </cell>
          <cell r="C11" t="str">
            <v>S0004</v>
          </cell>
          <cell r="D11" t="str">
            <v>PT Astra International Tbk - ISO</v>
          </cell>
        </row>
        <row r="12">
          <cell r="B12">
            <v>7</v>
          </cell>
          <cell r="C12" t="str">
            <v>S0172</v>
          </cell>
          <cell r="D12" t="str">
            <v>PT Astra International Tbk - NDSO</v>
          </cell>
        </row>
        <row r="13">
          <cell r="B13">
            <v>8</v>
          </cell>
          <cell r="C13" t="str">
            <v>S0174</v>
          </cell>
          <cell r="D13" t="str">
            <v>PT Astra International Tbk - PSO</v>
          </cell>
        </row>
        <row r="14">
          <cell r="B14">
            <v>9</v>
          </cell>
          <cell r="C14" t="str">
            <v>S0015</v>
          </cell>
          <cell r="D14" t="str">
            <v>PT Astra International Tbk - SSC</v>
          </cell>
        </row>
        <row r="15">
          <cell r="B15">
            <v>10</v>
          </cell>
          <cell r="C15" t="str">
            <v>S0002</v>
          </cell>
          <cell r="D15" t="str">
            <v>PT Astra International Tbk - TSO</v>
          </cell>
        </row>
        <row r="16">
          <cell r="B16">
            <v>11</v>
          </cell>
          <cell r="C16" t="str">
            <v>A0253</v>
          </cell>
          <cell r="D16" t="str">
            <v>PT Agro Menara Rahmat</v>
          </cell>
        </row>
        <row r="17">
          <cell r="B17">
            <v>12</v>
          </cell>
          <cell r="C17" t="str">
            <v>A0438</v>
          </cell>
          <cell r="D17" t="str">
            <v>PT Agro Nusa Abadi</v>
          </cell>
        </row>
        <row r="18">
          <cell r="B18">
            <v>13</v>
          </cell>
          <cell r="C18" t="str">
            <v>A0049</v>
          </cell>
          <cell r="D18" t="str">
            <v>PT Aisin Indonesia</v>
          </cell>
        </row>
        <row r="19">
          <cell r="B19">
            <v>14</v>
          </cell>
          <cell r="C19" t="str">
            <v>A0161</v>
          </cell>
          <cell r="D19" t="str">
            <v>PT Ardendi Jaya Sentosa</v>
          </cell>
        </row>
        <row r="20">
          <cell r="B20">
            <v>15</v>
          </cell>
          <cell r="C20" t="str">
            <v>A0011</v>
          </cell>
          <cell r="D20" t="str">
            <v>PT Astra Agro Lestari Tbk - Parent</v>
          </cell>
        </row>
        <row r="21">
          <cell r="B21">
            <v>16</v>
          </cell>
          <cell r="C21" t="str">
            <v>A0177</v>
          </cell>
          <cell r="D21" t="str">
            <v>PT Astra Auto Finance</v>
          </cell>
        </row>
        <row r="22">
          <cell r="B22">
            <v>17</v>
          </cell>
          <cell r="C22" t="str">
            <v>A0045</v>
          </cell>
          <cell r="D22" t="str">
            <v>PT Astra Daihatsu Motor</v>
          </cell>
        </row>
        <row r="23">
          <cell r="B23">
            <v>18</v>
          </cell>
          <cell r="C23" t="str">
            <v>A0371</v>
          </cell>
          <cell r="D23" t="str">
            <v>PT Astra Graphia Information Technology Tbk</v>
          </cell>
        </row>
        <row r="24">
          <cell r="B24">
            <v>19</v>
          </cell>
          <cell r="C24" t="str">
            <v>A0014</v>
          </cell>
          <cell r="D24" t="str">
            <v>PT Astra Graphia Tbk</v>
          </cell>
        </row>
        <row r="25">
          <cell r="B25">
            <v>20</v>
          </cell>
          <cell r="C25" t="str">
            <v>A0060</v>
          </cell>
          <cell r="D25" t="str">
            <v>PT Astra Honda Motor</v>
          </cell>
        </row>
        <row r="26">
          <cell r="B26">
            <v>21</v>
          </cell>
          <cell r="C26" t="str">
            <v>A0316</v>
          </cell>
          <cell r="D26" t="str">
            <v>PT Astra Komponen Indonesia</v>
          </cell>
        </row>
        <row r="27">
          <cell r="B27">
            <v>22</v>
          </cell>
          <cell r="C27" t="str">
            <v>A0178</v>
          </cell>
          <cell r="D27" t="str">
            <v>PT Astra Mitra Ventura</v>
          </cell>
        </row>
        <row r="28">
          <cell r="B28">
            <v>23</v>
          </cell>
          <cell r="C28" t="str">
            <v>A0020</v>
          </cell>
          <cell r="D28" t="str">
            <v>PT Astra Multi Finance</v>
          </cell>
        </row>
        <row r="29">
          <cell r="B29">
            <v>24</v>
          </cell>
          <cell r="C29" t="str">
            <v>A0306</v>
          </cell>
          <cell r="D29" t="str">
            <v>PT Astra Nippon Gasket Indonesia</v>
          </cell>
        </row>
        <row r="30">
          <cell r="B30">
            <v>25</v>
          </cell>
          <cell r="C30" t="str">
            <v>A0172</v>
          </cell>
          <cell r="D30" t="str">
            <v>PT Astra Nissan Diesel Indonesia</v>
          </cell>
        </row>
        <row r="31">
          <cell r="B31">
            <v>26</v>
          </cell>
          <cell r="C31" t="str">
            <v>A0317</v>
          </cell>
          <cell r="D31" t="str">
            <v>PT Astra Otoparts Tbk - HO</v>
          </cell>
        </row>
        <row r="32">
          <cell r="B32">
            <v>27</v>
          </cell>
          <cell r="C32" t="str">
            <v>Nm</v>
          </cell>
          <cell r="D32" t="str">
            <v>PT Astra Otoparts Tbk - Div. Nusametal</v>
          </cell>
        </row>
        <row r="33">
          <cell r="B33">
            <v>28</v>
          </cell>
          <cell r="C33" t="str">
            <v>Ap</v>
          </cell>
          <cell r="D33" t="str">
            <v>PT Astra Otoparts Tbk - Div. Adiwira</v>
          </cell>
        </row>
        <row r="34">
          <cell r="B34">
            <v>29</v>
          </cell>
          <cell r="C34" t="str">
            <v>We</v>
          </cell>
          <cell r="D34" t="str">
            <v>PT Astra Otoparts Tbk - Div. Winteq</v>
          </cell>
        </row>
        <row r="35">
          <cell r="B35">
            <v>30</v>
          </cell>
          <cell r="C35" t="str">
            <v>A0024</v>
          </cell>
          <cell r="D35" t="str">
            <v>PT Astra Sedaya Finance</v>
          </cell>
        </row>
        <row r="36">
          <cell r="B36">
            <v>31</v>
          </cell>
          <cell r="C36" t="str">
            <v>A0224</v>
          </cell>
          <cell r="D36" t="str">
            <v>PT Astratel Nusantara</v>
          </cell>
        </row>
        <row r="37">
          <cell r="B37">
            <v>32</v>
          </cell>
          <cell r="C37" t="str">
            <v>A0026</v>
          </cell>
          <cell r="D37" t="str">
            <v>PT Asuransi Astra Buana</v>
          </cell>
        </row>
        <row r="38">
          <cell r="B38">
            <v>33</v>
          </cell>
          <cell r="C38" t="str">
            <v>A0038</v>
          </cell>
          <cell r="D38" t="str">
            <v>PT AT Indonesia</v>
          </cell>
        </row>
        <row r="39">
          <cell r="B39">
            <v>34</v>
          </cell>
          <cell r="C39" t="str">
            <v>A0331</v>
          </cell>
          <cell r="D39" t="str">
            <v>PT Bhadra Cemerlang</v>
          </cell>
        </row>
        <row r="40">
          <cell r="B40">
            <v>35</v>
          </cell>
          <cell r="C40" t="str">
            <v>A0398</v>
          </cell>
          <cell r="D40" t="str">
            <v>PT Bhadra Sukses</v>
          </cell>
        </row>
        <row r="41">
          <cell r="B41">
            <v>36</v>
          </cell>
          <cell r="C41" t="str">
            <v>A0210</v>
          </cell>
          <cell r="D41" t="str">
            <v>PT Bina Pertiwi</v>
          </cell>
        </row>
        <row r="42">
          <cell r="B42">
            <v>37</v>
          </cell>
          <cell r="C42" t="str">
            <v>A0415</v>
          </cell>
          <cell r="D42" t="str">
            <v>PT Borneo Indah Marjaya</v>
          </cell>
        </row>
        <row r="43">
          <cell r="B43">
            <v>38</v>
          </cell>
          <cell r="C43" t="str">
            <v>A0232</v>
          </cell>
          <cell r="D43" t="str">
            <v>PT Brahmayasa Bahtera</v>
          </cell>
        </row>
        <row r="44">
          <cell r="B44">
            <v>39</v>
          </cell>
          <cell r="C44" t="str">
            <v>A0248</v>
          </cell>
          <cell r="D44" t="str">
            <v>PT Cakradenta Agung Pertiwi</v>
          </cell>
        </row>
        <row r="45">
          <cell r="B45">
            <v>40</v>
          </cell>
          <cell r="C45" t="str">
            <v>A0247</v>
          </cell>
          <cell r="D45" t="str">
            <v>PT Cakung Permata Nusa</v>
          </cell>
        </row>
        <row r="46">
          <cell r="B46">
            <v>41</v>
          </cell>
          <cell r="C46" t="str">
            <v>A0037</v>
          </cell>
          <cell r="D46" t="str">
            <v>PT Century Batteries Indonesia</v>
          </cell>
        </row>
        <row r="47">
          <cell r="B47">
            <v>42</v>
          </cell>
          <cell r="C47" t="str">
            <v>A0445</v>
          </cell>
          <cell r="D47" t="str">
            <v>PT Citra Agro Nusantara</v>
          </cell>
        </row>
        <row r="48">
          <cell r="B48">
            <v>43</v>
          </cell>
          <cell r="C48" t="str">
            <v>A0008</v>
          </cell>
          <cell r="D48" t="str">
            <v>PT Daya Mitra Serasi</v>
          </cell>
        </row>
        <row r="49">
          <cell r="B49">
            <v>44</v>
          </cell>
          <cell r="C49" t="str">
            <v>A0051</v>
          </cell>
          <cell r="D49" t="str">
            <v>PT DIC Astra Chemicals</v>
          </cell>
        </row>
        <row r="50">
          <cell r="B50">
            <v>45</v>
          </cell>
          <cell r="C50" t="str">
            <v>A0239</v>
          </cell>
          <cell r="D50" t="str">
            <v>PT Astra Daido Steel Indonesia (d/h PT Dirgamenara Nusadwipa)</v>
          </cell>
        </row>
        <row r="51">
          <cell r="B51">
            <v>46</v>
          </cell>
          <cell r="C51" t="str">
            <v xml:space="preserve">A0054 </v>
          </cell>
          <cell r="D51" t="str">
            <v>PT Ekadura Indonesia &amp; Ekadura Dumai</v>
          </cell>
        </row>
        <row r="52">
          <cell r="B52">
            <v>47</v>
          </cell>
          <cell r="C52" t="str">
            <v>A0266</v>
          </cell>
          <cell r="D52" t="str">
            <v>PT Ekadura Perdana</v>
          </cell>
        </row>
        <row r="53">
          <cell r="B53">
            <v>48</v>
          </cell>
          <cell r="C53" t="str">
            <v>A0062</v>
          </cell>
          <cell r="D53" t="str">
            <v>PT FSCM Manufacturing Indonesia</v>
          </cell>
        </row>
        <row r="54">
          <cell r="B54">
            <v>49</v>
          </cell>
          <cell r="C54" t="str">
            <v>A0098</v>
          </cell>
          <cell r="D54" t="str">
            <v>PT Federal International Finance</v>
          </cell>
        </row>
        <row r="55">
          <cell r="B55">
            <v>50</v>
          </cell>
          <cell r="C55" t="str">
            <v>A0059</v>
          </cell>
          <cell r="D55" t="str">
            <v>PT Federal Izumi Manufacturing</v>
          </cell>
        </row>
        <row r="56">
          <cell r="B56">
            <v>51</v>
          </cell>
          <cell r="C56" t="str">
            <v>A0274</v>
          </cell>
          <cell r="D56" t="str">
            <v>PT Federal Nittan Industries</v>
          </cell>
        </row>
        <row r="57">
          <cell r="B57">
            <v>52</v>
          </cell>
          <cell r="C57" t="str">
            <v>A0275</v>
          </cell>
          <cell r="D57" t="str">
            <v>PT Fuji Technica Indonesia</v>
          </cell>
        </row>
        <row r="58">
          <cell r="B58">
            <v>53</v>
          </cell>
          <cell r="C58" t="str">
            <v>A0065</v>
          </cell>
          <cell r="D58" t="str">
            <v>PT Gaya Motor</v>
          </cell>
        </row>
        <row r="59">
          <cell r="B59">
            <v>54</v>
          </cell>
          <cell r="C59" t="str">
            <v>A0070</v>
          </cell>
          <cell r="D59" t="str">
            <v>PT GS Battery</v>
          </cell>
        </row>
        <row r="60">
          <cell r="B60">
            <v>55</v>
          </cell>
          <cell r="C60" t="str">
            <v>A0254</v>
          </cell>
          <cell r="D60" t="str">
            <v>PT Gunung Sejahtera Dua Indah</v>
          </cell>
        </row>
        <row r="61">
          <cell r="B61">
            <v>56</v>
          </cell>
          <cell r="C61" t="str">
            <v>A0256</v>
          </cell>
          <cell r="D61" t="str">
            <v>PT Gunung Sejahtera Ibu Pertiwi</v>
          </cell>
        </row>
        <row r="62">
          <cell r="B62">
            <v>57</v>
          </cell>
          <cell r="C62" t="str">
            <v>A0250</v>
          </cell>
          <cell r="D62" t="str">
            <v>PT Gunung Sejahtera Puti Pesona</v>
          </cell>
        </row>
        <row r="63">
          <cell r="B63">
            <v>58</v>
          </cell>
          <cell r="C63" t="str">
            <v>A0252</v>
          </cell>
          <cell r="D63" t="str">
            <v>PT Gunung Sejahtera Yoli Makmur</v>
          </cell>
        </row>
        <row r="64">
          <cell r="B64">
            <v>59</v>
          </cell>
          <cell r="C64" t="str">
            <v>A0077</v>
          </cell>
          <cell r="D64" t="str">
            <v>PT Indokarlo Perkasa</v>
          </cell>
        </row>
        <row r="65">
          <cell r="B65">
            <v>60</v>
          </cell>
          <cell r="C65" t="str">
            <v>A0079</v>
          </cell>
          <cell r="D65" t="str">
            <v>PT Intertel Nusaperdana</v>
          </cell>
        </row>
        <row r="66">
          <cell r="B66">
            <v>61</v>
          </cell>
          <cell r="C66" t="str">
            <v>A0081</v>
          </cell>
          <cell r="D66" t="str">
            <v>PT Inti Pantja Press Industry</v>
          </cell>
        </row>
        <row r="67">
          <cell r="B67">
            <v>62</v>
          </cell>
          <cell r="C67" t="str">
            <v>A0115</v>
          </cell>
          <cell r="D67" t="str">
            <v>PT Isuzu Astra Motor Indonesia (d/h Pantja Motor)</v>
          </cell>
        </row>
        <row r="68">
          <cell r="B68">
            <v>63</v>
          </cell>
          <cell r="C68" t="str">
            <v>A0360</v>
          </cell>
          <cell r="D68" t="str">
            <v>PT Kalimantan Prima Persada</v>
          </cell>
        </row>
        <row r="69">
          <cell r="B69">
            <v>64</v>
          </cell>
          <cell r="C69" t="str">
            <v>A0350</v>
          </cell>
          <cell r="D69" t="str">
            <v>PT Karya Nusa Eka Daya</v>
          </cell>
        </row>
        <row r="70">
          <cell r="B70">
            <v>65</v>
          </cell>
          <cell r="C70" t="str">
            <v>A0083</v>
          </cell>
          <cell r="D70" t="str">
            <v>PT Karya Tanah Subur</v>
          </cell>
        </row>
        <row r="71">
          <cell r="B71">
            <v>66</v>
          </cell>
          <cell r="C71" t="str">
            <v>A0084</v>
          </cell>
          <cell r="D71" t="str">
            <v>PT Kayaba Indonesia</v>
          </cell>
        </row>
        <row r="72">
          <cell r="B72">
            <v>67</v>
          </cell>
          <cell r="C72" t="str">
            <v>A0086</v>
          </cell>
          <cell r="D72" t="str">
            <v>PT Kimia Tirta Utama</v>
          </cell>
        </row>
        <row r="73">
          <cell r="B73">
            <v>68</v>
          </cell>
          <cell r="C73" t="str">
            <v>A0378</v>
          </cell>
          <cell r="D73" t="str">
            <v>PT Komatsu Astra Finance</v>
          </cell>
        </row>
        <row r="74">
          <cell r="B74">
            <v>69</v>
          </cell>
          <cell r="C74" t="str">
            <v>A0328</v>
          </cell>
          <cell r="D74" t="str">
            <v>PT Komatsu Remanufacturing Asia</v>
          </cell>
        </row>
        <row r="75">
          <cell r="B75">
            <v>70</v>
          </cell>
          <cell r="C75" t="str">
            <v>A0262</v>
          </cell>
          <cell r="D75" t="str">
            <v>PT Lestari Tani Teladan</v>
          </cell>
        </row>
        <row r="76">
          <cell r="B76">
            <v>71</v>
          </cell>
          <cell r="C76" t="str">
            <v>A0261</v>
          </cell>
          <cell r="D76" t="str">
            <v>PT LETAWA</v>
          </cell>
        </row>
        <row r="77">
          <cell r="B77">
            <v>72</v>
          </cell>
          <cell r="C77" t="str">
            <v>A0263</v>
          </cell>
          <cell r="D77" t="str">
            <v>PT Mamuang</v>
          </cell>
        </row>
        <row r="78">
          <cell r="B78">
            <v>73</v>
          </cell>
          <cell r="C78" t="str">
            <v>A0096</v>
          </cell>
          <cell r="D78" t="str">
            <v>PT Menara Terus Makmur</v>
          </cell>
        </row>
        <row r="79">
          <cell r="B79">
            <v>74</v>
          </cell>
          <cell r="C79" t="str">
            <v>A0097</v>
          </cell>
          <cell r="D79" t="str">
            <v>PT Mesin Isuzu Indonesia</v>
          </cell>
        </row>
        <row r="80">
          <cell r="B80">
            <v>75</v>
          </cell>
          <cell r="C80" t="str">
            <v>A0451</v>
          </cell>
          <cell r="D80" t="str">
            <v>PT Multi Prima Universal</v>
          </cell>
        </row>
        <row r="81">
          <cell r="B81">
            <v>76</v>
          </cell>
          <cell r="C81" t="str">
            <v>A0329</v>
          </cell>
          <cell r="D81" t="str">
            <v>PT Nirmala Agro Lestari</v>
          </cell>
        </row>
        <row r="82">
          <cell r="B82">
            <v>77</v>
          </cell>
          <cell r="C82" t="str">
            <v>A0345</v>
          </cell>
          <cell r="D82" t="str">
            <v>PT Nusa Keihin Indonesia</v>
          </cell>
        </row>
        <row r="83">
          <cell r="B83">
            <v>78</v>
          </cell>
          <cell r="C83" t="str">
            <v>A0231</v>
          </cell>
          <cell r="D83" t="str">
            <v>PT Pama Indo Mining</v>
          </cell>
        </row>
        <row r="84">
          <cell r="B84">
            <v>79</v>
          </cell>
          <cell r="C84" t="str">
            <v>A0112</v>
          </cell>
          <cell r="D84" t="str">
            <v>PT Pama Persada Nusantara</v>
          </cell>
        </row>
        <row r="85">
          <cell r="B85">
            <v>80</v>
          </cell>
          <cell r="C85" t="str">
            <v>A0258</v>
          </cell>
          <cell r="D85" t="str">
            <v>PT Pandji Waringin</v>
          </cell>
        </row>
        <row r="86">
          <cell r="B86">
            <v>81</v>
          </cell>
          <cell r="C86" t="str">
            <v>A0267</v>
          </cell>
          <cell r="D86" t="str">
            <v>PT Pasang Kayu</v>
          </cell>
        </row>
        <row r="87">
          <cell r="B87">
            <v>82</v>
          </cell>
          <cell r="C87" t="str">
            <v>A0117</v>
          </cell>
          <cell r="D87" t="str">
            <v>PT Perkebunan Lembah Bhakti</v>
          </cell>
        </row>
        <row r="88">
          <cell r="B88">
            <v>83</v>
          </cell>
          <cell r="C88" t="str">
            <v>A0249</v>
          </cell>
          <cell r="D88" t="str">
            <v>PT Persada Bina Nusantara Abadi</v>
          </cell>
        </row>
        <row r="89">
          <cell r="B89">
            <v>84</v>
          </cell>
          <cell r="C89" t="str">
            <v>A0057</v>
          </cell>
          <cell r="D89" t="str">
            <v>PT Pratama Sedaya Finance</v>
          </cell>
        </row>
        <row r="90">
          <cell r="B90">
            <v>85</v>
          </cell>
          <cell r="C90" t="str">
            <v>A0424</v>
          </cell>
          <cell r="D90" t="str">
            <v>PT Prima Multi Mineral</v>
          </cell>
        </row>
        <row r="91">
          <cell r="B91">
            <v>86</v>
          </cell>
          <cell r="C91" t="str">
            <v>A0439</v>
          </cell>
          <cell r="D91" t="str">
            <v>PT Rimbunan Alam Sentosa</v>
          </cell>
        </row>
        <row r="92">
          <cell r="B92">
            <v>87</v>
          </cell>
          <cell r="C92" t="str">
            <v>A0126</v>
          </cell>
          <cell r="D92" t="str">
            <v>PT Sari Aditya Loka</v>
          </cell>
        </row>
        <row r="93">
          <cell r="B93">
            <v>88</v>
          </cell>
          <cell r="C93" t="str">
            <v>A0127</v>
          </cell>
          <cell r="D93" t="str">
            <v>PT Sari Lembah Subur</v>
          </cell>
        </row>
        <row r="94">
          <cell r="B94">
            <v>89</v>
          </cell>
          <cell r="C94" t="str">
            <v>A0278</v>
          </cell>
          <cell r="D94" t="str">
            <v>PT Sawit Asahan Indah</v>
          </cell>
        </row>
        <row r="95">
          <cell r="B95">
            <v>90</v>
          </cell>
          <cell r="C95" t="str">
            <v>A0436</v>
          </cell>
          <cell r="D95" t="str">
            <v>PT Sawit Jaya Abadi</v>
          </cell>
        </row>
        <row r="96">
          <cell r="B96">
            <v>91</v>
          </cell>
          <cell r="C96" t="str">
            <v>A0128</v>
          </cell>
          <cell r="D96" t="str">
            <v>PT Sedaya Multi Investama</v>
          </cell>
        </row>
        <row r="97">
          <cell r="B97">
            <v>92</v>
          </cell>
          <cell r="C97" t="str">
            <v>A0240</v>
          </cell>
          <cell r="D97" t="str">
            <v>PT Sedaya Pratama</v>
          </cell>
        </row>
        <row r="98">
          <cell r="B98">
            <v>93</v>
          </cell>
          <cell r="C98" t="str">
            <v>A0209</v>
          </cell>
          <cell r="D98" t="str">
            <v>PT Serasi Auto Raya</v>
          </cell>
        </row>
        <row r="99">
          <cell r="B99">
            <v>94</v>
          </cell>
          <cell r="C99" t="str">
            <v>A0373</v>
          </cell>
          <cell r="D99" t="str">
            <v>PT Serasi Transportasi Nusantara</v>
          </cell>
        </row>
        <row r="100">
          <cell r="B100">
            <v>95</v>
          </cell>
          <cell r="C100" t="str">
            <v>A0132</v>
          </cell>
          <cell r="D100" t="str">
            <v>PT Showa Indonesia</v>
          </cell>
        </row>
        <row r="101">
          <cell r="B101">
            <v>96</v>
          </cell>
          <cell r="C101" t="str">
            <v>A0135</v>
          </cell>
          <cell r="D101" t="str">
            <v>PT Staco Estika Sedaya Finance</v>
          </cell>
        </row>
        <row r="102">
          <cell r="B102">
            <v>97</v>
          </cell>
          <cell r="C102" t="str">
            <v>A0273</v>
          </cell>
          <cell r="D102" t="str">
            <v>PT Stacomitra Graha</v>
          </cell>
        </row>
        <row r="103">
          <cell r="B103">
            <v>98</v>
          </cell>
          <cell r="C103" t="str">
            <v>A0435</v>
          </cell>
          <cell r="D103" t="str">
            <v>PT Subur Abadi Plantation</v>
          </cell>
        </row>
        <row r="104">
          <cell r="B104">
            <v>99</v>
          </cell>
          <cell r="C104" t="str">
            <v>A0169</v>
          </cell>
          <cell r="D104" t="str">
            <v>PT Sukses Tani Nusa Subur</v>
          </cell>
        </row>
        <row r="105">
          <cell r="B105">
            <v>100</v>
          </cell>
          <cell r="C105" t="str">
            <v>A0377</v>
          </cell>
          <cell r="D105" t="str">
            <v>PT Sumber Kharisma Persada</v>
          </cell>
        </row>
        <row r="106">
          <cell r="B106">
            <v>101</v>
          </cell>
          <cell r="C106" t="str">
            <v>A0421</v>
          </cell>
          <cell r="D106" t="str">
            <v>PT Sumber Utama Makmur</v>
          </cell>
        </row>
        <row r="107">
          <cell r="B107">
            <v>102</v>
          </cell>
          <cell r="C107" t="str">
            <v>A0142</v>
          </cell>
          <cell r="D107" t="str">
            <v>PT Surya Artha Nusantara Finance</v>
          </cell>
        </row>
        <row r="108">
          <cell r="B108">
            <v>103</v>
          </cell>
          <cell r="C108" t="str">
            <v>A0251</v>
          </cell>
          <cell r="D108" t="str">
            <v>PT Surya Indah Nusantara Pagi</v>
          </cell>
        </row>
        <row r="109">
          <cell r="B109">
            <v>104</v>
          </cell>
          <cell r="C109" t="str">
            <v>A0259</v>
          </cell>
          <cell r="D109" t="str">
            <v>PT Surya Panen Subur</v>
          </cell>
        </row>
        <row r="110">
          <cell r="B110">
            <v>105</v>
          </cell>
          <cell r="C110" t="str">
            <v>A0170</v>
          </cell>
          <cell r="D110" t="str">
            <v>PT Suryaraya Lestari</v>
          </cell>
        </row>
        <row r="111">
          <cell r="B111">
            <v>106</v>
          </cell>
          <cell r="C111" t="str">
            <v>A0140</v>
          </cell>
          <cell r="D111" t="str">
            <v>PT Suryaraya Prawira</v>
          </cell>
        </row>
        <row r="112">
          <cell r="B112">
            <v>107</v>
          </cell>
          <cell r="C112" t="str">
            <v>A0199</v>
          </cell>
          <cell r="D112" t="str">
            <v>PT Suryaraya Rubberindo Industries</v>
          </cell>
        </row>
        <row r="113">
          <cell r="B113">
            <v>108</v>
          </cell>
          <cell r="C113" t="str">
            <v>A0221</v>
          </cell>
          <cell r="D113" t="str">
            <v>PT Swadaya Harapan Nusantara</v>
          </cell>
        </row>
        <row r="114">
          <cell r="B114">
            <v>109</v>
          </cell>
          <cell r="C114" t="str">
            <v>A0143</v>
          </cell>
          <cell r="D114" t="str">
            <v>PT Swadharma Bhakti Sedaya Finance</v>
          </cell>
        </row>
        <row r="115">
          <cell r="B115">
            <v>110</v>
          </cell>
          <cell r="C115" t="str">
            <v>A0452</v>
          </cell>
          <cell r="D115" t="str">
            <v>PT Telen Orbit Prima</v>
          </cell>
        </row>
        <row r="116">
          <cell r="B116">
            <v>111</v>
          </cell>
          <cell r="C116" t="str">
            <v>A0146</v>
          </cell>
          <cell r="D116" t="str">
            <v>PT Tjahja Sakti Motor</v>
          </cell>
        </row>
        <row r="117">
          <cell r="B117">
            <v>112</v>
          </cell>
          <cell r="C117" t="str">
            <v>A0364</v>
          </cell>
          <cell r="D117" t="str">
            <v>PT Toyoda Gosei Safety System Indonesia</v>
          </cell>
        </row>
        <row r="118">
          <cell r="B118">
            <v>113</v>
          </cell>
          <cell r="C118" t="str">
            <v>A0411</v>
          </cell>
          <cell r="D118" t="str">
            <v>PT Toyota Astra Financial Services</v>
          </cell>
        </row>
        <row r="119">
          <cell r="B119">
            <v>114</v>
          </cell>
          <cell r="C119" t="str">
            <v>A0150</v>
          </cell>
          <cell r="D119" t="str">
            <v>PT Traktor Nusantara</v>
          </cell>
        </row>
        <row r="120">
          <cell r="B120">
            <v>115</v>
          </cell>
          <cell r="C120" t="str">
            <v>A0151</v>
          </cell>
          <cell r="D120" t="str">
            <v>Dana Pensiun Astra</v>
          </cell>
        </row>
        <row r="121">
          <cell r="B121">
            <v>116</v>
          </cell>
          <cell r="C121" t="str">
            <v>A0153</v>
          </cell>
          <cell r="D121" t="str">
            <v>PT Tunggal Perkasa Plantation</v>
          </cell>
        </row>
        <row r="122">
          <cell r="B122">
            <v>117</v>
          </cell>
          <cell r="C122" t="str">
            <v>A0156</v>
          </cell>
          <cell r="D122" t="str">
            <v>PT United Tractors Pandu Eng.</v>
          </cell>
        </row>
        <row r="123">
          <cell r="B123">
            <v>118</v>
          </cell>
          <cell r="C123" t="str">
            <v>A0155</v>
          </cell>
          <cell r="D123" t="str">
            <v>PT United Tractors TBK (Parent)</v>
          </cell>
        </row>
        <row r="124">
          <cell r="B124">
            <v>119</v>
          </cell>
          <cell r="C124" t="str">
            <v>A0099</v>
          </cell>
          <cell r="D124" t="str">
            <v>PT Waru Kalimantan Plantation</v>
          </cell>
        </row>
        <row r="125">
          <cell r="B125">
            <v>120</v>
          </cell>
          <cell r="C125" t="str">
            <v>A0326</v>
          </cell>
          <cell r="D125" t="str">
            <v>PT Yutaka Manufacturing Indonesia</v>
          </cell>
        </row>
        <row r="126">
          <cell r="B126">
            <v>121</v>
          </cell>
          <cell r="C126" t="str">
            <v>R0406</v>
          </cell>
          <cell r="D126" t="str">
            <v>Yayasan Astra Bina Ilmu</v>
          </cell>
        </row>
        <row r="127">
          <cell r="B127">
            <v>122</v>
          </cell>
          <cell r="C127" t="str">
            <v>R0411</v>
          </cell>
          <cell r="D127" t="str">
            <v>Yayasan Astra Bina Pendidikan</v>
          </cell>
        </row>
        <row r="128">
          <cell r="B128">
            <v>123</v>
          </cell>
          <cell r="C128" t="str">
            <v>R0410</v>
          </cell>
          <cell r="D128" t="str">
            <v>Yayasan Dharma Bhakti Astra</v>
          </cell>
        </row>
      </sheetData>
      <sheetData sheetId="1">
        <row r="8">
          <cell r="C8" t="str">
            <v>S0363</v>
          </cell>
          <cell r="D8" t="str">
            <v>PT Astra International Tbk - AWSO</v>
          </cell>
          <cell r="E8" t="str">
            <v>PEB 1</v>
          </cell>
          <cell r="F8" t="str">
            <v>1PEB 1</v>
          </cell>
          <cell r="G8">
            <v>0.1</v>
          </cell>
          <cell r="H8">
            <v>0.1</v>
          </cell>
          <cell r="I8">
            <v>0.09</v>
          </cell>
          <cell r="J8">
            <v>7.7392611233560276</v>
          </cell>
          <cell r="K8">
            <v>8.1596002031682069</v>
          </cell>
          <cell r="L8">
            <v>0</v>
          </cell>
          <cell r="N8">
            <v>495568.636</v>
          </cell>
          <cell r="O8">
            <v>49633.512000000002</v>
          </cell>
          <cell r="P8">
            <v>3996304</v>
          </cell>
          <cell r="Q8">
            <v>5038620.2898727907</v>
          </cell>
          <cell r="R8">
            <v>199786.472851831</v>
          </cell>
          <cell r="S8">
            <v>47938.897483127337</v>
          </cell>
          <cell r="U8">
            <v>-1032068</v>
          </cell>
          <cell r="V8">
            <v>4318721.2493333332</v>
          </cell>
          <cell r="W8">
            <v>-663532</v>
          </cell>
          <cell r="X8">
            <v>0</v>
          </cell>
          <cell r="Y8">
            <v>0</v>
          </cell>
          <cell r="Z8">
            <v>2300704</v>
          </cell>
          <cell r="AB8">
            <v>0.1</v>
          </cell>
          <cell r="AC8" t="str">
            <v>N/A</v>
          </cell>
          <cell r="AD8">
            <v>0.09</v>
          </cell>
          <cell r="AE8">
            <v>10.134231038319848</v>
          </cell>
          <cell r="AF8">
            <v>19.023140609906736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1549857</v>
          </cell>
          <cell r="AL8">
            <v>2182035.4726704801</v>
          </cell>
          <cell r="AM8">
            <v>181900.20372974488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-234560</v>
          </cell>
          <cell r="AS8">
            <v>-672672</v>
          </cell>
          <cell r="AT8">
            <v>36694</v>
          </cell>
          <cell r="AU8">
            <v>642625</v>
          </cell>
          <cell r="AW8">
            <v>0.1</v>
          </cell>
          <cell r="AX8" t="str">
            <v>N/A</v>
          </cell>
          <cell r="AY8">
            <v>0.09</v>
          </cell>
          <cell r="AZ8">
            <v>7.7392611233560276</v>
          </cell>
          <cell r="BA8">
            <v>8.1596002031682069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R8">
            <v>0.1</v>
          </cell>
          <cell r="BS8" t="str">
            <v>N/A</v>
          </cell>
          <cell r="BT8">
            <v>0.09</v>
          </cell>
          <cell r="BU8">
            <v>9.8382770728856688</v>
          </cell>
          <cell r="BV8">
            <v>19.718835315756991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935885</v>
          </cell>
          <cell r="CB8">
            <v>450772.0367011549</v>
          </cell>
          <cell r="CC8">
            <v>80248.427776974422</v>
          </cell>
          <cell r="CD8">
            <v>55386.834883620359</v>
          </cell>
          <cell r="CE8">
            <v>0</v>
          </cell>
          <cell r="CF8">
            <v>0</v>
          </cell>
          <cell r="CG8">
            <v>0</v>
          </cell>
          <cell r="CH8">
            <v>62218</v>
          </cell>
          <cell r="CI8">
            <v>-495059</v>
          </cell>
          <cell r="CJ8">
            <v>21828</v>
          </cell>
          <cell r="CK8">
            <v>503044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C8">
            <v>0.1</v>
          </cell>
          <cell r="ED8" t="str">
            <v>N/A</v>
          </cell>
          <cell r="EE8">
            <v>0.09</v>
          </cell>
          <cell r="EF8">
            <v>10.134231038319848</v>
          </cell>
          <cell r="EG8">
            <v>19.023140609906736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141483</v>
          </cell>
          <cell r="EM8">
            <v>287680.08813340502</v>
          </cell>
          <cell r="EN8">
            <v>35973.016535341572</v>
          </cell>
          <cell r="EO8">
            <v>31090.026366079219</v>
          </cell>
          <cell r="EP8">
            <v>0</v>
          </cell>
          <cell r="EQ8">
            <v>0</v>
          </cell>
          <cell r="ER8">
            <v>0</v>
          </cell>
          <cell r="ES8">
            <v>-182911</v>
          </cell>
          <cell r="ET8">
            <v>0</v>
          </cell>
          <cell r="EU8">
            <v>0</v>
          </cell>
          <cell r="EV8">
            <v>-41428</v>
          </cell>
          <cell r="EX8">
            <v>0.1</v>
          </cell>
          <cell r="EY8" t="str">
            <v>N/A</v>
          </cell>
          <cell r="EZ8">
            <v>0.09</v>
          </cell>
          <cell r="FA8">
            <v>10.134231038319848</v>
          </cell>
          <cell r="FB8">
            <v>19.023140609906736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423</v>
          </cell>
          <cell r="FH8">
            <v>340242.78657225129</v>
          </cell>
          <cell r="FI8">
            <v>29505.526824349152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-377</v>
          </cell>
          <cell r="FP8">
            <v>17</v>
          </cell>
          <cell r="FQ8">
            <v>46</v>
          </cell>
          <cell r="FS8">
            <v>0.1</v>
          </cell>
          <cell r="FT8" t="str">
            <v>N/A</v>
          </cell>
          <cell r="FU8">
            <v>0.09</v>
          </cell>
          <cell r="FV8">
            <v>10.134231038319848</v>
          </cell>
          <cell r="FW8">
            <v>19.023140609906736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35261</v>
          </cell>
          <cell r="GC8">
            <v>655909.43497093918</v>
          </cell>
          <cell r="GD8">
            <v>73670.092533013623</v>
          </cell>
          <cell r="GE8">
            <v>51546.574845179188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35261</v>
          </cell>
          <cell r="GN8">
            <v>0.1</v>
          </cell>
          <cell r="GO8" t="str">
            <v>N/A</v>
          </cell>
          <cell r="GP8">
            <v>0.09</v>
          </cell>
          <cell r="GQ8">
            <v>10.134231038319848</v>
          </cell>
          <cell r="GR8">
            <v>19.023140609906736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398651</v>
          </cell>
          <cell r="GX8">
            <v>1413124.8925206922</v>
          </cell>
          <cell r="GY8">
            <v>310464.58525675896</v>
          </cell>
          <cell r="GZ8">
            <v>236743.58416848915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398651</v>
          </cell>
          <cell r="HI8">
            <v>0.1</v>
          </cell>
          <cell r="HJ8" t="str">
            <v>N/A</v>
          </cell>
          <cell r="HK8">
            <v>0.09</v>
          </cell>
          <cell r="HL8">
            <v>10.134231038319848</v>
          </cell>
          <cell r="HM8">
            <v>19.023140609906736</v>
          </cell>
          <cell r="HN8">
            <v>0</v>
          </cell>
          <cell r="HO8">
            <v>0</v>
          </cell>
          <cell r="HP8">
            <v>0</v>
          </cell>
          <cell r="HQ8">
            <v>0</v>
          </cell>
          <cell r="HR8">
            <v>875859</v>
          </cell>
          <cell r="HS8">
            <v>1278626.3054208502</v>
          </cell>
          <cell r="HT8">
            <v>162307.8522107653</v>
          </cell>
          <cell r="HU8">
            <v>79642.674999999988</v>
          </cell>
          <cell r="HV8">
            <v>0</v>
          </cell>
          <cell r="HW8">
            <v>0</v>
          </cell>
          <cell r="HX8">
            <v>0</v>
          </cell>
          <cell r="HY8">
            <v>0</v>
          </cell>
          <cell r="HZ8">
            <v>0</v>
          </cell>
          <cell r="IA8">
            <v>0</v>
          </cell>
          <cell r="IB8">
            <v>875859</v>
          </cell>
        </row>
        <row r="9">
          <cell r="C9" t="str">
            <v>S0363</v>
          </cell>
          <cell r="D9" t="str">
            <v>PT Astra International Tbk - AWSO</v>
          </cell>
          <cell r="E9" t="str">
            <v>PEB 2</v>
          </cell>
          <cell r="F9" t="str">
            <v>1PEB 2</v>
          </cell>
          <cell r="G9">
            <v>0.1</v>
          </cell>
          <cell r="H9" t="str">
            <v>N/A</v>
          </cell>
          <cell r="I9">
            <v>0.09</v>
          </cell>
          <cell r="J9">
            <v>10.134231038319848</v>
          </cell>
          <cell r="K9">
            <v>19.023140609906736</v>
          </cell>
          <cell r="P9">
            <v>1549857</v>
          </cell>
          <cell r="Q9">
            <v>2182035.4726704801</v>
          </cell>
          <cell r="R9">
            <v>181900.20372974488</v>
          </cell>
          <cell r="S9">
            <v>0</v>
          </cell>
          <cell r="U9">
            <v>0</v>
          </cell>
          <cell r="W9">
            <v>-234560</v>
          </cell>
          <cell r="X9">
            <v>-672672</v>
          </cell>
          <cell r="Y9">
            <v>36694</v>
          </cell>
          <cell r="Z9">
            <v>642625</v>
          </cell>
        </row>
        <row r="10">
          <cell r="C10" t="str">
            <v>S0363</v>
          </cell>
          <cell r="D10" t="str">
            <v>PT Astra International Tbk - AWSO</v>
          </cell>
          <cell r="E10" t="str">
            <v>PEB 3</v>
          </cell>
          <cell r="F10" t="str">
            <v>1PEB 3</v>
          </cell>
          <cell r="G10">
            <v>0.1</v>
          </cell>
          <cell r="H10" t="str">
            <v>N/A</v>
          </cell>
          <cell r="I10">
            <v>0.09</v>
          </cell>
          <cell r="J10">
            <v>7.7392611233560276</v>
          </cell>
          <cell r="K10">
            <v>8.1596002031682069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</row>
        <row r="11">
          <cell r="C11" t="str">
            <v>S0363</v>
          </cell>
          <cell r="D11" t="str">
            <v>PT Astra International Tbk - AWSO</v>
          </cell>
          <cell r="E11" t="str">
            <v>PEB 4</v>
          </cell>
          <cell r="F11" t="str">
            <v>1PEB 4</v>
          </cell>
          <cell r="G11">
            <v>0.1</v>
          </cell>
          <cell r="H11" t="str">
            <v>N/A</v>
          </cell>
          <cell r="I11">
            <v>0.09</v>
          </cell>
          <cell r="J11">
            <v>9.8382770728856688</v>
          </cell>
          <cell r="K11">
            <v>19.718835315756991</v>
          </cell>
          <cell r="P11">
            <v>935885</v>
          </cell>
          <cell r="Q11">
            <v>450772.0367011549</v>
          </cell>
          <cell r="R11">
            <v>80248.427776974422</v>
          </cell>
          <cell r="S11">
            <v>55386.834883620359</v>
          </cell>
          <cell r="U11">
            <v>0</v>
          </cell>
          <cell r="W11">
            <v>62218</v>
          </cell>
          <cell r="X11">
            <v>-495059</v>
          </cell>
          <cell r="Y11">
            <v>21828</v>
          </cell>
          <cell r="Z11">
            <v>503044</v>
          </cell>
        </row>
        <row r="12">
          <cell r="C12" t="str">
            <v>S0363</v>
          </cell>
          <cell r="D12" t="str">
            <v>PT Astra International Tbk - AWSO</v>
          </cell>
          <cell r="E12" t="str">
            <v>PEB 5</v>
          </cell>
          <cell r="F12" t="str">
            <v>1PEB 5</v>
          </cell>
          <cell r="J12">
            <v>0</v>
          </cell>
          <cell r="P12">
            <v>0</v>
          </cell>
          <cell r="U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</row>
        <row r="13">
          <cell r="C13" t="str">
            <v>S0363</v>
          </cell>
          <cell r="D13" t="str">
            <v>PT Astra International Tbk - AWSO</v>
          </cell>
          <cell r="E13" t="str">
            <v>PEB 6</v>
          </cell>
          <cell r="F13" t="str">
            <v>1PEB 6</v>
          </cell>
          <cell r="J13">
            <v>0</v>
          </cell>
          <cell r="P13">
            <v>0</v>
          </cell>
          <cell r="U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</row>
        <row r="14">
          <cell r="C14" t="str">
            <v>S0363</v>
          </cell>
          <cell r="D14" t="str">
            <v>PT Astra International Tbk - AWSO</v>
          </cell>
          <cell r="E14" t="str">
            <v>PEB 7</v>
          </cell>
          <cell r="F14" t="str">
            <v>1PEB 7</v>
          </cell>
          <cell r="G14">
            <v>0.1</v>
          </cell>
          <cell r="H14" t="str">
            <v>N/A</v>
          </cell>
          <cell r="I14">
            <v>0.09</v>
          </cell>
          <cell r="J14">
            <v>10.134231038319848</v>
          </cell>
          <cell r="K14">
            <v>19.023140609906736</v>
          </cell>
          <cell r="P14">
            <v>141483</v>
          </cell>
          <cell r="Q14">
            <v>287680.08813340502</v>
          </cell>
          <cell r="R14">
            <v>35973.016535341572</v>
          </cell>
          <cell r="S14">
            <v>31090.026366079219</v>
          </cell>
          <cell r="U14">
            <v>0</v>
          </cell>
          <cell r="W14">
            <v>-182911</v>
          </cell>
          <cell r="X14">
            <v>0</v>
          </cell>
          <cell r="Y14">
            <v>0</v>
          </cell>
          <cell r="Z14">
            <v>-41428</v>
          </cell>
        </row>
        <row r="15">
          <cell r="C15" t="str">
            <v>S0363</v>
          </cell>
          <cell r="D15" t="str">
            <v>PT Astra International Tbk - AWSO</v>
          </cell>
          <cell r="E15" t="str">
            <v>MPP</v>
          </cell>
          <cell r="F15" t="str">
            <v>1MPP</v>
          </cell>
          <cell r="G15">
            <v>0.1</v>
          </cell>
          <cell r="H15" t="str">
            <v>N/A</v>
          </cell>
          <cell r="I15">
            <v>0.09</v>
          </cell>
          <cell r="J15">
            <v>10.134231038319848</v>
          </cell>
          <cell r="K15">
            <v>19.023140609906736</v>
          </cell>
          <cell r="P15">
            <v>423</v>
          </cell>
          <cell r="Q15">
            <v>340242.78657225129</v>
          </cell>
          <cell r="R15">
            <v>29505.526824349152</v>
          </cell>
          <cell r="S15">
            <v>0</v>
          </cell>
          <cell r="U15">
            <v>0</v>
          </cell>
          <cell r="W15">
            <v>0</v>
          </cell>
          <cell r="X15">
            <v>-377</v>
          </cell>
          <cell r="Y15">
            <v>17</v>
          </cell>
          <cell r="Z15">
            <v>46</v>
          </cell>
        </row>
        <row r="16">
          <cell r="C16" t="str">
            <v>S0363</v>
          </cell>
          <cell r="D16" t="str">
            <v>PT Astra International Tbk - AWSO</v>
          </cell>
          <cell r="E16" t="str">
            <v>ID</v>
          </cell>
          <cell r="F16" t="str">
            <v>1ID</v>
          </cell>
          <cell r="G16">
            <v>0.1</v>
          </cell>
          <cell r="H16" t="str">
            <v>N/A</v>
          </cell>
          <cell r="I16">
            <v>0.09</v>
          </cell>
          <cell r="J16">
            <v>10.134231038319848</v>
          </cell>
          <cell r="K16">
            <v>19.023140609906736</v>
          </cell>
          <cell r="P16">
            <v>35261</v>
          </cell>
          <cell r="Q16">
            <v>655909.43497093918</v>
          </cell>
          <cell r="R16">
            <v>73670.092533013623</v>
          </cell>
          <cell r="S16">
            <v>51546.574845179188</v>
          </cell>
          <cell r="U16">
            <v>0</v>
          </cell>
          <cell r="W16">
            <v>0</v>
          </cell>
          <cell r="X16">
            <v>0</v>
          </cell>
          <cell r="Y16">
            <v>0</v>
          </cell>
          <cell r="Z16">
            <v>35261</v>
          </cell>
        </row>
        <row r="17">
          <cell r="C17" t="str">
            <v>S0363</v>
          </cell>
          <cell r="D17" t="str">
            <v>PT Astra International Tbk - AWSO</v>
          </cell>
          <cell r="E17" t="str">
            <v>LL</v>
          </cell>
          <cell r="F17" t="str">
            <v>1LL</v>
          </cell>
          <cell r="G17">
            <v>0.1</v>
          </cell>
          <cell r="H17" t="str">
            <v>N/A</v>
          </cell>
          <cell r="I17">
            <v>0.09</v>
          </cell>
          <cell r="J17">
            <v>10.134231038319848</v>
          </cell>
          <cell r="K17">
            <v>19.023140609906736</v>
          </cell>
          <cell r="P17">
            <v>398651</v>
          </cell>
          <cell r="Q17">
            <v>1413124.8925206922</v>
          </cell>
          <cell r="R17">
            <v>310464.58525675896</v>
          </cell>
          <cell r="S17">
            <v>236743.58416848915</v>
          </cell>
          <cell r="U17">
            <v>0</v>
          </cell>
          <cell r="W17">
            <v>0</v>
          </cell>
          <cell r="X17">
            <v>0</v>
          </cell>
          <cell r="Y17">
            <v>0</v>
          </cell>
          <cell r="Z17">
            <v>398651</v>
          </cell>
        </row>
        <row r="18">
          <cell r="C18" t="str">
            <v>S0363</v>
          </cell>
          <cell r="D18" t="str">
            <v>PT Astra International Tbk - AWSO</v>
          </cell>
          <cell r="E18" t="str">
            <v>PMK</v>
          </cell>
          <cell r="F18" t="str">
            <v>1PMK</v>
          </cell>
          <cell r="G18">
            <v>0.1</v>
          </cell>
          <cell r="H18" t="str">
            <v>N/A</v>
          </cell>
          <cell r="I18">
            <v>0.09</v>
          </cell>
          <cell r="J18">
            <v>10.134231038319848</v>
          </cell>
          <cell r="K18">
            <v>19.023140609906736</v>
          </cell>
          <cell r="P18">
            <v>875859</v>
          </cell>
          <cell r="Q18">
            <v>1278626.3054208502</v>
          </cell>
          <cell r="R18">
            <v>162307.8522107653</v>
          </cell>
          <cell r="S18">
            <v>79642.674999999988</v>
          </cell>
          <cell r="U18">
            <v>0</v>
          </cell>
          <cell r="W18">
            <v>0</v>
          </cell>
          <cell r="X18">
            <v>0</v>
          </cell>
          <cell r="Y18">
            <v>0</v>
          </cell>
          <cell r="Z18">
            <v>875859</v>
          </cell>
        </row>
        <row r="20">
          <cell r="C20" t="str">
            <v>S0173</v>
          </cell>
          <cell r="D20" t="str">
            <v>PT Astra International Tbk - BSO</v>
          </cell>
          <cell r="E20" t="str">
            <v>PEB 1</v>
          </cell>
          <cell r="F20" t="str">
            <v>2PEB 1</v>
          </cell>
          <cell r="G20">
            <v>0.1</v>
          </cell>
          <cell r="H20">
            <v>0.1</v>
          </cell>
          <cell r="I20">
            <v>0.09</v>
          </cell>
          <cell r="J20">
            <v>7.2173331603080113</v>
          </cell>
          <cell r="K20">
            <v>8.0279800997614874</v>
          </cell>
          <cell r="L20">
            <v>0</v>
          </cell>
          <cell r="N20">
            <v>485388.05200000003</v>
          </cell>
          <cell r="O20">
            <v>66116.784</v>
          </cell>
          <cell r="P20">
            <v>4559851</v>
          </cell>
          <cell r="Q20">
            <v>6274158.6516016424</v>
          </cell>
          <cell r="R20">
            <v>258919.11496049477</v>
          </cell>
          <cell r="S20">
            <v>51715.199751575776</v>
          </cell>
          <cell r="U20">
            <v>-2984082</v>
          </cell>
          <cell r="V20">
            <v>5517112.1453333339</v>
          </cell>
          <cell r="W20">
            <v>-997085</v>
          </cell>
          <cell r="X20">
            <v>0</v>
          </cell>
          <cell r="Y20">
            <v>0</v>
          </cell>
          <cell r="Z20">
            <v>578684</v>
          </cell>
          <cell r="AB20">
            <v>0.1</v>
          </cell>
          <cell r="AC20" t="str">
            <v>N/A</v>
          </cell>
          <cell r="AD20">
            <v>0.09</v>
          </cell>
          <cell r="AE20">
            <v>10.565143523373576</v>
          </cell>
          <cell r="AF20">
            <v>15.65560242066659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1760292</v>
          </cell>
          <cell r="AL20">
            <v>2394197.8446604493</v>
          </cell>
          <cell r="AM20">
            <v>154482.508129369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19051</v>
          </cell>
          <cell r="AS20">
            <v>-727131</v>
          </cell>
          <cell r="AT20">
            <v>64906</v>
          </cell>
          <cell r="AU20">
            <v>1052212</v>
          </cell>
          <cell r="AW20">
            <v>0.1</v>
          </cell>
          <cell r="AX20" t="str">
            <v>N/A</v>
          </cell>
          <cell r="AY20">
            <v>0.09</v>
          </cell>
          <cell r="AZ20">
            <v>7.2173331603080113</v>
          </cell>
          <cell r="BA20">
            <v>8.0279800997614874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14752.689597786106</v>
          </cell>
          <cell r="BH20">
            <v>776.87714469310492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R20">
            <v>0.1</v>
          </cell>
          <cell r="BS20" t="str">
            <v>N/A</v>
          </cell>
          <cell r="BT20">
            <v>0.09</v>
          </cell>
          <cell r="BU20">
            <v>10.418505870103125</v>
          </cell>
          <cell r="BV20">
            <v>16.973956895884761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844127</v>
          </cell>
          <cell r="CB20">
            <v>339503.36297048244</v>
          </cell>
          <cell r="CC20">
            <v>48059.212488364326</v>
          </cell>
          <cell r="CD20">
            <v>42999.009515917518</v>
          </cell>
          <cell r="CE20">
            <v>0</v>
          </cell>
          <cell r="CF20">
            <v>0</v>
          </cell>
          <cell r="CG20">
            <v>0</v>
          </cell>
          <cell r="CH20">
            <v>-218851</v>
          </cell>
          <cell r="CI20">
            <v>-176414</v>
          </cell>
          <cell r="CJ20">
            <v>12678</v>
          </cell>
          <cell r="CK20">
            <v>448862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C20">
            <v>0.1</v>
          </cell>
          <cell r="ED20" t="str">
            <v>N/A</v>
          </cell>
          <cell r="EE20">
            <v>0.09</v>
          </cell>
          <cell r="EF20">
            <v>10.565143523373576</v>
          </cell>
          <cell r="EG20">
            <v>15.65560242066659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163663</v>
          </cell>
          <cell r="EM20">
            <v>220424.62328187257</v>
          </cell>
          <cell r="EN20">
            <v>18573.748937481341</v>
          </cell>
          <cell r="EO20">
            <v>27029.464836701994</v>
          </cell>
          <cell r="EP20">
            <v>0</v>
          </cell>
          <cell r="EQ20">
            <v>0</v>
          </cell>
          <cell r="ER20">
            <v>0</v>
          </cell>
          <cell r="ES20">
            <v>-159840</v>
          </cell>
          <cell r="ET20">
            <v>0</v>
          </cell>
          <cell r="EU20">
            <v>0</v>
          </cell>
          <cell r="EV20">
            <v>3823</v>
          </cell>
          <cell r="EX20">
            <v>0.1</v>
          </cell>
          <cell r="EY20" t="str">
            <v>N/A</v>
          </cell>
          <cell r="EZ20">
            <v>0.09</v>
          </cell>
          <cell r="FA20">
            <v>10.565143523373576</v>
          </cell>
          <cell r="FB20">
            <v>15.65560242066659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1095</v>
          </cell>
          <cell r="FH20">
            <v>373160.88357974502</v>
          </cell>
          <cell r="FI20">
            <v>24645.747535030605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-980</v>
          </cell>
          <cell r="FP20">
            <v>55</v>
          </cell>
          <cell r="FQ20">
            <v>115</v>
          </cell>
          <cell r="FS20">
            <v>0.1</v>
          </cell>
          <cell r="FT20" t="str">
            <v>N/A</v>
          </cell>
          <cell r="FU20">
            <v>0.09</v>
          </cell>
          <cell r="FV20">
            <v>10.565143523373576</v>
          </cell>
          <cell r="FW20">
            <v>15.65560242066659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37155</v>
          </cell>
          <cell r="GC20">
            <v>644038.56840414891</v>
          </cell>
          <cell r="GD20">
            <v>50666.603800175108</v>
          </cell>
          <cell r="GE20">
            <v>55138.352378726289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L20">
            <v>37155</v>
          </cell>
          <cell r="GN20">
            <v>0.1</v>
          </cell>
          <cell r="GO20" t="str">
            <v>N/A</v>
          </cell>
          <cell r="GP20">
            <v>0.09</v>
          </cell>
          <cell r="GQ20">
            <v>10.565143523373576</v>
          </cell>
          <cell r="GR20">
            <v>15.65560242066659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GW20">
            <v>639930</v>
          </cell>
          <cell r="GX20">
            <v>887480.89040682768</v>
          </cell>
          <cell r="GY20">
            <v>233821.01715456625</v>
          </cell>
          <cell r="GZ20">
            <v>405414.62129999837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639930</v>
          </cell>
          <cell r="HI20">
            <v>0.1</v>
          </cell>
          <cell r="HJ20" t="str">
            <v>N/A</v>
          </cell>
          <cell r="HK20">
            <v>0.09</v>
          </cell>
          <cell r="HL20">
            <v>10.565143523373576</v>
          </cell>
          <cell r="HM20">
            <v>15.65560242066659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1123058</v>
          </cell>
          <cell r="HS20">
            <v>1329238.7993541928</v>
          </cell>
          <cell r="HT20">
            <v>143681.96461971561</v>
          </cell>
          <cell r="HU20">
            <v>268028.69500000001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  <cell r="IA20">
            <v>0</v>
          </cell>
          <cell r="IB20">
            <v>1123058</v>
          </cell>
        </row>
        <row r="21">
          <cell r="C21" t="str">
            <v>S0173</v>
          </cell>
          <cell r="D21" t="str">
            <v>PT Astra International Tbk - BSO</v>
          </cell>
          <cell r="E21" t="str">
            <v>PEB 2</v>
          </cell>
          <cell r="F21" t="str">
            <v>2PEB 2</v>
          </cell>
          <cell r="G21">
            <v>0.1</v>
          </cell>
          <cell r="H21" t="str">
            <v>N/A</v>
          </cell>
          <cell r="I21">
            <v>0.09</v>
          </cell>
          <cell r="J21">
            <v>10.565143523373576</v>
          </cell>
          <cell r="K21">
            <v>15.65560242066659</v>
          </cell>
          <cell r="P21">
            <v>1760292</v>
          </cell>
          <cell r="Q21">
            <v>2394197.8446604493</v>
          </cell>
          <cell r="R21">
            <v>154482.508129369</v>
          </cell>
          <cell r="S21">
            <v>0</v>
          </cell>
          <cell r="U21">
            <v>0</v>
          </cell>
          <cell r="W21">
            <v>19051</v>
          </cell>
          <cell r="X21">
            <v>-727131</v>
          </cell>
          <cell r="Y21">
            <v>64906</v>
          </cell>
          <cell r="Z21">
            <v>1052212</v>
          </cell>
        </row>
        <row r="22">
          <cell r="C22" t="str">
            <v>S0173</v>
          </cell>
          <cell r="D22" t="str">
            <v>PT Astra International Tbk - BSO</v>
          </cell>
          <cell r="E22" t="str">
            <v>PEB 3</v>
          </cell>
          <cell r="F22" t="str">
            <v>2PEB 3</v>
          </cell>
          <cell r="G22">
            <v>0.1</v>
          </cell>
          <cell r="H22" t="str">
            <v>N/A</v>
          </cell>
          <cell r="I22">
            <v>0.09</v>
          </cell>
          <cell r="J22">
            <v>7.2173331603080113</v>
          </cell>
          <cell r="K22">
            <v>8.0279800997614874</v>
          </cell>
          <cell r="P22">
            <v>0</v>
          </cell>
          <cell r="Q22">
            <v>14752.689597786106</v>
          </cell>
          <cell r="R22">
            <v>776.87714469310492</v>
          </cell>
          <cell r="S22">
            <v>0</v>
          </cell>
          <cell r="U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C23" t="str">
            <v>S0173</v>
          </cell>
          <cell r="D23" t="str">
            <v>PT Astra International Tbk - BSO</v>
          </cell>
          <cell r="E23" t="str">
            <v>PEB 4</v>
          </cell>
          <cell r="F23" t="str">
            <v>2PEB 4</v>
          </cell>
          <cell r="G23">
            <v>0.1</v>
          </cell>
          <cell r="H23" t="str">
            <v>N/A</v>
          </cell>
          <cell r="I23">
            <v>0.09</v>
          </cell>
          <cell r="J23">
            <v>10.418505870103125</v>
          </cell>
          <cell r="K23">
            <v>16.973956895884761</v>
          </cell>
          <cell r="P23">
            <v>844127</v>
          </cell>
          <cell r="Q23">
            <v>339503.36297048244</v>
          </cell>
          <cell r="R23">
            <v>48059.212488364326</v>
          </cell>
          <cell r="S23">
            <v>42999.009515917518</v>
          </cell>
          <cell r="U23">
            <v>0</v>
          </cell>
          <cell r="W23">
            <v>-218851</v>
          </cell>
          <cell r="X23">
            <v>-176414</v>
          </cell>
          <cell r="Y23">
            <v>12678</v>
          </cell>
          <cell r="Z23">
            <v>448862</v>
          </cell>
        </row>
        <row r="24">
          <cell r="C24" t="str">
            <v>S0173</v>
          </cell>
          <cell r="D24" t="str">
            <v>PT Astra International Tbk - BSO</v>
          </cell>
          <cell r="E24" t="str">
            <v>PEB 5</v>
          </cell>
          <cell r="F24" t="str">
            <v>2PEB 5</v>
          </cell>
          <cell r="J24">
            <v>0</v>
          </cell>
          <cell r="P24">
            <v>0</v>
          </cell>
          <cell r="U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C25" t="str">
            <v>S0173</v>
          </cell>
          <cell r="D25" t="str">
            <v>PT Astra International Tbk - BSO</v>
          </cell>
          <cell r="E25" t="str">
            <v>PEB 6</v>
          </cell>
          <cell r="F25" t="str">
            <v>2PEB 6</v>
          </cell>
          <cell r="J25">
            <v>0</v>
          </cell>
          <cell r="P25">
            <v>0</v>
          </cell>
          <cell r="U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C26" t="str">
            <v>S0173</v>
          </cell>
          <cell r="D26" t="str">
            <v>PT Astra International Tbk - BSO</v>
          </cell>
          <cell r="E26" t="str">
            <v>PEB 7</v>
          </cell>
          <cell r="F26" t="str">
            <v>2PEB 7</v>
          </cell>
          <cell r="G26">
            <v>0.1</v>
          </cell>
          <cell r="H26" t="str">
            <v>N/A</v>
          </cell>
          <cell r="I26">
            <v>0.09</v>
          </cell>
          <cell r="J26">
            <v>10.565143523373576</v>
          </cell>
          <cell r="K26">
            <v>15.65560242066659</v>
          </cell>
          <cell r="P26">
            <v>163663</v>
          </cell>
          <cell r="Q26">
            <v>220424.62328187257</v>
          </cell>
          <cell r="R26">
            <v>18573.748937481341</v>
          </cell>
          <cell r="S26">
            <v>27029.464836701994</v>
          </cell>
          <cell r="U26">
            <v>0</v>
          </cell>
          <cell r="W26">
            <v>-159840</v>
          </cell>
          <cell r="X26">
            <v>0</v>
          </cell>
          <cell r="Y26">
            <v>0</v>
          </cell>
          <cell r="Z26">
            <v>3823</v>
          </cell>
        </row>
        <row r="27">
          <cell r="C27" t="str">
            <v>S0173</v>
          </cell>
          <cell r="D27" t="str">
            <v>PT Astra International Tbk - BSO</v>
          </cell>
          <cell r="E27" t="str">
            <v>MPP</v>
          </cell>
          <cell r="F27" t="str">
            <v>2MPP</v>
          </cell>
          <cell r="G27">
            <v>0.1</v>
          </cell>
          <cell r="H27" t="str">
            <v>N/A</v>
          </cell>
          <cell r="I27">
            <v>0.09</v>
          </cell>
          <cell r="J27">
            <v>10.565143523373576</v>
          </cell>
          <cell r="K27">
            <v>15.65560242066659</v>
          </cell>
          <cell r="P27">
            <v>1095</v>
          </cell>
          <cell r="Q27">
            <v>373160.88357974502</v>
          </cell>
          <cell r="R27">
            <v>24645.747535030605</v>
          </cell>
          <cell r="S27">
            <v>0</v>
          </cell>
          <cell r="U27">
            <v>0</v>
          </cell>
          <cell r="W27">
            <v>0</v>
          </cell>
          <cell r="X27">
            <v>-980</v>
          </cell>
          <cell r="Y27">
            <v>55</v>
          </cell>
          <cell r="Z27">
            <v>115</v>
          </cell>
        </row>
        <row r="28">
          <cell r="C28" t="str">
            <v>S0173</v>
          </cell>
          <cell r="D28" t="str">
            <v>PT Astra International Tbk - BSO</v>
          </cell>
          <cell r="E28" t="str">
            <v>ID</v>
          </cell>
          <cell r="F28" t="str">
            <v>2ID</v>
          </cell>
          <cell r="G28">
            <v>0.1</v>
          </cell>
          <cell r="H28" t="str">
            <v>N/A</v>
          </cell>
          <cell r="I28">
            <v>0.09</v>
          </cell>
          <cell r="J28">
            <v>10.565143523373576</v>
          </cell>
          <cell r="K28">
            <v>15.65560242066659</v>
          </cell>
          <cell r="P28">
            <v>37155</v>
          </cell>
          <cell r="Q28">
            <v>644038.56840414891</v>
          </cell>
          <cell r="R28">
            <v>50666.603800175108</v>
          </cell>
          <cell r="S28">
            <v>55138.352378726289</v>
          </cell>
          <cell r="U28">
            <v>0</v>
          </cell>
          <cell r="W28">
            <v>0</v>
          </cell>
          <cell r="X28">
            <v>0</v>
          </cell>
          <cell r="Y28">
            <v>0</v>
          </cell>
          <cell r="Z28">
            <v>37155</v>
          </cell>
        </row>
        <row r="29">
          <cell r="C29" t="str">
            <v>S0173</v>
          </cell>
          <cell r="D29" t="str">
            <v>PT Astra International Tbk - BSO</v>
          </cell>
          <cell r="E29" t="str">
            <v>LL</v>
          </cell>
          <cell r="F29" t="str">
            <v>2LL</v>
          </cell>
          <cell r="G29">
            <v>0.1</v>
          </cell>
          <cell r="H29" t="str">
            <v>N/A</v>
          </cell>
          <cell r="I29">
            <v>0.09</v>
          </cell>
          <cell r="J29">
            <v>10.565143523373576</v>
          </cell>
          <cell r="K29">
            <v>15.65560242066659</v>
          </cell>
          <cell r="P29">
            <v>639930</v>
          </cell>
          <cell r="Q29">
            <v>887480.89040682768</v>
          </cell>
          <cell r="R29">
            <v>233821.01715456625</v>
          </cell>
          <cell r="S29">
            <v>405414.62129999837</v>
          </cell>
          <cell r="U29">
            <v>0</v>
          </cell>
          <cell r="W29">
            <v>0</v>
          </cell>
          <cell r="X29">
            <v>0</v>
          </cell>
          <cell r="Y29">
            <v>0</v>
          </cell>
          <cell r="Z29">
            <v>639930</v>
          </cell>
        </row>
        <row r="30">
          <cell r="C30" t="str">
            <v>S0173</v>
          </cell>
          <cell r="D30" t="str">
            <v>PT Astra International Tbk - BSO</v>
          </cell>
          <cell r="E30" t="str">
            <v>PMK</v>
          </cell>
          <cell r="F30" t="str">
            <v>2PMK</v>
          </cell>
          <cell r="G30">
            <v>0.1</v>
          </cell>
          <cell r="H30" t="str">
            <v>N/A</v>
          </cell>
          <cell r="I30">
            <v>0.09</v>
          </cell>
          <cell r="J30">
            <v>10.565143523373576</v>
          </cell>
          <cell r="K30">
            <v>15.65560242066659</v>
          </cell>
          <cell r="P30">
            <v>1123058</v>
          </cell>
          <cell r="Q30">
            <v>1329238.7993541928</v>
          </cell>
          <cell r="R30">
            <v>143681.96461971561</v>
          </cell>
          <cell r="S30">
            <v>268028.69500000001</v>
          </cell>
          <cell r="U30">
            <v>0</v>
          </cell>
          <cell r="W30">
            <v>0</v>
          </cell>
          <cell r="X30">
            <v>0</v>
          </cell>
          <cell r="Y30">
            <v>0</v>
          </cell>
          <cell r="Z30">
            <v>1123058</v>
          </cell>
        </row>
        <row r="32">
          <cell r="C32" t="str">
            <v>S0003</v>
          </cell>
          <cell r="D32" t="str">
            <v>PT Astra International Tbk - DSO</v>
          </cell>
          <cell r="E32" t="str">
            <v>PEB 1</v>
          </cell>
          <cell r="F32" t="str">
            <v>3PEB 1</v>
          </cell>
          <cell r="G32">
            <v>0.1</v>
          </cell>
          <cell r="H32">
            <v>0.1</v>
          </cell>
          <cell r="I32">
            <v>0.09</v>
          </cell>
          <cell r="J32">
            <v>6.9597153260890998</v>
          </cell>
          <cell r="K32">
            <v>6.740744049508641</v>
          </cell>
          <cell r="L32">
            <v>450532</v>
          </cell>
          <cell r="N32">
            <v>3397325.2480000001</v>
          </cell>
          <cell r="O32">
            <v>448245.81599999999</v>
          </cell>
          <cell r="P32">
            <v>31840490</v>
          </cell>
          <cell r="Q32">
            <v>41247388.645816013</v>
          </cell>
          <cell r="R32">
            <v>1734430.9196476727</v>
          </cell>
          <cell r="S32">
            <v>2178105.9588206336</v>
          </cell>
          <cell r="U32">
            <v>-23238343</v>
          </cell>
          <cell r="V32">
            <v>38179429.28800001</v>
          </cell>
          <cell r="W32">
            <v>-3727273</v>
          </cell>
          <cell r="X32">
            <v>0</v>
          </cell>
          <cell r="Y32">
            <v>0</v>
          </cell>
          <cell r="Z32">
            <v>4874874</v>
          </cell>
          <cell r="AB32">
            <v>0.1</v>
          </cell>
          <cell r="AC32" t="str">
            <v>N/A</v>
          </cell>
          <cell r="AD32">
            <v>0.09</v>
          </cell>
          <cell r="AE32">
            <v>10.011421513321668</v>
          </cell>
          <cell r="AF32">
            <v>17.954893948958041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11563778</v>
          </cell>
          <cell r="AL32">
            <v>15514853.244082367</v>
          </cell>
          <cell r="AM32">
            <v>1122177.7625774199</v>
          </cell>
          <cell r="AN32">
            <v>474082.42</v>
          </cell>
          <cell r="AO32">
            <v>0</v>
          </cell>
          <cell r="AP32">
            <v>0</v>
          </cell>
          <cell r="AQ32">
            <v>0</v>
          </cell>
          <cell r="AR32">
            <v>-247408</v>
          </cell>
          <cell r="AS32">
            <v>-5129773</v>
          </cell>
          <cell r="AT32">
            <v>279825</v>
          </cell>
          <cell r="AU32">
            <v>6186597</v>
          </cell>
          <cell r="AW32">
            <v>0.1</v>
          </cell>
          <cell r="AX32" t="str">
            <v>N/A</v>
          </cell>
          <cell r="AY32">
            <v>0.09</v>
          </cell>
          <cell r="AZ32">
            <v>6.9597153260890998</v>
          </cell>
          <cell r="BA32">
            <v>6.740744049508641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20788</v>
          </cell>
          <cell r="BG32">
            <v>94143.820749670165</v>
          </cell>
          <cell r="BH32">
            <v>4887.779521849563</v>
          </cell>
          <cell r="BI32">
            <v>34917.373199999995</v>
          </cell>
          <cell r="BJ32">
            <v>0</v>
          </cell>
          <cell r="BK32">
            <v>0</v>
          </cell>
          <cell r="BL32">
            <v>0</v>
          </cell>
          <cell r="BM32">
            <v>803882</v>
          </cell>
          <cell r="BN32">
            <v>-550846</v>
          </cell>
          <cell r="BO32">
            <v>88637</v>
          </cell>
          <cell r="BP32">
            <v>273824</v>
          </cell>
          <cell r="BR32">
            <v>0.1</v>
          </cell>
          <cell r="BS32" t="str">
            <v>N/A</v>
          </cell>
          <cell r="BT32">
            <v>0.09</v>
          </cell>
          <cell r="BU32">
            <v>10.108245667659762</v>
          </cell>
          <cell r="BV32">
            <v>19.220699865004764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4888043</v>
          </cell>
          <cell r="CB32">
            <v>2148261.0661592889</v>
          </cell>
          <cell r="CC32">
            <v>363957.61154120037</v>
          </cell>
          <cell r="CD32">
            <v>367387.79107241443</v>
          </cell>
          <cell r="CE32">
            <v>0</v>
          </cell>
          <cell r="CF32">
            <v>0</v>
          </cell>
          <cell r="CG32">
            <v>0</v>
          </cell>
          <cell r="CH32">
            <v>-1331377</v>
          </cell>
          <cell r="CI32">
            <v>-1099900</v>
          </cell>
          <cell r="CJ32">
            <v>52626</v>
          </cell>
          <cell r="CK32">
            <v>2456766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C32">
            <v>0.1</v>
          </cell>
          <cell r="ED32" t="str">
            <v>N/A</v>
          </cell>
          <cell r="EE32">
            <v>0.09</v>
          </cell>
          <cell r="EF32">
            <v>10.011421513321668</v>
          </cell>
          <cell r="EG32">
            <v>17.954893948958041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984009</v>
          </cell>
          <cell r="EM32">
            <v>1399658.4913508866</v>
          </cell>
          <cell r="EN32">
            <v>181204.63459589961</v>
          </cell>
          <cell r="EO32">
            <v>162502.9489717996</v>
          </cell>
          <cell r="EP32">
            <v>0</v>
          </cell>
          <cell r="EQ32">
            <v>0</v>
          </cell>
          <cell r="ER32">
            <v>0</v>
          </cell>
          <cell r="ES32">
            <v>-899035</v>
          </cell>
          <cell r="ET32">
            <v>0</v>
          </cell>
          <cell r="EU32">
            <v>0</v>
          </cell>
          <cell r="EV32">
            <v>84974</v>
          </cell>
          <cell r="EX32">
            <v>0.1</v>
          </cell>
          <cell r="EY32" t="str">
            <v>N/A</v>
          </cell>
          <cell r="EZ32">
            <v>0.09</v>
          </cell>
          <cell r="FA32">
            <v>10.011421513321668</v>
          </cell>
          <cell r="FB32">
            <v>17.954893948958041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369</v>
          </cell>
          <cell r="FH32">
            <v>2394860.9440030451</v>
          </cell>
          <cell r="FI32">
            <v>174243.12962998598</v>
          </cell>
          <cell r="FJ32">
            <v>77343.675000000003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-325</v>
          </cell>
          <cell r="FP32">
            <v>24</v>
          </cell>
          <cell r="FQ32">
            <v>44</v>
          </cell>
          <cell r="FS32">
            <v>0.1</v>
          </cell>
          <cell r="FT32" t="str">
            <v>N/A</v>
          </cell>
          <cell r="FU32">
            <v>0.09</v>
          </cell>
          <cell r="FV32">
            <v>10.011421513321668</v>
          </cell>
          <cell r="FW32">
            <v>17.954893948958041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270436</v>
          </cell>
          <cell r="GC32">
            <v>3970457.9333739863</v>
          </cell>
          <cell r="GD32">
            <v>395008.84433847008</v>
          </cell>
          <cell r="GE32">
            <v>352342.90245355002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270436</v>
          </cell>
          <cell r="GN32">
            <v>0.1</v>
          </cell>
          <cell r="GO32" t="str">
            <v>N/A</v>
          </cell>
          <cell r="GP32">
            <v>0.09</v>
          </cell>
          <cell r="GQ32">
            <v>10.011421513321668</v>
          </cell>
          <cell r="GR32">
            <v>17.954893948958041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4364228</v>
          </cell>
          <cell r="GX32">
            <v>5321846.285257468</v>
          </cell>
          <cell r="GY32">
            <v>1745661.1413391761</v>
          </cell>
          <cell r="GZ32">
            <v>2193614.4638148923</v>
          </cell>
          <cell r="HA32">
            <v>0</v>
          </cell>
          <cell r="HB32">
            <v>0</v>
          </cell>
          <cell r="HC32">
            <v>0</v>
          </cell>
          <cell r="HD32">
            <v>0</v>
          </cell>
          <cell r="HE32">
            <v>0</v>
          </cell>
          <cell r="HF32">
            <v>0</v>
          </cell>
          <cell r="HG32">
            <v>4364228</v>
          </cell>
          <cell r="HI32">
            <v>0.1</v>
          </cell>
          <cell r="HJ32" t="str">
            <v>N/A</v>
          </cell>
          <cell r="HK32">
            <v>0.09</v>
          </cell>
          <cell r="HL32">
            <v>10.011421513321668</v>
          </cell>
          <cell r="HM32">
            <v>17.954893948958041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6954026</v>
          </cell>
          <cell r="HS32">
            <v>9209367.2666777857</v>
          </cell>
          <cell r="HT32">
            <v>1321902.7117404658</v>
          </cell>
          <cell r="HU32">
            <v>1381046.9550000001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  <cell r="IA32">
            <v>0</v>
          </cell>
          <cell r="IB32">
            <v>6954026</v>
          </cell>
        </row>
        <row r="33">
          <cell r="C33" t="str">
            <v>S0003</v>
          </cell>
          <cell r="D33" t="str">
            <v>PT Astra International Tbk - DSO</v>
          </cell>
          <cell r="E33" t="str">
            <v>PEB 2</v>
          </cell>
          <cell r="F33" t="str">
            <v>3PEB 2</v>
          </cell>
          <cell r="G33">
            <v>0.1</v>
          </cell>
          <cell r="H33" t="str">
            <v>N/A</v>
          </cell>
          <cell r="I33">
            <v>0.09</v>
          </cell>
          <cell r="J33">
            <v>10.011421513321668</v>
          </cell>
          <cell r="K33">
            <v>17.954893948958041</v>
          </cell>
          <cell r="P33">
            <v>11563778</v>
          </cell>
          <cell r="Q33">
            <v>15514853.244082367</v>
          </cell>
          <cell r="R33">
            <v>1122177.7625774199</v>
          </cell>
          <cell r="S33">
            <v>474082.42</v>
          </cell>
          <cell r="U33">
            <v>0</v>
          </cell>
          <cell r="W33">
            <v>-247408</v>
          </cell>
          <cell r="X33">
            <v>-5129773</v>
          </cell>
          <cell r="Y33">
            <v>279825</v>
          </cell>
          <cell r="Z33">
            <v>6186597</v>
          </cell>
        </row>
        <row r="34">
          <cell r="C34" t="str">
            <v>S0003</v>
          </cell>
          <cell r="D34" t="str">
            <v>PT Astra International Tbk - DSO</v>
          </cell>
          <cell r="E34" t="str">
            <v>PEB 3</v>
          </cell>
          <cell r="F34" t="str">
            <v>3PEB 3</v>
          </cell>
          <cell r="G34">
            <v>0.1</v>
          </cell>
          <cell r="H34" t="str">
            <v>N/A</v>
          </cell>
          <cell r="I34">
            <v>0.09</v>
          </cell>
          <cell r="J34">
            <v>6.9597153260890998</v>
          </cell>
          <cell r="K34">
            <v>6.740744049508641</v>
          </cell>
          <cell r="P34">
            <v>20788</v>
          </cell>
          <cell r="Q34">
            <v>94143.820749670165</v>
          </cell>
          <cell r="R34">
            <v>4887.779521849563</v>
          </cell>
          <cell r="S34">
            <v>34917.373199999995</v>
          </cell>
          <cell r="U34">
            <v>0</v>
          </cell>
          <cell r="W34">
            <v>803882</v>
          </cell>
          <cell r="X34">
            <v>-550846</v>
          </cell>
          <cell r="Y34">
            <v>88637</v>
          </cell>
          <cell r="Z34">
            <v>273824</v>
          </cell>
        </row>
        <row r="35">
          <cell r="C35" t="str">
            <v>S0003</v>
          </cell>
          <cell r="D35" t="str">
            <v>PT Astra International Tbk - DSO</v>
          </cell>
          <cell r="E35" t="str">
            <v>PEB 4</v>
          </cell>
          <cell r="F35" t="str">
            <v>3PEB 4</v>
          </cell>
          <cell r="G35">
            <v>0.1</v>
          </cell>
          <cell r="H35" t="str">
            <v>N/A</v>
          </cell>
          <cell r="I35">
            <v>0.09</v>
          </cell>
          <cell r="J35">
            <v>10.108245667659762</v>
          </cell>
          <cell r="K35">
            <v>19.220699865004764</v>
          </cell>
          <cell r="P35">
            <v>4888043</v>
          </cell>
          <cell r="Q35">
            <v>2148261.0661592889</v>
          </cell>
          <cell r="R35">
            <v>363957.61154120037</v>
          </cell>
          <cell r="S35">
            <v>367387.79107241443</v>
          </cell>
          <cell r="U35">
            <v>0</v>
          </cell>
          <cell r="W35">
            <v>-1331377</v>
          </cell>
          <cell r="X35">
            <v>-1099900</v>
          </cell>
          <cell r="Y35">
            <v>52626</v>
          </cell>
          <cell r="Z35">
            <v>2456766</v>
          </cell>
        </row>
        <row r="36">
          <cell r="C36" t="str">
            <v>S0003</v>
          </cell>
          <cell r="D36" t="str">
            <v>PT Astra International Tbk - DSO</v>
          </cell>
          <cell r="E36" t="str">
            <v>PEB 5</v>
          </cell>
          <cell r="F36" t="str">
            <v>3PEB 5</v>
          </cell>
          <cell r="J36">
            <v>0</v>
          </cell>
          <cell r="P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C37" t="str">
            <v>S0003</v>
          </cell>
          <cell r="D37" t="str">
            <v>PT Astra International Tbk - DSO</v>
          </cell>
          <cell r="E37" t="str">
            <v>PEB 6</v>
          </cell>
          <cell r="F37" t="str">
            <v>3PEB 6</v>
          </cell>
          <cell r="J37">
            <v>0</v>
          </cell>
          <cell r="P37">
            <v>0</v>
          </cell>
          <cell r="U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C38" t="str">
            <v>S0003</v>
          </cell>
          <cell r="D38" t="str">
            <v>PT Astra International Tbk - DSO</v>
          </cell>
          <cell r="E38" t="str">
            <v>PEB 7</v>
          </cell>
          <cell r="F38" t="str">
            <v>3PEB 7</v>
          </cell>
          <cell r="G38">
            <v>0.1</v>
          </cell>
          <cell r="H38" t="str">
            <v>N/A</v>
          </cell>
          <cell r="I38">
            <v>0.09</v>
          </cell>
          <cell r="J38">
            <v>10.011421513321668</v>
          </cell>
          <cell r="K38">
            <v>17.954893948958041</v>
          </cell>
          <cell r="P38">
            <v>984009</v>
          </cell>
          <cell r="Q38">
            <v>1399658.4913508866</v>
          </cell>
          <cell r="R38">
            <v>181204.63459589961</v>
          </cell>
          <cell r="S38">
            <v>162502.9489717996</v>
          </cell>
          <cell r="U38">
            <v>0</v>
          </cell>
          <cell r="W38">
            <v>-899035</v>
          </cell>
          <cell r="X38">
            <v>0</v>
          </cell>
          <cell r="Y38">
            <v>0</v>
          </cell>
          <cell r="Z38">
            <v>84974</v>
          </cell>
        </row>
        <row r="39">
          <cell r="C39" t="str">
            <v>S0003</v>
          </cell>
          <cell r="D39" t="str">
            <v>PT Astra International Tbk - DSO</v>
          </cell>
          <cell r="E39" t="str">
            <v>MPP</v>
          </cell>
          <cell r="F39" t="str">
            <v>3MPP</v>
          </cell>
          <cell r="G39">
            <v>0.1</v>
          </cell>
          <cell r="H39" t="str">
            <v>N/A</v>
          </cell>
          <cell r="I39">
            <v>0.09</v>
          </cell>
          <cell r="J39">
            <v>10.011421513321668</v>
          </cell>
          <cell r="K39">
            <v>17.954893948958041</v>
          </cell>
          <cell r="P39">
            <v>369</v>
          </cell>
          <cell r="Q39">
            <v>2394860.9440030451</v>
          </cell>
          <cell r="R39">
            <v>174243.12962998598</v>
          </cell>
          <cell r="S39">
            <v>77343.675000000003</v>
          </cell>
          <cell r="U39">
            <v>0</v>
          </cell>
          <cell r="W39">
            <v>0</v>
          </cell>
          <cell r="X39">
            <v>-325</v>
          </cell>
          <cell r="Y39">
            <v>24</v>
          </cell>
          <cell r="Z39">
            <v>44</v>
          </cell>
        </row>
        <row r="40">
          <cell r="C40" t="str">
            <v>S0003</v>
          </cell>
          <cell r="D40" t="str">
            <v>PT Astra International Tbk - DSO</v>
          </cell>
          <cell r="E40" t="str">
            <v>ID</v>
          </cell>
          <cell r="F40" t="str">
            <v>3ID</v>
          </cell>
          <cell r="G40">
            <v>0.1</v>
          </cell>
          <cell r="H40" t="str">
            <v>N/A</v>
          </cell>
          <cell r="I40">
            <v>0.09</v>
          </cell>
          <cell r="J40">
            <v>10.011421513321668</v>
          </cell>
          <cell r="K40">
            <v>17.954893948958041</v>
          </cell>
          <cell r="P40">
            <v>270436</v>
          </cell>
          <cell r="Q40">
            <v>3970457.9333739863</v>
          </cell>
          <cell r="R40">
            <v>395008.84433847008</v>
          </cell>
          <cell r="S40">
            <v>352342.90245355002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Z40">
            <v>270436</v>
          </cell>
        </row>
        <row r="41">
          <cell r="C41" t="str">
            <v>S0003</v>
          </cell>
          <cell r="D41" t="str">
            <v>PT Astra International Tbk - DSO</v>
          </cell>
          <cell r="E41" t="str">
            <v>LL</v>
          </cell>
          <cell r="F41" t="str">
            <v>3LL</v>
          </cell>
          <cell r="G41">
            <v>0.1</v>
          </cell>
          <cell r="H41" t="str">
            <v>N/A</v>
          </cell>
          <cell r="I41">
            <v>0.09</v>
          </cell>
          <cell r="J41">
            <v>10.011421513321668</v>
          </cell>
          <cell r="K41">
            <v>17.954893948958041</v>
          </cell>
          <cell r="P41">
            <v>4364228</v>
          </cell>
          <cell r="Q41">
            <v>5321846.285257468</v>
          </cell>
          <cell r="R41">
            <v>1745661.1413391761</v>
          </cell>
          <cell r="S41">
            <v>2193614.4638148923</v>
          </cell>
          <cell r="U41">
            <v>0</v>
          </cell>
          <cell r="W41">
            <v>0</v>
          </cell>
          <cell r="X41">
            <v>0</v>
          </cell>
          <cell r="Y41">
            <v>0</v>
          </cell>
          <cell r="Z41">
            <v>4364228</v>
          </cell>
        </row>
        <row r="42">
          <cell r="C42" t="str">
            <v>S0003</v>
          </cell>
          <cell r="D42" t="str">
            <v>PT Astra International Tbk - DSO</v>
          </cell>
          <cell r="E42" t="str">
            <v>PMK</v>
          </cell>
          <cell r="F42" t="str">
            <v>3PMK</v>
          </cell>
          <cell r="G42">
            <v>0.1</v>
          </cell>
          <cell r="H42" t="str">
            <v>N/A</v>
          </cell>
          <cell r="I42">
            <v>0.09</v>
          </cell>
          <cell r="J42">
            <v>10.011421513321668</v>
          </cell>
          <cell r="K42">
            <v>17.954893948958041</v>
          </cell>
          <cell r="P42">
            <v>6954026</v>
          </cell>
          <cell r="Q42">
            <v>9209367.2666777857</v>
          </cell>
          <cell r="R42">
            <v>1321902.7117404658</v>
          </cell>
          <cell r="S42">
            <v>1381046.9550000001</v>
          </cell>
          <cell r="U42">
            <v>0</v>
          </cell>
          <cell r="W42">
            <v>0</v>
          </cell>
          <cell r="X42">
            <v>0</v>
          </cell>
          <cell r="Y42">
            <v>0</v>
          </cell>
          <cell r="Z42">
            <v>6954026</v>
          </cell>
        </row>
        <row r="44">
          <cell r="C44" t="str">
            <v>S0001</v>
          </cell>
          <cell r="D44" t="str">
            <v>PT Astra International Tbk - HO</v>
          </cell>
          <cell r="E44" t="str">
            <v>PEB 1</v>
          </cell>
          <cell r="F44" t="str">
            <v>4PEB 1</v>
          </cell>
          <cell r="G44">
            <v>0.1</v>
          </cell>
          <cell r="H44">
            <v>0.1</v>
          </cell>
          <cell r="I44">
            <v>0.09</v>
          </cell>
          <cell r="J44">
            <v>7.7186843127234255</v>
          </cell>
          <cell r="K44">
            <v>7.5452371046158238</v>
          </cell>
          <cell r="L44">
            <v>36579554</v>
          </cell>
          <cell r="N44">
            <v>7352664.3679999998</v>
          </cell>
          <cell r="O44">
            <v>663281.85600000003</v>
          </cell>
          <cell r="P44">
            <v>57866033</v>
          </cell>
          <cell r="Q44">
            <v>51244547.289830044</v>
          </cell>
          <cell r="R44">
            <v>2369520.4981657788</v>
          </cell>
          <cell r="S44">
            <v>21819352.254480142</v>
          </cell>
          <cell r="U44">
            <v>-32420254</v>
          </cell>
          <cell r="V44">
            <v>40397539.541333333</v>
          </cell>
          <cell r="W44">
            <v>-6130006</v>
          </cell>
          <cell r="X44">
            <v>0</v>
          </cell>
          <cell r="Y44">
            <v>0</v>
          </cell>
          <cell r="Z44">
            <v>19315773</v>
          </cell>
          <cell r="AB44">
            <v>0.1</v>
          </cell>
          <cell r="AC44" t="str">
            <v>N/A</v>
          </cell>
          <cell r="AD44">
            <v>0.09</v>
          </cell>
          <cell r="AE44">
            <v>10.085386350290543</v>
          </cell>
          <cell r="AF44">
            <v>17.275986681506602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27455604</v>
          </cell>
          <cell r="AL44">
            <v>22431773.550439402</v>
          </cell>
          <cell r="AM44">
            <v>1547251.8875921196</v>
          </cell>
          <cell r="AN44">
            <v>5708177.4000000004</v>
          </cell>
          <cell r="AO44">
            <v>0</v>
          </cell>
          <cell r="AP44">
            <v>0</v>
          </cell>
          <cell r="AQ44">
            <v>0</v>
          </cell>
          <cell r="AR44">
            <v>-9209638</v>
          </cell>
          <cell r="AS44">
            <v>-9848467</v>
          </cell>
          <cell r="AT44">
            <v>537227</v>
          </cell>
          <cell r="AU44">
            <v>8397499</v>
          </cell>
          <cell r="AW44">
            <v>0.1</v>
          </cell>
          <cell r="AX44" t="str">
            <v>N/A</v>
          </cell>
          <cell r="AY44">
            <v>0.09</v>
          </cell>
          <cell r="AZ44">
            <v>7.7186843127234255</v>
          </cell>
          <cell r="BA44">
            <v>7.5452371046158238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880822</v>
          </cell>
          <cell r="BG44">
            <v>1559115.428609157</v>
          </cell>
          <cell r="BH44">
            <v>79005.639300960553</v>
          </cell>
          <cell r="BI44">
            <v>1351077.5023999996</v>
          </cell>
          <cell r="BJ44">
            <v>0</v>
          </cell>
          <cell r="BK44">
            <v>0</v>
          </cell>
          <cell r="BL44">
            <v>0</v>
          </cell>
          <cell r="BM44">
            <v>3845400</v>
          </cell>
          <cell r="BN44">
            <v>-2997342</v>
          </cell>
          <cell r="BO44">
            <v>485027</v>
          </cell>
          <cell r="BP44">
            <v>1728880</v>
          </cell>
          <cell r="BR44">
            <v>0.1</v>
          </cell>
          <cell r="BS44" t="str">
            <v>N/A</v>
          </cell>
          <cell r="BT44">
            <v>0.09</v>
          </cell>
          <cell r="BU44">
            <v>10.360193149657748</v>
          </cell>
          <cell r="BV44">
            <v>18.790678832626384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25070326</v>
          </cell>
          <cell r="CB44">
            <v>17157021.633619465</v>
          </cell>
          <cell r="CC44">
            <v>1595398.5888604408</v>
          </cell>
          <cell r="CD44">
            <v>2576783.7362829498</v>
          </cell>
          <cell r="CE44">
            <v>0</v>
          </cell>
          <cell r="CF44">
            <v>0</v>
          </cell>
          <cell r="CG44">
            <v>0</v>
          </cell>
          <cell r="CH44">
            <v>-13050186</v>
          </cell>
          <cell r="CI44">
            <v>-4382984</v>
          </cell>
          <cell r="CJ44">
            <v>165697</v>
          </cell>
          <cell r="CK44">
            <v>7637156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H44">
            <v>0.1</v>
          </cell>
          <cell r="DI44" t="str">
            <v>N/A</v>
          </cell>
          <cell r="DJ44">
            <v>0.09</v>
          </cell>
          <cell r="DK44">
            <v>1.37</v>
          </cell>
          <cell r="DL44">
            <v>1.37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4484303</v>
          </cell>
          <cell r="DR44">
            <v>5037109</v>
          </cell>
          <cell r="DS44">
            <v>1545044</v>
          </cell>
          <cell r="DT44">
            <v>1127260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4484303</v>
          </cell>
          <cell r="EC44">
            <v>0.1</v>
          </cell>
          <cell r="ED44" t="str">
            <v>N/A</v>
          </cell>
          <cell r="EE44">
            <v>0.09</v>
          </cell>
          <cell r="EF44">
            <v>10.085386350290543</v>
          </cell>
          <cell r="EG44">
            <v>17.275986681506602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1182246</v>
          </cell>
          <cell r="EM44">
            <v>1218576.8435421304</v>
          </cell>
          <cell r="EN44">
            <v>148019.99234698812</v>
          </cell>
          <cell r="EO44">
            <v>152489.08273175242</v>
          </cell>
          <cell r="EP44">
            <v>0</v>
          </cell>
          <cell r="EQ44">
            <v>0</v>
          </cell>
          <cell r="ER44">
            <v>0</v>
          </cell>
          <cell r="ES44">
            <v>-1172330</v>
          </cell>
          <cell r="ET44">
            <v>0</v>
          </cell>
          <cell r="EU44">
            <v>0</v>
          </cell>
          <cell r="EV44">
            <v>9916</v>
          </cell>
          <cell r="EX44">
            <v>0.1</v>
          </cell>
          <cell r="EY44" t="str">
            <v>N/A</v>
          </cell>
          <cell r="EZ44">
            <v>0.09</v>
          </cell>
          <cell r="FA44">
            <v>10.085386350290543</v>
          </cell>
          <cell r="FB44">
            <v>17.275986681506602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7579</v>
          </cell>
          <cell r="FH44">
            <v>3969726.7898808611</v>
          </cell>
          <cell r="FI44">
            <v>290467.21620558802</v>
          </cell>
          <cell r="FJ44">
            <v>1074499.1100000001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-4940</v>
          </cell>
          <cell r="FP44">
            <v>2240</v>
          </cell>
          <cell r="FQ44">
            <v>2639</v>
          </cell>
          <cell r="FS44">
            <v>0.1</v>
          </cell>
          <cell r="FT44" t="str">
            <v>N/A</v>
          </cell>
          <cell r="FU44">
            <v>0.09</v>
          </cell>
          <cell r="FV44">
            <v>10.085386350290543</v>
          </cell>
          <cell r="FW44">
            <v>17.275986681506602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1021485</v>
          </cell>
          <cell r="GC44">
            <v>4127725.0819508093</v>
          </cell>
          <cell r="GD44">
            <v>404549.37084052229</v>
          </cell>
          <cell r="GE44">
            <v>451395.62314933341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1021485</v>
          </cell>
          <cell r="GN44">
            <v>0.1</v>
          </cell>
          <cell r="GO44" t="str">
            <v>N/A</v>
          </cell>
          <cell r="GP44">
            <v>0.09</v>
          </cell>
          <cell r="GQ44">
            <v>10.085386350290543</v>
          </cell>
          <cell r="GR44">
            <v>17.275986681506602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6929253</v>
          </cell>
          <cell r="GX44">
            <v>8359779.6636051284</v>
          </cell>
          <cell r="GY44">
            <v>2053711.2290807306</v>
          </cell>
          <cell r="GZ44">
            <v>2357368.120128023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6929253</v>
          </cell>
          <cell r="HI44">
            <v>0.1</v>
          </cell>
          <cell r="HJ44" t="str">
            <v>N/A</v>
          </cell>
          <cell r="HK44">
            <v>0.09</v>
          </cell>
          <cell r="HL44">
            <v>10.085386350290543</v>
          </cell>
          <cell r="HM44">
            <v>17.275986681506602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2311661</v>
          </cell>
          <cell r="HS44">
            <v>2405627.8502292251</v>
          </cell>
          <cell r="HT44">
            <v>330352.89776989393</v>
          </cell>
          <cell r="HU44">
            <v>500884.35500000004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2311661</v>
          </cell>
        </row>
        <row r="45">
          <cell r="C45" t="str">
            <v>S0001</v>
          </cell>
          <cell r="D45" t="str">
            <v>PT Astra International Tbk - HO</v>
          </cell>
          <cell r="E45" t="str">
            <v>PEB 2</v>
          </cell>
          <cell r="F45" t="str">
            <v>4PEB 2</v>
          </cell>
          <cell r="G45">
            <v>0.1</v>
          </cell>
          <cell r="H45" t="str">
            <v>N/A</v>
          </cell>
          <cell r="I45">
            <v>0.09</v>
          </cell>
          <cell r="J45">
            <v>10.085386350290543</v>
          </cell>
          <cell r="K45">
            <v>17.275986681506602</v>
          </cell>
          <cell r="P45">
            <v>27455604</v>
          </cell>
          <cell r="Q45">
            <v>22431773.550439402</v>
          </cell>
          <cell r="R45">
            <v>1547251.8875921196</v>
          </cell>
          <cell r="S45">
            <v>5708177.4000000004</v>
          </cell>
          <cell r="U45">
            <v>0</v>
          </cell>
          <cell r="W45">
            <v>-9209638</v>
          </cell>
          <cell r="X45">
            <v>-9848467</v>
          </cell>
          <cell r="Y45">
            <v>537227</v>
          </cell>
          <cell r="Z45">
            <v>8397499</v>
          </cell>
        </row>
        <row r="46">
          <cell r="C46" t="str">
            <v>S0001</v>
          </cell>
          <cell r="D46" t="str">
            <v>PT Astra International Tbk - HO</v>
          </cell>
          <cell r="E46" t="str">
            <v>PEB 3</v>
          </cell>
          <cell r="F46" t="str">
            <v>4PEB 3</v>
          </cell>
          <cell r="G46">
            <v>0.1</v>
          </cell>
          <cell r="H46" t="str">
            <v>N/A</v>
          </cell>
          <cell r="I46">
            <v>0.09</v>
          </cell>
          <cell r="J46">
            <v>7.7186843127234255</v>
          </cell>
          <cell r="K46">
            <v>7.5452371046158238</v>
          </cell>
          <cell r="P46">
            <v>880822</v>
          </cell>
          <cell r="Q46">
            <v>1559115.428609157</v>
          </cell>
          <cell r="R46">
            <v>79005.639300960553</v>
          </cell>
          <cell r="S46">
            <v>1351077.5023999996</v>
          </cell>
          <cell r="U46">
            <v>0</v>
          </cell>
          <cell r="W46">
            <v>3845400</v>
          </cell>
          <cell r="X46">
            <v>-2997342</v>
          </cell>
          <cell r="Y46">
            <v>485027</v>
          </cell>
          <cell r="Z46">
            <v>1728880</v>
          </cell>
        </row>
        <row r="47">
          <cell r="C47" t="str">
            <v>S0001</v>
          </cell>
          <cell r="D47" t="str">
            <v>PT Astra International Tbk - HO</v>
          </cell>
          <cell r="E47" t="str">
            <v>PEB 4</v>
          </cell>
          <cell r="F47" t="str">
            <v>4PEB 4</v>
          </cell>
          <cell r="G47">
            <v>0.1</v>
          </cell>
          <cell r="H47" t="str">
            <v>N/A</v>
          </cell>
          <cell r="I47">
            <v>0.09</v>
          </cell>
          <cell r="J47">
            <v>10.360193149657748</v>
          </cell>
          <cell r="K47">
            <v>18.790678832626384</v>
          </cell>
          <cell r="P47">
            <v>25070326</v>
          </cell>
          <cell r="Q47">
            <v>17157021.633619465</v>
          </cell>
          <cell r="R47">
            <v>1595398.5888604408</v>
          </cell>
          <cell r="S47">
            <v>2576783.7362829498</v>
          </cell>
          <cell r="U47">
            <v>0</v>
          </cell>
          <cell r="W47">
            <v>-13050186</v>
          </cell>
          <cell r="X47">
            <v>-4382984</v>
          </cell>
          <cell r="Y47">
            <v>165697</v>
          </cell>
          <cell r="Z47">
            <v>7637156</v>
          </cell>
        </row>
        <row r="48">
          <cell r="C48" t="str">
            <v>S0001</v>
          </cell>
          <cell r="D48" t="str">
            <v>PT Astra International Tbk - HO</v>
          </cell>
          <cell r="E48" t="str">
            <v>PEB 5</v>
          </cell>
          <cell r="F48" t="str">
            <v>4PEB 5</v>
          </cell>
          <cell r="J48">
            <v>0</v>
          </cell>
          <cell r="P48">
            <v>0</v>
          </cell>
          <cell r="U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C49" t="str">
            <v>S0001</v>
          </cell>
          <cell r="D49" t="str">
            <v>PT Astra International Tbk - HO</v>
          </cell>
          <cell r="E49" t="str">
            <v>PEB 6</v>
          </cell>
          <cell r="F49" t="str">
            <v>4PEB 6</v>
          </cell>
          <cell r="G49">
            <v>0.1</v>
          </cell>
          <cell r="H49" t="str">
            <v>N/A</v>
          </cell>
          <cell r="I49">
            <v>0.09</v>
          </cell>
          <cell r="J49">
            <v>1.37</v>
          </cell>
          <cell r="K49">
            <v>1.37</v>
          </cell>
          <cell r="P49">
            <v>4484303</v>
          </cell>
          <cell r="Q49">
            <v>5037109</v>
          </cell>
          <cell r="R49">
            <v>1545044</v>
          </cell>
          <cell r="S49">
            <v>1127260</v>
          </cell>
          <cell r="U49">
            <v>0</v>
          </cell>
          <cell r="W49">
            <v>0</v>
          </cell>
          <cell r="X49">
            <v>0</v>
          </cell>
          <cell r="Y49">
            <v>0</v>
          </cell>
          <cell r="Z49">
            <v>4484303</v>
          </cell>
        </row>
        <row r="50">
          <cell r="C50" t="str">
            <v>S0001</v>
          </cell>
          <cell r="D50" t="str">
            <v>PT Astra International Tbk - HO</v>
          </cell>
          <cell r="E50" t="str">
            <v>PEB 7</v>
          </cell>
          <cell r="F50" t="str">
            <v>4PEB 7</v>
          </cell>
          <cell r="G50">
            <v>0.1</v>
          </cell>
          <cell r="H50" t="str">
            <v>N/A</v>
          </cell>
          <cell r="I50">
            <v>0.09</v>
          </cell>
          <cell r="J50">
            <v>10.085386350290543</v>
          </cell>
          <cell r="K50">
            <v>17.275986681506602</v>
          </cell>
          <cell r="P50">
            <v>1182246</v>
          </cell>
          <cell r="Q50">
            <v>1218576.8435421304</v>
          </cell>
          <cell r="R50">
            <v>148019.99234698812</v>
          </cell>
          <cell r="S50">
            <v>152489.08273175242</v>
          </cell>
          <cell r="U50">
            <v>0</v>
          </cell>
          <cell r="W50">
            <v>-1172330</v>
          </cell>
          <cell r="X50">
            <v>0</v>
          </cell>
          <cell r="Y50">
            <v>0</v>
          </cell>
          <cell r="Z50">
            <v>9916</v>
          </cell>
        </row>
        <row r="51">
          <cell r="C51" t="str">
            <v>S0001</v>
          </cell>
          <cell r="D51" t="str">
            <v>PT Astra International Tbk - HO</v>
          </cell>
          <cell r="E51" t="str">
            <v>MPP</v>
          </cell>
          <cell r="F51" t="str">
            <v>4MPP</v>
          </cell>
          <cell r="G51">
            <v>0.1</v>
          </cell>
          <cell r="H51" t="str">
            <v>N/A</v>
          </cell>
          <cell r="I51">
            <v>0.09</v>
          </cell>
          <cell r="J51">
            <v>10.085386350290543</v>
          </cell>
          <cell r="K51">
            <v>17.275986681506602</v>
          </cell>
          <cell r="P51">
            <v>7579</v>
          </cell>
          <cell r="Q51">
            <v>3969726.7898808611</v>
          </cell>
          <cell r="R51">
            <v>290467.21620558802</v>
          </cell>
          <cell r="S51">
            <v>1074499.1100000001</v>
          </cell>
          <cell r="U51">
            <v>0</v>
          </cell>
          <cell r="W51">
            <v>0</v>
          </cell>
          <cell r="X51">
            <v>-4940</v>
          </cell>
          <cell r="Y51">
            <v>2240</v>
          </cell>
          <cell r="Z51">
            <v>2639</v>
          </cell>
        </row>
        <row r="52">
          <cell r="C52" t="str">
            <v>S0001</v>
          </cell>
          <cell r="D52" t="str">
            <v>PT Astra International Tbk - HO</v>
          </cell>
          <cell r="E52" t="str">
            <v>ID</v>
          </cell>
          <cell r="F52" t="str">
            <v>4ID</v>
          </cell>
          <cell r="G52">
            <v>0.1</v>
          </cell>
          <cell r="H52" t="str">
            <v>N/A</v>
          </cell>
          <cell r="I52">
            <v>0.09</v>
          </cell>
          <cell r="J52">
            <v>10.085386350290543</v>
          </cell>
          <cell r="K52">
            <v>17.275986681506602</v>
          </cell>
          <cell r="P52">
            <v>1021485</v>
          </cell>
          <cell r="Q52">
            <v>4127725.0819508093</v>
          </cell>
          <cell r="R52">
            <v>404549.37084052229</v>
          </cell>
          <cell r="S52">
            <v>451395.62314933341</v>
          </cell>
          <cell r="U52">
            <v>0</v>
          </cell>
          <cell r="W52">
            <v>0</v>
          </cell>
          <cell r="X52">
            <v>0</v>
          </cell>
          <cell r="Y52">
            <v>0</v>
          </cell>
          <cell r="Z52">
            <v>1021485</v>
          </cell>
        </row>
        <row r="53">
          <cell r="C53" t="str">
            <v>S0001</v>
          </cell>
          <cell r="D53" t="str">
            <v>PT Astra International Tbk - HO</v>
          </cell>
          <cell r="E53" t="str">
            <v>LL</v>
          </cell>
          <cell r="F53" t="str">
            <v>4LL</v>
          </cell>
          <cell r="G53">
            <v>0.1</v>
          </cell>
          <cell r="H53" t="str">
            <v>N/A</v>
          </cell>
          <cell r="I53">
            <v>0.09</v>
          </cell>
          <cell r="J53">
            <v>10.085386350290543</v>
          </cell>
          <cell r="K53">
            <v>17.275986681506602</v>
          </cell>
          <cell r="P53">
            <v>6929253</v>
          </cell>
          <cell r="Q53">
            <v>8359779.6636051284</v>
          </cell>
          <cell r="R53">
            <v>2053711.2290807306</v>
          </cell>
          <cell r="S53">
            <v>2357368.120128023</v>
          </cell>
          <cell r="U53">
            <v>0</v>
          </cell>
          <cell r="W53">
            <v>0</v>
          </cell>
          <cell r="X53">
            <v>0</v>
          </cell>
          <cell r="Y53">
            <v>0</v>
          </cell>
          <cell r="Z53">
            <v>6929253</v>
          </cell>
        </row>
        <row r="54">
          <cell r="C54" t="str">
            <v>S0001</v>
          </cell>
          <cell r="D54" t="str">
            <v>PT Astra International Tbk - HO</v>
          </cell>
          <cell r="E54" t="str">
            <v>PMK</v>
          </cell>
          <cell r="F54" t="str">
            <v>4PMK</v>
          </cell>
          <cell r="G54">
            <v>0.1</v>
          </cell>
          <cell r="H54" t="str">
            <v>N/A</v>
          </cell>
          <cell r="I54">
            <v>0.09</v>
          </cell>
          <cell r="J54">
            <v>10.085386350290543</v>
          </cell>
          <cell r="K54">
            <v>17.275986681506602</v>
          </cell>
          <cell r="P54">
            <v>2311661</v>
          </cell>
          <cell r="Q54">
            <v>2405627.8502292251</v>
          </cell>
          <cell r="R54">
            <v>330352.89776989393</v>
          </cell>
          <cell r="S54">
            <v>500884.35500000004</v>
          </cell>
          <cell r="U54">
            <v>0</v>
          </cell>
          <cell r="W54">
            <v>0</v>
          </cell>
          <cell r="X54">
            <v>0</v>
          </cell>
          <cell r="Y54">
            <v>0</v>
          </cell>
          <cell r="Z54">
            <v>2311661</v>
          </cell>
        </row>
        <row r="56">
          <cell r="C56" t="str">
            <v>S0005</v>
          </cell>
          <cell r="D56" t="str">
            <v>PT Astra International Tbk - HSO</v>
          </cell>
          <cell r="E56" t="str">
            <v>PEB 1</v>
          </cell>
          <cell r="F56" t="str">
            <v>5PEB 1</v>
          </cell>
          <cell r="G56">
            <v>0.1</v>
          </cell>
          <cell r="H56">
            <v>0.1</v>
          </cell>
          <cell r="I56">
            <v>0.09</v>
          </cell>
          <cell r="J56">
            <v>7.7452202494628111</v>
          </cell>
          <cell r="K56">
            <v>7.7082227508238104</v>
          </cell>
          <cell r="L56">
            <v>47741</v>
          </cell>
          <cell r="N56">
            <v>2382658.236</v>
          </cell>
          <cell r="O56">
            <v>394663.712</v>
          </cell>
          <cell r="P56">
            <v>24752665</v>
          </cell>
          <cell r="Q56">
            <v>32419424.394508988</v>
          </cell>
          <cell r="R56">
            <v>1490306.8137608911</v>
          </cell>
          <cell r="S56">
            <v>2689980.3583975444</v>
          </cell>
          <cell r="U56">
            <v>-18789193</v>
          </cell>
          <cell r="V56">
            <v>31384132.682666671</v>
          </cell>
          <cell r="W56">
            <v>-2224145</v>
          </cell>
          <cell r="X56">
            <v>0</v>
          </cell>
          <cell r="Y56">
            <v>0</v>
          </cell>
          <cell r="Z56">
            <v>3739327</v>
          </cell>
          <cell r="AB56">
            <v>0.1</v>
          </cell>
          <cell r="AC56" t="str">
            <v>N/A</v>
          </cell>
          <cell r="AD56">
            <v>0.09</v>
          </cell>
          <cell r="AE56">
            <v>10.112984341066221</v>
          </cell>
          <cell r="AF56">
            <v>19.508138283726772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9413976</v>
          </cell>
          <cell r="AL56">
            <v>13450627.301845366</v>
          </cell>
          <cell r="AM56">
            <v>1116359.4185034703</v>
          </cell>
          <cell r="AN56">
            <v>586188.92000000004</v>
          </cell>
          <cell r="AO56">
            <v>0</v>
          </cell>
          <cell r="AP56">
            <v>0</v>
          </cell>
          <cell r="AQ56">
            <v>0</v>
          </cell>
          <cell r="AR56">
            <v>260515</v>
          </cell>
          <cell r="AS56">
            <v>-4271123</v>
          </cell>
          <cell r="AT56">
            <v>232986</v>
          </cell>
          <cell r="AU56">
            <v>5403368</v>
          </cell>
          <cell r="AW56">
            <v>0.1</v>
          </cell>
          <cell r="AX56" t="str">
            <v>N/A</v>
          </cell>
          <cell r="AY56">
            <v>0.09</v>
          </cell>
          <cell r="AZ56">
            <v>7.7452202494628111</v>
          </cell>
          <cell r="BA56">
            <v>7.7082227508238104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1597</v>
          </cell>
          <cell r="BG56">
            <v>74787.974560773029</v>
          </cell>
          <cell r="BH56">
            <v>3895.8631461356881</v>
          </cell>
          <cell r="BI56">
            <v>20734.277779999989</v>
          </cell>
          <cell r="BJ56">
            <v>0</v>
          </cell>
          <cell r="BK56">
            <v>0</v>
          </cell>
          <cell r="BL56">
            <v>0</v>
          </cell>
          <cell r="BM56">
            <v>1137257</v>
          </cell>
          <cell r="BN56">
            <v>-686792</v>
          </cell>
          <cell r="BO56">
            <v>89042</v>
          </cell>
          <cell r="BP56">
            <v>452062</v>
          </cell>
          <cell r="BR56">
            <v>0.1</v>
          </cell>
          <cell r="BS56" t="str">
            <v>N/A</v>
          </cell>
          <cell r="BT56">
            <v>0.09</v>
          </cell>
          <cell r="BU56">
            <v>9.9171513426039919</v>
          </cell>
          <cell r="BV56">
            <v>20.311487244526269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4579962</v>
          </cell>
          <cell r="CB56">
            <v>2986138.6272550575</v>
          </cell>
          <cell r="CC56">
            <v>503058.87593040272</v>
          </cell>
          <cell r="CD56">
            <v>393822.96298948105</v>
          </cell>
          <cell r="CE56">
            <v>0</v>
          </cell>
          <cell r="CF56">
            <v>0</v>
          </cell>
          <cell r="CG56">
            <v>0</v>
          </cell>
          <cell r="CH56">
            <v>-1298841</v>
          </cell>
          <cell r="CI56">
            <v>-963446</v>
          </cell>
          <cell r="CJ56">
            <v>43368</v>
          </cell>
          <cell r="CK56">
            <v>2317675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C56">
            <v>0.1</v>
          </cell>
          <cell r="ED56" t="str">
            <v>N/A</v>
          </cell>
          <cell r="EE56">
            <v>0.09</v>
          </cell>
          <cell r="EF56">
            <v>10.112984341066221</v>
          </cell>
          <cell r="EG56">
            <v>19.508138283726772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938957</v>
          </cell>
          <cell r="EM56">
            <v>1567178.5396080422</v>
          </cell>
          <cell r="EN56">
            <v>220467.07898937821</v>
          </cell>
          <cell r="EO56">
            <v>168563.99266199046</v>
          </cell>
          <cell r="EP56">
            <v>0</v>
          </cell>
          <cell r="EQ56">
            <v>0</v>
          </cell>
          <cell r="ER56">
            <v>0</v>
          </cell>
          <cell r="ES56">
            <v>-938033</v>
          </cell>
          <cell r="ET56">
            <v>0</v>
          </cell>
          <cell r="EU56">
            <v>0</v>
          </cell>
          <cell r="EV56">
            <v>924</v>
          </cell>
          <cell r="EX56">
            <v>0.1</v>
          </cell>
          <cell r="EY56" t="str">
            <v>N/A</v>
          </cell>
          <cell r="EZ56">
            <v>0.09</v>
          </cell>
          <cell r="FA56">
            <v>0</v>
          </cell>
          <cell r="FB56">
            <v>19.508138283726772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2070990.6150300598</v>
          </cell>
          <cell r="FI56">
            <v>172255.10915610634</v>
          </cell>
          <cell r="FJ56">
            <v>92385.675000000003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S56">
            <v>0.1</v>
          </cell>
          <cell r="FT56" t="str">
            <v>N/A</v>
          </cell>
          <cell r="FU56">
            <v>0.09</v>
          </cell>
          <cell r="FV56">
            <v>10.112984341066221</v>
          </cell>
          <cell r="FW56">
            <v>19.508138283726772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192277</v>
          </cell>
          <cell r="GC56">
            <v>3961814.99156139</v>
          </cell>
          <cell r="GD56">
            <v>445595.11189854087</v>
          </cell>
          <cell r="GE56">
            <v>284447.46529592125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192277</v>
          </cell>
          <cell r="GN56">
            <v>0.1</v>
          </cell>
          <cell r="GO56" t="str">
            <v>N/A</v>
          </cell>
          <cell r="GP56">
            <v>0.09</v>
          </cell>
          <cell r="GQ56">
            <v>10.112984341066221</v>
          </cell>
          <cell r="GR56">
            <v>19.508138283726772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2882874</v>
          </cell>
          <cell r="GX56">
            <v>5647392.4833410392</v>
          </cell>
          <cell r="GY56">
            <v>1833928.929836456</v>
          </cell>
          <cell r="GZ56">
            <v>2070045.4004845978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2882874</v>
          </cell>
          <cell r="HI56">
            <v>0.1</v>
          </cell>
          <cell r="HJ56" t="str">
            <v>N/A</v>
          </cell>
          <cell r="HK56">
            <v>0.09</v>
          </cell>
          <cell r="HL56">
            <v>10.112984341066221</v>
          </cell>
          <cell r="HM56">
            <v>19.508138283726772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5883619</v>
          </cell>
          <cell r="HS56">
            <v>8196898.467252831</v>
          </cell>
          <cell r="HT56">
            <v>1377538.3021575785</v>
          </cell>
          <cell r="HU56">
            <v>818895.14500000002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5883619</v>
          </cell>
        </row>
        <row r="57">
          <cell r="C57" t="str">
            <v>S0005</v>
          </cell>
          <cell r="D57" t="str">
            <v>PT Astra International Tbk - HSO</v>
          </cell>
          <cell r="E57" t="str">
            <v>PEB 2</v>
          </cell>
          <cell r="F57" t="str">
            <v>5PEB 2</v>
          </cell>
          <cell r="G57">
            <v>0.1</v>
          </cell>
          <cell r="H57" t="str">
            <v>N/A</v>
          </cell>
          <cell r="I57">
            <v>0.09</v>
          </cell>
          <cell r="J57">
            <v>10.112984341066221</v>
          </cell>
          <cell r="K57">
            <v>19.508138283726772</v>
          </cell>
          <cell r="P57">
            <v>9413976</v>
          </cell>
          <cell r="Q57">
            <v>13450627.301845366</v>
          </cell>
          <cell r="R57">
            <v>1116359.4185034703</v>
          </cell>
          <cell r="S57">
            <v>586188.92000000004</v>
          </cell>
          <cell r="U57">
            <v>0</v>
          </cell>
          <cell r="W57">
            <v>260515</v>
          </cell>
          <cell r="X57">
            <v>-4271123</v>
          </cell>
          <cell r="Y57">
            <v>232986</v>
          </cell>
          <cell r="Z57">
            <v>5403368</v>
          </cell>
        </row>
        <row r="58">
          <cell r="C58" t="str">
            <v>S0005</v>
          </cell>
          <cell r="D58" t="str">
            <v>PT Astra International Tbk - HSO</v>
          </cell>
          <cell r="E58" t="str">
            <v>PEB 3</v>
          </cell>
          <cell r="F58" t="str">
            <v>5PEB 3</v>
          </cell>
          <cell r="G58">
            <v>0.1</v>
          </cell>
          <cell r="H58" t="str">
            <v>N/A</v>
          </cell>
          <cell r="I58">
            <v>0.09</v>
          </cell>
          <cell r="J58">
            <v>7.7452202494628111</v>
          </cell>
          <cell r="K58">
            <v>7.7082227508238104</v>
          </cell>
          <cell r="P58">
            <v>1597</v>
          </cell>
          <cell r="Q58">
            <v>74787.974560773029</v>
          </cell>
          <cell r="R58">
            <v>3895.8631461356881</v>
          </cell>
          <cell r="S58">
            <v>20734.277779999989</v>
          </cell>
          <cell r="U58">
            <v>0</v>
          </cell>
          <cell r="W58">
            <v>1137257</v>
          </cell>
          <cell r="X58">
            <v>-686792</v>
          </cell>
          <cell r="Y58">
            <v>89042</v>
          </cell>
          <cell r="Z58">
            <v>452062</v>
          </cell>
        </row>
        <row r="59">
          <cell r="C59" t="str">
            <v>S0005</v>
          </cell>
          <cell r="D59" t="str">
            <v>PT Astra International Tbk - HSO</v>
          </cell>
          <cell r="E59" t="str">
            <v>PEB 4</v>
          </cell>
          <cell r="F59" t="str">
            <v>5PEB 4</v>
          </cell>
          <cell r="G59">
            <v>0.1</v>
          </cell>
          <cell r="H59" t="str">
            <v>N/A</v>
          </cell>
          <cell r="I59">
            <v>0.09</v>
          </cell>
          <cell r="J59">
            <v>9.9171513426039919</v>
          </cell>
          <cell r="K59">
            <v>20.311487244526269</v>
          </cell>
          <cell r="P59">
            <v>4579962</v>
          </cell>
          <cell r="Q59">
            <v>2986138.6272550575</v>
          </cell>
          <cell r="R59">
            <v>503058.87593040272</v>
          </cell>
          <cell r="S59">
            <v>393822.96298948105</v>
          </cell>
          <cell r="U59">
            <v>0</v>
          </cell>
          <cell r="W59">
            <v>-1298841</v>
          </cell>
          <cell r="X59">
            <v>-963446</v>
          </cell>
          <cell r="Y59">
            <v>43368</v>
          </cell>
          <cell r="Z59">
            <v>2317675</v>
          </cell>
        </row>
        <row r="60">
          <cell r="C60" t="str">
            <v>S0005</v>
          </cell>
          <cell r="D60" t="str">
            <v>PT Astra International Tbk - HSO</v>
          </cell>
          <cell r="E60" t="str">
            <v>PEB 5</v>
          </cell>
          <cell r="F60" t="str">
            <v>5PEB 5</v>
          </cell>
          <cell r="J60">
            <v>0</v>
          </cell>
          <cell r="P60">
            <v>0</v>
          </cell>
          <cell r="U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</row>
        <row r="61">
          <cell r="C61" t="str">
            <v>S0005</v>
          </cell>
          <cell r="D61" t="str">
            <v>PT Astra International Tbk - HSO</v>
          </cell>
          <cell r="E61" t="str">
            <v>PEB 6</v>
          </cell>
          <cell r="F61" t="str">
            <v>5PEB 6</v>
          </cell>
          <cell r="J61">
            <v>0</v>
          </cell>
          <cell r="P61">
            <v>0</v>
          </cell>
          <cell r="U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2">
          <cell r="C62" t="str">
            <v>S0005</v>
          </cell>
          <cell r="D62" t="str">
            <v>PT Astra International Tbk - HSO</v>
          </cell>
          <cell r="E62" t="str">
            <v>PEB 7</v>
          </cell>
          <cell r="F62" t="str">
            <v>5PEB 7</v>
          </cell>
          <cell r="G62">
            <v>0.1</v>
          </cell>
          <cell r="H62" t="str">
            <v>N/A</v>
          </cell>
          <cell r="I62">
            <v>0.09</v>
          </cell>
          <cell r="J62">
            <v>10.112984341066221</v>
          </cell>
          <cell r="K62">
            <v>19.508138283726772</v>
          </cell>
          <cell r="P62">
            <v>938957</v>
          </cell>
          <cell r="Q62">
            <v>1567178.5396080422</v>
          </cell>
          <cell r="R62">
            <v>220467.07898937821</v>
          </cell>
          <cell r="S62">
            <v>168563.99266199046</v>
          </cell>
          <cell r="U62">
            <v>0</v>
          </cell>
          <cell r="W62">
            <v>-938033</v>
          </cell>
          <cell r="X62">
            <v>0</v>
          </cell>
          <cell r="Y62">
            <v>0</v>
          </cell>
          <cell r="Z62">
            <v>924</v>
          </cell>
        </row>
        <row r="63">
          <cell r="C63" t="str">
            <v>S0005</v>
          </cell>
          <cell r="D63" t="str">
            <v>PT Astra International Tbk - HSO</v>
          </cell>
          <cell r="E63" t="str">
            <v>MPP</v>
          </cell>
          <cell r="F63" t="str">
            <v>5MPP</v>
          </cell>
          <cell r="G63">
            <v>0.1</v>
          </cell>
          <cell r="H63" t="str">
            <v>N/A</v>
          </cell>
          <cell r="I63">
            <v>0.09</v>
          </cell>
          <cell r="J63">
            <v>0</v>
          </cell>
          <cell r="K63">
            <v>19.508138283726772</v>
          </cell>
          <cell r="P63">
            <v>0</v>
          </cell>
          <cell r="Q63">
            <v>2070990.6150300598</v>
          </cell>
          <cell r="R63">
            <v>172255.10915610634</v>
          </cell>
          <cell r="S63">
            <v>92385.675000000003</v>
          </cell>
          <cell r="U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</row>
        <row r="64">
          <cell r="C64" t="str">
            <v>S0005</v>
          </cell>
          <cell r="D64" t="str">
            <v>PT Astra International Tbk - HSO</v>
          </cell>
          <cell r="E64" t="str">
            <v>ID</v>
          </cell>
          <cell r="F64" t="str">
            <v>5ID</v>
          </cell>
          <cell r="G64">
            <v>0.1</v>
          </cell>
          <cell r="H64" t="str">
            <v>N/A</v>
          </cell>
          <cell r="I64">
            <v>0.09</v>
          </cell>
          <cell r="J64">
            <v>10.112984341066221</v>
          </cell>
          <cell r="K64">
            <v>19.508138283726772</v>
          </cell>
          <cell r="P64">
            <v>192277</v>
          </cell>
          <cell r="Q64">
            <v>3961814.99156139</v>
          </cell>
          <cell r="R64">
            <v>445595.11189854087</v>
          </cell>
          <cell r="S64">
            <v>284447.46529592125</v>
          </cell>
          <cell r="U64">
            <v>0</v>
          </cell>
          <cell r="W64">
            <v>0</v>
          </cell>
          <cell r="X64">
            <v>0</v>
          </cell>
          <cell r="Y64">
            <v>0</v>
          </cell>
          <cell r="Z64">
            <v>192277</v>
          </cell>
        </row>
        <row r="65">
          <cell r="C65" t="str">
            <v>S0005</v>
          </cell>
          <cell r="D65" t="str">
            <v>PT Astra International Tbk - HSO</v>
          </cell>
          <cell r="E65" t="str">
            <v>LL</v>
          </cell>
          <cell r="F65" t="str">
            <v>5LL</v>
          </cell>
          <cell r="G65">
            <v>0.1</v>
          </cell>
          <cell r="H65" t="str">
            <v>N/A</v>
          </cell>
          <cell r="I65">
            <v>0.09</v>
          </cell>
          <cell r="J65">
            <v>10.112984341066221</v>
          </cell>
          <cell r="K65">
            <v>19.508138283726772</v>
          </cell>
          <cell r="P65">
            <v>2882874</v>
          </cell>
          <cell r="Q65">
            <v>5647392.4833410392</v>
          </cell>
          <cell r="R65">
            <v>1833928.929836456</v>
          </cell>
          <cell r="S65">
            <v>2070045.4004845978</v>
          </cell>
          <cell r="U65">
            <v>0</v>
          </cell>
          <cell r="W65">
            <v>0</v>
          </cell>
          <cell r="X65">
            <v>0</v>
          </cell>
          <cell r="Y65">
            <v>0</v>
          </cell>
          <cell r="Z65">
            <v>2882874</v>
          </cell>
        </row>
        <row r="66">
          <cell r="C66" t="str">
            <v>S0005</v>
          </cell>
          <cell r="D66" t="str">
            <v>PT Astra International Tbk - HSO</v>
          </cell>
          <cell r="E66" t="str">
            <v>PMK</v>
          </cell>
          <cell r="F66" t="str">
            <v>5PMK</v>
          </cell>
          <cell r="G66">
            <v>0.1</v>
          </cell>
          <cell r="H66" t="str">
            <v>N/A</v>
          </cell>
          <cell r="I66">
            <v>0.09</v>
          </cell>
          <cell r="J66">
            <v>10.112984341066221</v>
          </cell>
          <cell r="K66">
            <v>19.508138283726772</v>
          </cell>
          <cell r="P66">
            <v>5883619</v>
          </cell>
          <cell r="Q66">
            <v>8196898.467252831</v>
          </cell>
          <cell r="R66">
            <v>1377538.3021575785</v>
          </cell>
          <cell r="S66">
            <v>818895.14500000002</v>
          </cell>
          <cell r="U66">
            <v>0</v>
          </cell>
          <cell r="W66">
            <v>0</v>
          </cell>
          <cell r="X66">
            <v>0</v>
          </cell>
          <cell r="Y66">
            <v>0</v>
          </cell>
          <cell r="Z66">
            <v>5883619</v>
          </cell>
        </row>
        <row r="68">
          <cell r="C68" t="str">
            <v>S0004</v>
          </cell>
          <cell r="D68" t="str">
            <v>PT Astra International Tbk - ISO</v>
          </cell>
          <cell r="E68" t="str">
            <v>PEB 1</v>
          </cell>
          <cell r="F68" t="str">
            <v>6PEB 1</v>
          </cell>
          <cell r="G68">
            <v>0.1</v>
          </cell>
          <cell r="H68">
            <v>0.1</v>
          </cell>
          <cell r="I68">
            <v>0.09</v>
          </cell>
          <cell r="J68">
            <v>8.1557030516106348</v>
          </cell>
          <cell r="K68">
            <v>9.0253320926191165</v>
          </cell>
          <cell r="L68">
            <v>207197</v>
          </cell>
          <cell r="N68">
            <v>1726010.3640000001</v>
          </cell>
          <cell r="O68">
            <v>252212.48800000001</v>
          </cell>
          <cell r="P68">
            <v>16590760</v>
          </cell>
          <cell r="Q68">
            <v>20131912.567249831</v>
          </cell>
          <cell r="R68">
            <v>953064.98417410604</v>
          </cell>
          <cell r="S68">
            <v>1346047.6491504041</v>
          </cell>
          <cell r="U68">
            <v>-12447600</v>
          </cell>
          <cell r="V68">
            <v>20085278.617333338</v>
          </cell>
          <cell r="W68">
            <v>-1068681</v>
          </cell>
          <cell r="X68">
            <v>0</v>
          </cell>
          <cell r="Y68">
            <v>0</v>
          </cell>
          <cell r="Z68">
            <v>3074479</v>
          </cell>
          <cell r="AB68">
            <v>0.1</v>
          </cell>
          <cell r="AC68" t="str">
            <v>N/A</v>
          </cell>
          <cell r="AD68">
            <v>0.09</v>
          </cell>
          <cell r="AE68">
            <v>10.334666226968857</v>
          </cell>
          <cell r="AF68">
            <v>16.750208183832139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8382204</v>
          </cell>
          <cell r="AL68">
            <v>11744057.317902435</v>
          </cell>
          <cell r="AM68">
            <v>824115.08020227205</v>
          </cell>
          <cell r="AN68">
            <v>413346.53</v>
          </cell>
          <cell r="AO68">
            <v>0</v>
          </cell>
          <cell r="AP68">
            <v>0</v>
          </cell>
          <cell r="AQ68">
            <v>0</v>
          </cell>
          <cell r="AR68">
            <v>270605</v>
          </cell>
          <cell r="AS68">
            <v>-3797524</v>
          </cell>
          <cell r="AT68">
            <v>247279</v>
          </cell>
          <cell r="AU68">
            <v>4855285</v>
          </cell>
          <cell r="AW68">
            <v>0.1</v>
          </cell>
          <cell r="AX68" t="str">
            <v>N/A</v>
          </cell>
          <cell r="AY68">
            <v>0.09</v>
          </cell>
          <cell r="AZ68">
            <v>8.1557030516106348</v>
          </cell>
          <cell r="BA68">
            <v>9.0253320926191165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35016</v>
          </cell>
          <cell r="BG68">
            <v>230286.91355625808</v>
          </cell>
          <cell r="BH68">
            <v>12189.669791244361</v>
          </cell>
          <cell r="BI68">
            <v>98892.05854666658</v>
          </cell>
          <cell r="BJ68">
            <v>0</v>
          </cell>
          <cell r="BK68">
            <v>0</v>
          </cell>
          <cell r="BL68">
            <v>0</v>
          </cell>
          <cell r="BM68">
            <v>183360</v>
          </cell>
          <cell r="BN68">
            <v>-116204</v>
          </cell>
          <cell r="BO68">
            <v>95881</v>
          </cell>
          <cell r="BP68">
            <v>102172</v>
          </cell>
          <cell r="BR68">
            <v>0.1</v>
          </cell>
          <cell r="BS68" t="str">
            <v>N/A</v>
          </cell>
          <cell r="BT68">
            <v>0.09</v>
          </cell>
          <cell r="BU68">
            <v>10.156975561824101</v>
          </cell>
          <cell r="BV68">
            <v>17.364105621544432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5012057</v>
          </cell>
          <cell r="CB68">
            <v>2089253.9358310886</v>
          </cell>
          <cell r="CC68">
            <v>236935.32298571875</v>
          </cell>
          <cell r="CD68">
            <v>700875.2147999116</v>
          </cell>
          <cell r="CE68">
            <v>0</v>
          </cell>
          <cell r="CF68">
            <v>0</v>
          </cell>
          <cell r="CG68">
            <v>0</v>
          </cell>
          <cell r="CH68">
            <v>-1136978</v>
          </cell>
          <cell r="CI68">
            <v>-1393357</v>
          </cell>
          <cell r="CJ68">
            <v>86179</v>
          </cell>
          <cell r="CK68">
            <v>2481722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C68">
            <v>0.1</v>
          </cell>
          <cell r="ED68" t="str">
            <v>N/A</v>
          </cell>
          <cell r="EE68">
            <v>0.09</v>
          </cell>
          <cell r="EF68">
            <v>10.334666226968857</v>
          </cell>
          <cell r="EG68">
            <v>16.750208183832139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820856</v>
          </cell>
          <cell r="EM68">
            <v>1256960.3730987806</v>
          </cell>
          <cell r="EN68">
            <v>112868.01583783138</v>
          </cell>
          <cell r="EO68">
            <v>145161.25039988582</v>
          </cell>
          <cell r="EP68">
            <v>0</v>
          </cell>
          <cell r="EQ68">
            <v>0</v>
          </cell>
          <cell r="ER68">
            <v>0</v>
          </cell>
          <cell r="ES68">
            <v>-681433</v>
          </cell>
          <cell r="ET68">
            <v>0</v>
          </cell>
          <cell r="EU68">
            <v>0</v>
          </cell>
          <cell r="EV68">
            <v>139423</v>
          </cell>
          <cell r="EX68">
            <v>0.1</v>
          </cell>
          <cell r="EY68" t="str">
            <v>N/A</v>
          </cell>
          <cell r="EZ68">
            <v>0.09</v>
          </cell>
          <cell r="FA68">
            <v>10.334666226968857</v>
          </cell>
          <cell r="FB68">
            <v>16.750208183832139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1348</v>
          </cell>
          <cell r="FH68">
            <v>1859480.4286154818</v>
          </cell>
          <cell r="FI68">
            <v>130869.58339163789</v>
          </cell>
          <cell r="FJ68">
            <v>86659.904999999999</v>
          </cell>
          <cell r="FK68">
            <v>0</v>
          </cell>
          <cell r="FL68">
            <v>0</v>
          </cell>
          <cell r="FM68">
            <v>0</v>
          </cell>
          <cell r="FN68">
            <v>-20</v>
          </cell>
          <cell r="FO68">
            <v>-1189</v>
          </cell>
          <cell r="FP68">
            <v>61</v>
          </cell>
          <cell r="FQ68">
            <v>139</v>
          </cell>
          <cell r="FS68">
            <v>0.1</v>
          </cell>
          <cell r="FT68" t="str">
            <v>N/A</v>
          </cell>
          <cell r="FU68">
            <v>0.09</v>
          </cell>
          <cell r="FV68">
            <v>10.334666226968857</v>
          </cell>
          <cell r="FW68">
            <v>16.750208183832139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176565</v>
          </cell>
          <cell r="GC68">
            <v>3384119.3384337951</v>
          </cell>
          <cell r="GD68">
            <v>274550.44253491465</v>
          </cell>
          <cell r="GE68">
            <v>250006.42027464937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176565</v>
          </cell>
          <cell r="GN68">
            <v>0.1</v>
          </cell>
          <cell r="GO68" t="str">
            <v>N/A</v>
          </cell>
          <cell r="GP68">
            <v>0.09</v>
          </cell>
          <cell r="GQ68">
            <v>10.334666226968857</v>
          </cell>
          <cell r="GR68">
            <v>16.750208183832139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3400934</v>
          </cell>
          <cell r="GX68">
            <v>6827436.6924439967</v>
          </cell>
          <cell r="GY68">
            <v>1247900.1048786223</v>
          </cell>
          <cell r="GZ68">
            <v>1673427.4274165467</v>
          </cell>
          <cell r="HA68">
            <v>0</v>
          </cell>
          <cell r="HB68">
            <v>0</v>
          </cell>
          <cell r="HC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3400934</v>
          </cell>
          <cell r="HI68">
            <v>0.1</v>
          </cell>
          <cell r="HJ68" t="str">
            <v>N/A</v>
          </cell>
          <cell r="HK68">
            <v>0.09</v>
          </cell>
          <cell r="HL68">
            <v>10.334666226968857</v>
          </cell>
          <cell r="HM68">
            <v>16.750208183832139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5608373</v>
          </cell>
          <cell r="HS68">
            <v>7147095.631080077</v>
          </cell>
          <cell r="HT68">
            <v>865777.24983338953</v>
          </cell>
          <cell r="HU68">
            <v>1222563.3799999999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5608373</v>
          </cell>
        </row>
        <row r="69">
          <cell r="C69" t="str">
            <v>S0004</v>
          </cell>
          <cell r="D69" t="str">
            <v>PT Astra International Tbk - ISO</v>
          </cell>
          <cell r="E69" t="str">
            <v>PEB 2</v>
          </cell>
          <cell r="F69" t="str">
            <v>6PEB 2</v>
          </cell>
          <cell r="G69">
            <v>0.1</v>
          </cell>
          <cell r="H69" t="str">
            <v>N/A</v>
          </cell>
          <cell r="I69">
            <v>0.09</v>
          </cell>
          <cell r="J69">
            <v>10.334666226968857</v>
          </cell>
          <cell r="K69">
            <v>16.750208183832139</v>
          </cell>
          <cell r="P69">
            <v>8382204</v>
          </cell>
          <cell r="Q69">
            <v>11744057.317902435</v>
          </cell>
          <cell r="R69">
            <v>824115.08020227205</v>
          </cell>
          <cell r="S69">
            <v>413346.53</v>
          </cell>
          <cell r="U69">
            <v>0</v>
          </cell>
          <cell r="W69">
            <v>270605</v>
          </cell>
          <cell r="X69">
            <v>-3797524</v>
          </cell>
          <cell r="Y69">
            <v>247279</v>
          </cell>
          <cell r="Z69">
            <v>4855285</v>
          </cell>
        </row>
        <row r="70">
          <cell r="C70" t="str">
            <v>S0004</v>
          </cell>
          <cell r="D70" t="str">
            <v>PT Astra International Tbk - ISO</v>
          </cell>
          <cell r="E70" t="str">
            <v>PEB 3</v>
          </cell>
          <cell r="F70" t="str">
            <v>6PEB 3</v>
          </cell>
          <cell r="G70">
            <v>0.1</v>
          </cell>
          <cell r="H70" t="str">
            <v>N/A</v>
          </cell>
          <cell r="I70">
            <v>0.09</v>
          </cell>
          <cell r="J70">
            <v>8.1557030516106348</v>
          </cell>
          <cell r="K70">
            <v>9.0253320926191165</v>
          </cell>
          <cell r="P70">
            <v>35016</v>
          </cell>
          <cell r="Q70">
            <v>230286.91355625808</v>
          </cell>
          <cell r="R70">
            <v>12189.669791244361</v>
          </cell>
          <cell r="S70">
            <v>98892.05854666658</v>
          </cell>
          <cell r="U70">
            <v>0</v>
          </cell>
          <cell r="W70">
            <v>183360</v>
          </cell>
          <cell r="X70">
            <v>-116204</v>
          </cell>
          <cell r="Y70">
            <v>95881</v>
          </cell>
          <cell r="Z70">
            <v>102172</v>
          </cell>
        </row>
        <row r="71">
          <cell r="C71" t="str">
            <v>S0004</v>
          </cell>
          <cell r="D71" t="str">
            <v>PT Astra International Tbk - ISO</v>
          </cell>
          <cell r="E71" t="str">
            <v>PEB 4</v>
          </cell>
          <cell r="F71" t="str">
            <v>6PEB 4</v>
          </cell>
          <cell r="G71">
            <v>0.1</v>
          </cell>
          <cell r="H71" t="str">
            <v>N/A</v>
          </cell>
          <cell r="I71">
            <v>0.09</v>
          </cell>
          <cell r="J71">
            <v>10.156975561824101</v>
          </cell>
          <cell r="K71">
            <v>17.364105621544432</v>
          </cell>
          <cell r="P71">
            <v>5012057</v>
          </cell>
          <cell r="Q71">
            <v>2089253.9358310886</v>
          </cell>
          <cell r="R71">
            <v>236935.32298571875</v>
          </cell>
          <cell r="S71">
            <v>700875.2147999116</v>
          </cell>
          <cell r="U71">
            <v>0</v>
          </cell>
          <cell r="W71">
            <v>-1136978</v>
          </cell>
          <cell r="X71">
            <v>-1393357</v>
          </cell>
          <cell r="Y71">
            <v>86179</v>
          </cell>
          <cell r="Z71">
            <v>2481722</v>
          </cell>
        </row>
        <row r="72">
          <cell r="C72" t="str">
            <v>S0004</v>
          </cell>
          <cell r="D72" t="str">
            <v>PT Astra International Tbk - ISO</v>
          </cell>
          <cell r="E72" t="str">
            <v>PEB 5</v>
          </cell>
          <cell r="F72" t="str">
            <v>6PEB 5</v>
          </cell>
          <cell r="J72">
            <v>0</v>
          </cell>
          <cell r="P72">
            <v>0</v>
          </cell>
          <cell r="U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</row>
        <row r="73">
          <cell r="C73" t="str">
            <v>S0004</v>
          </cell>
          <cell r="D73" t="str">
            <v>PT Astra International Tbk - ISO</v>
          </cell>
          <cell r="E73" t="str">
            <v>PEB 6</v>
          </cell>
          <cell r="F73" t="str">
            <v>6PEB 6</v>
          </cell>
          <cell r="J73">
            <v>0</v>
          </cell>
          <cell r="P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</row>
        <row r="74">
          <cell r="C74" t="str">
            <v>S0004</v>
          </cell>
          <cell r="D74" t="str">
            <v>PT Astra International Tbk - ISO</v>
          </cell>
          <cell r="E74" t="str">
            <v>PEB 7</v>
          </cell>
          <cell r="F74" t="str">
            <v>6PEB 7</v>
          </cell>
          <cell r="G74">
            <v>0.1</v>
          </cell>
          <cell r="H74" t="str">
            <v>N/A</v>
          </cell>
          <cell r="I74">
            <v>0.09</v>
          </cell>
          <cell r="J74">
            <v>10.334666226968857</v>
          </cell>
          <cell r="K74">
            <v>16.750208183832139</v>
          </cell>
          <cell r="P74">
            <v>820856</v>
          </cell>
          <cell r="Q74">
            <v>1256960.3730987806</v>
          </cell>
          <cell r="R74">
            <v>112868.01583783138</v>
          </cell>
          <cell r="S74">
            <v>145161.25039988582</v>
          </cell>
          <cell r="U74">
            <v>0</v>
          </cell>
          <cell r="W74">
            <v>-681433</v>
          </cell>
          <cell r="X74">
            <v>0</v>
          </cell>
          <cell r="Y74">
            <v>0</v>
          </cell>
          <cell r="Z74">
            <v>139423</v>
          </cell>
        </row>
        <row r="75">
          <cell r="C75" t="str">
            <v>S0004</v>
          </cell>
          <cell r="D75" t="str">
            <v>PT Astra International Tbk - ISO</v>
          </cell>
          <cell r="E75" t="str">
            <v>MPP</v>
          </cell>
          <cell r="F75" t="str">
            <v>6MPP</v>
          </cell>
          <cell r="G75">
            <v>0.1</v>
          </cell>
          <cell r="H75" t="str">
            <v>N/A</v>
          </cell>
          <cell r="I75">
            <v>0.09</v>
          </cell>
          <cell r="J75">
            <v>10.334666226968857</v>
          </cell>
          <cell r="K75">
            <v>16.750208183832139</v>
          </cell>
          <cell r="P75">
            <v>1348</v>
          </cell>
          <cell r="Q75">
            <v>1859480.4286154818</v>
          </cell>
          <cell r="R75">
            <v>130869.58339163789</v>
          </cell>
          <cell r="S75">
            <v>86659.904999999999</v>
          </cell>
          <cell r="U75">
            <v>0</v>
          </cell>
          <cell r="W75">
            <v>-20</v>
          </cell>
          <cell r="X75">
            <v>-1189</v>
          </cell>
          <cell r="Y75">
            <v>61</v>
          </cell>
          <cell r="Z75">
            <v>139</v>
          </cell>
        </row>
        <row r="76">
          <cell r="C76" t="str">
            <v>S0004</v>
          </cell>
          <cell r="D76" t="str">
            <v>PT Astra International Tbk - ISO</v>
          </cell>
          <cell r="E76" t="str">
            <v>ID</v>
          </cell>
          <cell r="F76" t="str">
            <v>6ID</v>
          </cell>
          <cell r="G76">
            <v>0.1</v>
          </cell>
          <cell r="H76" t="str">
            <v>N/A</v>
          </cell>
          <cell r="I76">
            <v>0.09</v>
          </cell>
          <cell r="J76">
            <v>10.334666226968857</v>
          </cell>
          <cell r="K76">
            <v>16.750208183832139</v>
          </cell>
          <cell r="P76">
            <v>176565</v>
          </cell>
          <cell r="Q76">
            <v>3384119.3384337951</v>
          </cell>
          <cell r="R76">
            <v>274550.44253491465</v>
          </cell>
          <cell r="S76">
            <v>250006.42027464937</v>
          </cell>
          <cell r="U76">
            <v>0</v>
          </cell>
          <cell r="W76">
            <v>0</v>
          </cell>
          <cell r="X76">
            <v>0</v>
          </cell>
          <cell r="Y76">
            <v>0</v>
          </cell>
          <cell r="Z76">
            <v>176565</v>
          </cell>
        </row>
        <row r="77">
          <cell r="C77" t="str">
            <v>S0004</v>
          </cell>
          <cell r="D77" t="str">
            <v>PT Astra International Tbk - ISO</v>
          </cell>
          <cell r="E77" t="str">
            <v>LL</v>
          </cell>
          <cell r="F77" t="str">
            <v>6LL</v>
          </cell>
          <cell r="G77">
            <v>0.1</v>
          </cell>
          <cell r="H77" t="str">
            <v>N/A</v>
          </cell>
          <cell r="I77">
            <v>0.09</v>
          </cell>
          <cell r="J77">
            <v>10.334666226968857</v>
          </cell>
          <cell r="K77">
            <v>16.750208183832139</v>
          </cell>
          <cell r="P77">
            <v>3400934</v>
          </cell>
          <cell r="Q77">
            <v>6827436.6924439967</v>
          </cell>
          <cell r="R77">
            <v>1247900.1048786223</v>
          </cell>
          <cell r="S77">
            <v>1673427.4274165467</v>
          </cell>
          <cell r="U77">
            <v>0</v>
          </cell>
          <cell r="W77">
            <v>0</v>
          </cell>
          <cell r="X77">
            <v>0</v>
          </cell>
          <cell r="Y77">
            <v>0</v>
          </cell>
          <cell r="Z77">
            <v>3400934</v>
          </cell>
        </row>
        <row r="78">
          <cell r="C78" t="str">
            <v>S0004</v>
          </cell>
          <cell r="D78" t="str">
            <v>PT Astra International Tbk - ISO</v>
          </cell>
          <cell r="E78" t="str">
            <v>PMK</v>
          </cell>
          <cell r="F78" t="str">
            <v>6PMK</v>
          </cell>
          <cell r="G78">
            <v>0.1</v>
          </cell>
          <cell r="H78" t="str">
            <v>N/A</v>
          </cell>
          <cell r="I78">
            <v>0.09</v>
          </cell>
          <cell r="J78">
            <v>10.334666226968857</v>
          </cell>
          <cell r="K78">
            <v>16.750208183832139</v>
          </cell>
          <cell r="P78">
            <v>5608373</v>
          </cell>
          <cell r="Q78">
            <v>7147095.631080077</v>
          </cell>
          <cell r="R78">
            <v>865777.24983338953</v>
          </cell>
          <cell r="S78">
            <v>1222563.3799999999</v>
          </cell>
          <cell r="U78">
            <v>0</v>
          </cell>
          <cell r="W78">
            <v>0</v>
          </cell>
          <cell r="X78">
            <v>0</v>
          </cell>
          <cell r="Y78">
            <v>0</v>
          </cell>
          <cell r="Z78">
            <v>5608373</v>
          </cell>
        </row>
        <row r="80">
          <cell r="C80" t="str">
            <v>S0172</v>
          </cell>
          <cell r="D80" t="str">
            <v>PT Astra International Tbk - NDSO</v>
          </cell>
          <cell r="E80" t="str">
            <v>PEB 1</v>
          </cell>
          <cell r="F80" t="str">
            <v>7PEB 1</v>
          </cell>
          <cell r="G80">
            <v>0.1</v>
          </cell>
          <cell r="H80">
            <v>0.1</v>
          </cell>
          <cell r="I80">
            <v>0.09</v>
          </cell>
          <cell r="J80">
            <v>7.6041015823446552</v>
          </cell>
          <cell r="K80">
            <v>7.8322167842435473</v>
          </cell>
          <cell r="L80">
            <v>0</v>
          </cell>
          <cell r="N80">
            <v>293440.08799999999</v>
          </cell>
          <cell r="O80">
            <v>39295.095999999998</v>
          </cell>
          <cell r="P80">
            <v>2630277</v>
          </cell>
          <cell r="Q80">
            <v>3605116.4385545934</v>
          </cell>
          <cell r="R80">
            <v>153452.32756725309</v>
          </cell>
          <cell r="S80">
            <v>216634.5841462026</v>
          </cell>
          <cell r="U80">
            <v>-1869386</v>
          </cell>
          <cell r="V80">
            <v>3248140.6613333337</v>
          </cell>
          <cell r="W80">
            <v>-484780</v>
          </cell>
          <cell r="X80">
            <v>0</v>
          </cell>
          <cell r="Y80">
            <v>0</v>
          </cell>
          <cell r="Z80">
            <v>276111</v>
          </cell>
          <cell r="AB80">
            <v>0.1</v>
          </cell>
          <cell r="AC80" t="str">
            <v>N/A</v>
          </cell>
          <cell r="AD80">
            <v>0.09</v>
          </cell>
          <cell r="AE80">
            <v>10.226553483279499</v>
          </cell>
          <cell r="AF80">
            <v>16.339087464276741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1376125</v>
          </cell>
          <cell r="AL80">
            <v>1900478.9898628385</v>
          </cell>
          <cell r="AM80">
            <v>132741.97267372001</v>
          </cell>
          <cell r="AN80">
            <v>40548</v>
          </cell>
          <cell r="AO80">
            <v>0</v>
          </cell>
          <cell r="AP80">
            <v>0</v>
          </cell>
          <cell r="AQ80">
            <v>0</v>
          </cell>
          <cell r="AR80">
            <v>-41869</v>
          </cell>
          <cell r="AS80">
            <v>-458769</v>
          </cell>
          <cell r="AT80">
            <v>25026</v>
          </cell>
          <cell r="AU80">
            <v>875487</v>
          </cell>
          <cell r="AW80">
            <v>0.1</v>
          </cell>
          <cell r="AX80" t="str">
            <v>N/A</v>
          </cell>
          <cell r="AY80">
            <v>0.09</v>
          </cell>
          <cell r="AZ80">
            <v>7.6041015823446552</v>
          </cell>
          <cell r="BA80">
            <v>7.8322167842435473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24801.223404775206</v>
          </cell>
          <cell r="BH80">
            <v>1283.2762216452959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R80">
            <v>0.1</v>
          </cell>
          <cell r="BS80" t="str">
            <v>N/A</v>
          </cell>
          <cell r="BT80">
            <v>0.09</v>
          </cell>
          <cell r="BU80">
            <v>10.328487408210087</v>
          </cell>
          <cell r="BV80">
            <v>17.396302351446248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1080929</v>
          </cell>
          <cell r="CB80">
            <v>819399.00597314874</v>
          </cell>
          <cell r="CC80">
            <v>68747.983753643552</v>
          </cell>
          <cell r="CD80">
            <v>36166.358367899556</v>
          </cell>
          <cell r="CE80">
            <v>0</v>
          </cell>
          <cell r="CF80">
            <v>0</v>
          </cell>
          <cell r="CG80">
            <v>0</v>
          </cell>
          <cell r="CH80">
            <v>-55151</v>
          </cell>
          <cell r="CI80">
            <v>-312964</v>
          </cell>
          <cell r="CJ80">
            <v>15624</v>
          </cell>
          <cell r="CK80">
            <v>712814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C80">
            <v>0.1</v>
          </cell>
          <cell r="ED80" t="str">
            <v>N/A</v>
          </cell>
          <cell r="EE80">
            <v>0.09</v>
          </cell>
          <cell r="EF80">
            <v>10.226553483279499</v>
          </cell>
          <cell r="EG80">
            <v>16.339087464276741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130930</v>
          </cell>
          <cell r="EM80">
            <v>172522.54600139035</v>
          </cell>
          <cell r="EN80">
            <v>16390.60496379912</v>
          </cell>
          <cell r="EO80">
            <v>20553.728602502208</v>
          </cell>
          <cell r="EP80">
            <v>0</v>
          </cell>
          <cell r="EQ80">
            <v>0</v>
          </cell>
          <cell r="ER80">
            <v>0</v>
          </cell>
          <cell r="ES80">
            <v>-117732</v>
          </cell>
          <cell r="ET80">
            <v>0</v>
          </cell>
          <cell r="EU80">
            <v>0</v>
          </cell>
          <cell r="EV80">
            <v>13198</v>
          </cell>
          <cell r="EX80">
            <v>0.1</v>
          </cell>
          <cell r="EY80" t="str">
            <v>N/A</v>
          </cell>
          <cell r="EZ80">
            <v>0.09</v>
          </cell>
          <cell r="FA80">
            <v>0</v>
          </cell>
          <cell r="FB80">
            <v>16.339087464276741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292646.1972300355</v>
          </cell>
          <cell r="FI80">
            <v>20666.326831416529</v>
          </cell>
          <cell r="FJ80">
            <v>6082.2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S80">
            <v>0.1</v>
          </cell>
          <cell r="FT80" t="str">
            <v>N/A</v>
          </cell>
          <cell r="FU80">
            <v>0.09</v>
          </cell>
          <cell r="FV80">
            <v>10.226553483279499</v>
          </cell>
          <cell r="FW80">
            <v>16.339087464276741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27661</v>
          </cell>
          <cell r="GC80">
            <v>527316.55553346663</v>
          </cell>
          <cell r="GD80">
            <v>44094.92324817006</v>
          </cell>
          <cell r="GE80">
            <v>41595.092884091646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27661</v>
          </cell>
          <cell r="GN80">
            <v>0.1</v>
          </cell>
          <cell r="GO80" t="str">
            <v>N/A</v>
          </cell>
          <cell r="GP80">
            <v>0.09</v>
          </cell>
          <cell r="GQ80">
            <v>10.226553483279499</v>
          </cell>
          <cell r="GR80">
            <v>16.339087464276741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552363</v>
          </cell>
          <cell r="GX80">
            <v>1004332.7275712006</v>
          </cell>
          <cell r="GY80">
            <v>197632.78078731921</v>
          </cell>
          <cell r="GZ80">
            <v>229117.66493438088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552363</v>
          </cell>
          <cell r="HI80">
            <v>0.1</v>
          </cell>
          <cell r="HJ80" t="str">
            <v>N/A</v>
          </cell>
          <cell r="HK80">
            <v>0.09</v>
          </cell>
          <cell r="HL80">
            <v>10.226553483279499</v>
          </cell>
          <cell r="HM80">
            <v>16.339087464276741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641035</v>
          </cell>
          <cell r="HS80">
            <v>740218.86728199653</v>
          </cell>
          <cell r="HT80">
            <v>89643.877967954963</v>
          </cell>
          <cell r="HU80">
            <v>138292.42000000001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641035</v>
          </cell>
        </row>
        <row r="81">
          <cell r="C81" t="str">
            <v>S0172</v>
          </cell>
          <cell r="D81" t="str">
            <v>PT Astra International Tbk - NDSO</v>
          </cell>
          <cell r="E81" t="str">
            <v>PEB 2</v>
          </cell>
          <cell r="F81" t="str">
            <v>7PEB 2</v>
          </cell>
          <cell r="G81">
            <v>0.1</v>
          </cell>
          <cell r="H81" t="str">
            <v>N/A</v>
          </cell>
          <cell r="I81">
            <v>0.09</v>
          </cell>
          <cell r="J81">
            <v>10.226553483279499</v>
          </cell>
          <cell r="K81">
            <v>16.339087464276741</v>
          </cell>
          <cell r="P81">
            <v>1376125</v>
          </cell>
          <cell r="Q81">
            <v>1900478.9898628385</v>
          </cell>
          <cell r="R81">
            <v>132741.97267372001</v>
          </cell>
          <cell r="S81">
            <v>40548</v>
          </cell>
          <cell r="U81">
            <v>0</v>
          </cell>
          <cell r="W81">
            <v>-41869</v>
          </cell>
          <cell r="X81">
            <v>-458769</v>
          </cell>
          <cell r="Y81">
            <v>25026</v>
          </cell>
          <cell r="Z81">
            <v>875487</v>
          </cell>
        </row>
        <row r="82">
          <cell r="C82" t="str">
            <v>S0172</v>
          </cell>
          <cell r="D82" t="str">
            <v>PT Astra International Tbk - NDSO</v>
          </cell>
          <cell r="E82" t="str">
            <v>PEB 3</v>
          </cell>
          <cell r="F82" t="str">
            <v>7PEB 3</v>
          </cell>
          <cell r="G82">
            <v>0.1</v>
          </cell>
          <cell r="H82" t="str">
            <v>N/A</v>
          </cell>
          <cell r="I82">
            <v>0.09</v>
          </cell>
          <cell r="J82">
            <v>7.6041015823446552</v>
          </cell>
          <cell r="K82">
            <v>7.8322167842435473</v>
          </cell>
          <cell r="P82">
            <v>0</v>
          </cell>
          <cell r="Q82">
            <v>24801.223404775206</v>
          </cell>
          <cell r="R82">
            <v>1283.2762216452959</v>
          </cell>
          <cell r="S82">
            <v>0</v>
          </cell>
          <cell r="U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</row>
        <row r="83">
          <cell r="C83" t="str">
            <v>S0172</v>
          </cell>
          <cell r="D83" t="str">
            <v>PT Astra International Tbk - NDSO</v>
          </cell>
          <cell r="E83" t="str">
            <v>PEB 4</v>
          </cell>
          <cell r="F83" t="str">
            <v>7PEB 4</v>
          </cell>
          <cell r="G83">
            <v>0.1</v>
          </cell>
          <cell r="H83" t="str">
            <v>N/A</v>
          </cell>
          <cell r="I83">
            <v>0.09</v>
          </cell>
          <cell r="J83">
            <v>10.328487408210087</v>
          </cell>
          <cell r="K83">
            <v>17.396302351446248</v>
          </cell>
          <cell r="P83">
            <v>1080929</v>
          </cell>
          <cell r="Q83">
            <v>819399.00597314874</v>
          </cell>
          <cell r="R83">
            <v>68747.983753643552</v>
          </cell>
          <cell r="S83">
            <v>36166.358367899556</v>
          </cell>
          <cell r="U83">
            <v>0</v>
          </cell>
          <cell r="W83">
            <v>-55151</v>
          </cell>
          <cell r="X83">
            <v>-312964</v>
          </cell>
          <cell r="Y83">
            <v>15624</v>
          </cell>
          <cell r="Z83">
            <v>712814</v>
          </cell>
        </row>
        <row r="84">
          <cell r="C84" t="str">
            <v>S0172</v>
          </cell>
          <cell r="D84" t="str">
            <v>PT Astra International Tbk - NDSO</v>
          </cell>
          <cell r="E84" t="str">
            <v>PEB 5</v>
          </cell>
          <cell r="F84" t="str">
            <v>7PEB 5</v>
          </cell>
          <cell r="J84">
            <v>0</v>
          </cell>
          <cell r="P84">
            <v>0</v>
          </cell>
          <cell r="U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</row>
        <row r="85">
          <cell r="C85" t="str">
            <v>S0172</v>
          </cell>
          <cell r="D85" t="str">
            <v>PT Astra International Tbk - NDSO</v>
          </cell>
          <cell r="E85" t="str">
            <v>PEB 6</v>
          </cell>
          <cell r="F85" t="str">
            <v>7PEB 6</v>
          </cell>
          <cell r="J85">
            <v>0</v>
          </cell>
          <cell r="P85">
            <v>0</v>
          </cell>
          <cell r="U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</row>
        <row r="86">
          <cell r="C86" t="str">
            <v>S0172</v>
          </cell>
          <cell r="D86" t="str">
            <v>PT Astra International Tbk - NDSO</v>
          </cell>
          <cell r="E86" t="str">
            <v>PEB 7</v>
          </cell>
          <cell r="F86" t="str">
            <v>7PEB 7</v>
          </cell>
          <cell r="G86">
            <v>0.1</v>
          </cell>
          <cell r="H86" t="str">
            <v>N/A</v>
          </cell>
          <cell r="I86">
            <v>0.09</v>
          </cell>
          <cell r="J86">
            <v>10.226553483279499</v>
          </cell>
          <cell r="K86">
            <v>16.339087464276741</v>
          </cell>
          <cell r="P86">
            <v>130930</v>
          </cell>
          <cell r="Q86">
            <v>172522.54600139035</v>
          </cell>
          <cell r="R86">
            <v>16390.60496379912</v>
          </cell>
          <cell r="S86">
            <v>20553.728602502208</v>
          </cell>
          <cell r="U86">
            <v>0</v>
          </cell>
          <cell r="W86">
            <v>-117732</v>
          </cell>
          <cell r="X86">
            <v>0</v>
          </cell>
          <cell r="Y86">
            <v>0</v>
          </cell>
          <cell r="Z86">
            <v>13198</v>
          </cell>
        </row>
        <row r="87">
          <cell r="C87" t="str">
            <v>S0172</v>
          </cell>
          <cell r="D87" t="str">
            <v>PT Astra International Tbk - NDSO</v>
          </cell>
          <cell r="E87" t="str">
            <v>MPP</v>
          </cell>
          <cell r="F87" t="str">
            <v>7MPP</v>
          </cell>
          <cell r="G87">
            <v>0.1</v>
          </cell>
          <cell r="H87" t="str">
            <v>N/A</v>
          </cell>
          <cell r="I87">
            <v>0.09</v>
          </cell>
          <cell r="J87">
            <v>0</v>
          </cell>
          <cell r="K87">
            <v>16.339087464276741</v>
          </cell>
          <cell r="P87">
            <v>0</v>
          </cell>
          <cell r="Q87">
            <v>292646.1972300355</v>
          </cell>
          <cell r="R87">
            <v>20666.326831416529</v>
          </cell>
          <cell r="S87">
            <v>6082.2</v>
          </cell>
          <cell r="U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</row>
        <row r="88">
          <cell r="C88" t="str">
            <v>S0172</v>
          </cell>
          <cell r="D88" t="str">
            <v>PT Astra International Tbk - NDSO</v>
          </cell>
          <cell r="E88" t="str">
            <v>ID</v>
          </cell>
          <cell r="F88" t="str">
            <v>7ID</v>
          </cell>
          <cell r="G88">
            <v>0.1</v>
          </cell>
          <cell r="H88" t="str">
            <v>N/A</v>
          </cell>
          <cell r="I88">
            <v>0.09</v>
          </cell>
          <cell r="J88">
            <v>10.226553483279499</v>
          </cell>
          <cell r="K88">
            <v>16.339087464276741</v>
          </cell>
          <cell r="P88">
            <v>27661</v>
          </cell>
          <cell r="Q88">
            <v>527316.55553346663</v>
          </cell>
          <cell r="R88">
            <v>44094.92324817006</v>
          </cell>
          <cell r="S88">
            <v>41595.092884091646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Z88">
            <v>27661</v>
          </cell>
        </row>
        <row r="89">
          <cell r="C89" t="str">
            <v>S0172</v>
          </cell>
          <cell r="D89" t="str">
            <v>PT Astra International Tbk - NDSO</v>
          </cell>
          <cell r="E89" t="str">
            <v>LL</v>
          </cell>
          <cell r="F89" t="str">
            <v>7LL</v>
          </cell>
          <cell r="G89">
            <v>0.1</v>
          </cell>
          <cell r="H89" t="str">
            <v>N/A</v>
          </cell>
          <cell r="I89">
            <v>0.09</v>
          </cell>
          <cell r="J89">
            <v>10.226553483279499</v>
          </cell>
          <cell r="K89">
            <v>16.339087464276741</v>
          </cell>
          <cell r="P89">
            <v>552363</v>
          </cell>
          <cell r="Q89">
            <v>1004332.7275712006</v>
          </cell>
          <cell r="R89">
            <v>197632.78078731921</v>
          </cell>
          <cell r="S89">
            <v>229117.66493438088</v>
          </cell>
          <cell r="U89">
            <v>0</v>
          </cell>
          <cell r="W89">
            <v>0</v>
          </cell>
          <cell r="X89">
            <v>0</v>
          </cell>
          <cell r="Y89">
            <v>0</v>
          </cell>
          <cell r="Z89">
            <v>552363</v>
          </cell>
        </row>
        <row r="90">
          <cell r="C90" t="str">
            <v>S0172</v>
          </cell>
          <cell r="D90" t="str">
            <v>PT Astra International Tbk - NDSO</v>
          </cell>
          <cell r="E90" t="str">
            <v>PMK</v>
          </cell>
          <cell r="F90" t="str">
            <v>7PMK</v>
          </cell>
          <cell r="G90">
            <v>0.1</v>
          </cell>
          <cell r="H90" t="str">
            <v>N/A</v>
          </cell>
          <cell r="I90">
            <v>0.09</v>
          </cell>
          <cell r="J90">
            <v>10.226553483279499</v>
          </cell>
          <cell r="K90">
            <v>16.339087464276741</v>
          </cell>
          <cell r="P90">
            <v>641035</v>
          </cell>
          <cell r="Q90">
            <v>740218.86728199653</v>
          </cell>
          <cell r="R90">
            <v>89643.877967954963</v>
          </cell>
          <cell r="S90">
            <v>138292.42000000001</v>
          </cell>
          <cell r="U90">
            <v>0</v>
          </cell>
          <cell r="W90">
            <v>0</v>
          </cell>
          <cell r="X90">
            <v>0</v>
          </cell>
          <cell r="Y90">
            <v>0</v>
          </cell>
          <cell r="Z90">
            <v>641035</v>
          </cell>
        </row>
        <row r="92">
          <cell r="C92" t="str">
            <v>S0174</v>
          </cell>
          <cell r="D92" t="str">
            <v>PT Astra International Tbk - PSO</v>
          </cell>
          <cell r="E92" t="str">
            <v>PEB 1</v>
          </cell>
          <cell r="F92" t="str">
            <v>8PEB 1</v>
          </cell>
          <cell r="G92">
            <v>0.1</v>
          </cell>
          <cell r="H92">
            <v>0.1</v>
          </cell>
          <cell r="I92">
            <v>0.09</v>
          </cell>
          <cell r="J92">
            <v>7.1749017630838683</v>
          </cell>
          <cell r="K92">
            <v>6.9946460229289951</v>
          </cell>
          <cell r="L92">
            <v>39164</v>
          </cell>
          <cell r="N92">
            <v>391008.04399999999</v>
          </cell>
          <cell r="O92">
            <v>48198.048000000003</v>
          </cell>
          <cell r="P92">
            <v>3202307</v>
          </cell>
          <cell r="Q92">
            <v>4467024.304837944</v>
          </cell>
          <cell r="R92">
            <v>186689.72892614905</v>
          </cell>
          <cell r="S92">
            <v>33197.942674171791</v>
          </cell>
          <cell r="U92">
            <v>-2203136</v>
          </cell>
          <cell r="V92">
            <v>3819624.0640000002</v>
          </cell>
          <cell r="W92">
            <v>-53336</v>
          </cell>
          <cell r="X92">
            <v>0</v>
          </cell>
          <cell r="Y92">
            <v>0</v>
          </cell>
          <cell r="Z92">
            <v>945835</v>
          </cell>
          <cell r="AB92">
            <v>0.1</v>
          </cell>
          <cell r="AC92" t="str">
            <v>N/A</v>
          </cell>
          <cell r="AD92">
            <v>0.09</v>
          </cell>
          <cell r="AE92">
            <v>10.196892639674058</v>
          </cell>
          <cell r="AF92">
            <v>15.555901027209853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1230787</v>
          </cell>
          <cell r="AL92">
            <v>1754882.24888968</v>
          </cell>
          <cell r="AM92">
            <v>107777.3187804405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-73596</v>
          </cell>
          <cell r="AS92">
            <v>-529644</v>
          </cell>
          <cell r="AT92">
            <v>28892</v>
          </cell>
          <cell r="AU92">
            <v>627547</v>
          </cell>
          <cell r="AW92">
            <v>0.1</v>
          </cell>
          <cell r="AX92" t="str">
            <v>N/A</v>
          </cell>
          <cell r="AY92">
            <v>0.09</v>
          </cell>
          <cell r="AZ92">
            <v>7.1749017630838683</v>
          </cell>
          <cell r="BA92">
            <v>6.9946460229289951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58772</v>
          </cell>
          <cell r="BN92">
            <v>-15819</v>
          </cell>
          <cell r="BO92">
            <v>10087</v>
          </cell>
          <cell r="BP92">
            <v>42953</v>
          </cell>
          <cell r="BR92">
            <v>0.1</v>
          </cell>
          <cell r="BS92" t="str">
            <v>N/A</v>
          </cell>
          <cell r="BT92">
            <v>0.09</v>
          </cell>
          <cell r="BU92">
            <v>10.220843501164353</v>
          </cell>
          <cell r="BV92">
            <v>17.339495819768363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514492</v>
          </cell>
          <cell r="CB92">
            <v>88661.062388588485</v>
          </cell>
          <cell r="CC92">
            <v>13278.07607778997</v>
          </cell>
          <cell r="CD92">
            <v>36036.510594683787</v>
          </cell>
          <cell r="CE92">
            <v>0</v>
          </cell>
          <cell r="CF92">
            <v>0</v>
          </cell>
          <cell r="CG92">
            <v>0</v>
          </cell>
          <cell r="CH92">
            <v>-43900</v>
          </cell>
          <cell r="CI92">
            <v>-230036</v>
          </cell>
          <cell r="CJ92">
            <v>11474</v>
          </cell>
          <cell r="CK92">
            <v>240556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C92">
            <v>0.1</v>
          </cell>
          <cell r="ED92" t="str">
            <v>N/A</v>
          </cell>
          <cell r="EE92">
            <v>0.09</v>
          </cell>
          <cell r="EF92">
            <v>10.196892639674058</v>
          </cell>
          <cell r="EG92">
            <v>15.555901027209853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120650</v>
          </cell>
          <cell r="EM92">
            <v>172107.79878355449</v>
          </cell>
          <cell r="EN92">
            <v>14140.263436273992</v>
          </cell>
          <cell r="EO92">
            <v>19972.63144918645</v>
          </cell>
          <cell r="EP92">
            <v>0</v>
          </cell>
          <cell r="EQ92">
            <v>0</v>
          </cell>
          <cell r="ER92">
            <v>0</v>
          </cell>
          <cell r="ES92">
            <v>-107681</v>
          </cell>
          <cell r="ET92">
            <v>0</v>
          </cell>
          <cell r="EU92">
            <v>0</v>
          </cell>
          <cell r="EV92">
            <v>12969</v>
          </cell>
          <cell r="EX92">
            <v>0.1</v>
          </cell>
          <cell r="EY92" t="str">
            <v>N/A</v>
          </cell>
          <cell r="EZ92">
            <v>0.09</v>
          </cell>
          <cell r="FA92">
            <v>10.196892639674058</v>
          </cell>
          <cell r="FB92">
            <v>15.555901027209853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504</v>
          </cell>
          <cell r="FH92">
            <v>271682.6472386932</v>
          </cell>
          <cell r="FI92">
            <v>16874.273671963678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-452</v>
          </cell>
          <cell r="FP92">
            <v>25</v>
          </cell>
          <cell r="FQ92">
            <v>52</v>
          </cell>
          <cell r="FS92">
            <v>0.1</v>
          </cell>
          <cell r="FT92" t="str">
            <v>N/A</v>
          </cell>
          <cell r="FU92">
            <v>0.09</v>
          </cell>
          <cell r="FV92">
            <v>10.196892639674058</v>
          </cell>
          <cell r="FW92">
            <v>15.555901027209853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23876</v>
          </cell>
          <cell r="GC92">
            <v>492180.06001101492</v>
          </cell>
          <cell r="GD92">
            <v>35416.857217100878</v>
          </cell>
          <cell r="GE92">
            <v>38838.677556737188</v>
          </cell>
          <cell r="GF92">
            <v>0</v>
          </cell>
          <cell r="GG92">
            <v>0</v>
          </cell>
          <cell r="GH92">
            <v>0</v>
          </cell>
          <cell r="GI92">
            <v>0</v>
          </cell>
          <cell r="GJ92">
            <v>0</v>
          </cell>
          <cell r="GK92">
            <v>0</v>
          </cell>
          <cell r="GL92">
            <v>23876</v>
          </cell>
          <cell r="GN92">
            <v>0.1</v>
          </cell>
          <cell r="GO92" t="str">
            <v>N/A</v>
          </cell>
          <cell r="GP92">
            <v>0.09</v>
          </cell>
          <cell r="GQ92">
            <v>10.196892639674058</v>
          </cell>
          <cell r="GR92">
            <v>15.555901027209853</v>
          </cell>
          <cell r="GS92">
            <v>0</v>
          </cell>
          <cell r="GT92">
            <v>0</v>
          </cell>
          <cell r="GU92">
            <v>0</v>
          </cell>
          <cell r="GV92">
            <v>0</v>
          </cell>
          <cell r="GW92">
            <v>459721</v>
          </cell>
          <cell r="GX92">
            <v>655506.82558236877</v>
          </cell>
          <cell r="GY92">
            <v>172629.92078127072</v>
          </cell>
          <cell r="GZ92">
            <v>242395.77380379595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459721</v>
          </cell>
          <cell r="HI92">
            <v>0.1</v>
          </cell>
          <cell r="HJ92" t="str">
            <v>N/A</v>
          </cell>
          <cell r="HK92">
            <v>0.09</v>
          </cell>
          <cell r="HL92">
            <v>10.196892639674058</v>
          </cell>
          <cell r="HM92">
            <v>15.555901027209853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846734</v>
          </cell>
          <cell r="HS92">
            <v>1149722.2457921843</v>
          </cell>
          <cell r="HT92">
            <v>112676.54647815917</v>
          </cell>
          <cell r="HU92">
            <v>168182.93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  <cell r="IA92">
            <v>0</v>
          </cell>
          <cell r="IB92">
            <v>846734</v>
          </cell>
        </row>
        <row r="93">
          <cell r="C93" t="str">
            <v>S0174</v>
          </cell>
          <cell r="D93" t="str">
            <v>PT Astra International Tbk - PSO</v>
          </cell>
          <cell r="E93" t="str">
            <v>PEB 2</v>
          </cell>
          <cell r="F93" t="str">
            <v>8PEB 2</v>
          </cell>
          <cell r="G93">
            <v>0.1</v>
          </cell>
          <cell r="H93" t="str">
            <v>N/A</v>
          </cell>
          <cell r="I93">
            <v>0.09</v>
          </cell>
          <cell r="J93">
            <v>10.196892639674058</v>
          </cell>
          <cell r="K93">
            <v>15.555901027209853</v>
          </cell>
          <cell r="P93">
            <v>1230787</v>
          </cell>
          <cell r="Q93">
            <v>1754882.24888968</v>
          </cell>
          <cell r="R93">
            <v>107777.3187804405</v>
          </cell>
          <cell r="S93">
            <v>0</v>
          </cell>
          <cell r="U93">
            <v>0</v>
          </cell>
          <cell r="W93">
            <v>-73596</v>
          </cell>
          <cell r="X93">
            <v>-529644</v>
          </cell>
          <cell r="Y93">
            <v>28892</v>
          </cell>
          <cell r="Z93">
            <v>627547</v>
          </cell>
        </row>
        <row r="94">
          <cell r="C94" t="str">
            <v>S0174</v>
          </cell>
          <cell r="D94" t="str">
            <v>PT Astra International Tbk - PSO</v>
          </cell>
          <cell r="E94" t="str">
            <v>PEB 3</v>
          </cell>
          <cell r="F94" t="str">
            <v>8PEB 3</v>
          </cell>
          <cell r="G94">
            <v>0.1</v>
          </cell>
          <cell r="H94" t="str">
            <v>N/A</v>
          </cell>
          <cell r="I94">
            <v>0.09</v>
          </cell>
          <cell r="J94">
            <v>7.1749017630838683</v>
          </cell>
          <cell r="K94">
            <v>6.9946460229289951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U94">
            <v>0</v>
          </cell>
          <cell r="W94">
            <v>58772</v>
          </cell>
          <cell r="X94">
            <v>-15819</v>
          </cell>
          <cell r="Y94">
            <v>10087</v>
          </cell>
          <cell r="Z94">
            <v>42953</v>
          </cell>
        </row>
        <row r="95">
          <cell r="C95" t="str">
            <v>S0174</v>
          </cell>
          <cell r="D95" t="str">
            <v>PT Astra International Tbk - PSO</v>
          </cell>
          <cell r="E95" t="str">
            <v>PEB 4</v>
          </cell>
          <cell r="F95" t="str">
            <v>8PEB 4</v>
          </cell>
          <cell r="G95">
            <v>0.1</v>
          </cell>
          <cell r="H95" t="str">
            <v>N/A</v>
          </cell>
          <cell r="I95">
            <v>0.09</v>
          </cell>
          <cell r="J95">
            <v>10.220843501164353</v>
          </cell>
          <cell r="K95">
            <v>17.339495819768363</v>
          </cell>
          <cell r="P95">
            <v>514492</v>
          </cell>
          <cell r="Q95">
            <v>88661.062388588485</v>
          </cell>
          <cell r="R95">
            <v>13278.07607778997</v>
          </cell>
          <cell r="S95">
            <v>36036.510594683787</v>
          </cell>
          <cell r="U95">
            <v>0</v>
          </cell>
          <cell r="W95">
            <v>-43900</v>
          </cell>
          <cell r="X95">
            <v>-230036</v>
          </cell>
          <cell r="Y95">
            <v>11474</v>
          </cell>
          <cell r="Z95">
            <v>240556</v>
          </cell>
        </row>
        <row r="96">
          <cell r="C96" t="str">
            <v>S0174</v>
          </cell>
          <cell r="D96" t="str">
            <v>PT Astra International Tbk - PSO</v>
          </cell>
          <cell r="E96" t="str">
            <v>PEB 5</v>
          </cell>
          <cell r="F96" t="str">
            <v>8PEB 5</v>
          </cell>
          <cell r="J96">
            <v>0</v>
          </cell>
          <cell r="P96">
            <v>0</v>
          </cell>
          <cell r="U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</row>
        <row r="97">
          <cell r="C97" t="str">
            <v>S0174</v>
          </cell>
          <cell r="D97" t="str">
            <v>PT Astra International Tbk - PSO</v>
          </cell>
          <cell r="E97" t="str">
            <v>PEB 6</v>
          </cell>
          <cell r="F97" t="str">
            <v>8PEB 6</v>
          </cell>
          <cell r="J97">
            <v>0</v>
          </cell>
          <cell r="P97">
            <v>0</v>
          </cell>
          <cell r="U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</row>
        <row r="98">
          <cell r="C98" t="str">
            <v>S0174</v>
          </cell>
          <cell r="D98" t="str">
            <v>PT Astra International Tbk - PSO</v>
          </cell>
          <cell r="E98" t="str">
            <v>PEB 7</v>
          </cell>
          <cell r="F98" t="str">
            <v>8PEB 7</v>
          </cell>
          <cell r="G98">
            <v>0.1</v>
          </cell>
          <cell r="H98" t="str">
            <v>N/A</v>
          </cell>
          <cell r="I98">
            <v>0.09</v>
          </cell>
          <cell r="J98">
            <v>10.196892639674058</v>
          </cell>
          <cell r="K98">
            <v>15.555901027209853</v>
          </cell>
          <cell r="P98">
            <v>120650</v>
          </cell>
          <cell r="Q98">
            <v>172107.79878355449</v>
          </cell>
          <cell r="R98">
            <v>14140.263436273992</v>
          </cell>
          <cell r="S98">
            <v>19972.63144918645</v>
          </cell>
          <cell r="U98">
            <v>0</v>
          </cell>
          <cell r="W98">
            <v>-107681</v>
          </cell>
          <cell r="X98">
            <v>0</v>
          </cell>
          <cell r="Y98">
            <v>0</v>
          </cell>
          <cell r="Z98">
            <v>12969</v>
          </cell>
        </row>
        <row r="99">
          <cell r="C99" t="str">
            <v>S0174</v>
          </cell>
          <cell r="D99" t="str">
            <v>PT Astra International Tbk - PSO</v>
          </cell>
          <cell r="E99" t="str">
            <v>MPP</v>
          </cell>
          <cell r="F99" t="str">
            <v>8MPP</v>
          </cell>
          <cell r="G99">
            <v>0.1</v>
          </cell>
          <cell r="H99" t="str">
            <v>N/A</v>
          </cell>
          <cell r="I99">
            <v>0.09</v>
          </cell>
          <cell r="J99">
            <v>10.196892639674058</v>
          </cell>
          <cell r="K99">
            <v>15.555901027209853</v>
          </cell>
          <cell r="P99">
            <v>504</v>
          </cell>
          <cell r="Q99">
            <v>271682.6472386932</v>
          </cell>
          <cell r="R99">
            <v>16874.273671963678</v>
          </cell>
          <cell r="S99">
            <v>0</v>
          </cell>
          <cell r="U99">
            <v>0</v>
          </cell>
          <cell r="W99">
            <v>0</v>
          </cell>
          <cell r="X99">
            <v>-452</v>
          </cell>
          <cell r="Y99">
            <v>25</v>
          </cell>
          <cell r="Z99">
            <v>52</v>
          </cell>
        </row>
        <row r="100">
          <cell r="C100" t="str">
            <v>S0174</v>
          </cell>
          <cell r="D100" t="str">
            <v>PT Astra International Tbk - PSO</v>
          </cell>
          <cell r="E100" t="str">
            <v>ID</v>
          </cell>
          <cell r="F100" t="str">
            <v>8ID</v>
          </cell>
          <cell r="G100">
            <v>0.1</v>
          </cell>
          <cell r="H100" t="str">
            <v>N/A</v>
          </cell>
          <cell r="I100">
            <v>0.09</v>
          </cell>
          <cell r="J100">
            <v>10.196892639674058</v>
          </cell>
          <cell r="K100">
            <v>15.555901027209853</v>
          </cell>
          <cell r="P100">
            <v>23876</v>
          </cell>
          <cell r="Q100">
            <v>492180.06001101492</v>
          </cell>
          <cell r="R100">
            <v>35416.857217100878</v>
          </cell>
          <cell r="S100">
            <v>38838.677556737188</v>
          </cell>
          <cell r="U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23876</v>
          </cell>
        </row>
        <row r="101">
          <cell r="C101" t="str">
            <v>S0174</v>
          </cell>
          <cell r="D101" t="str">
            <v>PT Astra International Tbk - PSO</v>
          </cell>
          <cell r="E101" t="str">
            <v>LL</v>
          </cell>
          <cell r="F101" t="str">
            <v>8LL</v>
          </cell>
          <cell r="G101">
            <v>0.1</v>
          </cell>
          <cell r="H101" t="str">
            <v>N/A</v>
          </cell>
          <cell r="I101">
            <v>0.09</v>
          </cell>
          <cell r="J101">
            <v>10.196892639674058</v>
          </cell>
          <cell r="K101">
            <v>15.555901027209853</v>
          </cell>
          <cell r="P101">
            <v>459721</v>
          </cell>
          <cell r="Q101">
            <v>655506.82558236877</v>
          </cell>
          <cell r="R101">
            <v>172629.92078127072</v>
          </cell>
          <cell r="S101">
            <v>242395.77380379595</v>
          </cell>
          <cell r="U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459721</v>
          </cell>
        </row>
        <row r="102">
          <cell r="C102" t="str">
            <v>S0174</v>
          </cell>
          <cell r="D102" t="str">
            <v>PT Astra International Tbk - PSO</v>
          </cell>
          <cell r="E102" t="str">
            <v>PMK</v>
          </cell>
          <cell r="F102" t="str">
            <v>8PMK</v>
          </cell>
          <cell r="G102">
            <v>0.1</v>
          </cell>
          <cell r="H102" t="str">
            <v>N/A</v>
          </cell>
          <cell r="I102">
            <v>0.09</v>
          </cell>
          <cell r="J102">
            <v>10.196892639674058</v>
          </cell>
          <cell r="K102">
            <v>15.555901027209853</v>
          </cell>
          <cell r="P102">
            <v>846734</v>
          </cell>
          <cell r="Q102">
            <v>1149722.2457921843</v>
          </cell>
          <cell r="R102">
            <v>112676.54647815917</v>
          </cell>
          <cell r="S102">
            <v>168182.93</v>
          </cell>
          <cell r="U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846734</v>
          </cell>
        </row>
        <row r="104">
          <cell r="C104" t="str">
            <v>S0015</v>
          </cell>
          <cell r="D104" t="str">
            <v>PT Astra International Tbk - SSC</v>
          </cell>
          <cell r="E104" t="str">
            <v>PEB 1</v>
          </cell>
          <cell r="F104" t="str">
            <v>9PEB 1</v>
          </cell>
          <cell r="G104">
            <v>0.1</v>
          </cell>
          <cell r="H104">
            <v>0.1</v>
          </cell>
          <cell r="I104">
            <v>0.09</v>
          </cell>
          <cell r="J104">
            <v>8.1267591015590384</v>
          </cell>
          <cell r="K104">
            <v>8.5394518843485923</v>
          </cell>
          <cell r="L104">
            <v>157317</v>
          </cell>
          <cell r="N104">
            <v>108772.6</v>
          </cell>
          <cell r="O104">
            <v>49536.2</v>
          </cell>
          <cell r="P104">
            <v>3167798</v>
          </cell>
          <cell r="Q104">
            <v>4109906.4571560621</v>
          </cell>
          <cell r="R104">
            <v>187280.26617767094</v>
          </cell>
          <cell r="S104">
            <v>173850.60490054471</v>
          </cell>
          <cell r="U104">
            <v>-6328543</v>
          </cell>
          <cell r="V104">
            <v>9444656.7000000011</v>
          </cell>
          <cell r="W104">
            <v>3497968</v>
          </cell>
          <cell r="X104">
            <v>0</v>
          </cell>
          <cell r="Y104">
            <v>0</v>
          </cell>
          <cell r="Z104">
            <v>337223</v>
          </cell>
          <cell r="AB104">
            <v>0.1</v>
          </cell>
          <cell r="AC104" t="str">
            <v>N/A</v>
          </cell>
          <cell r="AD104">
            <v>0.09</v>
          </cell>
          <cell r="AE104">
            <v>10.462413573701999</v>
          </cell>
          <cell r="AF104">
            <v>16.273411807714908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1456196</v>
          </cell>
          <cell r="AL104">
            <v>2143712.9495662902</v>
          </cell>
          <cell r="AM104">
            <v>150198.41342334851</v>
          </cell>
          <cell r="AN104">
            <v>34760.1</v>
          </cell>
          <cell r="AO104">
            <v>0</v>
          </cell>
          <cell r="AP104">
            <v>0</v>
          </cell>
          <cell r="AQ104">
            <v>0</v>
          </cell>
          <cell r="AR104">
            <v>-689124</v>
          </cell>
          <cell r="AS104">
            <v>-186742</v>
          </cell>
          <cell r="AT104">
            <v>10187</v>
          </cell>
          <cell r="AU104">
            <v>580330</v>
          </cell>
          <cell r="AW104">
            <v>0.1</v>
          </cell>
          <cell r="AX104" t="str">
            <v>N/A</v>
          </cell>
          <cell r="AY104">
            <v>0.09</v>
          </cell>
          <cell r="AZ104">
            <v>8.1267591015590384</v>
          </cell>
          <cell r="BA104">
            <v>8.5394518843485923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2892.4397212188869</v>
          </cell>
          <cell r="BH104">
            <v>140.52455549018336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12936</v>
          </cell>
          <cell r="BP104">
            <v>0</v>
          </cell>
          <cell r="BR104">
            <v>0.1</v>
          </cell>
          <cell r="BS104" t="str">
            <v>N/A</v>
          </cell>
          <cell r="BT104">
            <v>0.09</v>
          </cell>
          <cell r="BU104">
            <v>10.210775188753344</v>
          </cell>
          <cell r="BV104">
            <v>17.618448316126432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818267</v>
          </cell>
          <cell r="CB104">
            <v>299576.11094412167</v>
          </cell>
          <cell r="CC104">
            <v>38323.860141617813</v>
          </cell>
          <cell r="CD104">
            <v>44768.477629372974</v>
          </cell>
          <cell r="CE104">
            <v>0</v>
          </cell>
          <cell r="CF104">
            <v>0</v>
          </cell>
          <cell r="CG104">
            <v>0</v>
          </cell>
          <cell r="CH104">
            <v>-276411</v>
          </cell>
          <cell r="CI104">
            <v>-127872</v>
          </cell>
          <cell r="CJ104">
            <v>7119</v>
          </cell>
          <cell r="CK104">
            <v>413984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C104">
            <v>0.1</v>
          </cell>
          <cell r="ED104" t="str">
            <v>N/A</v>
          </cell>
          <cell r="EE104">
            <v>0.09</v>
          </cell>
          <cell r="EF104">
            <v>10.462413573701999</v>
          </cell>
          <cell r="EG104">
            <v>16.273411807714908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145019</v>
          </cell>
          <cell r="EM104">
            <v>218043.00926404912</v>
          </cell>
          <cell r="EN104">
            <v>21155.766457483009</v>
          </cell>
          <cell r="EO104">
            <v>25347.249718404411</v>
          </cell>
          <cell r="EP104">
            <v>0</v>
          </cell>
          <cell r="EQ104">
            <v>0</v>
          </cell>
          <cell r="ER104">
            <v>0</v>
          </cell>
          <cell r="ES104">
            <v>-143849</v>
          </cell>
          <cell r="ET104">
            <v>0</v>
          </cell>
          <cell r="EU104">
            <v>0</v>
          </cell>
          <cell r="EV104">
            <v>1170</v>
          </cell>
          <cell r="EX104">
            <v>0.1</v>
          </cell>
          <cell r="EY104" t="str">
            <v>N/A</v>
          </cell>
          <cell r="EZ104">
            <v>0.09</v>
          </cell>
          <cell r="FA104">
            <v>10.462413573701999</v>
          </cell>
          <cell r="FB104">
            <v>16.273411807714908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440</v>
          </cell>
          <cell r="FH104">
            <v>328853.22903246683</v>
          </cell>
          <cell r="FI104">
            <v>23273.632308132735</v>
          </cell>
          <cell r="FJ104">
            <v>5214.0150000000003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-387</v>
          </cell>
          <cell r="FP104">
            <v>29</v>
          </cell>
          <cell r="FQ104">
            <v>53</v>
          </cell>
          <cell r="FS104">
            <v>0.1</v>
          </cell>
          <cell r="FT104" t="str">
            <v>N/A</v>
          </cell>
          <cell r="FU104">
            <v>0.09</v>
          </cell>
          <cell r="FV104">
            <v>10.462413573701999</v>
          </cell>
          <cell r="FW104">
            <v>16.273411807714908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28516</v>
          </cell>
          <cell r="GC104">
            <v>622525.1573590429</v>
          </cell>
          <cell r="GD104">
            <v>51865.993031107719</v>
          </cell>
          <cell r="GE104">
            <v>45176.186304315685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28516</v>
          </cell>
          <cell r="GN104">
            <v>0.1</v>
          </cell>
          <cell r="GO104" t="str">
            <v>N/A</v>
          </cell>
          <cell r="GP104">
            <v>0.09</v>
          </cell>
          <cell r="GQ104">
            <v>10.462413573701999</v>
          </cell>
          <cell r="GR104">
            <v>16.273411807714908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277734</v>
          </cell>
          <cell r="GX104">
            <v>1036090.6188715878</v>
          </cell>
          <cell r="GY104">
            <v>230023.69967195197</v>
          </cell>
          <cell r="GZ104">
            <v>270091.38011130801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277734</v>
          </cell>
          <cell r="HI104">
            <v>0.1</v>
          </cell>
          <cell r="HJ104" t="str">
            <v>N/A</v>
          </cell>
          <cell r="HK104">
            <v>0.09</v>
          </cell>
          <cell r="HL104">
            <v>10.462413573701999</v>
          </cell>
          <cell r="HM104">
            <v>16.273411807714908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1041314</v>
          </cell>
          <cell r="HS104">
            <v>1342237.0875079408</v>
          </cell>
          <cell r="HT104">
            <v>158158.93168021325</v>
          </cell>
          <cell r="HU104">
            <v>248470.55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1041314</v>
          </cell>
        </row>
        <row r="105">
          <cell r="C105" t="str">
            <v>S0015</v>
          </cell>
          <cell r="D105" t="str">
            <v>PT Astra International Tbk - SSC</v>
          </cell>
          <cell r="E105" t="str">
            <v>PEB 2</v>
          </cell>
          <cell r="F105" t="str">
            <v>9PEB 2</v>
          </cell>
          <cell r="G105">
            <v>0.1</v>
          </cell>
          <cell r="H105" t="str">
            <v>N/A</v>
          </cell>
          <cell r="I105">
            <v>0.09</v>
          </cell>
          <cell r="J105">
            <v>10.462413573701999</v>
          </cell>
          <cell r="K105">
            <v>16.273411807714908</v>
          </cell>
          <cell r="P105">
            <v>1456196</v>
          </cell>
          <cell r="Q105">
            <v>2143712.9495662902</v>
          </cell>
          <cell r="R105">
            <v>150198.41342334851</v>
          </cell>
          <cell r="S105">
            <v>34760.1</v>
          </cell>
          <cell r="U105">
            <v>0</v>
          </cell>
          <cell r="W105">
            <v>-689124</v>
          </cell>
          <cell r="X105">
            <v>-186742</v>
          </cell>
          <cell r="Y105">
            <v>10187</v>
          </cell>
          <cell r="Z105">
            <v>580330</v>
          </cell>
        </row>
        <row r="106">
          <cell r="C106" t="str">
            <v>S0015</v>
          </cell>
          <cell r="D106" t="str">
            <v>PT Astra International Tbk - SSC</v>
          </cell>
          <cell r="E106" t="str">
            <v>PEB 3</v>
          </cell>
          <cell r="F106" t="str">
            <v>9PEB 3</v>
          </cell>
          <cell r="G106">
            <v>0.1</v>
          </cell>
          <cell r="H106" t="str">
            <v>N/A</v>
          </cell>
          <cell r="I106">
            <v>0.09</v>
          </cell>
          <cell r="J106">
            <v>8.1267591015590384</v>
          </cell>
          <cell r="K106">
            <v>8.5394518843485923</v>
          </cell>
          <cell r="P106">
            <v>0</v>
          </cell>
          <cell r="Q106">
            <v>2892.4397212188869</v>
          </cell>
          <cell r="R106">
            <v>140.52455549018336</v>
          </cell>
          <cell r="S106">
            <v>0</v>
          </cell>
          <cell r="U106">
            <v>0</v>
          </cell>
          <cell r="W106">
            <v>0</v>
          </cell>
          <cell r="X106">
            <v>0</v>
          </cell>
          <cell r="Y106">
            <v>12936</v>
          </cell>
          <cell r="Z106">
            <v>0</v>
          </cell>
        </row>
        <row r="107">
          <cell r="C107" t="str">
            <v>S0015</v>
          </cell>
          <cell r="D107" t="str">
            <v>PT Astra International Tbk - SSC</v>
          </cell>
          <cell r="E107" t="str">
            <v>PEB 4</v>
          </cell>
          <cell r="F107" t="str">
            <v>9PEB 4</v>
          </cell>
          <cell r="G107">
            <v>0.1</v>
          </cell>
          <cell r="H107" t="str">
            <v>N/A</v>
          </cell>
          <cell r="I107">
            <v>0.09</v>
          </cell>
          <cell r="J107">
            <v>10.210775188753344</v>
          </cell>
          <cell r="K107">
            <v>17.618448316126432</v>
          </cell>
          <cell r="P107">
            <v>818267</v>
          </cell>
          <cell r="Q107">
            <v>299576.11094412167</v>
          </cell>
          <cell r="R107">
            <v>38323.860141617813</v>
          </cell>
          <cell r="S107">
            <v>44768.477629372974</v>
          </cell>
          <cell r="U107">
            <v>0</v>
          </cell>
          <cell r="W107">
            <v>-276411</v>
          </cell>
          <cell r="X107">
            <v>-127872</v>
          </cell>
          <cell r="Y107">
            <v>7119</v>
          </cell>
          <cell r="Z107">
            <v>413984</v>
          </cell>
        </row>
        <row r="108">
          <cell r="C108" t="str">
            <v>S0015</v>
          </cell>
          <cell r="D108" t="str">
            <v>PT Astra International Tbk - SSC</v>
          </cell>
          <cell r="E108" t="str">
            <v>PEB 5</v>
          </cell>
          <cell r="F108" t="str">
            <v>9PEB 5</v>
          </cell>
          <cell r="J108">
            <v>0</v>
          </cell>
          <cell r="P108">
            <v>0</v>
          </cell>
          <cell r="U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C109" t="str">
            <v>S0015</v>
          </cell>
          <cell r="D109" t="str">
            <v>PT Astra International Tbk - SSC</v>
          </cell>
          <cell r="E109" t="str">
            <v>PEB 6</v>
          </cell>
          <cell r="F109" t="str">
            <v>9PEB 6</v>
          </cell>
          <cell r="J109">
            <v>0</v>
          </cell>
          <cell r="P109">
            <v>0</v>
          </cell>
          <cell r="U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C110" t="str">
            <v>S0015</v>
          </cell>
          <cell r="D110" t="str">
            <v>PT Astra International Tbk - SSC</v>
          </cell>
          <cell r="E110" t="str">
            <v>PEB 7</v>
          </cell>
          <cell r="F110" t="str">
            <v>9PEB 7</v>
          </cell>
          <cell r="G110">
            <v>0.1</v>
          </cell>
          <cell r="H110" t="str">
            <v>N/A</v>
          </cell>
          <cell r="I110">
            <v>0.09</v>
          </cell>
          <cell r="J110">
            <v>10.462413573701999</v>
          </cell>
          <cell r="K110">
            <v>16.273411807714908</v>
          </cell>
          <cell r="P110">
            <v>145019</v>
          </cell>
          <cell r="Q110">
            <v>218043.00926404912</v>
          </cell>
          <cell r="R110">
            <v>21155.766457483009</v>
          </cell>
          <cell r="S110">
            <v>25347.249718404411</v>
          </cell>
          <cell r="U110">
            <v>0</v>
          </cell>
          <cell r="W110">
            <v>-143849</v>
          </cell>
          <cell r="X110">
            <v>0</v>
          </cell>
          <cell r="Y110">
            <v>0</v>
          </cell>
          <cell r="Z110">
            <v>1170</v>
          </cell>
        </row>
        <row r="111">
          <cell r="C111" t="str">
            <v>S0015</v>
          </cell>
          <cell r="D111" t="str">
            <v>PT Astra International Tbk - SSC</v>
          </cell>
          <cell r="E111" t="str">
            <v>MPP</v>
          </cell>
          <cell r="F111" t="str">
            <v>9MPP</v>
          </cell>
          <cell r="G111">
            <v>0.1</v>
          </cell>
          <cell r="H111" t="str">
            <v>N/A</v>
          </cell>
          <cell r="I111">
            <v>0.09</v>
          </cell>
          <cell r="J111">
            <v>10.462413573701999</v>
          </cell>
          <cell r="K111">
            <v>16.273411807714908</v>
          </cell>
          <cell r="P111">
            <v>440</v>
          </cell>
          <cell r="Q111">
            <v>328853.22903246683</v>
          </cell>
          <cell r="R111">
            <v>23273.632308132735</v>
          </cell>
          <cell r="S111">
            <v>5214.0150000000003</v>
          </cell>
          <cell r="U111">
            <v>0</v>
          </cell>
          <cell r="W111">
            <v>0</v>
          </cell>
          <cell r="X111">
            <v>-387</v>
          </cell>
          <cell r="Y111">
            <v>29</v>
          </cell>
          <cell r="Z111">
            <v>53</v>
          </cell>
        </row>
        <row r="112">
          <cell r="C112" t="str">
            <v>S0015</v>
          </cell>
          <cell r="D112" t="str">
            <v>PT Astra International Tbk - SSC</v>
          </cell>
          <cell r="E112" t="str">
            <v>ID</v>
          </cell>
          <cell r="F112" t="str">
            <v>9ID</v>
          </cell>
          <cell r="G112">
            <v>0.1</v>
          </cell>
          <cell r="H112" t="str">
            <v>N/A</v>
          </cell>
          <cell r="I112">
            <v>0.09</v>
          </cell>
          <cell r="J112">
            <v>10.462413573701999</v>
          </cell>
          <cell r="K112">
            <v>16.273411807714908</v>
          </cell>
          <cell r="P112">
            <v>28516</v>
          </cell>
          <cell r="Q112">
            <v>622525.1573590429</v>
          </cell>
          <cell r="R112">
            <v>51865.993031107719</v>
          </cell>
          <cell r="S112">
            <v>45176.186304315685</v>
          </cell>
          <cell r="U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28516</v>
          </cell>
        </row>
        <row r="113">
          <cell r="C113" t="str">
            <v>S0015</v>
          </cell>
          <cell r="D113" t="str">
            <v>PT Astra International Tbk - SSC</v>
          </cell>
          <cell r="E113" t="str">
            <v>LL</v>
          </cell>
          <cell r="F113" t="str">
            <v>9LL</v>
          </cell>
          <cell r="G113">
            <v>0.1</v>
          </cell>
          <cell r="H113" t="str">
            <v>N/A</v>
          </cell>
          <cell r="I113">
            <v>0.09</v>
          </cell>
          <cell r="J113">
            <v>10.462413573701999</v>
          </cell>
          <cell r="K113">
            <v>16.273411807714908</v>
          </cell>
          <cell r="P113">
            <v>277734</v>
          </cell>
          <cell r="Q113">
            <v>1036090.6188715878</v>
          </cell>
          <cell r="R113">
            <v>230023.69967195197</v>
          </cell>
          <cell r="S113">
            <v>270091.38011130801</v>
          </cell>
          <cell r="U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277734</v>
          </cell>
        </row>
        <row r="114">
          <cell r="C114" t="str">
            <v>S0015</v>
          </cell>
          <cell r="D114" t="str">
            <v>PT Astra International Tbk - SSC</v>
          </cell>
          <cell r="E114" t="str">
            <v>PMK</v>
          </cell>
          <cell r="F114" t="str">
            <v>9PMK</v>
          </cell>
          <cell r="G114">
            <v>0.1</v>
          </cell>
          <cell r="H114" t="str">
            <v>N/A</v>
          </cell>
          <cell r="I114">
            <v>0.09</v>
          </cell>
          <cell r="J114">
            <v>10.462413573701999</v>
          </cell>
          <cell r="K114">
            <v>16.273411807714908</v>
          </cell>
          <cell r="P114">
            <v>1041314</v>
          </cell>
          <cell r="Q114">
            <v>1342237.0875079408</v>
          </cell>
          <cell r="R114">
            <v>158158.93168021325</v>
          </cell>
          <cell r="S114">
            <v>248470.55</v>
          </cell>
          <cell r="U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1041314</v>
          </cell>
        </row>
        <row r="116">
          <cell r="C116" t="str">
            <v>S0002</v>
          </cell>
          <cell r="D116" t="str">
            <v>PT Astra International Tbk - TSO</v>
          </cell>
          <cell r="E116" t="str">
            <v>PEB 1</v>
          </cell>
          <cell r="F116" t="str">
            <v>10PEB 1</v>
          </cell>
          <cell r="G116">
            <v>0.1</v>
          </cell>
          <cell r="H116">
            <v>0.1</v>
          </cell>
          <cell r="I116">
            <v>0.09</v>
          </cell>
          <cell r="J116">
            <v>8.1145854218805855</v>
          </cell>
          <cell r="K116">
            <v>8.7955098450410247</v>
          </cell>
          <cell r="L116">
            <v>4991089</v>
          </cell>
          <cell r="N116">
            <v>9246827.620000001</v>
          </cell>
          <cell r="O116">
            <v>1327941.04</v>
          </cell>
          <cell r="P116">
            <v>90546435</v>
          </cell>
          <cell r="Q116">
            <v>117294748.03890343</v>
          </cell>
          <cell r="R116">
            <v>5037683.9725365769</v>
          </cell>
          <cell r="S116">
            <v>14543969.57826707</v>
          </cell>
          <cell r="U116">
            <v>-67556002</v>
          </cell>
          <cell r="V116">
            <v>110024939.28666668</v>
          </cell>
          <cell r="W116">
            <v>-1091994</v>
          </cell>
          <cell r="X116">
            <v>0</v>
          </cell>
          <cell r="Y116">
            <v>0</v>
          </cell>
          <cell r="Z116">
            <v>21898439</v>
          </cell>
          <cell r="AB116">
            <v>0.1</v>
          </cell>
          <cell r="AC116" t="str">
            <v>N/A</v>
          </cell>
          <cell r="AD116">
            <v>0.09</v>
          </cell>
          <cell r="AE116">
            <v>10.407279047325977</v>
          </cell>
          <cell r="AF116">
            <v>17.648401466431157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30291917</v>
          </cell>
          <cell r="AL116">
            <v>42541320.900593475</v>
          </cell>
          <cell r="AM116">
            <v>2810448.9784598756</v>
          </cell>
          <cell r="AN116">
            <v>3304447.27</v>
          </cell>
          <cell r="AO116">
            <v>0</v>
          </cell>
          <cell r="AP116">
            <v>0</v>
          </cell>
          <cell r="AQ116">
            <v>0</v>
          </cell>
          <cell r="AR116">
            <v>865172</v>
          </cell>
          <cell r="AS116">
            <v>-16006684</v>
          </cell>
          <cell r="AT116">
            <v>873153</v>
          </cell>
          <cell r="AU116">
            <v>15150405</v>
          </cell>
          <cell r="AW116">
            <v>0.1</v>
          </cell>
          <cell r="AX116" t="str">
            <v>N/A</v>
          </cell>
          <cell r="AY116">
            <v>0.09</v>
          </cell>
          <cell r="AZ116">
            <v>8.1145854218805855</v>
          </cell>
          <cell r="BA116">
            <v>8.7955098450410247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6245</v>
          </cell>
          <cell r="BG116">
            <v>295471.77330213296</v>
          </cell>
          <cell r="BH116">
            <v>14917.749352282231</v>
          </cell>
          <cell r="BI116">
            <v>100800.52858666659</v>
          </cell>
          <cell r="BJ116">
            <v>0</v>
          </cell>
          <cell r="BK116">
            <v>0</v>
          </cell>
          <cell r="BL116">
            <v>0</v>
          </cell>
          <cell r="BM116">
            <v>1173323</v>
          </cell>
          <cell r="BN116">
            <v>-263786</v>
          </cell>
          <cell r="BO116">
            <v>324372</v>
          </cell>
          <cell r="BP116">
            <v>915782</v>
          </cell>
          <cell r="BR116">
            <v>0.1</v>
          </cell>
          <cell r="BS116" t="str">
            <v>N/A</v>
          </cell>
          <cell r="BT116">
            <v>0.09</v>
          </cell>
          <cell r="BU116">
            <v>10.19088219609989</v>
          </cell>
          <cell r="BV116">
            <v>19.452359143648046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13593462</v>
          </cell>
          <cell r="CB116">
            <v>5775790.4165279306</v>
          </cell>
          <cell r="CC116">
            <v>762275.25262653502</v>
          </cell>
          <cell r="CD116">
            <v>2936150.5469145849</v>
          </cell>
          <cell r="CE116">
            <v>0</v>
          </cell>
          <cell r="CF116">
            <v>0</v>
          </cell>
          <cell r="CG116">
            <v>0</v>
          </cell>
          <cell r="CH116">
            <v>-3730997</v>
          </cell>
          <cell r="CI116">
            <v>-2790821</v>
          </cell>
          <cell r="CJ116">
            <v>128559</v>
          </cell>
          <cell r="CK116">
            <v>7071644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C116">
            <v>0.1</v>
          </cell>
          <cell r="ED116" t="str">
            <v>N/A</v>
          </cell>
          <cell r="EE116">
            <v>0.09</v>
          </cell>
          <cell r="EF116">
            <v>10.407279047325977</v>
          </cell>
          <cell r="EG116">
            <v>17.648401466431157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2712828</v>
          </cell>
          <cell r="EM116">
            <v>4835871.1808874784</v>
          </cell>
          <cell r="EN116">
            <v>474203.81681443605</v>
          </cell>
          <cell r="EO116">
            <v>545661.08365387795</v>
          </cell>
          <cell r="EP116">
            <v>0</v>
          </cell>
          <cell r="EQ116">
            <v>0</v>
          </cell>
          <cell r="ER116">
            <v>0</v>
          </cell>
          <cell r="ES116">
            <v>-2627288</v>
          </cell>
          <cell r="ET116">
            <v>0</v>
          </cell>
          <cell r="EU116">
            <v>0</v>
          </cell>
          <cell r="EV116">
            <v>85540</v>
          </cell>
          <cell r="EX116">
            <v>0.1</v>
          </cell>
          <cell r="EY116" t="str">
            <v>N/A</v>
          </cell>
          <cell r="EZ116">
            <v>0.09</v>
          </cell>
          <cell r="FA116">
            <v>0</v>
          </cell>
          <cell r="FB116">
            <v>17.648401466431157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6570222.1556643341</v>
          </cell>
          <cell r="FI116">
            <v>438425.23877167661</v>
          </cell>
          <cell r="FJ116">
            <v>581836.005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S116">
            <v>0.1</v>
          </cell>
          <cell r="FT116" t="str">
            <v>N/A</v>
          </cell>
          <cell r="FU116">
            <v>0.09</v>
          </cell>
          <cell r="FV116">
            <v>10.407279047325977</v>
          </cell>
          <cell r="FW116">
            <v>17.648401466431157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716147</v>
          </cell>
          <cell r="GC116">
            <v>11765983.241643386</v>
          </cell>
          <cell r="GD116">
            <v>978226.39578681428</v>
          </cell>
          <cell r="GE116">
            <v>849743.70626439713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716147</v>
          </cell>
          <cell r="GN116">
            <v>0.1</v>
          </cell>
          <cell r="GO116" t="str">
            <v>N/A</v>
          </cell>
          <cell r="GP116">
            <v>0.09</v>
          </cell>
          <cell r="GQ116">
            <v>10.407279047325977</v>
          </cell>
          <cell r="GR116">
            <v>17.648401466431157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12916230</v>
          </cell>
          <cell r="GX116">
            <v>14446400.951795578</v>
          </cell>
          <cell r="GY116">
            <v>4593275.3635117617</v>
          </cell>
          <cell r="GZ116">
            <v>7845308.7725896835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12916230</v>
          </cell>
          <cell r="HI116">
            <v>0.1</v>
          </cell>
          <cell r="HJ116" t="str">
            <v>N/A</v>
          </cell>
          <cell r="HK116">
            <v>0.09</v>
          </cell>
          <cell r="HL116">
            <v>10.407279047325977</v>
          </cell>
          <cell r="HM116">
            <v>17.648401466431157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21451343</v>
          </cell>
          <cell r="HS116">
            <v>28586426.157191701</v>
          </cell>
          <cell r="HT116">
            <v>3308386.9378099814</v>
          </cell>
          <cell r="HU116">
            <v>4816688.7899999795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21451343</v>
          </cell>
        </row>
        <row r="117">
          <cell r="C117" t="str">
            <v>S0002</v>
          </cell>
          <cell r="D117" t="str">
            <v>PT Astra International Tbk - TSO</v>
          </cell>
          <cell r="E117" t="str">
            <v>PEB 2</v>
          </cell>
          <cell r="F117" t="str">
            <v>10PEB 2</v>
          </cell>
          <cell r="G117">
            <v>0.1</v>
          </cell>
          <cell r="H117" t="str">
            <v>N/A</v>
          </cell>
          <cell r="I117">
            <v>0.09</v>
          </cell>
          <cell r="J117">
            <v>10.407279047325977</v>
          </cell>
          <cell r="K117">
            <v>17.648401466431157</v>
          </cell>
          <cell r="P117">
            <v>30291917</v>
          </cell>
          <cell r="Q117">
            <v>42541320.900593475</v>
          </cell>
          <cell r="R117">
            <v>2810448.9784598756</v>
          </cell>
          <cell r="S117">
            <v>3304447.27</v>
          </cell>
          <cell r="U117">
            <v>0</v>
          </cell>
          <cell r="W117">
            <v>865172</v>
          </cell>
          <cell r="X117">
            <v>-16006684</v>
          </cell>
          <cell r="Y117">
            <v>873153</v>
          </cell>
          <cell r="Z117">
            <v>15150405</v>
          </cell>
        </row>
        <row r="118">
          <cell r="C118" t="str">
            <v>S0002</v>
          </cell>
          <cell r="D118" t="str">
            <v>PT Astra International Tbk - TSO</v>
          </cell>
          <cell r="E118" t="str">
            <v>PEB 3</v>
          </cell>
          <cell r="F118" t="str">
            <v>10PEB 3</v>
          </cell>
          <cell r="G118">
            <v>0.1</v>
          </cell>
          <cell r="H118" t="str">
            <v>N/A</v>
          </cell>
          <cell r="I118">
            <v>0.09</v>
          </cell>
          <cell r="J118">
            <v>8.1145854218805855</v>
          </cell>
          <cell r="K118">
            <v>8.7955098450410247</v>
          </cell>
          <cell r="P118">
            <v>6245</v>
          </cell>
          <cell r="Q118">
            <v>295471.77330213296</v>
          </cell>
          <cell r="R118">
            <v>14917.749352282231</v>
          </cell>
          <cell r="S118">
            <v>100800.52858666659</v>
          </cell>
          <cell r="U118">
            <v>0</v>
          </cell>
          <cell r="W118">
            <v>1173323</v>
          </cell>
          <cell r="X118">
            <v>-263786</v>
          </cell>
          <cell r="Y118">
            <v>324372</v>
          </cell>
          <cell r="Z118">
            <v>915782</v>
          </cell>
        </row>
        <row r="119">
          <cell r="C119" t="str">
            <v>S0002</v>
          </cell>
          <cell r="D119" t="str">
            <v>PT Astra International Tbk - TSO</v>
          </cell>
          <cell r="E119" t="str">
            <v>PEB 4</v>
          </cell>
          <cell r="F119" t="str">
            <v>10PEB 4</v>
          </cell>
          <cell r="G119">
            <v>0.1</v>
          </cell>
          <cell r="H119" t="str">
            <v>N/A</v>
          </cell>
          <cell r="I119">
            <v>0.09</v>
          </cell>
          <cell r="J119">
            <v>10.19088219609989</v>
          </cell>
          <cell r="K119">
            <v>19.452359143648046</v>
          </cell>
          <cell r="P119">
            <v>13593462</v>
          </cell>
          <cell r="Q119">
            <v>5775790.4165279306</v>
          </cell>
          <cell r="R119">
            <v>762275.25262653502</v>
          </cell>
          <cell r="S119">
            <v>2936150.5469145849</v>
          </cell>
          <cell r="U119">
            <v>0</v>
          </cell>
          <cell r="W119">
            <v>-3730997</v>
          </cell>
          <cell r="X119">
            <v>-2790821</v>
          </cell>
          <cell r="Y119">
            <v>128559</v>
          </cell>
          <cell r="Z119">
            <v>7071644</v>
          </cell>
        </row>
        <row r="120">
          <cell r="C120" t="str">
            <v>S0002</v>
          </cell>
          <cell r="D120" t="str">
            <v>PT Astra International Tbk - TSO</v>
          </cell>
          <cell r="E120" t="str">
            <v>PEB 5</v>
          </cell>
          <cell r="F120" t="str">
            <v>10PEB 5</v>
          </cell>
          <cell r="J120">
            <v>0</v>
          </cell>
          <cell r="P120">
            <v>0</v>
          </cell>
          <cell r="U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C121" t="str">
            <v>S0002</v>
          </cell>
          <cell r="D121" t="str">
            <v>PT Astra International Tbk - TSO</v>
          </cell>
          <cell r="E121" t="str">
            <v>PEB 6</v>
          </cell>
          <cell r="F121" t="str">
            <v>10PEB 6</v>
          </cell>
          <cell r="J121">
            <v>0</v>
          </cell>
          <cell r="P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</row>
        <row r="122">
          <cell r="C122" t="str">
            <v>S0002</v>
          </cell>
          <cell r="D122" t="str">
            <v>PT Astra International Tbk - TSO</v>
          </cell>
          <cell r="E122" t="str">
            <v>PEB 7</v>
          </cell>
          <cell r="F122" t="str">
            <v>10PEB 7</v>
          </cell>
          <cell r="G122">
            <v>0.1</v>
          </cell>
          <cell r="H122" t="str">
            <v>N/A</v>
          </cell>
          <cell r="I122">
            <v>0.09</v>
          </cell>
          <cell r="J122">
            <v>10.407279047325977</v>
          </cell>
          <cell r="K122">
            <v>17.648401466431157</v>
          </cell>
          <cell r="P122">
            <v>2712828</v>
          </cell>
          <cell r="Q122">
            <v>4835871.1808874784</v>
          </cell>
          <cell r="R122">
            <v>474203.81681443605</v>
          </cell>
          <cell r="S122">
            <v>545661.08365387795</v>
          </cell>
          <cell r="U122">
            <v>0</v>
          </cell>
          <cell r="W122">
            <v>-2627288</v>
          </cell>
          <cell r="X122">
            <v>0</v>
          </cell>
          <cell r="Y122">
            <v>0</v>
          </cell>
          <cell r="Z122">
            <v>85540</v>
          </cell>
        </row>
        <row r="123">
          <cell r="C123" t="str">
            <v>S0002</v>
          </cell>
          <cell r="D123" t="str">
            <v>PT Astra International Tbk - TSO</v>
          </cell>
          <cell r="E123" t="str">
            <v>MPP</v>
          </cell>
          <cell r="F123" t="str">
            <v>10MPP</v>
          </cell>
          <cell r="G123">
            <v>0.1</v>
          </cell>
          <cell r="H123" t="str">
            <v>N/A</v>
          </cell>
          <cell r="I123">
            <v>0.09</v>
          </cell>
          <cell r="J123">
            <v>0</v>
          </cell>
          <cell r="K123">
            <v>17.648401466431157</v>
          </cell>
          <cell r="P123">
            <v>0</v>
          </cell>
          <cell r="Q123">
            <v>6570222.1556643341</v>
          </cell>
          <cell r="R123">
            <v>438425.23877167661</v>
          </cell>
          <cell r="S123">
            <v>581836.005</v>
          </cell>
          <cell r="U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</row>
        <row r="124">
          <cell r="C124" t="str">
            <v>S0002</v>
          </cell>
          <cell r="D124" t="str">
            <v>PT Astra International Tbk - TSO</v>
          </cell>
          <cell r="E124" t="str">
            <v>ID</v>
          </cell>
          <cell r="F124" t="str">
            <v>10ID</v>
          </cell>
          <cell r="G124">
            <v>0.1</v>
          </cell>
          <cell r="H124" t="str">
            <v>N/A</v>
          </cell>
          <cell r="I124">
            <v>0.09</v>
          </cell>
          <cell r="J124">
            <v>10.407279047325977</v>
          </cell>
          <cell r="K124">
            <v>17.648401466431157</v>
          </cell>
          <cell r="P124">
            <v>716147</v>
          </cell>
          <cell r="Q124">
            <v>11765983.241643386</v>
          </cell>
          <cell r="R124">
            <v>978226.39578681428</v>
          </cell>
          <cell r="S124">
            <v>849743.70626439713</v>
          </cell>
          <cell r="U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716147</v>
          </cell>
        </row>
        <row r="125">
          <cell r="C125" t="str">
            <v>S0002</v>
          </cell>
          <cell r="D125" t="str">
            <v>PT Astra International Tbk - TSO</v>
          </cell>
          <cell r="E125" t="str">
            <v>LL</v>
          </cell>
          <cell r="F125" t="str">
            <v>10LL</v>
          </cell>
          <cell r="G125">
            <v>0.1</v>
          </cell>
          <cell r="H125" t="str">
            <v>N/A</v>
          </cell>
          <cell r="I125">
            <v>0.09</v>
          </cell>
          <cell r="J125">
            <v>10.407279047325977</v>
          </cell>
          <cell r="K125">
            <v>17.648401466431157</v>
          </cell>
          <cell r="P125">
            <v>12916230</v>
          </cell>
          <cell r="Q125">
            <v>14446400.951795578</v>
          </cell>
          <cell r="R125">
            <v>4593275.3635117617</v>
          </cell>
          <cell r="S125">
            <v>7845308.7725896835</v>
          </cell>
          <cell r="U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12916230</v>
          </cell>
        </row>
        <row r="126">
          <cell r="C126" t="str">
            <v>S0002</v>
          </cell>
          <cell r="D126" t="str">
            <v>PT Astra International Tbk - TSO</v>
          </cell>
          <cell r="E126" t="str">
            <v>PMK</v>
          </cell>
          <cell r="F126" t="str">
            <v>10PMK</v>
          </cell>
          <cell r="G126">
            <v>0.1</v>
          </cell>
          <cell r="H126" t="str">
            <v>N/A</v>
          </cell>
          <cell r="I126">
            <v>0.09</v>
          </cell>
          <cell r="J126">
            <v>10.407279047325977</v>
          </cell>
          <cell r="K126">
            <v>17.648401466431157</v>
          </cell>
          <cell r="P126">
            <v>21451343</v>
          </cell>
          <cell r="Q126">
            <v>28586426.157191701</v>
          </cell>
          <cell r="R126">
            <v>3308386.9378099814</v>
          </cell>
          <cell r="S126">
            <v>4816688.7899999795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21451343</v>
          </cell>
        </row>
        <row r="128">
          <cell r="C128" t="str">
            <v>A0253</v>
          </cell>
          <cell r="D128" t="str">
            <v>PT Agro Menara Rahmat</v>
          </cell>
          <cell r="E128" t="str">
            <v>PEB 1</v>
          </cell>
          <cell r="F128" t="str">
            <v>11PEB 1</v>
          </cell>
          <cell r="J128">
            <v>0</v>
          </cell>
          <cell r="N128">
            <v>0</v>
          </cell>
          <cell r="O128">
            <v>0</v>
          </cell>
          <cell r="P128">
            <v>0</v>
          </cell>
          <cell r="Q128" t="str">
            <v xml:space="preserve"> </v>
          </cell>
          <cell r="R128" t="str">
            <v xml:space="preserve"> </v>
          </cell>
          <cell r="S128" t="str">
            <v xml:space="preserve"> 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10.032924137149166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767577</v>
          </cell>
          <cell r="AL128">
            <v>1007994.6193097207</v>
          </cell>
          <cell r="AM128">
            <v>153177.49622435644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-355900</v>
          </cell>
          <cell r="AS128">
            <v>0</v>
          </cell>
          <cell r="AT128">
            <v>0</v>
          </cell>
          <cell r="AU128">
            <v>411677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 t="str">
            <v xml:space="preserve"> </v>
          </cell>
          <cell r="BH128" t="str">
            <v xml:space="preserve"> </v>
          </cell>
          <cell r="BI128" t="str">
            <v xml:space="preserve"> 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10.01641199547886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1531373</v>
          </cell>
          <cell r="CB128">
            <v>1762233.2492823061</v>
          </cell>
          <cell r="CC128">
            <v>302448.69638132653</v>
          </cell>
          <cell r="CD128">
            <v>22487.709126317583</v>
          </cell>
          <cell r="CE128">
            <v>0</v>
          </cell>
          <cell r="CF128">
            <v>0</v>
          </cell>
          <cell r="CG128">
            <v>0</v>
          </cell>
          <cell r="CH128">
            <v>-1071742</v>
          </cell>
          <cell r="CI128">
            <v>-204177</v>
          </cell>
          <cell r="CJ128">
            <v>12640</v>
          </cell>
          <cell r="CK128">
            <v>255454</v>
          </cell>
          <cell r="CM128">
            <v>0</v>
          </cell>
          <cell r="CN128">
            <v>0</v>
          </cell>
          <cell r="CO128">
            <v>0</v>
          </cell>
          <cell r="CP128">
            <v>9.5841113887331684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24100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873897</v>
          </cell>
          <cell r="DD128">
            <v>0</v>
          </cell>
          <cell r="DE128">
            <v>0</v>
          </cell>
          <cell r="DF128">
            <v>897997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10.032924137149166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92329</v>
          </cell>
          <cell r="EM128">
            <v>155102.96466321155</v>
          </cell>
          <cell r="EN128">
            <v>32140.664335669364</v>
          </cell>
          <cell r="EO128">
            <v>14550.062367308881</v>
          </cell>
          <cell r="EP128">
            <v>0</v>
          </cell>
          <cell r="EQ128">
            <v>0</v>
          </cell>
          <cell r="ER128">
            <v>0</v>
          </cell>
          <cell r="ES128">
            <v>-81778</v>
          </cell>
          <cell r="ET128">
            <v>0</v>
          </cell>
          <cell r="EU128">
            <v>0</v>
          </cell>
          <cell r="EV128">
            <v>10551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177916.7219261392</v>
          </cell>
          <cell r="FI128">
            <v>28239.682128262481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10.032924137149166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14023</v>
          </cell>
          <cell r="GC128">
            <v>394971.66030310467</v>
          </cell>
          <cell r="GD128">
            <v>72629.51156585601</v>
          </cell>
          <cell r="GE128">
            <v>24884.939103801018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14023</v>
          </cell>
          <cell r="GN128">
            <v>0</v>
          </cell>
          <cell r="GO128">
            <v>0</v>
          </cell>
          <cell r="GP128">
            <v>0</v>
          </cell>
          <cell r="GQ128">
            <v>10.032924137149166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573175</v>
          </cell>
          <cell r="GX128">
            <v>593815.79464943882</v>
          </cell>
          <cell r="GY128">
            <v>250531.34076286104</v>
          </cell>
          <cell r="GZ128">
            <v>225022.14243421174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573175</v>
          </cell>
          <cell r="HI128">
            <v>0</v>
          </cell>
          <cell r="HJ128">
            <v>0</v>
          </cell>
          <cell r="HK128">
            <v>0</v>
          </cell>
          <cell r="HL128">
            <v>10.032924137149166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314080</v>
          </cell>
          <cell r="HS128">
            <v>576349.15401867544</v>
          </cell>
          <cell r="HT128">
            <v>121160.28264441309</v>
          </cell>
          <cell r="HU128">
            <v>37800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314080</v>
          </cell>
        </row>
        <row r="129">
          <cell r="C129" t="str">
            <v>A0253</v>
          </cell>
          <cell r="D129" t="str">
            <v>PT Agro Menara Rahmat</v>
          </cell>
          <cell r="E129" t="str">
            <v>PEB 2</v>
          </cell>
          <cell r="F129" t="str">
            <v>11PEB 2</v>
          </cell>
          <cell r="J129">
            <v>10.032924137149166</v>
          </cell>
          <cell r="P129">
            <v>767577</v>
          </cell>
          <cell r="Q129">
            <v>1007994.6193097207</v>
          </cell>
          <cell r="R129">
            <v>153177.49622435644</v>
          </cell>
          <cell r="S129">
            <v>0</v>
          </cell>
          <cell r="U129">
            <v>0</v>
          </cell>
          <cell r="W129">
            <v>-355900</v>
          </cell>
          <cell r="X129">
            <v>0</v>
          </cell>
          <cell r="Y129">
            <v>0</v>
          </cell>
          <cell r="Z129">
            <v>411677</v>
          </cell>
        </row>
        <row r="130">
          <cell r="C130" t="str">
            <v>A0253</v>
          </cell>
          <cell r="D130" t="str">
            <v>PT Agro Menara Rahmat</v>
          </cell>
          <cell r="E130" t="str">
            <v>PEB 3</v>
          </cell>
          <cell r="F130" t="str">
            <v>11PEB 3</v>
          </cell>
          <cell r="J130">
            <v>0</v>
          </cell>
          <cell r="P130">
            <v>0</v>
          </cell>
          <cell r="Q130" t="str">
            <v xml:space="preserve"> </v>
          </cell>
          <cell r="R130" t="str">
            <v xml:space="preserve"> </v>
          </cell>
          <cell r="S130" t="str">
            <v xml:space="preserve"> </v>
          </cell>
          <cell r="U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1">
          <cell r="C131" t="str">
            <v>A0253</v>
          </cell>
          <cell r="D131" t="str">
            <v>PT Agro Menara Rahmat</v>
          </cell>
          <cell r="E131" t="str">
            <v>PEB 4</v>
          </cell>
          <cell r="F131" t="str">
            <v>11PEB 4</v>
          </cell>
          <cell r="J131">
            <v>10.01641199547886</v>
          </cell>
          <cell r="P131">
            <v>1531373</v>
          </cell>
          <cell r="Q131">
            <v>1762233.2492823061</v>
          </cell>
          <cell r="R131">
            <v>302448.69638132653</v>
          </cell>
          <cell r="S131">
            <v>22487.709126317583</v>
          </cell>
          <cell r="U131">
            <v>0</v>
          </cell>
          <cell r="W131">
            <v>-1071742</v>
          </cell>
          <cell r="X131">
            <v>-204177</v>
          </cell>
          <cell r="Y131">
            <v>12640</v>
          </cell>
          <cell r="Z131">
            <v>255454</v>
          </cell>
        </row>
        <row r="132">
          <cell r="C132" t="str">
            <v>A0253</v>
          </cell>
          <cell r="D132" t="str">
            <v>PT Agro Menara Rahmat</v>
          </cell>
          <cell r="E132" t="str">
            <v>PEB 5</v>
          </cell>
          <cell r="F132" t="str">
            <v>11PEB 5</v>
          </cell>
          <cell r="J132">
            <v>9.5841113887331684</v>
          </cell>
          <cell r="P132">
            <v>24100</v>
          </cell>
          <cell r="U132">
            <v>0</v>
          </cell>
          <cell r="W132">
            <v>873897</v>
          </cell>
          <cell r="X132">
            <v>0</v>
          </cell>
          <cell r="Y132">
            <v>0</v>
          </cell>
          <cell r="Z132">
            <v>897997</v>
          </cell>
        </row>
        <row r="133">
          <cell r="C133" t="str">
            <v>A0253</v>
          </cell>
          <cell r="D133" t="str">
            <v>PT Agro Menara Rahmat</v>
          </cell>
          <cell r="E133" t="str">
            <v>PEB 6</v>
          </cell>
          <cell r="F133" t="str">
            <v>11PEB 6</v>
          </cell>
          <cell r="J133">
            <v>0</v>
          </cell>
          <cell r="P133">
            <v>0</v>
          </cell>
          <cell r="U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</row>
        <row r="134">
          <cell r="C134" t="str">
            <v>A0253</v>
          </cell>
          <cell r="D134" t="str">
            <v>PT Agro Menara Rahmat</v>
          </cell>
          <cell r="E134" t="str">
            <v>PEB 7</v>
          </cell>
          <cell r="F134" t="str">
            <v>11PEB 7</v>
          </cell>
          <cell r="J134">
            <v>10.032924137149166</v>
          </cell>
          <cell r="P134">
            <v>92329</v>
          </cell>
          <cell r="Q134">
            <v>155102.96466321155</v>
          </cell>
          <cell r="R134">
            <v>32140.664335669364</v>
          </cell>
          <cell r="S134">
            <v>14550.062367308881</v>
          </cell>
          <cell r="U134">
            <v>0</v>
          </cell>
          <cell r="W134">
            <v>-81778</v>
          </cell>
          <cell r="X134">
            <v>0</v>
          </cell>
          <cell r="Y134">
            <v>0</v>
          </cell>
          <cell r="Z134">
            <v>10551</v>
          </cell>
        </row>
        <row r="135">
          <cell r="C135" t="str">
            <v>A0253</v>
          </cell>
          <cell r="D135" t="str">
            <v>PT Agro Menara Rahmat</v>
          </cell>
          <cell r="E135" t="str">
            <v>MPP</v>
          </cell>
          <cell r="F135" t="str">
            <v>11MPP</v>
          </cell>
          <cell r="J135">
            <v>0</v>
          </cell>
          <cell r="P135">
            <v>0</v>
          </cell>
          <cell r="Q135">
            <v>177916.7219261392</v>
          </cell>
          <cell r="R135">
            <v>28239.682128262481</v>
          </cell>
          <cell r="S135">
            <v>0</v>
          </cell>
          <cell r="U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C136" t="str">
            <v>A0253</v>
          </cell>
          <cell r="D136" t="str">
            <v>PT Agro Menara Rahmat</v>
          </cell>
          <cell r="E136" t="str">
            <v>ID</v>
          </cell>
          <cell r="F136" t="str">
            <v>11ID</v>
          </cell>
          <cell r="J136">
            <v>10.032924137149166</v>
          </cell>
          <cell r="P136">
            <v>14023</v>
          </cell>
          <cell r="Q136">
            <v>394971.66030310467</v>
          </cell>
          <cell r="R136">
            <v>72629.51156585601</v>
          </cell>
          <cell r="S136">
            <v>24884.939103801018</v>
          </cell>
          <cell r="U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14023</v>
          </cell>
        </row>
        <row r="137">
          <cell r="C137" t="str">
            <v>A0253</v>
          </cell>
          <cell r="D137" t="str">
            <v>PT Agro Menara Rahmat</v>
          </cell>
          <cell r="E137" t="str">
            <v>LL</v>
          </cell>
          <cell r="F137" t="str">
            <v>11LL</v>
          </cell>
          <cell r="J137">
            <v>10.032924137149166</v>
          </cell>
          <cell r="P137">
            <v>573175</v>
          </cell>
          <cell r="Q137">
            <v>593815.79464943882</v>
          </cell>
          <cell r="R137">
            <v>250531.34076286104</v>
          </cell>
          <cell r="S137">
            <v>225022.14243421174</v>
          </cell>
          <cell r="U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573175</v>
          </cell>
        </row>
        <row r="138">
          <cell r="C138" t="str">
            <v>A0253</v>
          </cell>
          <cell r="D138" t="str">
            <v>PT Agro Menara Rahmat</v>
          </cell>
          <cell r="E138" t="str">
            <v>PMK</v>
          </cell>
          <cell r="F138" t="str">
            <v>11PMK</v>
          </cell>
          <cell r="J138">
            <v>10.032924137149166</v>
          </cell>
          <cell r="P138">
            <v>314080</v>
          </cell>
          <cell r="Q138">
            <v>576349.15401867544</v>
          </cell>
          <cell r="R138">
            <v>121160.28264441309</v>
          </cell>
          <cell r="S138">
            <v>37800</v>
          </cell>
          <cell r="U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314080</v>
          </cell>
        </row>
        <row r="140">
          <cell r="C140" t="str">
            <v>A0438</v>
          </cell>
          <cell r="D140" t="str">
            <v>PT Agro Nusa Abadi</v>
          </cell>
          <cell r="E140" t="str">
            <v>PEB 1</v>
          </cell>
          <cell r="F140" t="str">
            <v>12PEB 1</v>
          </cell>
          <cell r="J140">
            <v>0</v>
          </cell>
          <cell r="N140">
            <v>0</v>
          </cell>
          <cell r="O140">
            <v>0</v>
          </cell>
          <cell r="P140">
            <v>0</v>
          </cell>
          <cell r="Q140" t="str">
            <v xml:space="preserve"> </v>
          </cell>
          <cell r="R140" t="str">
            <v xml:space="preserve"> </v>
          </cell>
          <cell r="S140" t="str">
            <v xml:space="preserve"> 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9.5838889937595333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312330</v>
          </cell>
          <cell r="AL140">
            <v>254446.87114966032</v>
          </cell>
          <cell r="AM140">
            <v>60057.194926417935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-53344</v>
          </cell>
          <cell r="AS140">
            <v>0</v>
          </cell>
          <cell r="AT140">
            <v>0</v>
          </cell>
          <cell r="AU140">
            <v>258986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 t="str">
            <v xml:space="preserve"> </v>
          </cell>
          <cell r="BH140" t="str">
            <v xml:space="preserve"> </v>
          </cell>
          <cell r="BI140" t="str">
            <v xml:space="preserve"> 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9.7079913997219567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491789</v>
          </cell>
          <cell r="CB140">
            <v>932113.34671185282</v>
          </cell>
          <cell r="CC140">
            <v>256624.05826343715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-219677</v>
          </cell>
          <cell r="CI140">
            <v>0</v>
          </cell>
          <cell r="CJ140">
            <v>0</v>
          </cell>
          <cell r="CK140">
            <v>272112</v>
          </cell>
          <cell r="CM140">
            <v>0</v>
          </cell>
          <cell r="CN140">
            <v>0</v>
          </cell>
          <cell r="CO140">
            <v>0</v>
          </cell>
          <cell r="CP140">
            <v>0.97291552259999992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41436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47814</v>
          </cell>
          <cell r="DD140">
            <v>0</v>
          </cell>
          <cell r="DE140">
            <v>0</v>
          </cell>
          <cell r="DF140">
            <v>89250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9.5838889937595333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34240</v>
          </cell>
          <cell r="EM140">
            <v>43724.462061040555</v>
          </cell>
          <cell r="EN140">
            <v>14342.809242382928</v>
          </cell>
          <cell r="EO140">
            <v>2506.1848807238966</v>
          </cell>
          <cell r="EP140">
            <v>0</v>
          </cell>
          <cell r="EQ140">
            <v>0</v>
          </cell>
          <cell r="ER140">
            <v>0</v>
          </cell>
          <cell r="ES140">
            <v>1619</v>
          </cell>
          <cell r="ET140">
            <v>0</v>
          </cell>
          <cell r="EU140">
            <v>0</v>
          </cell>
          <cell r="EV140">
            <v>35859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44813.434038388077</v>
          </cell>
          <cell r="FI140">
            <v>12064.074560729649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9.5838889937595333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5524</v>
          </cell>
          <cell r="GC140">
            <v>109650.09296680547</v>
          </cell>
          <cell r="GD140">
            <v>32179.739983014377</v>
          </cell>
          <cell r="GE140">
            <v>5702.728106552594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5524</v>
          </cell>
          <cell r="GN140">
            <v>0</v>
          </cell>
          <cell r="GO140">
            <v>0</v>
          </cell>
          <cell r="GP140">
            <v>0</v>
          </cell>
          <cell r="GQ140">
            <v>9.5838889937595333</v>
          </cell>
          <cell r="GR140">
            <v>0</v>
          </cell>
          <cell r="GS140">
            <v>0</v>
          </cell>
          <cell r="GT140">
            <v>0</v>
          </cell>
          <cell r="GU140">
            <v>0</v>
          </cell>
          <cell r="GV140">
            <v>0</v>
          </cell>
          <cell r="GW140">
            <v>174523</v>
          </cell>
          <cell r="GX140">
            <v>216775.24604809386</v>
          </cell>
          <cell r="GY140">
            <v>102813.03306217841</v>
          </cell>
          <cell r="GZ140">
            <v>55556.708292613381</v>
          </cell>
          <cell r="HA140">
            <v>0</v>
          </cell>
          <cell r="HB140">
            <v>0</v>
          </cell>
          <cell r="HC140">
            <v>0</v>
          </cell>
          <cell r="HD140">
            <v>0</v>
          </cell>
          <cell r="HE140">
            <v>0</v>
          </cell>
          <cell r="HF140">
            <v>0</v>
          </cell>
          <cell r="HG140">
            <v>174523</v>
          </cell>
          <cell r="HI140">
            <v>0</v>
          </cell>
          <cell r="HJ140">
            <v>0</v>
          </cell>
          <cell r="HK140">
            <v>0</v>
          </cell>
          <cell r="HL140">
            <v>9.5838889937595333</v>
          </cell>
          <cell r="HM140">
            <v>0</v>
          </cell>
          <cell r="HN140">
            <v>0</v>
          </cell>
          <cell r="HO140">
            <v>0</v>
          </cell>
          <cell r="HP140">
            <v>0</v>
          </cell>
          <cell r="HQ140">
            <v>0</v>
          </cell>
          <cell r="HR140">
            <v>44452</v>
          </cell>
          <cell r="HS140">
            <v>98079.542187319661</v>
          </cell>
          <cell r="HT140">
            <v>32250.331953404584</v>
          </cell>
          <cell r="HU140">
            <v>6300</v>
          </cell>
          <cell r="HV140">
            <v>0</v>
          </cell>
          <cell r="HW140">
            <v>0</v>
          </cell>
          <cell r="HX140">
            <v>0</v>
          </cell>
          <cell r="HY140">
            <v>0</v>
          </cell>
          <cell r="HZ140">
            <v>0</v>
          </cell>
          <cell r="IA140">
            <v>0</v>
          </cell>
          <cell r="IB140">
            <v>44452</v>
          </cell>
        </row>
        <row r="141">
          <cell r="C141" t="str">
            <v>A0438</v>
          </cell>
          <cell r="D141" t="str">
            <v>PT Agro Nusa Abadi</v>
          </cell>
          <cell r="E141" t="str">
            <v>PEB 2</v>
          </cell>
          <cell r="F141" t="str">
            <v>12PEB 2</v>
          </cell>
          <cell r="J141">
            <v>9.5838889937595333</v>
          </cell>
          <cell r="P141">
            <v>312330</v>
          </cell>
          <cell r="Q141">
            <v>254446.87114966032</v>
          </cell>
          <cell r="R141">
            <v>60057.194926417935</v>
          </cell>
          <cell r="S141">
            <v>0</v>
          </cell>
          <cell r="U141">
            <v>0</v>
          </cell>
          <cell r="W141">
            <v>-53344</v>
          </cell>
          <cell r="X141">
            <v>0</v>
          </cell>
          <cell r="Y141">
            <v>0</v>
          </cell>
          <cell r="Z141">
            <v>258986</v>
          </cell>
        </row>
        <row r="142">
          <cell r="C142" t="str">
            <v>A0438</v>
          </cell>
          <cell r="D142" t="str">
            <v>PT Agro Nusa Abadi</v>
          </cell>
          <cell r="E142" t="str">
            <v>PEB 3</v>
          </cell>
          <cell r="F142" t="str">
            <v>12PEB 3</v>
          </cell>
          <cell r="J142">
            <v>0</v>
          </cell>
          <cell r="P142">
            <v>0</v>
          </cell>
          <cell r="Q142" t="str">
            <v xml:space="preserve"> </v>
          </cell>
          <cell r="R142" t="str">
            <v xml:space="preserve"> </v>
          </cell>
          <cell r="S142" t="str">
            <v xml:space="preserve"> </v>
          </cell>
          <cell r="U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</row>
        <row r="143">
          <cell r="C143" t="str">
            <v>A0438</v>
          </cell>
          <cell r="D143" t="str">
            <v>PT Agro Nusa Abadi</v>
          </cell>
          <cell r="E143" t="str">
            <v>PEB 4</v>
          </cell>
          <cell r="F143" t="str">
            <v>12PEB 4</v>
          </cell>
          <cell r="J143">
            <v>9.7079913997219567</v>
          </cell>
          <cell r="P143">
            <v>491789</v>
          </cell>
          <cell r="Q143">
            <v>932113.34671185282</v>
          </cell>
          <cell r="R143">
            <v>256624.05826343715</v>
          </cell>
          <cell r="S143">
            <v>0</v>
          </cell>
          <cell r="U143">
            <v>0</v>
          </cell>
          <cell r="W143">
            <v>-219677</v>
          </cell>
          <cell r="X143">
            <v>0</v>
          </cell>
          <cell r="Y143">
            <v>0</v>
          </cell>
          <cell r="Z143">
            <v>272112</v>
          </cell>
        </row>
        <row r="144">
          <cell r="C144" t="str">
            <v>A0438</v>
          </cell>
          <cell r="D144" t="str">
            <v>PT Agro Nusa Abadi</v>
          </cell>
          <cell r="E144" t="str">
            <v>PEB 5</v>
          </cell>
          <cell r="F144" t="str">
            <v>12PEB 5</v>
          </cell>
          <cell r="J144">
            <v>0.97291552259999992</v>
          </cell>
          <cell r="P144">
            <v>41436</v>
          </cell>
          <cell r="U144">
            <v>0</v>
          </cell>
          <cell r="W144">
            <v>47814</v>
          </cell>
          <cell r="X144">
            <v>0</v>
          </cell>
          <cell r="Y144">
            <v>0</v>
          </cell>
          <cell r="Z144">
            <v>89250</v>
          </cell>
        </row>
        <row r="145">
          <cell r="C145" t="str">
            <v>A0438</v>
          </cell>
          <cell r="D145" t="str">
            <v>PT Agro Nusa Abadi</v>
          </cell>
          <cell r="E145" t="str">
            <v>PEB 6</v>
          </cell>
          <cell r="F145" t="str">
            <v>12PEB 6</v>
          </cell>
          <cell r="J145">
            <v>0</v>
          </cell>
          <cell r="P145">
            <v>0</v>
          </cell>
          <cell r="U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</row>
        <row r="146">
          <cell r="C146" t="str">
            <v>A0438</v>
          </cell>
          <cell r="D146" t="str">
            <v>PT Agro Nusa Abadi</v>
          </cell>
          <cell r="E146" t="str">
            <v>PEB 7</v>
          </cell>
          <cell r="F146" t="str">
            <v>12PEB 7</v>
          </cell>
          <cell r="J146">
            <v>9.5838889937595333</v>
          </cell>
          <cell r="P146">
            <v>34240</v>
          </cell>
          <cell r="Q146">
            <v>43724.462061040555</v>
          </cell>
          <cell r="R146">
            <v>14342.809242382928</v>
          </cell>
          <cell r="S146">
            <v>2506.1848807238966</v>
          </cell>
          <cell r="U146">
            <v>0</v>
          </cell>
          <cell r="W146">
            <v>1619</v>
          </cell>
          <cell r="X146">
            <v>0</v>
          </cell>
          <cell r="Y146">
            <v>0</v>
          </cell>
          <cell r="Z146">
            <v>35859</v>
          </cell>
        </row>
        <row r="147">
          <cell r="C147" t="str">
            <v>A0438</v>
          </cell>
          <cell r="D147" t="str">
            <v>PT Agro Nusa Abadi</v>
          </cell>
          <cell r="E147" t="str">
            <v>MPP</v>
          </cell>
          <cell r="F147" t="str">
            <v>12MPP</v>
          </cell>
          <cell r="J147">
            <v>0</v>
          </cell>
          <cell r="P147">
            <v>0</v>
          </cell>
          <cell r="Q147">
            <v>44813.434038388077</v>
          </cell>
          <cell r="R147">
            <v>12064.074560729649</v>
          </cell>
          <cell r="S147">
            <v>0</v>
          </cell>
          <cell r="U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</row>
        <row r="148">
          <cell r="C148" t="str">
            <v>A0438</v>
          </cell>
          <cell r="D148" t="str">
            <v>PT Agro Nusa Abadi</v>
          </cell>
          <cell r="E148" t="str">
            <v>ID</v>
          </cell>
          <cell r="F148" t="str">
            <v>12ID</v>
          </cell>
          <cell r="J148">
            <v>9.5838889937595333</v>
          </cell>
          <cell r="P148">
            <v>5524</v>
          </cell>
          <cell r="Q148">
            <v>109650.09296680547</v>
          </cell>
          <cell r="R148">
            <v>32179.739983014377</v>
          </cell>
          <cell r="S148">
            <v>5702.728106552594</v>
          </cell>
          <cell r="U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5524</v>
          </cell>
        </row>
        <row r="149">
          <cell r="C149" t="str">
            <v>A0438</v>
          </cell>
          <cell r="D149" t="str">
            <v>PT Agro Nusa Abadi</v>
          </cell>
          <cell r="E149" t="str">
            <v>LL</v>
          </cell>
          <cell r="F149" t="str">
            <v>12LL</v>
          </cell>
          <cell r="J149">
            <v>9.5838889937595333</v>
          </cell>
          <cell r="P149">
            <v>174523</v>
          </cell>
          <cell r="Q149">
            <v>216775.24604809386</v>
          </cell>
          <cell r="R149">
            <v>102813.03306217841</v>
          </cell>
          <cell r="S149">
            <v>55556.708292613381</v>
          </cell>
          <cell r="U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174523</v>
          </cell>
        </row>
        <row r="150">
          <cell r="C150" t="str">
            <v>A0438</v>
          </cell>
          <cell r="D150" t="str">
            <v>PT Agro Nusa Abadi</v>
          </cell>
          <cell r="E150" t="str">
            <v>PMK</v>
          </cell>
          <cell r="F150" t="str">
            <v>12PMK</v>
          </cell>
          <cell r="J150">
            <v>9.5838889937595333</v>
          </cell>
          <cell r="P150">
            <v>44452</v>
          </cell>
          <cell r="Q150">
            <v>98079.542187319661</v>
          </cell>
          <cell r="R150">
            <v>32250.331953404584</v>
          </cell>
          <cell r="S150">
            <v>6300</v>
          </cell>
          <cell r="U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44452</v>
          </cell>
        </row>
        <row r="152">
          <cell r="C152" t="str">
            <v>A0049</v>
          </cell>
          <cell r="D152" t="str">
            <v>PT Aisin Indonesia</v>
          </cell>
          <cell r="E152" t="str">
            <v>PEB 1</v>
          </cell>
          <cell r="F152" t="str">
            <v>13PEB 1</v>
          </cell>
          <cell r="G152">
            <v>0.1</v>
          </cell>
          <cell r="H152">
            <v>0.1</v>
          </cell>
          <cell r="I152">
            <v>0.09</v>
          </cell>
          <cell r="J152">
            <v>10.298809893089484</v>
          </cell>
          <cell r="K152">
            <v>10.576647196279399</v>
          </cell>
          <cell r="L152">
            <v>269184</v>
          </cell>
          <cell r="N152">
            <v>1644958.2</v>
          </cell>
          <cell r="O152">
            <v>144496.03200000001</v>
          </cell>
          <cell r="P152">
            <v>9143896.7087463681</v>
          </cell>
          <cell r="Q152">
            <v>10199762.181470092</v>
          </cell>
          <cell r="R152">
            <v>539084.20627847407</v>
          </cell>
          <cell r="S152">
            <v>55147.207470768626</v>
          </cell>
          <cell r="U152">
            <v>-5468477.3514343025</v>
          </cell>
          <cell r="V152">
            <v>9584555.5106666684</v>
          </cell>
          <cell r="W152">
            <v>-3614652.1279424746</v>
          </cell>
          <cell r="X152">
            <v>0</v>
          </cell>
          <cell r="Y152">
            <v>0</v>
          </cell>
          <cell r="Z152">
            <v>60767.229369591711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W152">
            <v>0.1</v>
          </cell>
          <cell r="AX152">
            <v>0</v>
          </cell>
          <cell r="AY152">
            <v>0.09</v>
          </cell>
          <cell r="AZ152">
            <v>18.554164496268744</v>
          </cell>
          <cell r="BA152">
            <v>10.576647196279399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555888.55433229345</v>
          </cell>
          <cell r="BG152">
            <v>181050.56173360295</v>
          </cell>
          <cell r="BH152">
            <v>70713.535410184108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669420.92494392453</v>
          </cell>
          <cell r="BN152">
            <v>-123959.53518989048</v>
          </cell>
          <cell r="BO152">
            <v>34394.731415891139</v>
          </cell>
          <cell r="BP152">
            <v>1101349.9440863275</v>
          </cell>
          <cell r="BR152">
            <v>0.1</v>
          </cell>
          <cell r="BS152">
            <v>0</v>
          </cell>
          <cell r="BT152">
            <v>0.09</v>
          </cell>
          <cell r="BU152">
            <v>18.554164496268744</v>
          </cell>
          <cell r="BV152">
            <v>20.375807114700756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948163.45930226485</v>
          </cell>
          <cell r="CB152">
            <v>4131060.5185920587</v>
          </cell>
          <cell r="CC152">
            <v>423349.22327449627</v>
          </cell>
          <cell r="CD152">
            <v>1565527</v>
          </cell>
          <cell r="CE152">
            <v>0</v>
          </cell>
          <cell r="CF152">
            <v>0</v>
          </cell>
          <cell r="CG152">
            <v>0</v>
          </cell>
          <cell r="CH152">
            <v>254026.56309458177</v>
          </cell>
          <cell r="CI152">
            <v>-101468.84066672649</v>
          </cell>
          <cell r="CJ152">
            <v>28154.296613549559</v>
          </cell>
          <cell r="CK152">
            <v>1100721.18173012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C152">
            <v>0.1</v>
          </cell>
          <cell r="ED152">
            <v>0</v>
          </cell>
          <cell r="EE152">
            <v>0.09</v>
          </cell>
          <cell r="EF152">
            <v>18.554164496268744</v>
          </cell>
          <cell r="EG152">
            <v>19.747357428721227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318841.94095957698</v>
          </cell>
          <cell r="EM152">
            <v>928310.872653862</v>
          </cell>
          <cell r="EN152">
            <v>114962.33464497361</v>
          </cell>
          <cell r="EO152">
            <v>95557.679864116071</v>
          </cell>
          <cell r="EP152">
            <v>0</v>
          </cell>
          <cell r="EQ152">
            <v>0</v>
          </cell>
          <cell r="ER152">
            <v>0</v>
          </cell>
          <cell r="ES152">
            <v>16048.143939378757</v>
          </cell>
          <cell r="ET152">
            <v>0</v>
          </cell>
          <cell r="EU152">
            <v>0</v>
          </cell>
          <cell r="EV152">
            <v>334890.08489895571</v>
          </cell>
          <cell r="EX152">
            <v>0.1</v>
          </cell>
          <cell r="EY152">
            <v>0</v>
          </cell>
          <cell r="EZ152">
            <v>0.09</v>
          </cell>
          <cell r="FA152">
            <v>18.554164496268744</v>
          </cell>
          <cell r="FB152">
            <v>19.747357428721227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967519.72109171981</v>
          </cell>
          <cell r="FI152">
            <v>83897.659718888885</v>
          </cell>
          <cell r="FJ152">
            <v>112947.59850000002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  <cell r="FS152">
            <v>0.1</v>
          </cell>
          <cell r="FT152">
            <v>0</v>
          </cell>
          <cell r="FU152">
            <v>0.09</v>
          </cell>
          <cell r="FV152">
            <v>18.554164496268744</v>
          </cell>
          <cell r="FW152">
            <v>19.747357428721227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2500113.4492697702</v>
          </cell>
          <cell r="GC152">
            <v>2005412.3270968276</v>
          </cell>
          <cell r="GD152">
            <v>203807.6385948204</v>
          </cell>
          <cell r="GE152">
            <v>114521.82140054071</v>
          </cell>
          <cell r="GF152">
            <v>0</v>
          </cell>
          <cell r="GG152">
            <v>0</v>
          </cell>
          <cell r="GH152">
            <v>0</v>
          </cell>
          <cell r="GI152">
            <v>118295.3102761559</v>
          </cell>
          <cell r="GJ152">
            <v>0</v>
          </cell>
          <cell r="GK152">
            <v>0</v>
          </cell>
          <cell r="GL152">
            <v>2618408.759545926</v>
          </cell>
          <cell r="GN152">
            <v>0.1</v>
          </cell>
          <cell r="GO152">
            <v>0</v>
          </cell>
          <cell r="GP152">
            <v>0.09</v>
          </cell>
          <cell r="GQ152">
            <v>18.554164496268744</v>
          </cell>
          <cell r="GR152">
            <v>19.747357428721227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2166646.9957006718</v>
          </cell>
          <cell r="GX152">
            <v>2256858.036876794</v>
          </cell>
          <cell r="GY152">
            <v>885163.20950246789</v>
          </cell>
          <cell r="GZ152">
            <v>1009199.9869709262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2166646.9957006718</v>
          </cell>
          <cell r="HI152">
            <v>0.1</v>
          </cell>
          <cell r="HJ152">
            <v>0</v>
          </cell>
          <cell r="HK152">
            <v>0.09</v>
          </cell>
          <cell r="HL152">
            <v>18.554164496268744</v>
          </cell>
          <cell r="HM152">
            <v>19.747357428721227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2573838.1179396724</v>
          </cell>
          <cell r="HS152">
            <v>1425695.6578056859</v>
          </cell>
          <cell r="HT152">
            <v>295689.30094237596</v>
          </cell>
          <cell r="HU152">
            <v>264046.69999999949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2573838.1179396724</v>
          </cell>
        </row>
        <row r="153">
          <cell r="C153" t="str">
            <v>A0049</v>
          </cell>
          <cell r="D153" t="str">
            <v>PT Aisin Indonesia</v>
          </cell>
          <cell r="E153" t="str">
            <v>PEB 2</v>
          </cell>
          <cell r="F153" t="str">
            <v>13PEB 2</v>
          </cell>
          <cell r="P153">
            <v>0</v>
          </cell>
          <cell r="U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C154" t="str">
            <v>A0049</v>
          </cell>
          <cell r="D154" t="str">
            <v>PT Aisin Indonesia</v>
          </cell>
          <cell r="E154" t="str">
            <v>PEB 3</v>
          </cell>
          <cell r="F154" t="str">
            <v>13PEB 3</v>
          </cell>
          <cell r="G154">
            <v>0.1</v>
          </cell>
          <cell r="I154">
            <v>0.09</v>
          </cell>
          <cell r="J154">
            <v>18.554164496268744</v>
          </cell>
          <cell r="K154">
            <v>10.576647196279399</v>
          </cell>
          <cell r="P154">
            <v>555888.55433229345</v>
          </cell>
          <cell r="Q154">
            <v>181050.56173360295</v>
          </cell>
          <cell r="R154">
            <v>70713.535410184108</v>
          </cell>
          <cell r="S154">
            <v>0</v>
          </cell>
          <cell r="U154">
            <v>0</v>
          </cell>
          <cell r="W154">
            <v>669420.92494392453</v>
          </cell>
          <cell r="X154">
            <v>-123959.53518989048</v>
          </cell>
          <cell r="Y154">
            <v>34394.731415891139</v>
          </cell>
          <cell r="Z154">
            <v>1101349.9440863275</v>
          </cell>
        </row>
        <row r="155">
          <cell r="C155" t="str">
            <v>A0049</v>
          </cell>
          <cell r="D155" t="str">
            <v>PT Aisin Indonesia</v>
          </cell>
          <cell r="E155" t="str">
            <v>PEB 4</v>
          </cell>
          <cell r="F155" t="str">
            <v>13PEB 4</v>
          </cell>
          <cell r="G155">
            <v>0.1</v>
          </cell>
          <cell r="I155">
            <v>0.09</v>
          </cell>
          <cell r="J155">
            <v>18.554164496268744</v>
          </cell>
          <cell r="K155">
            <v>20.375807114700756</v>
          </cell>
          <cell r="P155">
            <v>948163.45930226485</v>
          </cell>
          <cell r="Q155">
            <v>4131060.5185920587</v>
          </cell>
          <cell r="R155">
            <v>423349.22327449627</v>
          </cell>
          <cell r="S155">
            <v>1565527</v>
          </cell>
          <cell r="U155">
            <v>0</v>
          </cell>
          <cell r="W155">
            <v>254026.56309458177</v>
          </cell>
          <cell r="X155">
            <v>-101468.84066672649</v>
          </cell>
          <cell r="Y155">
            <v>28154.296613549559</v>
          </cell>
          <cell r="Z155">
            <v>1100721.18173012</v>
          </cell>
        </row>
        <row r="156">
          <cell r="C156" t="str">
            <v>A0049</v>
          </cell>
          <cell r="D156" t="str">
            <v>PT Aisin Indonesia</v>
          </cell>
          <cell r="E156" t="str">
            <v>PEB 5</v>
          </cell>
          <cell r="F156" t="str">
            <v>13PEB 5</v>
          </cell>
          <cell r="P156">
            <v>0</v>
          </cell>
          <cell r="U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</row>
        <row r="157">
          <cell r="C157" t="str">
            <v>A0049</v>
          </cell>
          <cell r="D157" t="str">
            <v>PT Aisin Indonesia</v>
          </cell>
          <cell r="E157" t="str">
            <v>PEB 6</v>
          </cell>
          <cell r="F157" t="str">
            <v>13PEB 6</v>
          </cell>
          <cell r="P157">
            <v>0</v>
          </cell>
          <cell r="U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</row>
        <row r="158">
          <cell r="C158" t="str">
            <v>A0049</v>
          </cell>
          <cell r="D158" t="str">
            <v>PT Aisin Indonesia</v>
          </cell>
          <cell r="E158" t="str">
            <v>PEB 7</v>
          </cell>
          <cell r="F158" t="str">
            <v>13PEB 7</v>
          </cell>
          <cell r="G158">
            <v>0.1</v>
          </cell>
          <cell r="I158">
            <v>0.09</v>
          </cell>
          <cell r="J158">
            <v>18.554164496268744</v>
          </cell>
          <cell r="K158">
            <v>19.747357428721227</v>
          </cell>
          <cell r="P158">
            <v>318841.94095957698</v>
          </cell>
          <cell r="Q158">
            <v>928310.872653862</v>
          </cell>
          <cell r="R158">
            <v>114962.33464497361</v>
          </cell>
          <cell r="S158">
            <v>95557.679864116071</v>
          </cell>
          <cell r="U158">
            <v>0</v>
          </cell>
          <cell r="W158">
            <v>16048.143939378757</v>
          </cell>
          <cell r="X158">
            <v>0</v>
          </cell>
          <cell r="Y158">
            <v>0</v>
          </cell>
          <cell r="Z158">
            <v>334890.08489895571</v>
          </cell>
        </row>
        <row r="159">
          <cell r="C159" t="str">
            <v>A0049</v>
          </cell>
          <cell r="D159" t="str">
            <v>PT Aisin Indonesia</v>
          </cell>
          <cell r="E159" t="str">
            <v>MPP</v>
          </cell>
          <cell r="F159" t="str">
            <v>13MPP</v>
          </cell>
          <cell r="G159">
            <v>0.1</v>
          </cell>
          <cell r="I159">
            <v>0.09</v>
          </cell>
          <cell r="J159">
            <v>18.554164496268744</v>
          </cell>
          <cell r="K159">
            <v>19.747357428721227</v>
          </cell>
          <cell r="P159">
            <v>0</v>
          </cell>
          <cell r="Q159">
            <v>967519.72109171981</v>
          </cell>
          <cell r="R159">
            <v>83897.659718888885</v>
          </cell>
          <cell r="S159">
            <v>112947.59850000002</v>
          </cell>
          <cell r="U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</row>
        <row r="160">
          <cell r="C160" t="str">
            <v>A0049</v>
          </cell>
          <cell r="D160" t="str">
            <v>PT Aisin Indonesia</v>
          </cell>
          <cell r="E160" t="str">
            <v>ID</v>
          </cell>
          <cell r="F160" t="str">
            <v>13ID</v>
          </cell>
          <cell r="G160">
            <v>0.1</v>
          </cell>
          <cell r="I160">
            <v>0.09</v>
          </cell>
          <cell r="J160">
            <v>18.554164496268744</v>
          </cell>
          <cell r="K160">
            <v>19.747357428721227</v>
          </cell>
          <cell r="P160">
            <v>2500113.4492697702</v>
          </cell>
          <cell r="Q160">
            <v>2005412.3270968276</v>
          </cell>
          <cell r="R160">
            <v>203807.6385948204</v>
          </cell>
          <cell r="S160">
            <v>114521.82140054071</v>
          </cell>
          <cell r="U160">
            <v>0</v>
          </cell>
          <cell r="W160">
            <v>118295.3102761559</v>
          </cell>
          <cell r="X160">
            <v>0</v>
          </cell>
          <cell r="Y160">
            <v>0</v>
          </cell>
          <cell r="Z160">
            <v>2618408.759545926</v>
          </cell>
        </row>
        <row r="161">
          <cell r="C161" t="str">
            <v>A0049</v>
          </cell>
          <cell r="D161" t="str">
            <v>PT Aisin Indonesia</v>
          </cell>
          <cell r="E161" t="str">
            <v>LL</v>
          </cell>
          <cell r="F161" t="str">
            <v>13LL</v>
          </cell>
          <cell r="G161">
            <v>0.1</v>
          </cell>
          <cell r="I161">
            <v>0.09</v>
          </cell>
          <cell r="J161">
            <v>18.554164496268744</v>
          </cell>
          <cell r="K161">
            <v>19.747357428721227</v>
          </cell>
          <cell r="P161">
            <v>2166646.9957006718</v>
          </cell>
          <cell r="Q161">
            <v>2256858.036876794</v>
          </cell>
          <cell r="R161">
            <v>885163.20950246789</v>
          </cell>
          <cell r="S161">
            <v>1009199.9869709262</v>
          </cell>
          <cell r="U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2166646.9957006718</v>
          </cell>
        </row>
        <row r="162">
          <cell r="C162" t="str">
            <v>A0049</v>
          </cell>
          <cell r="D162" t="str">
            <v>PT Aisin Indonesia</v>
          </cell>
          <cell r="E162" t="str">
            <v>PMK</v>
          </cell>
          <cell r="F162" t="str">
            <v>13PMK</v>
          </cell>
          <cell r="G162">
            <v>0.1</v>
          </cell>
          <cell r="I162">
            <v>0.09</v>
          </cell>
          <cell r="J162">
            <v>18.554164496268744</v>
          </cell>
          <cell r="K162">
            <v>19.747357428721227</v>
          </cell>
          <cell r="P162">
            <v>2573838.1179396724</v>
          </cell>
          <cell r="Q162">
            <v>1425695.6578056859</v>
          </cell>
          <cell r="R162">
            <v>295689.30094237596</v>
          </cell>
          <cell r="S162">
            <v>264046.69999999949</v>
          </cell>
          <cell r="U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2573838.1179396724</v>
          </cell>
        </row>
        <row r="164">
          <cell r="C164" t="str">
            <v>A0161</v>
          </cell>
          <cell r="D164" t="str">
            <v>PT Ardendi Jaya Sentosa</v>
          </cell>
          <cell r="E164" t="str">
            <v>PEB 1</v>
          </cell>
          <cell r="F164" t="str">
            <v>14PEB 1</v>
          </cell>
          <cell r="N164">
            <v>0</v>
          </cell>
          <cell r="O164">
            <v>0</v>
          </cell>
          <cell r="P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M164">
            <v>0.1</v>
          </cell>
          <cell r="CN164">
            <v>0</v>
          </cell>
          <cell r="CO164">
            <v>0.09</v>
          </cell>
          <cell r="CP164">
            <v>16.645728251872338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780413.8500646539</v>
          </cell>
          <cell r="CW164">
            <v>1447274.1593387711</v>
          </cell>
          <cell r="CX164">
            <v>415451.46172328811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51587.73331575148</v>
          </cell>
          <cell r="DD164">
            <v>0</v>
          </cell>
          <cell r="DE164">
            <v>0</v>
          </cell>
          <cell r="DF164">
            <v>832001.58338040533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C164">
            <v>0.1</v>
          </cell>
          <cell r="ED164">
            <v>0</v>
          </cell>
          <cell r="EE164">
            <v>0.09</v>
          </cell>
          <cell r="EF164">
            <v>16.645728251872338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32851.647604991624</v>
          </cell>
          <cell r="EM164">
            <v>104392.13831716309</v>
          </cell>
          <cell r="EN164">
            <v>30487.693664059625</v>
          </cell>
          <cell r="EO164">
            <v>10707.899681922565</v>
          </cell>
          <cell r="EP164">
            <v>0</v>
          </cell>
          <cell r="EQ164">
            <v>0</v>
          </cell>
          <cell r="ER164">
            <v>0</v>
          </cell>
          <cell r="ES164">
            <v>6077.152320946695</v>
          </cell>
          <cell r="ET164">
            <v>0</v>
          </cell>
          <cell r="EU164">
            <v>0</v>
          </cell>
          <cell r="EV164">
            <v>38928.799925938321</v>
          </cell>
          <cell r="EX164">
            <v>0.1</v>
          </cell>
          <cell r="EY164">
            <v>0</v>
          </cell>
          <cell r="EZ164">
            <v>0.09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71913.217512506526</v>
          </cell>
          <cell r="FI164">
            <v>20634.889277593436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  <cell r="FS164">
            <v>0.1</v>
          </cell>
          <cell r="FT164">
            <v>0</v>
          </cell>
          <cell r="FU164">
            <v>0.09</v>
          </cell>
          <cell r="FV164">
            <v>16.645728251872338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328714.30793069891</v>
          </cell>
          <cell r="GC164">
            <v>214346.74046717241</v>
          </cell>
          <cell r="GD164">
            <v>62270.40006665721</v>
          </cell>
          <cell r="GE164">
            <v>10086.22486548266</v>
          </cell>
          <cell r="GF164">
            <v>0</v>
          </cell>
          <cell r="GG164">
            <v>0</v>
          </cell>
          <cell r="GH164">
            <v>0</v>
          </cell>
          <cell r="GI164">
            <v>31724.734789775033</v>
          </cell>
          <cell r="GJ164">
            <v>0</v>
          </cell>
          <cell r="GK164">
            <v>0</v>
          </cell>
          <cell r="GL164">
            <v>360439.04272047395</v>
          </cell>
          <cell r="GN164">
            <v>0.1</v>
          </cell>
          <cell r="GO164">
            <v>0</v>
          </cell>
          <cell r="GP164">
            <v>0.09</v>
          </cell>
          <cell r="GQ164">
            <v>16.645728251872338</v>
          </cell>
          <cell r="GR164">
            <v>0</v>
          </cell>
          <cell r="GS164">
            <v>0</v>
          </cell>
          <cell r="GT164">
            <v>0</v>
          </cell>
          <cell r="GU164">
            <v>0</v>
          </cell>
          <cell r="GV164">
            <v>0</v>
          </cell>
          <cell r="GW164">
            <v>226647.66408945603</v>
          </cell>
          <cell r="GX164">
            <v>691997.41391641612</v>
          </cell>
          <cell r="GY164">
            <v>199460.15315435443</v>
          </cell>
          <cell r="GZ164">
            <v>252252.93411140167</v>
          </cell>
          <cell r="HA164">
            <v>0</v>
          </cell>
          <cell r="HB164">
            <v>0</v>
          </cell>
          <cell r="HC164">
            <v>0</v>
          </cell>
          <cell r="HD164">
            <v>0</v>
          </cell>
          <cell r="HE164">
            <v>0</v>
          </cell>
          <cell r="HF164">
            <v>0</v>
          </cell>
          <cell r="HG164">
            <v>226647.66408945603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M164">
            <v>0</v>
          </cell>
          <cell r="HN164">
            <v>0</v>
          </cell>
          <cell r="HO164">
            <v>0</v>
          </cell>
          <cell r="HP164">
            <v>0</v>
          </cell>
          <cell r="HQ164">
            <v>0</v>
          </cell>
          <cell r="HR164">
            <v>0</v>
          </cell>
          <cell r="HS164">
            <v>0</v>
          </cell>
          <cell r="HT164">
            <v>0</v>
          </cell>
          <cell r="HU164">
            <v>0</v>
          </cell>
          <cell r="HV164">
            <v>0</v>
          </cell>
          <cell r="HW164">
            <v>0</v>
          </cell>
          <cell r="HX164">
            <v>0</v>
          </cell>
          <cell r="HY164">
            <v>0</v>
          </cell>
          <cell r="HZ164">
            <v>0</v>
          </cell>
          <cell r="IA164">
            <v>0</v>
          </cell>
          <cell r="IB164">
            <v>0</v>
          </cell>
        </row>
        <row r="165">
          <cell r="C165" t="str">
            <v>A0161</v>
          </cell>
          <cell r="D165" t="str">
            <v>PT Ardendi Jaya Sentosa</v>
          </cell>
          <cell r="E165" t="str">
            <v>PEB 2</v>
          </cell>
          <cell r="F165" t="str">
            <v>14PEB 2</v>
          </cell>
          <cell r="P165">
            <v>0</v>
          </cell>
          <cell r="U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</row>
        <row r="166">
          <cell r="C166" t="str">
            <v>A0161</v>
          </cell>
          <cell r="D166" t="str">
            <v>PT Ardendi Jaya Sentosa</v>
          </cell>
          <cell r="E166" t="str">
            <v>PEB 3</v>
          </cell>
          <cell r="F166" t="str">
            <v>14PEB 3</v>
          </cell>
          <cell r="P166">
            <v>0</v>
          </cell>
          <cell r="U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</row>
        <row r="167">
          <cell r="C167" t="str">
            <v>A0161</v>
          </cell>
          <cell r="D167" t="str">
            <v>PT Ardendi Jaya Sentosa</v>
          </cell>
          <cell r="E167" t="str">
            <v>PEB 4</v>
          </cell>
          <cell r="F167" t="str">
            <v>14PEB 4</v>
          </cell>
          <cell r="P167">
            <v>0</v>
          </cell>
          <cell r="U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</row>
        <row r="168">
          <cell r="C168" t="str">
            <v>A0161</v>
          </cell>
          <cell r="D168" t="str">
            <v>PT Ardendi Jaya Sentosa</v>
          </cell>
          <cell r="E168" t="str">
            <v>PEB 5</v>
          </cell>
          <cell r="F168" t="str">
            <v>14PEB 5</v>
          </cell>
          <cell r="G168">
            <v>0.1</v>
          </cell>
          <cell r="I168">
            <v>0.09</v>
          </cell>
          <cell r="J168">
            <v>16.645728251872338</v>
          </cell>
          <cell r="P168">
            <v>780413.8500646539</v>
          </cell>
          <cell r="Q168">
            <v>1447274.1593387711</v>
          </cell>
          <cell r="R168">
            <v>415451.46172328811</v>
          </cell>
          <cell r="S168">
            <v>0</v>
          </cell>
          <cell r="U168">
            <v>0</v>
          </cell>
          <cell r="W168">
            <v>51587.73331575148</v>
          </cell>
          <cell r="X168">
            <v>0</v>
          </cell>
          <cell r="Y168">
            <v>0</v>
          </cell>
          <cell r="Z168">
            <v>832001.58338040533</v>
          </cell>
        </row>
        <row r="169">
          <cell r="C169" t="str">
            <v>A0161</v>
          </cell>
          <cell r="D169" t="str">
            <v>PT Ardendi Jaya Sentosa</v>
          </cell>
          <cell r="E169" t="str">
            <v>PEB 6</v>
          </cell>
          <cell r="F169" t="str">
            <v>14PEB 6</v>
          </cell>
          <cell r="P169">
            <v>0</v>
          </cell>
          <cell r="U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</row>
        <row r="170">
          <cell r="C170" t="str">
            <v>A0161</v>
          </cell>
          <cell r="D170" t="str">
            <v>PT Ardendi Jaya Sentosa</v>
          </cell>
          <cell r="E170" t="str">
            <v>PEB 7</v>
          </cell>
          <cell r="F170" t="str">
            <v>14PEB 7</v>
          </cell>
          <cell r="G170">
            <v>0.1</v>
          </cell>
          <cell r="I170">
            <v>0.09</v>
          </cell>
          <cell r="J170">
            <v>16.645728251872338</v>
          </cell>
          <cell r="P170">
            <v>32851.647604991624</v>
          </cell>
          <cell r="Q170">
            <v>104392.13831716309</v>
          </cell>
          <cell r="R170">
            <v>30487.693664059625</v>
          </cell>
          <cell r="S170">
            <v>10707.899681922565</v>
          </cell>
          <cell r="U170">
            <v>0</v>
          </cell>
          <cell r="W170">
            <v>6077.152320946695</v>
          </cell>
          <cell r="X170">
            <v>0</v>
          </cell>
          <cell r="Y170">
            <v>0</v>
          </cell>
          <cell r="Z170">
            <v>38928.799925938321</v>
          </cell>
        </row>
        <row r="171">
          <cell r="C171" t="str">
            <v>A0161</v>
          </cell>
          <cell r="D171" t="str">
            <v>PT Ardendi Jaya Sentosa</v>
          </cell>
          <cell r="E171" t="str">
            <v>MPP</v>
          </cell>
          <cell r="F171" t="str">
            <v>14MPP</v>
          </cell>
          <cell r="G171">
            <v>0.1</v>
          </cell>
          <cell r="I171">
            <v>0.09</v>
          </cell>
          <cell r="J171">
            <v>0</v>
          </cell>
          <cell r="P171">
            <v>0</v>
          </cell>
          <cell r="Q171">
            <v>71913.217512506526</v>
          </cell>
          <cell r="R171">
            <v>20634.889277593436</v>
          </cell>
          <cell r="S171">
            <v>0</v>
          </cell>
          <cell r="U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</row>
        <row r="172">
          <cell r="C172" t="str">
            <v>A0161</v>
          </cell>
          <cell r="D172" t="str">
            <v>PT Ardendi Jaya Sentosa</v>
          </cell>
          <cell r="E172" t="str">
            <v>ID</v>
          </cell>
          <cell r="F172" t="str">
            <v>14ID</v>
          </cell>
          <cell r="G172">
            <v>0.1</v>
          </cell>
          <cell r="I172">
            <v>0.09</v>
          </cell>
          <cell r="J172">
            <v>16.645728251872338</v>
          </cell>
          <cell r="P172">
            <v>328714.30793069891</v>
          </cell>
          <cell r="Q172">
            <v>214346.74046717241</v>
          </cell>
          <cell r="R172">
            <v>62270.40006665721</v>
          </cell>
          <cell r="S172">
            <v>10086.22486548266</v>
          </cell>
          <cell r="U172">
            <v>0</v>
          </cell>
          <cell r="W172">
            <v>31724.734789775033</v>
          </cell>
          <cell r="X172">
            <v>0</v>
          </cell>
          <cell r="Y172">
            <v>0</v>
          </cell>
          <cell r="Z172">
            <v>360439.04272047395</v>
          </cell>
        </row>
        <row r="173">
          <cell r="C173" t="str">
            <v>A0161</v>
          </cell>
          <cell r="D173" t="str">
            <v>PT Ardendi Jaya Sentosa</v>
          </cell>
          <cell r="E173" t="str">
            <v>LL</v>
          </cell>
          <cell r="F173" t="str">
            <v>14LL</v>
          </cell>
          <cell r="G173">
            <v>0.1</v>
          </cell>
          <cell r="I173">
            <v>0.09</v>
          </cell>
          <cell r="J173">
            <v>16.645728251872338</v>
          </cell>
          <cell r="P173">
            <v>226647.66408945603</v>
          </cell>
          <cell r="Q173">
            <v>691997.41391641612</v>
          </cell>
          <cell r="R173">
            <v>199460.15315435443</v>
          </cell>
          <cell r="S173">
            <v>252252.93411140167</v>
          </cell>
          <cell r="U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226647.66408945603</v>
          </cell>
        </row>
        <row r="174">
          <cell r="C174" t="str">
            <v>A0161</v>
          </cell>
          <cell r="D174" t="str">
            <v>PT Ardendi Jaya Sentosa</v>
          </cell>
          <cell r="E174" t="str">
            <v>PMK</v>
          </cell>
          <cell r="F174" t="str">
            <v>14PMK</v>
          </cell>
          <cell r="P174">
            <v>0</v>
          </cell>
          <cell r="U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</row>
        <row r="176">
          <cell r="C176" t="str">
            <v>A0011</v>
          </cell>
          <cell r="D176" t="str">
            <v>PT Astra Agro Lestari Tbk - Parent</v>
          </cell>
          <cell r="E176" t="str">
            <v>PEB 1</v>
          </cell>
          <cell r="F176" t="str">
            <v>15PEB 1</v>
          </cell>
          <cell r="J176">
            <v>6.535720180837246</v>
          </cell>
          <cell r="L176">
            <v>0</v>
          </cell>
          <cell r="N176">
            <v>616083.46720000007</v>
          </cell>
          <cell r="O176">
            <v>80194.967999999993</v>
          </cell>
          <cell r="P176">
            <v>6341273</v>
          </cell>
          <cell r="Q176">
            <v>6562750.707530533</v>
          </cell>
          <cell r="R176">
            <v>326431.43578092131</v>
          </cell>
          <cell r="S176">
            <v>78525.151866404558</v>
          </cell>
          <cell r="U176">
            <v>-4188464</v>
          </cell>
          <cell r="V176">
            <v>7629980.3450666675</v>
          </cell>
          <cell r="W176">
            <v>-1576473</v>
          </cell>
          <cell r="X176">
            <v>0</v>
          </cell>
          <cell r="Y176">
            <v>0</v>
          </cell>
          <cell r="Z176">
            <v>576336</v>
          </cell>
          <cell r="AB176">
            <v>0</v>
          </cell>
          <cell r="AC176">
            <v>0</v>
          </cell>
          <cell r="AD176">
            <v>0</v>
          </cell>
          <cell r="AE176">
            <v>10.566122614873599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10396810</v>
          </cell>
          <cell r="AL176">
            <v>15024204.895999059</v>
          </cell>
          <cell r="AM176">
            <v>1073633.7029747432</v>
          </cell>
          <cell r="AN176">
            <v>192321.20557000005</v>
          </cell>
          <cell r="AO176">
            <v>0</v>
          </cell>
          <cell r="AP176">
            <v>0</v>
          </cell>
          <cell r="AQ176">
            <v>0</v>
          </cell>
          <cell r="AR176">
            <v>-3532934</v>
          </cell>
          <cell r="AS176">
            <v>0</v>
          </cell>
          <cell r="AT176">
            <v>0</v>
          </cell>
          <cell r="AU176">
            <v>6863876</v>
          </cell>
          <cell r="AW176">
            <v>0</v>
          </cell>
          <cell r="AX176">
            <v>0</v>
          </cell>
          <cell r="AY176">
            <v>0</v>
          </cell>
          <cell r="AZ176">
            <v>6.535720180837246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171196.20755878484</v>
          </cell>
          <cell r="BH176">
            <v>66238.78687589636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10.373527797084215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14680794</v>
          </cell>
          <cell r="CB176">
            <v>14429028.936158584</v>
          </cell>
          <cell r="CC176">
            <v>1321360.2853530562</v>
          </cell>
          <cell r="CD176">
            <v>1171520.6444371517</v>
          </cell>
          <cell r="CE176">
            <v>0</v>
          </cell>
          <cell r="CF176">
            <v>0</v>
          </cell>
          <cell r="CG176">
            <v>0</v>
          </cell>
          <cell r="CH176">
            <v>-1545661</v>
          </cell>
          <cell r="CI176">
            <v>-2562871</v>
          </cell>
          <cell r="CJ176">
            <v>222234</v>
          </cell>
          <cell r="CK176">
            <v>10572262</v>
          </cell>
          <cell r="CM176">
            <v>0</v>
          </cell>
          <cell r="CN176">
            <v>0</v>
          </cell>
          <cell r="CO176">
            <v>0</v>
          </cell>
          <cell r="CP176">
            <v>7.9291297566411583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194414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1812820</v>
          </cell>
          <cell r="DD176">
            <v>0</v>
          </cell>
          <cell r="DE176">
            <v>0</v>
          </cell>
          <cell r="DF176">
            <v>2007234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10.566122614873599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718087</v>
          </cell>
          <cell r="EM176">
            <v>1071895.50077255</v>
          </cell>
          <cell r="EN176">
            <v>102208.12864430321</v>
          </cell>
          <cell r="EO176">
            <v>134161.97206239036</v>
          </cell>
          <cell r="EP176">
            <v>0</v>
          </cell>
          <cell r="EQ176">
            <v>0</v>
          </cell>
          <cell r="ER176">
            <v>0</v>
          </cell>
          <cell r="ES176">
            <v>-689465</v>
          </cell>
          <cell r="ET176">
            <v>0</v>
          </cell>
          <cell r="EU176">
            <v>0</v>
          </cell>
          <cell r="EV176">
            <v>28622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2544900.8897079201</v>
          </cell>
          <cell r="FI176">
            <v>213509.90194223885</v>
          </cell>
          <cell r="FJ176">
            <v>59069.899665000004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10.566122614873599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293668</v>
          </cell>
          <cell r="GC176">
            <v>3723677.7116362718</v>
          </cell>
          <cell r="GD176">
            <v>326208.50596005627</v>
          </cell>
          <cell r="GE176">
            <v>362515.22428410163</v>
          </cell>
          <cell r="GF176">
            <v>0</v>
          </cell>
          <cell r="GG176">
            <v>0</v>
          </cell>
          <cell r="GH176">
            <v>0</v>
          </cell>
          <cell r="GI176">
            <v>0</v>
          </cell>
          <cell r="GJ176">
            <v>0</v>
          </cell>
          <cell r="GK176">
            <v>0</v>
          </cell>
          <cell r="GL176">
            <v>293668</v>
          </cell>
          <cell r="GN176">
            <v>0</v>
          </cell>
          <cell r="GO176">
            <v>0</v>
          </cell>
          <cell r="GP176">
            <v>0</v>
          </cell>
          <cell r="GQ176">
            <v>10.566122614873599</v>
          </cell>
          <cell r="GR176">
            <v>0</v>
          </cell>
          <cell r="GS176">
            <v>0</v>
          </cell>
          <cell r="GT176">
            <v>0</v>
          </cell>
          <cell r="GU176">
            <v>0</v>
          </cell>
          <cell r="GV176">
            <v>0</v>
          </cell>
          <cell r="GW176">
            <v>2215953</v>
          </cell>
          <cell r="GX176">
            <v>3922482.705616944</v>
          </cell>
          <cell r="GY176">
            <v>1444286.0320835689</v>
          </cell>
          <cell r="GZ176">
            <v>1828464.0176023387</v>
          </cell>
          <cell r="HA176">
            <v>0</v>
          </cell>
          <cell r="HB176">
            <v>0</v>
          </cell>
          <cell r="HC176">
            <v>0</v>
          </cell>
          <cell r="HD176">
            <v>0</v>
          </cell>
          <cell r="HE176">
            <v>0</v>
          </cell>
          <cell r="HF176">
            <v>0</v>
          </cell>
          <cell r="HG176">
            <v>2215953</v>
          </cell>
          <cell r="HI176">
            <v>0</v>
          </cell>
          <cell r="HJ176">
            <v>0</v>
          </cell>
          <cell r="HK176">
            <v>0</v>
          </cell>
          <cell r="HL176">
            <v>10.566122614873599</v>
          </cell>
          <cell r="HM176">
            <v>0</v>
          </cell>
          <cell r="HN176">
            <v>0</v>
          </cell>
          <cell r="HO176">
            <v>0</v>
          </cell>
          <cell r="HP176">
            <v>0</v>
          </cell>
          <cell r="HQ176">
            <v>0</v>
          </cell>
          <cell r="HR176">
            <v>889843</v>
          </cell>
          <cell r="HS176">
            <v>2093098.7820975007</v>
          </cell>
          <cell r="HT176">
            <v>248672.73620094024</v>
          </cell>
          <cell r="HU176">
            <v>209475</v>
          </cell>
          <cell r="HV176">
            <v>0</v>
          </cell>
          <cell r="HW176">
            <v>0</v>
          </cell>
          <cell r="HX176">
            <v>0</v>
          </cell>
          <cell r="HY176">
            <v>0</v>
          </cell>
          <cell r="HZ176">
            <v>0</v>
          </cell>
          <cell r="IA176">
            <v>0</v>
          </cell>
          <cell r="IB176">
            <v>889843</v>
          </cell>
        </row>
        <row r="177">
          <cell r="C177" t="str">
            <v>A0011</v>
          </cell>
          <cell r="D177" t="str">
            <v>PT Astra Agro Lestari Tbk - Parent</v>
          </cell>
          <cell r="E177" t="str">
            <v>PEB 2</v>
          </cell>
          <cell r="F177" t="str">
            <v>15PEB 2</v>
          </cell>
          <cell r="J177">
            <v>10.566122614873599</v>
          </cell>
          <cell r="P177">
            <v>10396810</v>
          </cell>
          <cell r="Q177">
            <v>15024204.895999059</v>
          </cell>
          <cell r="R177">
            <v>1073633.7029747432</v>
          </cell>
          <cell r="S177">
            <v>192321.20557000005</v>
          </cell>
          <cell r="U177">
            <v>0</v>
          </cell>
          <cell r="W177">
            <v>-3532934</v>
          </cell>
          <cell r="X177">
            <v>0</v>
          </cell>
          <cell r="Y177">
            <v>0</v>
          </cell>
          <cell r="Z177">
            <v>6863876</v>
          </cell>
        </row>
        <row r="178">
          <cell r="C178" t="str">
            <v>A0011</v>
          </cell>
          <cell r="D178" t="str">
            <v>PT Astra Agro Lestari Tbk - Parent</v>
          </cell>
          <cell r="E178" t="str">
            <v>PEB 3</v>
          </cell>
          <cell r="F178" t="str">
            <v>15PEB 3</v>
          </cell>
          <cell r="J178">
            <v>6.535720180837246</v>
          </cell>
          <cell r="P178">
            <v>0</v>
          </cell>
          <cell r="Q178">
            <v>171196.20755878484</v>
          </cell>
          <cell r="R178">
            <v>66238.78687589636</v>
          </cell>
          <cell r="S178">
            <v>0</v>
          </cell>
          <cell r="U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C179" t="str">
            <v>A0011</v>
          </cell>
          <cell r="D179" t="str">
            <v>PT Astra Agro Lestari Tbk - Parent</v>
          </cell>
          <cell r="E179" t="str">
            <v>PEB 4</v>
          </cell>
          <cell r="F179" t="str">
            <v>15PEB 4</v>
          </cell>
          <cell r="J179">
            <v>10.373527797084215</v>
          </cell>
          <cell r="P179">
            <v>14680794</v>
          </cell>
          <cell r="Q179">
            <v>14429028.936158584</v>
          </cell>
          <cell r="R179">
            <v>1321360.2853530562</v>
          </cell>
          <cell r="S179">
            <v>1171520.6444371517</v>
          </cell>
          <cell r="U179">
            <v>0</v>
          </cell>
          <cell r="W179">
            <v>-1545661</v>
          </cell>
          <cell r="X179">
            <v>-2562871</v>
          </cell>
          <cell r="Y179">
            <v>222234</v>
          </cell>
          <cell r="Z179">
            <v>10572262</v>
          </cell>
        </row>
        <row r="180">
          <cell r="C180" t="str">
            <v>A0011</v>
          </cell>
          <cell r="D180" t="str">
            <v>PT Astra Agro Lestari Tbk - Parent</v>
          </cell>
          <cell r="E180" t="str">
            <v>PEB 5</v>
          </cell>
          <cell r="F180" t="str">
            <v>15PEB 5</v>
          </cell>
          <cell r="J180">
            <v>7.9291297566411583</v>
          </cell>
          <cell r="P180">
            <v>194414</v>
          </cell>
          <cell r="U180">
            <v>0</v>
          </cell>
          <cell r="W180">
            <v>1812820</v>
          </cell>
          <cell r="X180">
            <v>0</v>
          </cell>
          <cell r="Y180">
            <v>0</v>
          </cell>
          <cell r="Z180">
            <v>2007234</v>
          </cell>
        </row>
        <row r="181">
          <cell r="C181" t="str">
            <v>A0011</v>
          </cell>
          <cell r="D181" t="str">
            <v>PT Astra Agro Lestari Tbk - Parent</v>
          </cell>
          <cell r="E181" t="str">
            <v>PEB 6</v>
          </cell>
          <cell r="F181" t="str">
            <v>15PEB 6</v>
          </cell>
          <cell r="J181">
            <v>0</v>
          </cell>
          <cell r="P181">
            <v>0</v>
          </cell>
          <cell r="U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C182" t="str">
            <v>A0011</v>
          </cell>
          <cell r="D182" t="str">
            <v>PT Astra Agro Lestari Tbk - Parent</v>
          </cell>
          <cell r="E182" t="str">
            <v>PEB 7</v>
          </cell>
          <cell r="F182" t="str">
            <v>15PEB 7</v>
          </cell>
          <cell r="J182">
            <v>10.566122614873599</v>
          </cell>
          <cell r="P182">
            <v>718087</v>
          </cell>
          <cell r="Q182">
            <v>1071895.50077255</v>
          </cell>
          <cell r="R182">
            <v>102208.12864430321</v>
          </cell>
          <cell r="S182">
            <v>134161.97206239036</v>
          </cell>
          <cell r="U182">
            <v>0</v>
          </cell>
          <cell r="W182">
            <v>-689465</v>
          </cell>
          <cell r="X182">
            <v>0</v>
          </cell>
          <cell r="Y182">
            <v>0</v>
          </cell>
          <cell r="Z182">
            <v>28622</v>
          </cell>
        </row>
        <row r="183">
          <cell r="C183" t="str">
            <v>A0011</v>
          </cell>
          <cell r="D183" t="str">
            <v>PT Astra Agro Lestari Tbk - Parent</v>
          </cell>
          <cell r="E183" t="str">
            <v>MPP</v>
          </cell>
          <cell r="F183" t="str">
            <v>15MPP</v>
          </cell>
          <cell r="J183">
            <v>0</v>
          </cell>
          <cell r="P183">
            <v>0</v>
          </cell>
          <cell r="Q183">
            <v>2544900.8897079201</v>
          </cell>
          <cell r="R183">
            <v>213509.90194223885</v>
          </cell>
          <cell r="S183">
            <v>59069.899665000004</v>
          </cell>
          <cell r="U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</row>
        <row r="184">
          <cell r="C184" t="str">
            <v>A0011</v>
          </cell>
          <cell r="D184" t="str">
            <v>PT Astra Agro Lestari Tbk - Parent</v>
          </cell>
          <cell r="E184" t="str">
            <v>ID</v>
          </cell>
          <cell r="F184" t="str">
            <v>15ID</v>
          </cell>
          <cell r="J184">
            <v>10.566122614873599</v>
          </cell>
          <cell r="P184">
            <v>293668</v>
          </cell>
          <cell r="Q184">
            <v>3723677.7116362718</v>
          </cell>
          <cell r="R184">
            <v>326208.50596005627</v>
          </cell>
          <cell r="S184">
            <v>362515.22428410163</v>
          </cell>
          <cell r="U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293668</v>
          </cell>
        </row>
        <row r="185">
          <cell r="C185" t="str">
            <v>A0011</v>
          </cell>
          <cell r="D185" t="str">
            <v>PT Astra Agro Lestari Tbk - Parent</v>
          </cell>
          <cell r="E185" t="str">
            <v>LL</v>
          </cell>
          <cell r="F185" t="str">
            <v>15LL</v>
          </cell>
          <cell r="J185">
            <v>10.566122614873599</v>
          </cell>
          <cell r="P185">
            <v>2215953</v>
          </cell>
          <cell r="Q185">
            <v>3922482.705616944</v>
          </cell>
          <cell r="R185">
            <v>1444286.0320835689</v>
          </cell>
          <cell r="S185">
            <v>1828464.0176023387</v>
          </cell>
          <cell r="U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2215953</v>
          </cell>
        </row>
        <row r="186">
          <cell r="C186" t="str">
            <v>A0011</v>
          </cell>
          <cell r="D186" t="str">
            <v>PT Astra Agro Lestari Tbk - Parent</v>
          </cell>
          <cell r="E186" t="str">
            <v>PMK</v>
          </cell>
          <cell r="F186" t="str">
            <v>15PMK</v>
          </cell>
          <cell r="J186">
            <v>10.566122614873599</v>
          </cell>
          <cell r="P186">
            <v>889843</v>
          </cell>
          <cell r="Q186">
            <v>2093098.7820975007</v>
          </cell>
          <cell r="R186">
            <v>248672.73620094024</v>
          </cell>
          <cell r="S186">
            <v>209475</v>
          </cell>
          <cell r="U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889843</v>
          </cell>
        </row>
        <row r="188">
          <cell r="C188" t="str">
            <v>A0177</v>
          </cell>
          <cell r="D188" t="str">
            <v>PT Astra Auto Finance</v>
          </cell>
          <cell r="E188" t="str">
            <v>PEB 1</v>
          </cell>
          <cell r="F188" t="str">
            <v>16PEB 1</v>
          </cell>
          <cell r="G188">
            <v>0.1</v>
          </cell>
          <cell r="H188">
            <v>0.1</v>
          </cell>
          <cell r="I188">
            <v>0.09</v>
          </cell>
          <cell r="J188">
            <v>9.1412435494202011</v>
          </cell>
          <cell r="K188">
            <v>10.612161946149838</v>
          </cell>
          <cell r="L188">
            <v>0</v>
          </cell>
          <cell r="N188">
            <v>140748.13440000001</v>
          </cell>
          <cell r="O188">
            <v>20328.416000000001</v>
          </cell>
          <cell r="P188">
            <v>930693</v>
          </cell>
          <cell r="Q188">
            <v>1734606.84319427</v>
          </cell>
          <cell r="R188">
            <v>70398.624357384193</v>
          </cell>
          <cell r="S188">
            <v>7347.7152907980617</v>
          </cell>
          <cell r="U188">
            <v>-945997</v>
          </cell>
          <cell r="V188">
            <v>1583144.3501333334</v>
          </cell>
          <cell r="W188">
            <v>60458</v>
          </cell>
          <cell r="X188">
            <v>0</v>
          </cell>
          <cell r="Y188">
            <v>0</v>
          </cell>
          <cell r="Z188">
            <v>45154</v>
          </cell>
          <cell r="AB188">
            <v>0.1</v>
          </cell>
          <cell r="AC188">
            <v>0</v>
          </cell>
          <cell r="AD188">
            <v>0.09</v>
          </cell>
          <cell r="AE188">
            <v>9.9845231658897582</v>
          </cell>
          <cell r="AF188">
            <v>13.496132494286046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16200</v>
          </cell>
          <cell r="AL188">
            <v>87116.057557470573</v>
          </cell>
          <cell r="AM188">
            <v>5306.9854385442968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-1935</v>
          </cell>
          <cell r="AS188">
            <v>-3883</v>
          </cell>
          <cell r="AT188">
            <v>239</v>
          </cell>
          <cell r="AU188">
            <v>10382</v>
          </cell>
          <cell r="AW188">
            <v>0.1</v>
          </cell>
          <cell r="AX188">
            <v>0</v>
          </cell>
          <cell r="AY188">
            <v>0.09</v>
          </cell>
          <cell r="AZ188">
            <v>9.1412435494202011</v>
          </cell>
          <cell r="BA188">
            <v>10.626619575196242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47786</v>
          </cell>
          <cell r="BG188">
            <v>30612.83033703309</v>
          </cell>
          <cell r="BH188">
            <v>1578.3345867862599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7929</v>
          </cell>
          <cell r="BN188">
            <v>-29444</v>
          </cell>
          <cell r="BO188">
            <v>3886</v>
          </cell>
          <cell r="BP188">
            <v>26271</v>
          </cell>
          <cell r="BR188">
            <v>0.1</v>
          </cell>
          <cell r="BS188">
            <v>0</v>
          </cell>
          <cell r="BT188">
            <v>0.09</v>
          </cell>
          <cell r="BU188">
            <v>10.451970490941072</v>
          </cell>
          <cell r="BV188">
            <v>16.365645413375855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114404</v>
          </cell>
          <cell r="CB188">
            <v>97403.295010614587</v>
          </cell>
          <cell r="CC188">
            <v>13222.878546694665</v>
          </cell>
          <cell r="CD188">
            <v>6344.2646461624036</v>
          </cell>
          <cell r="CE188">
            <v>0</v>
          </cell>
          <cell r="CF188">
            <v>0</v>
          </cell>
          <cell r="CG188">
            <v>0</v>
          </cell>
          <cell r="CH188">
            <v>-55047</v>
          </cell>
          <cell r="CI188">
            <v>-18179</v>
          </cell>
          <cell r="CJ188">
            <v>940</v>
          </cell>
          <cell r="CK188">
            <v>41178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C188">
            <v>0.1</v>
          </cell>
          <cell r="ED188">
            <v>0</v>
          </cell>
          <cell r="EE188">
            <v>0.09</v>
          </cell>
          <cell r="EF188">
            <v>9.9845231658897582</v>
          </cell>
          <cell r="EG188">
            <v>13.334945877861619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48286</v>
          </cell>
          <cell r="EM188">
            <v>55332.615072521519</v>
          </cell>
          <cell r="EN188">
            <v>4683.7896934720757</v>
          </cell>
          <cell r="EO188">
            <v>6215.3966340367642</v>
          </cell>
          <cell r="EP188">
            <v>0</v>
          </cell>
          <cell r="EQ188">
            <v>0</v>
          </cell>
          <cell r="ER188">
            <v>0</v>
          </cell>
          <cell r="ES188">
            <v>-45624</v>
          </cell>
          <cell r="ET188">
            <v>0</v>
          </cell>
          <cell r="EU188">
            <v>0</v>
          </cell>
          <cell r="EV188">
            <v>2662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S188">
            <v>0.1</v>
          </cell>
          <cell r="FT188">
            <v>0</v>
          </cell>
          <cell r="FU188">
            <v>0.09</v>
          </cell>
          <cell r="FV188">
            <v>9.9845231658897582</v>
          </cell>
          <cell r="FW188">
            <v>13.496132494286046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5178</v>
          </cell>
          <cell r="GC188">
            <v>153808.12248005351</v>
          </cell>
          <cell r="GD188">
            <v>11410.129104708678</v>
          </cell>
          <cell r="GE188">
            <v>9385.817456755407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5178</v>
          </cell>
          <cell r="GN188">
            <v>0.1</v>
          </cell>
          <cell r="GO188">
            <v>0</v>
          </cell>
          <cell r="GP188">
            <v>0.09</v>
          </cell>
          <cell r="GQ188">
            <v>9.9845231658897582</v>
          </cell>
          <cell r="GR188">
            <v>13.496132494286046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166304</v>
          </cell>
          <cell r="GX188">
            <v>149629.80994275495</v>
          </cell>
          <cell r="GY188">
            <v>49120.114919768574</v>
          </cell>
          <cell r="GZ188">
            <v>77105.677955676467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166304</v>
          </cell>
          <cell r="HI188">
            <v>0.1</v>
          </cell>
          <cell r="HJ188">
            <v>0</v>
          </cell>
          <cell r="HK188">
            <v>0.09</v>
          </cell>
          <cell r="HL188">
            <v>9.9845231658897582</v>
          </cell>
          <cell r="HM188">
            <v>13.496132494286046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261000</v>
          </cell>
          <cell r="HS188">
            <v>317809.67535683251</v>
          </cell>
          <cell r="HT188">
            <v>25543.962916180728</v>
          </cell>
          <cell r="HU188">
            <v>78000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261000</v>
          </cell>
        </row>
        <row r="189">
          <cell r="C189" t="str">
            <v>A0177</v>
          </cell>
          <cell r="D189" t="str">
            <v>PT Astra Auto Finance</v>
          </cell>
          <cell r="E189" t="str">
            <v>PEB 2</v>
          </cell>
          <cell r="F189" t="str">
            <v>16PEB 2</v>
          </cell>
          <cell r="G189">
            <v>0.1</v>
          </cell>
          <cell r="I189">
            <v>0.09</v>
          </cell>
          <cell r="J189">
            <v>9.9845231658897582</v>
          </cell>
          <cell r="K189">
            <v>13.496132494286046</v>
          </cell>
          <cell r="P189">
            <v>16200</v>
          </cell>
          <cell r="Q189">
            <v>87116.057557470573</v>
          </cell>
          <cell r="R189">
            <v>5306.9854385442968</v>
          </cell>
          <cell r="S189">
            <v>0</v>
          </cell>
          <cell r="U189">
            <v>0</v>
          </cell>
          <cell r="W189">
            <v>-1935</v>
          </cell>
          <cell r="X189">
            <v>-3883</v>
          </cell>
          <cell r="Y189">
            <v>239</v>
          </cell>
          <cell r="Z189">
            <v>10382</v>
          </cell>
        </row>
        <row r="190">
          <cell r="C190" t="str">
            <v>A0177</v>
          </cell>
          <cell r="D190" t="str">
            <v>PT Astra Auto Finance</v>
          </cell>
          <cell r="E190" t="str">
            <v>PEB 3</v>
          </cell>
          <cell r="F190" t="str">
            <v>16PEB 3</v>
          </cell>
          <cell r="G190">
            <v>0.1</v>
          </cell>
          <cell r="I190">
            <v>0.09</v>
          </cell>
          <cell r="J190">
            <v>9.1412435494202011</v>
          </cell>
          <cell r="K190">
            <v>10.626619575196242</v>
          </cell>
          <cell r="P190">
            <v>47786</v>
          </cell>
          <cell r="Q190">
            <v>30612.83033703309</v>
          </cell>
          <cell r="R190">
            <v>1578.3345867862599</v>
          </cell>
          <cell r="S190">
            <v>0</v>
          </cell>
          <cell r="U190">
            <v>0</v>
          </cell>
          <cell r="W190">
            <v>7929</v>
          </cell>
          <cell r="X190">
            <v>-29444</v>
          </cell>
          <cell r="Y190">
            <v>3886</v>
          </cell>
          <cell r="Z190">
            <v>26271</v>
          </cell>
        </row>
        <row r="191">
          <cell r="C191" t="str">
            <v>A0177</v>
          </cell>
          <cell r="D191" t="str">
            <v>PT Astra Auto Finance</v>
          </cell>
          <cell r="E191" t="str">
            <v>PEB 4</v>
          </cell>
          <cell r="F191" t="str">
            <v>16PEB 4</v>
          </cell>
          <cell r="G191">
            <v>0.1</v>
          </cell>
          <cell r="I191">
            <v>0.09</v>
          </cell>
          <cell r="J191">
            <v>10.451970490941072</v>
          </cell>
          <cell r="K191">
            <v>16.365645413375855</v>
          </cell>
          <cell r="P191">
            <v>114404</v>
          </cell>
          <cell r="Q191">
            <v>97403.295010614587</v>
          </cell>
          <cell r="R191">
            <v>13222.878546694665</v>
          </cell>
          <cell r="S191">
            <v>6344.2646461624036</v>
          </cell>
          <cell r="U191">
            <v>0</v>
          </cell>
          <cell r="W191">
            <v>-55047</v>
          </cell>
          <cell r="X191">
            <v>-18179</v>
          </cell>
          <cell r="Y191">
            <v>940</v>
          </cell>
          <cell r="Z191">
            <v>41178</v>
          </cell>
        </row>
        <row r="192">
          <cell r="C192" t="str">
            <v>A0177</v>
          </cell>
          <cell r="D192" t="str">
            <v>PT Astra Auto Finance</v>
          </cell>
          <cell r="E192" t="str">
            <v>PEB 5</v>
          </cell>
          <cell r="F192" t="str">
            <v>16PEB 5</v>
          </cell>
          <cell r="J192">
            <v>0</v>
          </cell>
          <cell r="P192">
            <v>0</v>
          </cell>
          <cell r="U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</row>
        <row r="193">
          <cell r="C193" t="str">
            <v>A0177</v>
          </cell>
          <cell r="D193" t="str">
            <v>PT Astra Auto Finance</v>
          </cell>
          <cell r="E193" t="str">
            <v>PEB 6</v>
          </cell>
          <cell r="F193" t="str">
            <v>16PEB 6</v>
          </cell>
          <cell r="J193">
            <v>0</v>
          </cell>
          <cell r="P193">
            <v>0</v>
          </cell>
          <cell r="U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</row>
        <row r="194">
          <cell r="C194" t="str">
            <v>A0177</v>
          </cell>
          <cell r="D194" t="str">
            <v>PT Astra Auto Finance</v>
          </cell>
          <cell r="E194" t="str">
            <v>PEB 7</v>
          </cell>
          <cell r="F194" t="str">
            <v>16PEB 7</v>
          </cell>
          <cell r="G194">
            <v>0.1</v>
          </cell>
          <cell r="I194">
            <v>0.09</v>
          </cell>
          <cell r="J194">
            <v>9.9845231658897582</v>
          </cell>
          <cell r="K194">
            <v>13.334945877861619</v>
          </cell>
          <cell r="P194">
            <v>48286</v>
          </cell>
          <cell r="Q194">
            <v>55332.615072521519</v>
          </cell>
          <cell r="R194">
            <v>4683.7896934720757</v>
          </cell>
          <cell r="S194">
            <v>6215.3966340367642</v>
          </cell>
          <cell r="U194">
            <v>0</v>
          </cell>
          <cell r="W194">
            <v>-45624</v>
          </cell>
          <cell r="X194">
            <v>0</v>
          </cell>
          <cell r="Y194">
            <v>0</v>
          </cell>
          <cell r="Z194">
            <v>2662</v>
          </cell>
        </row>
        <row r="195">
          <cell r="C195" t="str">
            <v>A0177</v>
          </cell>
          <cell r="D195" t="str">
            <v>PT Astra Auto Finance</v>
          </cell>
          <cell r="E195" t="str">
            <v>MPP</v>
          </cell>
          <cell r="F195" t="str">
            <v>16MPP</v>
          </cell>
          <cell r="J195">
            <v>0</v>
          </cell>
          <cell r="P195">
            <v>0</v>
          </cell>
          <cell r="U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</row>
        <row r="196">
          <cell r="C196" t="str">
            <v>A0177</v>
          </cell>
          <cell r="D196" t="str">
            <v>PT Astra Auto Finance</v>
          </cell>
          <cell r="E196" t="str">
            <v>ID</v>
          </cell>
          <cell r="F196" t="str">
            <v>16ID</v>
          </cell>
          <cell r="G196">
            <v>0.1</v>
          </cell>
          <cell r="I196">
            <v>0.09</v>
          </cell>
          <cell r="J196">
            <v>9.9845231658897582</v>
          </cell>
          <cell r="K196">
            <v>13.496132494286046</v>
          </cell>
          <cell r="P196">
            <v>5178</v>
          </cell>
          <cell r="Q196">
            <v>153808.12248005351</v>
          </cell>
          <cell r="R196">
            <v>11410.129104708678</v>
          </cell>
          <cell r="S196">
            <v>9385.817456755407</v>
          </cell>
          <cell r="U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5178</v>
          </cell>
        </row>
        <row r="197">
          <cell r="C197" t="str">
            <v>A0177</v>
          </cell>
          <cell r="D197" t="str">
            <v>PT Astra Auto Finance</v>
          </cell>
          <cell r="E197" t="str">
            <v>LL</v>
          </cell>
          <cell r="F197" t="str">
            <v>16LL</v>
          </cell>
          <cell r="G197">
            <v>0.1</v>
          </cell>
          <cell r="I197">
            <v>0.09</v>
          </cell>
          <cell r="J197">
            <v>9.9845231658897582</v>
          </cell>
          <cell r="K197">
            <v>13.496132494286046</v>
          </cell>
          <cell r="P197">
            <v>166304</v>
          </cell>
          <cell r="Q197">
            <v>149629.80994275495</v>
          </cell>
          <cell r="R197">
            <v>49120.114919768574</v>
          </cell>
          <cell r="S197">
            <v>77105.677955676467</v>
          </cell>
          <cell r="U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166304</v>
          </cell>
        </row>
        <row r="198">
          <cell r="C198" t="str">
            <v>A0177</v>
          </cell>
          <cell r="D198" t="str">
            <v>PT Astra Auto Finance</v>
          </cell>
          <cell r="E198" t="str">
            <v>PMK</v>
          </cell>
          <cell r="F198" t="str">
            <v>16PMK</v>
          </cell>
          <cell r="G198">
            <v>0.1</v>
          </cell>
          <cell r="I198">
            <v>0.09</v>
          </cell>
          <cell r="J198">
            <v>9.9845231658897582</v>
          </cell>
          <cell r="K198">
            <v>13.496132494286046</v>
          </cell>
          <cell r="P198">
            <v>261000</v>
          </cell>
          <cell r="Q198">
            <v>317809.67535683251</v>
          </cell>
          <cell r="R198">
            <v>25543.962916180728</v>
          </cell>
          <cell r="S198">
            <v>78000</v>
          </cell>
          <cell r="U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261000</v>
          </cell>
        </row>
        <row r="200">
          <cell r="C200" t="str">
            <v>A0045</v>
          </cell>
          <cell r="D200" t="str">
            <v>PT Astra Daihatsu Motor</v>
          </cell>
          <cell r="E200" t="str">
            <v>PEB 1</v>
          </cell>
          <cell r="F200" t="str">
            <v>17PEB 1</v>
          </cell>
          <cell r="G200">
            <v>0.1</v>
          </cell>
          <cell r="H200">
            <v>0.1</v>
          </cell>
          <cell r="I200">
            <v>0.09</v>
          </cell>
          <cell r="J200">
            <v>7.0894117404405108</v>
          </cell>
          <cell r="K200">
            <v>6.7796085438029152</v>
          </cell>
          <cell r="L200">
            <v>6263342</v>
          </cell>
          <cell r="N200">
            <v>7973295.9796000002</v>
          </cell>
          <cell r="O200">
            <v>767104.88800000004</v>
          </cell>
          <cell r="P200">
            <v>59047707</v>
          </cell>
          <cell r="Q200">
            <v>69600280.659968704</v>
          </cell>
          <cell r="R200">
            <v>2843235.304520342</v>
          </cell>
          <cell r="S200">
            <v>9373750.4364670608</v>
          </cell>
          <cell r="U200">
            <v>-39897473</v>
          </cell>
          <cell r="V200">
            <v>63022477.2892</v>
          </cell>
          <cell r="W200">
            <v>-10803423</v>
          </cell>
          <cell r="X200">
            <v>0</v>
          </cell>
          <cell r="Y200">
            <v>0</v>
          </cell>
          <cell r="Z200">
            <v>8346811</v>
          </cell>
          <cell r="AB200">
            <v>0.1</v>
          </cell>
          <cell r="AC200">
            <v>0</v>
          </cell>
          <cell r="AD200">
            <v>0.09</v>
          </cell>
          <cell r="AE200">
            <v>9.9282945601151447</v>
          </cell>
          <cell r="AF200">
            <v>20.57671024787189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19757384</v>
          </cell>
          <cell r="AL200">
            <v>27095510.537232831</v>
          </cell>
          <cell r="AM200">
            <v>2113934.8901020819</v>
          </cell>
          <cell r="AN200">
            <v>2066941.93</v>
          </cell>
          <cell r="AO200">
            <v>0</v>
          </cell>
          <cell r="AP200">
            <v>0</v>
          </cell>
          <cell r="AQ200">
            <v>0</v>
          </cell>
          <cell r="AR200">
            <v>-4243247</v>
          </cell>
          <cell r="AS200">
            <v>-6612161</v>
          </cell>
          <cell r="AT200">
            <v>394844</v>
          </cell>
          <cell r="AU200">
            <v>8901976</v>
          </cell>
          <cell r="AW200">
            <v>0.1</v>
          </cell>
          <cell r="AX200">
            <v>0</v>
          </cell>
          <cell r="AY200">
            <v>0.09</v>
          </cell>
          <cell r="AZ200">
            <v>7.0894117404405108</v>
          </cell>
          <cell r="BA200">
            <v>6.7796085438029152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806261</v>
          </cell>
          <cell r="BG200">
            <v>857549.29291089647</v>
          </cell>
          <cell r="BH200">
            <v>43515.895538809069</v>
          </cell>
          <cell r="BI200">
            <v>253160.81236666668</v>
          </cell>
          <cell r="BJ200">
            <v>0</v>
          </cell>
          <cell r="BK200">
            <v>0</v>
          </cell>
          <cell r="BL200">
            <v>0</v>
          </cell>
          <cell r="BM200">
            <v>549415</v>
          </cell>
          <cell r="BN200">
            <v>-889359</v>
          </cell>
          <cell r="BO200">
            <v>152995</v>
          </cell>
          <cell r="BP200">
            <v>466317</v>
          </cell>
          <cell r="BR200">
            <v>0.1</v>
          </cell>
          <cell r="BS200">
            <v>0</v>
          </cell>
          <cell r="BT200">
            <v>0.09</v>
          </cell>
          <cell r="BU200">
            <v>9.2882673570249636</v>
          </cell>
          <cell r="BV200">
            <v>21.793790301030555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7521793</v>
          </cell>
          <cell r="CB200">
            <v>7130429.8326694779</v>
          </cell>
          <cell r="CC200">
            <v>1399500.3274522489</v>
          </cell>
          <cell r="CD200">
            <v>516159.28466948372</v>
          </cell>
          <cell r="CE200">
            <v>0</v>
          </cell>
          <cell r="CF200">
            <v>0</v>
          </cell>
          <cell r="CG200">
            <v>0</v>
          </cell>
          <cell r="CH200">
            <v>-3477624</v>
          </cell>
          <cell r="CI200">
            <v>-1190162</v>
          </cell>
          <cell r="CJ200">
            <v>56624</v>
          </cell>
          <cell r="CK200">
            <v>2854007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C200">
            <v>0.1</v>
          </cell>
          <cell r="ED200">
            <v>0</v>
          </cell>
          <cell r="EE200">
            <v>0.09</v>
          </cell>
          <cell r="EF200">
            <v>9.9282945601151447</v>
          </cell>
          <cell r="EG200">
            <v>20.57671024787189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1605075</v>
          </cell>
          <cell r="EM200">
            <v>3494777.1783061279</v>
          </cell>
          <cell r="EN200">
            <v>568322.89963251119</v>
          </cell>
          <cell r="EO200">
            <v>375931.4114842501</v>
          </cell>
          <cell r="EP200">
            <v>0</v>
          </cell>
          <cell r="EQ200">
            <v>0</v>
          </cell>
          <cell r="ER200">
            <v>0</v>
          </cell>
          <cell r="ES200">
            <v>-1603959</v>
          </cell>
          <cell r="ET200">
            <v>0</v>
          </cell>
          <cell r="EU200">
            <v>0</v>
          </cell>
          <cell r="EV200">
            <v>1116</v>
          </cell>
          <cell r="EX200">
            <v>0.1</v>
          </cell>
          <cell r="EY200">
            <v>0</v>
          </cell>
          <cell r="EZ200">
            <v>0.09</v>
          </cell>
          <cell r="FA200">
            <v>0</v>
          </cell>
          <cell r="FB200">
            <v>20.57671024787189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4163777.0789673277</v>
          </cell>
          <cell r="FI200">
            <v>330325.64151669858</v>
          </cell>
          <cell r="FJ200">
            <v>323447.14500000002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S200">
            <v>0.1</v>
          </cell>
          <cell r="FT200">
            <v>0</v>
          </cell>
          <cell r="FU200">
            <v>0.09</v>
          </cell>
          <cell r="FV200">
            <v>9.9282945601151447</v>
          </cell>
          <cell r="FW200">
            <v>20.57671024787189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500915</v>
          </cell>
          <cell r="GC200">
            <v>7433128.8066558605</v>
          </cell>
          <cell r="GD200">
            <v>870426.12355624535</v>
          </cell>
          <cell r="GE200">
            <v>588092.64810281631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500915</v>
          </cell>
          <cell r="GN200">
            <v>0.1</v>
          </cell>
          <cell r="GO200">
            <v>0</v>
          </cell>
          <cell r="GP200">
            <v>0.09</v>
          </cell>
          <cell r="GQ200">
            <v>9.9282945601151447</v>
          </cell>
          <cell r="GR200">
            <v>20.57671024787189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8173192</v>
          </cell>
          <cell r="GX200">
            <v>14631583.641793098</v>
          </cell>
          <cell r="GY200">
            <v>3766385.7336251684</v>
          </cell>
          <cell r="GZ200">
            <v>5088183.944852151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8173192</v>
          </cell>
          <cell r="HI200">
            <v>0.1</v>
          </cell>
          <cell r="HJ200">
            <v>0</v>
          </cell>
          <cell r="HK200">
            <v>0.09</v>
          </cell>
          <cell r="HL200">
            <v>9.9282945601151447</v>
          </cell>
          <cell r="HM200">
            <v>20.57671024787189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13075761</v>
          </cell>
          <cell r="HS200">
            <v>18973577.846990183</v>
          </cell>
          <cell r="HT200">
            <v>2745745.1099039079</v>
          </cell>
          <cell r="HU200">
            <v>2832379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13075761</v>
          </cell>
        </row>
        <row r="201">
          <cell r="C201" t="str">
            <v>A0045</v>
          </cell>
          <cell r="D201" t="str">
            <v>PT Astra Daihatsu Motor</v>
          </cell>
          <cell r="E201" t="str">
            <v>PEB 2</v>
          </cell>
          <cell r="F201" t="str">
            <v>17PEB 2</v>
          </cell>
          <cell r="G201">
            <v>0.1</v>
          </cell>
          <cell r="I201">
            <v>0.09</v>
          </cell>
          <cell r="J201">
            <v>9.9282945601151447</v>
          </cell>
          <cell r="K201">
            <v>20.57671024787189</v>
          </cell>
          <cell r="P201">
            <v>19757384</v>
          </cell>
          <cell r="Q201">
            <v>27095510.537232831</v>
          </cell>
          <cell r="R201">
            <v>2113934.8901020819</v>
          </cell>
          <cell r="S201">
            <v>2066941.93</v>
          </cell>
          <cell r="U201">
            <v>0</v>
          </cell>
          <cell r="W201">
            <v>-4243247</v>
          </cell>
          <cell r="X201">
            <v>-6612161</v>
          </cell>
          <cell r="Y201">
            <v>394844</v>
          </cell>
          <cell r="Z201">
            <v>8901976</v>
          </cell>
        </row>
        <row r="202">
          <cell r="C202" t="str">
            <v>A0045</v>
          </cell>
          <cell r="D202" t="str">
            <v>PT Astra Daihatsu Motor</v>
          </cell>
          <cell r="E202" t="str">
            <v>PEB 3</v>
          </cell>
          <cell r="F202" t="str">
            <v>17PEB 3</v>
          </cell>
          <cell r="G202">
            <v>0.1</v>
          </cell>
          <cell r="I202">
            <v>0.09</v>
          </cell>
          <cell r="J202">
            <v>7.0894117404405108</v>
          </cell>
          <cell r="K202">
            <v>6.7796085438029152</v>
          </cell>
          <cell r="P202">
            <v>806261</v>
          </cell>
          <cell r="Q202">
            <v>857549.29291089647</v>
          </cell>
          <cell r="R202">
            <v>43515.895538809069</v>
          </cell>
          <cell r="S202">
            <v>253160.81236666668</v>
          </cell>
          <cell r="U202">
            <v>0</v>
          </cell>
          <cell r="W202">
            <v>549415</v>
          </cell>
          <cell r="X202">
            <v>-889359</v>
          </cell>
          <cell r="Y202">
            <v>152995</v>
          </cell>
          <cell r="Z202">
            <v>466317</v>
          </cell>
        </row>
        <row r="203">
          <cell r="C203" t="str">
            <v>A0045</v>
          </cell>
          <cell r="D203" t="str">
            <v>PT Astra Daihatsu Motor</v>
          </cell>
          <cell r="E203" t="str">
            <v>PEB 4</v>
          </cell>
          <cell r="F203" t="str">
            <v>17PEB 4</v>
          </cell>
          <cell r="G203">
            <v>0.1</v>
          </cell>
          <cell r="I203">
            <v>0.09</v>
          </cell>
          <cell r="J203">
            <v>9.2882673570249636</v>
          </cell>
          <cell r="K203">
            <v>21.793790301030555</v>
          </cell>
          <cell r="P203">
            <v>7521793</v>
          </cell>
          <cell r="Q203">
            <v>7130429.8326694779</v>
          </cell>
          <cell r="R203">
            <v>1399500.3274522489</v>
          </cell>
          <cell r="S203">
            <v>516159.28466948372</v>
          </cell>
          <cell r="U203">
            <v>0</v>
          </cell>
          <cell r="W203">
            <v>-3477624</v>
          </cell>
          <cell r="X203">
            <v>-1190162</v>
          </cell>
          <cell r="Y203">
            <v>56624</v>
          </cell>
          <cell r="Z203">
            <v>2854007</v>
          </cell>
        </row>
        <row r="204">
          <cell r="C204" t="str">
            <v>A0045</v>
          </cell>
          <cell r="D204" t="str">
            <v>PT Astra Daihatsu Motor</v>
          </cell>
          <cell r="E204" t="str">
            <v>PEB 5</v>
          </cell>
          <cell r="F204" t="str">
            <v>17PEB 5</v>
          </cell>
          <cell r="P204">
            <v>0</v>
          </cell>
          <cell r="U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</row>
        <row r="205">
          <cell r="C205" t="str">
            <v>A0045</v>
          </cell>
          <cell r="D205" t="str">
            <v>PT Astra Daihatsu Motor</v>
          </cell>
          <cell r="E205" t="str">
            <v>PEB 6</v>
          </cell>
          <cell r="F205" t="str">
            <v>17PEB 6</v>
          </cell>
          <cell r="P205">
            <v>0</v>
          </cell>
          <cell r="U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</row>
        <row r="206">
          <cell r="C206" t="str">
            <v>A0045</v>
          </cell>
          <cell r="D206" t="str">
            <v>PT Astra Daihatsu Motor</v>
          </cell>
          <cell r="E206" t="str">
            <v>PEB 7</v>
          </cell>
          <cell r="F206" t="str">
            <v>17PEB 7</v>
          </cell>
          <cell r="G206">
            <v>0.1</v>
          </cell>
          <cell r="I206">
            <v>0.09</v>
          </cell>
          <cell r="J206">
            <v>9.9282945601151447</v>
          </cell>
          <cell r="K206">
            <v>20.57671024787189</v>
          </cell>
          <cell r="P206">
            <v>1605075</v>
          </cell>
          <cell r="Q206">
            <v>3494777.1783061279</v>
          </cell>
          <cell r="R206">
            <v>568322.89963251119</v>
          </cell>
          <cell r="S206">
            <v>375931.4114842501</v>
          </cell>
          <cell r="U206">
            <v>0</v>
          </cell>
          <cell r="W206">
            <v>-1603959</v>
          </cell>
          <cell r="X206">
            <v>0</v>
          </cell>
          <cell r="Y206">
            <v>0</v>
          </cell>
          <cell r="Z206">
            <v>1116</v>
          </cell>
        </row>
        <row r="207">
          <cell r="C207" t="str">
            <v>A0045</v>
          </cell>
          <cell r="D207" t="str">
            <v>PT Astra Daihatsu Motor</v>
          </cell>
          <cell r="E207" t="str">
            <v>MPP</v>
          </cell>
          <cell r="F207" t="str">
            <v>17MPP</v>
          </cell>
          <cell r="G207">
            <v>0.1</v>
          </cell>
          <cell r="I207">
            <v>0.09</v>
          </cell>
          <cell r="J207">
            <v>0</v>
          </cell>
          <cell r="K207">
            <v>20.57671024787189</v>
          </cell>
          <cell r="P207">
            <v>0</v>
          </cell>
          <cell r="Q207">
            <v>4163777.0789673277</v>
          </cell>
          <cell r="R207">
            <v>330325.64151669858</v>
          </cell>
          <cell r="S207">
            <v>323447.14500000002</v>
          </cell>
          <cell r="U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8">
          <cell r="C208" t="str">
            <v>A0045</v>
          </cell>
          <cell r="D208" t="str">
            <v>PT Astra Daihatsu Motor</v>
          </cell>
          <cell r="E208" t="str">
            <v>ID</v>
          </cell>
          <cell r="F208" t="str">
            <v>17ID</v>
          </cell>
          <cell r="G208">
            <v>0.1</v>
          </cell>
          <cell r="I208">
            <v>0.09</v>
          </cell>
          <cell r="J208">
            <v>9.9282945601151447</v>
          </cell>
          <cell r="K208">
            <v>20.57671024787189</v>
          </cell>
          <cell r="P208">
            <v>500915</v>
          </cell>
          <cell r="Q208">
            <v>7433128.8066558605</v>
          </cell>
          <cell r="R208">
            <v>870426.12355624535</v>
          </cell>
          <cell r="S208">
            <v>588092.64810281631</v>
          </cell>
          <cell r="U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500915</v>
          </cell>
        </row>
        <row r="209">
          <cell r="C209" t="str">
            <v>A0045</v>
          </cell>
          <cell r="D209" t="str">
            <v>PT Astra Daihatsu Motor</v>
          </cell>
          <cell r="E209" t="str">
            <v>LL</v>
          </cell>
          <cell r="F209" t="str">
            <v>17LL</v>
          </cell>
          <cell r="G209">
            <v>0.1</v>
          </cell>
          <cell r="I209">
            <v>0.09</v>
          </cell>
          <cell r="J209">
            <v>9.9282945601151447</v>
          </cell>
          <cell r="K209">
            <v>20.57671024787189</v>
          </cell>
          <cell r="P209">
            <v>8173192</v>
          </cell>
          <cell r="Q209">
            <v>14631583.641793098</v>
          </cell>
          <cell r="R209">
            <v>3766385.7336251684</v>
          </cell>
          <cell r="S209">
            <v>5088183.944852151</v>
          </cell>
          <cell r="U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8173192</v>
          </cell>
        </row>
        <row r="210">
          <cell r="C210" t="str">
            <v>A0045</v>
          </cell>
          <cell r="D210" t="str">
            <v>PT Astra Daihatsu Motor</v>
          </cell>
          <cell r="E210" t="str">
            <v>PMK</v>
          </cell>
          <cell r="F210" t="str">
            <v>17PMK</v>
          </cell>
          <cell r="G210">
            <v>0.1</v>
          </cell>
          <cell r="I210">
            <v>0.09</v>
          </cell>
          <cell r="J210">
            <v>9.9282945601151447</v>
          </cell>
          <cell r="K210">
            <v>20.57671024787189</v>
          </cell>
          <cell r="P210">
            <v>13075761</v>
          </cell>
          <cell r="Q210">
            <v>18973577.846990183</v>
          </cell>
          <cell r="R210">
            <v>2745745.1099039079</v>
          </cell>
          <cell r="S210">
            <v>2832379</v>
          </cell>
          <cell r="U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13075761</v>
          </cell>
        </row>
        <row r="212">
          <cell r="C212" t="str">
            <v>A0371</v>
          </cell>
          <cell r="D212" t="str">
            <v>PT Astra Graphia Information Technology Tbk</v>
          </cell>
          <cell r="E212" t="str">
            <v>PEB 1</v>
          </cell>
          <cell r="F212" t="str">
            <v>18PEB 1</v>
          </cell>
          <cell r="G212">
            <v>0.1</v>
          </cell>
          <cell r="H212">
            <v>0.1</v>
          </cell>
          <cell r="I212">
            <v>0.09</v>
          </cell>
          <cell r="J212">
            <v>8.27</v>
          </cell>
          <cell r="K212">
            <v>9.0949392110768308</v>
          </cell>
          <cell r="L212">
            <v>123134</v>
          </cell>
          <cell r="N212">
            <v>1177083.3999999999</v>
          </cell>
          <cell r="O212">
            <v>156964</v>
          </cell>
          <cell r="P212">
            <v>7368243</v>
          </cell>
          <cell r="Q212">
            <v>11623597.763476659</v>
          </cell>
          <cell r="R212">
            <v>582847.74333168264</v>
          </cell>
          <cell r="S212">
            <v>72750.233015626553</v>
          </cell>
          <cell r="U212">
            <v>-6057013</v>
          </cell>
          <cell r="V212">
            <v>10744558.533333335</v>
          </cell>
          <cell r="W212">
            <v>-2117641</v>
          </cell>
          <cell r="X212">
            <v>0</v>
          </cell>
          <cell r="Y212">
            <v>0</v>
          </cell>
          <cell r="Z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W212">
            <v>0.1</v>
          </cell>
          <cell r="AX212">
            <v>0</v>
          </cell>
          <cell r="AY212">
            <v>0.09</v>
          </cell>
          <cell r="AZ212">
            <v>8.27</v>
          </cell>
          <cell r="BA212">
            <v>9.0949392110768308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357573.04244320421</v>
          </cell>
          <cell r="BH212">
            <v>18219.848137342942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329332</v>
          </cell>
          <cell r="BP212">
            <v>0</v>
          </cell>
          <cell r="BR212">
            <v>0.1</v>
          </cell>
          <cell r="BS212">
            <v>0</v>
          </cell>
          <cell r="BT212">
            <v>0.09</v>
          </cell>
          <cell r="BU212">
            <v>10.18</v>
          </cell>
          <cell r="BV212">
            <v>18.215668965599335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1445265</v>
          </cell>
          <cell r="CB212">
            <v>1580979.2322318926</v>
          </cell>
          <cell r="CC212">
            <v>386776.7899649592</v>
          </cell>
          <cell r="CD212">
            <v>135476.08288027233</v>
          </cell>
          <cell r="CE212">
            <v>0</v>
          </cell>
          <cell r="CF212">
            <v>0</v>
          </cell>
          <cell r="CG212">
            <v>0</v>
          </cell>
          <cell r="CH212">
            <v>-508802</v>
          </cell>
          <cell r="CI212">
            <v>0</v>
          </cell>
          <cell r="CJ212">
            <v>1959248</v>
          </cell>
          <cell r="CK212">
            <v>936463</v>
          </cell>
          <cell r="CM212">
            <v>0.1</v>
          </cell>
          <cell r="CN212">
            <v>0</v>
          </cell>
          <cell r="CO212">
            <v>0.09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-57230</v>
          </cell>
          <cell r="DD212">
            <v>0</v>
          </cell>
          <cell r="DE212">
            <v>22087</v>
          </cell>
          <cell r="DF212">
            <v>-57230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C212">
            <v>0.1</v>
          </cell>
          <cell r="ED212">
            <v>0</v>
          </cell>
          <cell r="EE212">
            <v>0.09</v>
          </cell>
          <cell r="EF212">
            <v>10.18</v>
          </cell>
          <cell r="EG212">
            <v>17.271021955309507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1457312</v>
          </cell>
          <cell r="EM212">
            <v>654158.42784551799</v>
          </cell>
          <cell r="EN212">
            <v>88507.291563664039</v>
          </cell>
          <cell r="EO212">
            <v>70527.137476236909</v>
          </cell>
          <cell r="EP212">
            <v>0</v>
          </cell>
          <cell r="EQ212">
            <v>0</v>
          </cell>
          <cell r="ER212">
            <v>0</v>
          </cell>
          <cell r="ES212">
            <v>48195</v>
          </cell>
          <cell r="ET212">
            <v>0</v>
          </cell>
          <cell r="EU212">
            <v>0</v>
          </cell>
          <cell r="EV212">
            <v>1505507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S212">
            <v>0.1</v>
          </cell>
          <cell r="FT212">
            <v>0</v>
          </cell>
          <cell r="FU212">
            <v>0.09</v>
          </cell>
          <cell r="FV212">
            <v>10.18</v>
          </cell>
          <cell r="FW212">
            <v>17.271021955309507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1986741</v>
          </cell>
          <cell r="GC212">
            <v>1950626.377240371</v>
          </cell>
          <cell r="GD212">
            <v>235490.27761286966</v>
          </cell>
          <cell r="GE212">
            <v>127440.97818344453</v>
          </cell>
          <cell r="GF212">
            <v>0</v>
          </cell>
          <cell r="GG212">
            <v>0</v>
          </cell>
          <cell r="GH212">
            <v>0</v>
          </cell>
          <cell r="GI212">
            <v>16605</v>
          </cell>
          <cell r="GJ212">
            <v>0</v>
          </cell>
          <cell r="GK212">
            <v>0</v>
          </cell>
          <cell r="GL212">
            <v>2003346</v>
          </cell>
          <cell r="GN212">
            <v>0.1</v>
          </cell>
          <cell r="GO212">
            <v>0</v>
          </cell>
          <cell r="GP212">
            <v>0.09</v>
          </cell>
          <cell r="GQ212">
            <v>10.18</v>
          </cell>
          <cell r="GR212">
            <v>17.271021955309507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767442</v>
          </cell>
          <cell r="GX212">
            <v>3638712.6989650596</v>
          </cell>
          <cell r="GY212">
            <v>903933.2998292424</v>
          </cell>
          <cell r="GZ212">
            <v>862066.92482962308</v>
          </cell>
          <cell r="HA212">
            <v>0</v>
          </cell>
          <cell r="HB212">
            <v>0</v>
          </cell>
          <cell r="HC212">
            <v>0</v>
          </cell>
          <cell r="HD212">
            <v>6165</v>
          </cell>
          <cell r="HE212">
            <v>0</v>
          </cell>
          <cell r="HF212">
            <v>0</v>
          </cell>
          <cell r="HG212">
            <v>773607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</row>
        <row r="213">
          <cell r="C213" t="str">
            <v>A0371</v>
          </cell>
          <cell r="D213" t="str">
            <v>PT Astra Graphia Information Technology Tbk</v>
          </cell>
          <cell r="E213" t="str">
            <v>PEB 2</v>
          </cell>
          <cell r="F213" t="str">
            <v>18PEB 2</v>
          </cell>
          <cell r="P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</row>
        <row r="214">
          <cell r="C214" t="str">
            <v>A0371</v>
          </cell>
          <cell r="D214" t="str">
            <v>PT Astra Graphia Information Technology Tbk</v>
          </cell>
          <cell r="E214" t="str">
            <v>PEB 3</v>
          </cell>
          <cell r="F214" t="str">
            <v>18PEB 3</v>
          </cell>
          <cell r="G214">
            <v>0.1</v>
          </cell>
          <cell r="I214">
            <v>0.09</v>
          </cell>
          <cell r="J214">
            <v>8.27</v>
          </cell>
          <cell r="K214">
            <v>9.0949392110768308</v>
          </cell>
          <cell r="P214">
            <v>0</v>
          </cell>
          <cell r="Q214">
            <v>357573.04244320421</v>
          </cell>
          <cell r="R214">
            <v>18219.848137342942</v>
          </cell>
          <cell r="S214">
            <v>0</v>
          </cell>
          <cell r="W214">
            <v>0</v>
          </cell>
          <cell r="X214">
            <v>0</v>
          </cell>
          <cell r="Y214">
            <v>329332</v>
          </cell>
          <cell r="Z214">
            <v>0</v>
          </cell>
        </row>
        <row r="215">
          <cell r="C215" t="str">
            <v>A0371</v>
          </cell>
          <cell r="D215" t="str">
            <v>PT Astra Graphia Information Technology Tbk</v>
          </cell>
          <cell r="E215" t="str">
            <v>PEB 4</v>
          </cell>
          <cell r="F215" t="str">
            <v>18PEB 4</v>
          </cell>
          <cell r="G215">
            <v>0.1</v>
          </cell>
          <cell r="I215">
            <v>0.09</v>
          </cell>
          <cell r="J215">
            <v>10.18</v>
          </cell>
          <cell r="K215">
            <v>18.215668965599335</v>
          </cell>
          <cell r="P215">
            <v>1445265</v>
          </cell>
          <cell r="Q215">
            <v>1580979.2322318926</v>
          </cell>
          <cell r="R215">
            <v>386776.7899649592</v>
          </cell>
          <cell r="S215">
            <v>135476.08288027233</v>
          </cell>
          <cell r="W215">
            <v>-508802</v>
          </cell>
          <cell r="X215">
            <v>0</v>
          </cell>
          <cell r="Y215">
            <v>1959248</v>
          </cell>
          <cell r="Z215">
            <v>936463</v>
          </cell>
        </row>
        <row r="216">
          <cell r="C216" t="str">
            <v>A0371</v>
          </cell>
          <cell r="D216" t="str">
            <v>PT Astra Graphia Information Technology Tbk</v>
          </cell>
          <cell r="E216" t="str">
            <v>PEB 5</v>
          </cell>
          <cell r="F216" t="str">
            <v>18PEB 5</v>
          </cell>
          <cell r="G216">
            <v>0.1</v>
          </cell>
          <cell r="I216">
            <v>0.09</v>
          </cell>
          <cell r="J216">
            <v>0</v>
          </cell>
          <cell r="K216">
            <v>0</v>
          </cell>
          <cell r="P216">
            <v>0</v>
          </cell>
          <cell r="W216">
            <v>-57230</v>
          </cell>
          <cell r="X216">
            <v>0</v>
          </cell>
          <cell r="Y216">
            <v>22087</v>
          </cell>
          <cell r="Z216">
            <v>-57230</v>
          </cell>
        </row>
        <row r="217">
          <cell r="C217" t="str">
            <v>A0371</v>
          </cell>
          <cell r="D217" t="str">
            <v>PT Astra Graphia Information Technology Tbk</v>
          </cell>
          <cell r="E217" t="str">
            <v>PEB 6</v>
          </cell>
          <cell r="F217" t="str">
            <v>18PEB 6</v>
          </cell>
          <cell r="P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C218" t="str">
            <v>A0371</v>
          </cell>
          <cell r="D218" t="str">
            <v>PT Astra Graphia Information Technology Tbk</v>
          </cell>
          <cell r="E218" t="str">
            <v>PEB 7</v>
          </cell>
          <cell r="F218" t="str">
            <v>18PEB 7</v>
          </cell>
          <cell r="G218">
            <v>0.1</v>
          </cell>
          <cell r="I218">
            <v>0.09</v>
          </cell>
          <cell r="J218">
            <v>10.18</v>
          </cell>
          <cell r="K218">
            <v>17.271021955309507</v>
          </cell>
          <cell r="P218">
            <v>1457312</v>
          </cell>
          <cell r="Q218">
            <v>654158.42784551799</v>
          </cell>
          <cell r="R218">
            <v>88507.291563664039</v>
          </cell>
          <cell r="S218">
            <v>70527.137476236909</v>
          </cell>
          <cell r="W218">
            <v>48195</v>
          </cell>
          <cell r="X218">
            <v>0</v>
          </cell>
          <cell r="Y218">
            <v>0</v>
          </cell>
          <cell r="Z218">
            <v>1505507</v>
          </cell>
        </row>
        <row r="219">
          <cell r="C219" t="str">
            <v>A0371</v>
          </cell>
          <cell r="D219" t="str">
            <v>PT Astra Graphia Information Technology Tbk</v>
          </cell>
          <cell r="E219" t="str">
            <v>MPP</v>
          </cell>
          <cell r="F219" t="str">
            <v>18MPP</v>
          </cell>
        </row>
        <row r="220">
          <cell r="C220" t="str">
            <v>A0371</v>
          </cell>
          <cell r="D220" t="str">
            <v>PT Astra Graphia Information Technology Tbk</v>
          </cell>
          <cell r="E220" t="str">
            <v>ID</v>
          </cell>
          <cell r="F220" t="str">
            <v>18ID</v>
          </cell>
          <cell r="G220">
            <v>0.1</v>
          </cell>
          <cell r="I220">
            <v>0.09</v>
          </cell>
          <cell r="J220">
            <v>10.18</v>
          </cell>
          <cell r="K220">
            <v>17.271021955309507</v>
          </cell>
          <cell r="P220">
            <v>1986741</v>
          </cell>
          <cell r="Q220">
            <v>1950626.377240371</v>
          </cell>
          <cell r="R220">
            <v>235490.27761286966</v>
          </cell>
          <cell r="S220">
            <v>127440.97818344453</v>
          </cell>
          <cell r="W220">
            <v>16605</v>
          </cell>
          <cell r="X220">
            <v>0</v>
          </cell>
          <cell r="Y220">
            <v>0</v>
          </cell>
          <cell r="Z220">
            <v>2003346</v>
          </cell>
        </row>
        <row r="221">
          <cell r="C221" t="str">
            <v>A0371</v>
          </cell>
          <cell r="D221" t="str">
            <v>PT Astra Graphia Information Technology Tbk</v>
          </cell>
          <cell r="E221" t="str">
            <v>LL</v>
          </cell>
          <cell r="F221" t="str">
            <v>18LL</v>
          </cell>
          <cell r="G221">
            <v>0.1</v>
          </cell>
          <cell r="I221">
            <v>0.09</v>
          </cell>
          <cell r="J221">
            <v>10.18</v>
          </cell>
          <cell r="K221">
            <v>17.271021955309507</v>
          </cell>
          <cell r="P221">
            <v>767442</v>
          </cell>
          <cell r="Q221">
            <v>3638712.6989650596</v>
          </cell>
          <cell r="R221">
            <v>903933.2998292424</v>
          </cell>
          <cell r="S221">
            <v>862066.92482962308</v>
          </cell>
          <cell r="W221">
            <v>6165</v>
          </cell>
          <cell r="X221">
            <v>0</v>
          </cell>
          <cell r="Y221">
            <v>0</v>
          </cell>
          <cell r="Z221">
            <v>773607</v>
          </cell>
        </row>
        <row r="222">
          <cell r="C222" t="str">
            <v>A0371</v>
          </cell>
          <cell r="D222" t="str">
            <v>PT Astra Graphia Information Technology Tbk</v>
          </cell>
          <cell r="E222" t="str">
            <v>PMK</v>
          </cell>
          <cell r="F222" t="str">
            <v>18PMK</v>
          </cell>
          <cell r="P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</row>
        <row r="224">
          <cell r="C224" t="str">
            <v>A0014</v>
          </cell>
          <cell r="D224" t="str">
            <v>PT Astra Graphia Tbk</v>
          </cell>
          <cell r="E224" t="str">
            <v>PEB 1</v>
          </cell>
          <cell r="F224" t="str">
            <v>19PEB 1</v>
          </cell>
          <cell r="G224">
            <v>0.1</v>
          </cell>
          <cell r="H224">
            <v>0.1</v>
          </cell>
          <cell r="I224">
            <v>0.09</v>
          </cell>
          <cell r="J224">
            <v>7.9761266069738435</v>
          </cell>
          <cell r="K224">
            <v>8.3901486864115142</v>
          </cell>
          <cell r="L224">
            <v>6060041</v>
          </cell>
          <cell r="N224">
            <v>11437648.6864</v>
          </cell>
          <cell r="O224">
            <v>818520.13599999994</v>
          </cell>
          <cell r="P224">
            <v>70376760</v>
          </cell>
          <cell r="Q224">
            <v>83419384.025555566</v>
          </cell>
          <cell r="R224">
            <v>3204591.2964100162</v>
          </cell>
          <cell r="S224">
            <v>9379705.0894674063</v>
          </cell>
          <cell r="U224">
            <v>-47424697</v>
          </cell>
          <cell r="V224">
            <v>79779104.340800002</v>
          </cell>
          <cell r="W224">
            <v>-15541165</v>
          </cell>
          <cell r="X224">
            <v>0</v>
          </cell>
          <cell r="Y224">
            <v>0</v>
          </cell>
          <cell r="Z224">
            <v>7410898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W224">
            <v>0.1</v>
          </cell>
          <cell r="AX224">
            <v>0</v>
          </cell>
          <cell r="AY224">
            <v>0.09</v>
          </cell>
          <cell r="AZ224">
            <v>7.9761266069738435</v>
          </cell>
          <cell r="BA224">
            <v>8.3901486864115142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110679</v>
          </cell>
          <cell r="BG224">
            <v>60048.451427558757</v>
          </cell>
          <cell r="BH224">
            <v>3074.2408424748869</v>
          </cell>
          <cell r="BI224">
            <v>16588.668186666666</v>
          </cell>
          <cell r="BJ224">
            <v>0</v>
          </cell>
          <cell r="BK224">
            <v>0</v>
          </cell>
          <cell r="BL224">
            <v>0</v>
          </cell>
          <cell r="BM224">
            <v>-36694</v>
          </cell>
          <cell r="BN224">
            <v>0</v>
          </cell>
          <cell r="BO224">
            <v>0</v>
          </cell>
          <cell r="BP224">
            <v>73985</v>
          </cell>
          <cell r="BR224">
            <v>0.1</v>
          </cell>
          <cell r="BS224">
            <v>0</v>
          </cell>
          <cell r="BT224">
            <v>0.09</v>
          </cell>
          <cell r="BU224">
            <v>10.251570960104798</v>
          </cell>
          <cell r="BV224">
            <v>17.974789869825926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4127428</v>
          </cell>
          <cell r="CB224">
            <v>1049718.9487871409</v>
          </cell>
          <cell r="CC224">
            <v>137643.20117461646</v>
          </cell>
          <cell r="CD224">
            <v>273256.90874994936</v>
          </cell>
          <cell r="CE224">
            <v>0</v>
          </cell>
          <cell r="CF224">
            <v>0</v>
          </cell>
          <cell r="CG224">
            <v>0</v>
          </cell>
          <cell r="CH224">
            <v>-816457</v>
          </cell>
          <cell r="CI224">
            <v>-1120262</v>
          </cell>
          <cell r="CJ224">
            <v>58965</v>
          </cell>
          <cell r="CK224">
            <v>2190709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C224">
            <v>0.1</v>
          </cell>
          <cell r="ED224">
            <v>0</v>
          </cell>
          <cell r="EE224">
            <v>0.09</v>
          </cell>
          <cell r="EF224">
            <v>9.9371043703796591</v>
          </cell>
          <cell r="EG224">
            <v>14.212968278005638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1336469</v>
          </cell>
          <cell r="EM224">
            <v>1452709.1619410662</v>
          </cell>
          <cell r="EN224">
            <v>120538.80559303182</v>
          </cell>
          <cell r="EO224">
            <v>190126.7308702122</v>
          </cell>
          <cell r="EP224">
            <v>0</v>
          </cell>
          <cell r="EQ224">
            <v>0</v>
          </cell>
          <cell r="ER224">
            <v>0</v>
          </cell>
          <cell r="ES224">
            <v>-1335332</v>
          </cell>
          <cell r="ET224">
            <v>0</v>
          </cell>
          <cell r="EU224">
            <v>0</v>
          </cell>
          <cell r="EV224">
            <v>1137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S224">
            <v>0.1</v>
          </cell>
          <cell r="FT224">
            <v>0</v>
          </cell>
          <cell r="FU224">
            <v>0.09</v>
          </cell>
          <cell r="FV224">
            <v>9.9371043703796591</v>
          </cell>
          <cell r="FW224">
            <v>14.212968278005638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526140</v>
          </cell>
          <cell r="GC224">
            <v>4471711.8483301653</v>
          </cell>
          <cell r="GD224">
            <v>304441.002408256</v>
          </cell>
          <cell r="GE224">
            <v>434891.01569863706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526140</v>
          </cell>
          <cell r="GN224">
            <v>0.1</v>
          </cell>
          <cell r="GO224">
            <v>0</v>
          </cell>
          <cell r="GP224">
            <v>0.09</v>
          </cell>
          <cell r="GQ224">
            <v>9.9371043703796591</v>
          </cell>
          <cell r="GR224">
            <v>14.212968278005638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4758109</v>
          </cell>
          <cell r="GX224">
            <v>7218445</v>
          </cell>
          <cell r="GY224">
            <v>1576169.5825710702</v>
          </cell>
          <cell r="GZ224">
            <v>1502638.5798256667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4758109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</row>
        <row r="225">
          <cell r="C225" t="str">
            <v>A0014</v>
          </cell>
          <cell r="D225" t="str">
            <v>PT Astra Graphia Tbk</v>
          </cell>
          <cell r="E225" t="str">
            <v>PEB 2</v>
          </cell>
          <cell r="F225" t="str">
            <v>19PEB 2</v>
          </cell>
          <cell r="P225">
            <v>0</v>
          </cell>
          <cell r="U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</row>
        <row r="226">
          <cell r="C226" t="str">
            <v>A0014</v>
          </cell>
          <cell r="D226" t="str">
            <v>PT Astra Graphia Tbk</v>
          </cell>
          <cell r="E226" t="str">
            <v>PEB 3</v>
          </cell>
          <cell r="F226" t="str">
            <v>19PEB 3</v>
          </cell>
          <cell r="G226">
            <v>0.1</v>
          </cell>
          <cell r="I226">
            <v>0.09</v>
          </cell>
          <cell r="J226">
            <v>7.9761266069738435</v>
          </cell>
          <cell r="K226">
            <v>8.3901486864115142</v>
          </cell>
          <cell r="P226">
            <v>110679</v>
          </cell>
          <cell r="Q226">
            <v>60048.451427558757</v>
          </cell>
          <cell r="R226">
            <v>3074.2408424748869</v>
          </cell>
          <cell r="S226">
            <v>16588.668186666666</v>
          </cell>
          <cell r="U226">
            <v>0</v>
          </cell>
          <cell r="W226">
            <v>-36694</v>
          </cell>
          <cell r="X226">
            <v>0</v>
          </cell>
          <cell r="Y226">
            <v>0</v>
          </cell>
          <cell r="Z226">
            <v>73985</v>
          </cell>
        </row>
        <row r="227">
          <cell r="C227" t="str">
            <v>A0014</v>
          </cell>
          <cell r="D227" t="str">
            <v>PT Astra Graphia Tbk</v>
          </cell>
          <cell r="E227" t="str">
            <v>PEB 4</v>
          </cell>
          <cell r="F227" t="str">
            <v>19PEB 4</v>
          </cell>
          <cell r="G227">
            <v>0.1</v>
          </cell>
          <cell r="I227">
            <v>0.09</v>
          </cell>
          <cell r="J227">
            <v>10.251570960104798</v>
          </cell>
          <cell r="K227">
            <v>17.974789869825926</v>
          </cell>
          <cell r="P227">
            <v>4127428</v>
          </cell>
          <cell r="Q227">
            <v>1049718.9487871409</v>
          </cell>
          <cell r="R227">
            <v>137643.20117461646</v>
          </cell>
          <cell r="S227">
            <v>273256.90874994936</v>
          </cell>
          <cell r="U227">
            <v>0</v>
          </cell>
          <cell r="W227">
            <v>-816457</v>
          </cell>
          <cell r="X227">
            <v>-1120262</v>
          </cell>
          <cell r="Y227">
            <v>58965</v>
          </cell>
          <cell r="Z227">
            <v>2190709</v>
          </cell>
        </row>
        <row r="228">
          <cell r="C228" t="str">
            <v>A0014</v>
          </cell>
          <cell r="D228" t="str">
            <v>PT Astra Graphia Tbk</v>
          </cell>
          <cell r="E228" t="str">
            <v>PEB 5</v>
          </cell>
          <cell r="F228" t="str">
            <v>19PEB 5</v>
          </cell>
          <cell r="P228">
            <v>0</v>
          </cell>
          <cell r="U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</row>
        <row r="229">
          <cell r="C229" t="str">
            <v>A0014</v>
          </cell>
          <cell r="D229" t="str">
            <v>PT Astra Graphia Tbk</v>
          </cell>
          <cell r="E229" t="str">
            <v>PEB 6</v>
          </cell>
          <cell r="F229" t="str">
            <v>19PEB 6</v>
          </cell>
          <cell r="P229">
            <v>0</v>
          </cell>
          <cell r="U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</row>
        <row r="230">
          <cell r="C230" t="str">
            <v>A0014</v>
          </cell>
          <cell r="D230" t="str">
            <v>PT Astra Graphia Tbk</v>
          </cell>
          <cell r="E230" t="str">
            <v>PEB 7</v>
          </cell>
          <cell r="F230" t="str">
            <v>19PEB 7</v>
          </cell>
          <cell r="G230">
            <v>0.1</v>
          </cell>
          <cell r="I230">
            <v>0.09</v>
          </cell>
          <cell r="J230">
            <v>9.9371043703796591</v>
          </cell>
          <cell r="K230">
            <v>14.212968278005638</v>
          </cell>
          <cell r="P230">
            <v>1336469</v>
          </cell>
          <cell r="Q230">
            <v>1452709.1619410662</v>
          </cell>
          <cell r="R230">
            <v>120538.80559303182</v>
          </cell>
          <cell r="S230">
            <v>190126.7308702122</v>
          </cell>
          <cell r="U230">
            <v>0</v>
          </cell>
          <cell r="W230">
            <v>-1335332</v>
          </cell>
          <cell r="X230">
            <v>0</v>
          </cell>
          <cell r="Y230">
            <v>0</v>
          </cell>
          <cell r="Z230">
            <v>1137</v>
          </cell>
        </row>
        <row r="231">
          <cell r="C231" t="str">
            <v>A0014</v>
          </cell>
          <cell r="D231" t="str">
            <v>PT Astra Graphia Tbk</v>
          </cell>
          <cell r="E231" t="str">
            <v>MPP</v>
          </cell>
          <cell r="F231" t="str">
            <v>19MPP</v>
          </cell>
          <cell r="P231">
            <v>0</v>
          </cell>
          <cell r="U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</row>
        <row r="232">
          <cell r="C232" t="str">
            <v>A0014</v>
          </cell>
          <cell r="D232" t="str">
            <v>PT Astra Graphia Tbk</v>
          </cell>
          <cell r="E232" t="str">
            <v>ID</v>
          </cell>
          <cell r="F232" t="str">
            <v>19ID</v>
          </cell>
          <cell r="G232">
            <v>0.1</v>
          </cell>
          <cell r="I232">
            <v>0.09</v>
          </cell>
          <cell r="J232">
            <v>9.9371043703796591</v>
          </cell>
          <cell r="K232">
            <v>14.212968278005638</v>
          </cell>
          <cell r="P232">
            <v>526140</v>
          </cell>
          <cell r="Q232">
            <v>4471711.8483301653</v>
          </cell>
          <cell r="R232">
            <v>304441.002408256</v>
          </cell>
          <cell r="S232">
            <v>434891.01569863706</v>
          </cell>
          <cell r="U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526140</v>
          </cell>
        </row>
        <row r="233">
          <cell r="C233" t="str">
            <v>A0014</v>
          </cell>
          <cell r="D233" t="str">
            <v>PT Astra Graphia Tbk</v>
          </cell>
          <cell r="E233" t="str">
            <v>LL</v>
          </cell>
          <cell r="F233" t="str">
            <v>19LL</v>
          </cell>
          <cell r="G233">
            <v>0.1</v>
          </cell>
          <cell r="I233">
            <v>0.09</v>
          </cell>
          <cell r="J233">
            <v>9.9371043703796591</v>
          </cell>
          <cell r="K233">
            <v>14.212968278005638</v>
          </cell>
          <cell r="P233">
            <v>4758109</v>
          </cell>
          <cell r="Q233">
            <v>7218445</v>
          </cell>
          <cell r="R233">
            <v>1576169.5825710702</v>
          </cell>
          <cell r="S233">
            <v>1502638.5798256667</v>
          </cell>
          <cell r="U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4758109</v>
          </cell>
        </row>
        <row r="234">
          <cell r="C234" t="str">
            <v>A0014</v>
          </cell>
          <cell r="D234" t="str">
            <v>PT Astra Graphia Tbk</v>
          </cell>
          <cell r="E234" t="str">
            <v>PMK</v>
          </cell>
          <cell r="F234" t="str">
            <v>19PMK</v>
          </cell>
          <cell r="P234">
            <v>0</v>
          </cell>
          <cell r="U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</row>
        <row r="236">
          <cell r="C236" t="str">
            <v>A0060</v>
          </cell>
          <cell r="D236" t="str">
            <v>PT Astra Honda Motor</v>
          </cell>
          <cell r="E236" t="str">
            <v>PEB 1</v>
          </cell>
          <cell r="F236" t="str">
            <v>20PEB 1</v>
          </cell>
          <cell r="G236">
            <v>0.1</v>
          </cell>
          <cell r="H236">
            <v>0.1</v>
          </cell>
          <cell r="I236">
            <v>0.09</v>
          </cell>
          <cell r="J236">
            <v>6.8775331423491437</v>
          </cell>
          <cell r="K236">
            <v>6.4782504913804146</v>
          </cell>
          <cell r="L236">
            <v>14205801</v>
          </cell>
          <cell r="N236">
            <v>35215555.576000005</v>
          </cell>
          <cell r="O236">
            <v>3286700.2560000001</v>
          </cell>
          <cell r="P236">
            <v>228367582</v>
          </cell>
          <cell r="Q236">
            <v>301045926.77948767</v>
          </cell>
          <cell r="R236">
            <v>11891474.612418523</v>
          </cell>
          <cell r="S236">
            <v>40234250.982390568</v>
          </cell>
          <cell r="U236">
            <v>-143849790</v>
          </cell>
          <cell r="V236">
            <v>242711022.34400004</v>
          </cell>
          <cell r="W236">
            <v>-71107222</v>
          </cell>
          <cell r="X236">
            <v>0</v>
          </cell>
          <cell r="Y236">
            <v>0</v>
          </cell>
          <cell r="Z236">
            <v>13410570</v>
          </cell>
          <cell r="AB236">
            <v>0.1</v>
          </cell>
          <cell r="AC236">
            <v>0</v>
          </cell>
          <cell r="AD236">
            <v>0.09</v>
          </cell>
          <cell r="AE236">
            <v>10.043646528773564</v>
          </cell>
          <cell r="AF236">
            <v>18.602749491035311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91891358</v>
          </cell>
          <cell r="AL236">
            <v>118030327.50175688</v>
          </cell>
          <cell r="AM236">
            <v>7516320.9144290164</v>
          </cell>
          <cell r="AN236">
            <v>9255332.026999997</v>
          </cell>
          <cell r="AO236">
            <v>0</v>
          </cell>
          <cell r="AP236">
            <v>0</v>
          </cell>
          <cell r="AQ236">
            <v>0</v>
          </cell>
          <cell r="AR236">
            <v>-34041</v>
          </cell>
          <cell r="AS236">
            <v>-54561311</v>
          </cell>
          <cell r="AT236">
            <v>2634127</v>
          </cell>
          <cell r="AU236">
            <v>37296006</v>
          </cell>
          <cell r="AW236">
            <v>0.1</v>
          </cell>
          <cell r="AX236">
            <v>0</v>
          </cell>
          <cell r="AY236">
            <v>0.09</v>
          </cell>
          <cell r="AZ236">
            <v>6.8775331423491437</v>
          </cell>
          <cell r="BA236">
            <v>6.4782504913804146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142177</v>
          </cell>
          <cell r="BG236">
            <v>3305814.4620499108</v>
          </cell>
          <cell r="BH236">
            <v>169159.0782809096</v>
          </cell>
          <cell r="BI236">
            <v>287210.07302133332</v>
          </cell>
          <cell r="BJ236">
            <v>0</v>
          </cell>
          <cell r="BK236">
            <v>0</v>
          </cell>
          <cell r="BL236">
            <v>0</v>
          </cell>
          <cell r="BM236">
            <v>9841278</v>
          </cell>
          <cell r="BN236">
            <v>-9854322</v>
          </cell>
          <cell r="BO236">
            <v>765831</v>
          </cell>
          <cell r="BP236">
            <v>129133</v>
          </cell>
          <cell r="BR236">
            <v>0.1</v>
          </cell>
          <cell r="BS236">
            <v>0</v>
          </cell>
          <cell r="BT236">
            <v>0.09</v>
          </cell>
          <cell r="BU236">
            <v>9.6359941334910548</v>
          </cell>
          <cell r="BV236">
            <v>20.412723858596063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30657226</v>
          </cell>
          <cell r="CB236">
            <v>43350861.042089529</v>
          </cell>
          <cell r="CC236">
            <v>4743246.641754061</v>
          </cell>
          <cell r="CD236">
            <v>2363034.8149215989</v>
          </cell>
          <cell r="CE236">
            <v>0</v>
          </cell>
          <cell r="CF236">
            <v>0</v>
          </cell>
          <cell r="CG236">
            <v>0</v>
          </cell>
          <cell r="CH236">
            <v>-12303366</v>
          </cell>
          <cell r="CI236">
            <v>-5446229</v>
          </cell>
          <cell r="CJ236">
            <v>239787</v>
          </cell>
          <cell r="CK236">
            <v>12907631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H236">
            <v>0.1</v>
          </cell>
          <cell r="DI236">
            <v>0</v>
          </cell>
          <cell r="DJ236">
            <v>0.09</v>
          </cell>
          <cell r="DK236">
            <v>10.043646528773564</v>
          </cell>
          <cell r="DL236">
            <v>18.86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27203473</v>
          </cell>
          <cell r="DR236">
            <v>33556209.515594229</v>
          </cell>
          <cell r="DS236">
            <v>2821510.7886905377</v>
          </cell>
          <cell r="DT236">
            <v>2190198.7999999998</v>
          </cell>
          <cell r="DU236">
            <v>0</v>
          </cell>
          <cell r="DV236">
            <v>0</v>
          </cell>
          <cell r="DW236">
            <v>0</v>
          </cell>
          <cell r="DX236">
            <v>6790944</v>
          </cell>
          <cell r="DY236">
            <v>-17148816</v>
          </cell>
          <cell r="DZ236">
            <v>890205</v>
          </cell>
          <cell r="EA236">
            <v>16845601</v>
          </cell>
          <cell r="EC236">
            <v>0.1</v>
          </cell>
          <cell r="ED236">
            <v>0</v>
          </cell>
          <cell r="EE236">
            <v>0.09</v>
          </cell>
          <cell r="EF236">
            <v>10.043646528773564</v>
          </cell>
          <cell r="EG236">
            <v>18.602749491035311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7470166</v>
          </cell>
          <cell r="EM236">
            <v>13455028.902625233</v>
          </cell>
          <cell r="EN236">
            <v>1487569.2417225835</v>
          </cell>
          <cell r="EO236">
            <v>1544775.6104019925</v>
          </cell>
          <cell r="EP236">
            <v>0</v>
          </cell>
          <cell r="EQ236">
            <v>0</v>
          </cell>
          <cell r="ER236">
            <v>0</v>
          </cell>
          <cell r="ES236">
            <v>-6757745</v>
          </cell>
          <cell r="ET236">
            <v>0</v>
          </cell>
          <cell r="EU236">
            <v>0</v>
          </cell>
          <cell r="EV236">
            <v>712421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18.602749491035311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17876605.477737993</v>
          </cell>
          <cell r="FI236">
            <v>1149031.5278824887</v>
          </cell>
          <cell r="FJ236">
            <v>1424942.7209999999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S236">
            <v>0.1</v>
          </cell>
          <cell r="FT236">
            <v>0</v>
          </cell>
          <cell r="FU236">
            <v>0.09</v>
          </cell>
          <cell r="FV236">
            <v>10.043646528773564</v>
          </cell>
          <cell r="FW236">
            <v>18.602749491035311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2788171</v>
          </cell>
          <cell r="GC236">
            <v>30600394.960581247</v>
          </cell>
          <cell r="GD236">
            <v>2679766.6240694067</v>
          </cell>
          <cell r="GE236">
            <v>2476714.5993011785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2788171</v>
          </cell>
          <cell r="GN236">
            <v>0.1</v>
          </cell>
          <cell r="GO236">
            <v>0</v>
          </cell>
          <cell r="GP236">
            <v>0.09</v>
          </cell>
          <cell r="GQ236">
            <v>10.043646528773564</v>
          </cell>
          <cell r="GR236">
            <v>18.602749491035311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30152870</v>
          </cell>
          <cell r="GX236">
            <v>45017251</v>
          </cell>
          <cell r="GY236">
            <v>12287710</v>
          </cell>
          <cell r="GZ236">
            <v>17368155.508603323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30152870</v>
          </cell>
          <cell r="HI236">
            <v>0.1</v>
          </cell>
          <cell r="HJ236">
            <v>0</v>
          </cell>
          <cell r="HK236">
            <v>0.09</v>
          </cell>
          <cell r="HL236">
            <v>10.043646528773564</v>
          </cell>
          <cell r="HM236">
            <v>18.602749491035311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28402768</v>
          </cell>
          <cell r="HS236">
            <v>51668512.01184658</v>
          </cell>
          <cell r="HT236">
            <v>6572272.7904985761</v>
          </cell>
          <cell r="HU236">
            <v>6408855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28402768</v>
          </cell>
        </row>
        <row r="237">
          <cell r="C237" t="str">
            <v>A0060</v>
          </cell>
          <cell r="D237" t="str">
            <v>PT Astra Honda Motor</v>
          </cell>
          <cell r="E237" t="str">
            <v>PEB 2</v>
          </cell>
          <cell r="F237" t="str">
            <v>20PEB 2</v>
          </cell>
          <cell r="G237">
            <v>0.1</v>
          </cell>
          <cell r="I237">
            <v>0.09</v>
          </cell>
          <cell r="J237">
            <v>10.043646528773564</v>
          </cell>
          <cell r="K237">
            <v>18.602749491035311</v>
          </cell>
          <cell r="P237">
            <v>91891358</v>
          </cell>
          <cell r="Q237">
            <v>118030327.50175688</v>
          </cell>
          <cell r="R237">
            <v>7516320.9144290164</v>
          </cell>
          <cell r="S237">
            <v>9255332.026999997</v>
          </cell>
          <cell r="U237">
            <v>0</v>
          </cell>
          <cell r="W237">
            <v>-34041</v>
          </cell>
          <cell r="X237">
            <v>-54561311</v>
          </cell>
          <cell r="Y237">
            <v>2634127</v>
          </cell>
          <cell r="Z237">
            <v>37296006</v>
          </cell>
        </row>
        <row r="238">
          <cell r="C238" t="str">
            <v>A0060</v>
          </cell>
          <cell r="D238" t="str">
            <v>PT Astra Honda Motor</v>
          </cell>
          <cell r="E238" t="str">
            <v>PEB 3</v>
          </cell>
          <cell r="F238" t="str">
            <v>20PEB 3</v>
          </cell>
          <cell r="G238">
            <v>0.1</v>
          </cell>
          <cell r="I238">
            <v>0.09</v>
          </cell>
          <cell r="J238">
            <v>6.8775331423491437</v>
          </cell>
          <cell r="K238">
            <v>6.4782504913804146</v>
          </cell>
          <cell r="P238">
            <v>142177</v>
          </cell>
          <cell r="Q238">
            <v>3305814.4620499108</v>
          </cell>
          <cell r="R238">
            <v>169159.0782809096</v>
          </cell>
          <cell r="S238">
            <v>287210.07302133332</v>
          </cell>
          <cell r="U238">
            <v>0</v>
          </cell>
          <cell r="W238">
            <v>9841278</v>
          </cell>
          <cell r="X238">
            <v>-9854322</v>
          </cell>
          <cell r="Y238">
            <v>765831</v>
          </cell>
          <cell r="Z238">
            <v>129133</v>
          </cell>
        </row>
        <row r="239">
          <cell r="C239" t="str">
            <v>A0060</v>
          </cell>
          <cell r="D239" t="str">
            <v>PT Astra Honda Motor</v>
          </cell>
          <cell r="E239" t="str">
            <v>PEB 4</v>
          </cell>
          <cell r="F239" t="str">
            <v>20PEB 4</v>
          </cell>
          <cell r="G239">
            <v>0.1</v>
          </cell>
          <cell r="I239">
            <v>0.09</v>
          </cell>
          <cell r="J239">
            <v>9.6359941334910548</v>
          </cell>
          <cell r="K239">
            <v>20.412723858596063</v>
          </cell>
          <cell r="P239">
            <v>30657226</v>
          </cell>
          <cell r="Q239">
            <v>43350861.042089529</v>
          </cell>
          <cell r="R239">
            <v>4743246.641754061</v>
          </cell>
          <cell r="S239">
            <v>2363034.8149215989</v>
          </cell>
          <cell r="U239">
            <v>0</v>
          </cell>
          <cell r="W239">
            <v>-12303366</v>
          </cell>
          <cell r="X239">
            <v>-5446229</v>
          </cell>
          <cell r="Y239">
            <v>239787</v>
          </cell>
          <cell r="Z239">
            <v>12907631</v>
          </cell>
        </row>
        <row r="240">
          <cell r="C240" t="str">
            <v>A0060</v>
          </cell>
          <cell r="D240" t="str">
            <v>PT Astra Honda Motor</v>
          </cell>
          <cell r="E240" t="str">
            <v>PEB 5</v>
          </cell>
          <cell r="F240" t="str">
            <v>20PEB 5</v>
          </cell>
          <cell r="P240">
            <v>0</v>
          </cell>
          <cell r="U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</row>
        <row r="241">
          <cell r="C241" t="str">
            <v>A0060</v>
          </cell>
          <cell r="D241" t="str">
            <v>PT Astra Honda Motor</v>
          </cell>
          <cell r="E241" t="str">
            <v>PEB 6</v>
          </cell>
          <cell r="F241" t="str">
            <v>20PEB 6</v>
          </cell>
          <cell r="G241">
            <v>0.1</v>
          </cell>
          <cell r="I241">
            <v>0.09</v>
          </cell>
          <cell r="J241">
            <v>10.043646528773564</v>
          </cell>
          <cell r="K241">
            <v>18.86</v>
          </cell>
          <cell r="P241">
            <v>27203473</v>
          </cell>
          <cell r="Q241">
            <v>33556209.515594229</v>
          </cell>
          <cell r="R241">
            <v>2821510.7886905377</v>
          </cell>
          <cell r="S241">
            <v>2190198.7999999998</v>
          </cell>
          <cell r="U241">
            <v>0</v>
          </cell>
          <cell r="W241">
            <v>6790944</v>
          </cell>
          <cell r="X241">
            <v>-17148816</v>
          </cell>
          <cell r="Y241">
            <v>890205</v>
          </cell>
          <cell r="Z241">
            <v>16845601</v>
          </cell>
        </row>
        <row r="242">
          <cell r="C242" t="str">
            <v>A0060</v>
          </cell>
          <cell r="D242" t="str">
            <v>PT Astra Honda Motor</v>
          </cell>
          <cell r="E242" t="str">
            <v>PEB 7</v>
          </cell>
          <cell r="F242" t="str">
            <v>20PEB 7</v>
          </cell>
          <cell r="G242">
            <v>0.1</v>
          </cell>
          <cell r="I242">
            <v>0.09</v>
          </cell>
          <cell r="J242">
            <v>10.043646528773564</v>
          </cell>
          <cell r="K242">
            <v>18.602749491035311</v>
          </cell>
          <cell r="P242">
            <v>7470166</v>
          </cell>
          <cell r="Q242">
            <v>13455028.902625233</v>
          </cell>
          <cell r="R242">
            <v>1487569.2417225835</v>
          </cell>
          <cell r="S242">
            <v>1544775.6104019925</v>
          </cell>
          <cell r="U242">
            <v>0</v>
          </cell>
          <cell r="W242">
            <v>-6757745</v>
          </cell>
          <cell r="X242">
            <v>0</v>
          </cell>
          <cell r="Y242">
            <v>0</v>
          </cell>
          <cell r="Z242">
            <v>712421</v>
          </cell>
        </row>
        <row r="243">
          <cell r="C243" t="str">
            <v>A0060</v>
          </cell>
          <cell r="D243" t="str">
            <v>PT Astra Honda Motor</v>
          </cell>
          <cell r="E243" t="str">
            <v>MPP</v>
          </cell>
          <cell r="F243" t="str">
            <v>20MPP</v>
          </cell>
          <cell r="K243">
            <v>18.602749491035311</v>
          </cell>
          <cell r="P243">
            <v>0</v>
          </cell>
          <cell r="Q243">
            <v>17876605.477737993</v>
          </cell>
          <cell r="R243">
            <v>1149031.5278824887</v>
          </cell>
          <cell r="S243">
            <v>1424942.7209999999</v>
          </cell>
          <cell r="U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</row>
        <row r="244">
          <cell r="C244" t="str">
            <v>A0060</v>
          </cell>
          <cell r="D244" t="str">
            <v>PT Astra Honda Motor</v>
          </cell>
          <cell r="E244" t="str">
            <v>ID</v>
          </cell>
          <cell r="F244" t="str">
            <v>20ID</v>
          </cell>
          <cell r="G244">
            <v>0.1</v>
          </cell>
          <cell r="I244">
            <v>0.09</v>
          </cell>
          <cell r="J244">
            <v>10.043646528773564</v>
          </cell>
          <cell r="K244">
            <v>18.602749491035311</v>
          </cell>
          <cell r="P244">
            <v>2788171</v>
          </cell>
          <cell r="Q244">
            <v>30600394.960581247</v>
          </cell>
          <cell r="R244">
            <v>2679766.6240694067</v>
          </cell>
          <cell r="S244">
            <v>2476714.5993011785</v>
          </cell>
          <cell r="U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2788171</v>
          </cell>
        </row>
        <row r="245">
          <cell r="C245" t="str">
            <v>A0060</v>
          </cell>
          <cell r="D245" t="str">
            <v>PT Astra Honda Motor</v>
          </cell>
          <cell r="E245" t="str">
            <v>LL</v>
          </cell>
          <cell r="F245" t="str">
            <v>20LL</v>
          </cell>
          <cell r="G245">
            <v>0.1</v>
          </cell>
          <cell r="I245">
            <v>0.09</v>
          </cell>
          <cell r="J245">
            <v>10.043646528773564</v>
          </cell>
          <cell r="K245">
            <v>18.602749491035311</v>
          </cell>
          <cell r="P245">
            <v>30152870</v>
          </cell>
          <cell r="Q245">
            <v>45017251</v>
          </cell>
          <cell r="R245">
            <v>12287710</v>
          </cell>
          <cell r="S245">
            <v>17368155.508603323</v>
          </cell>
          <cell r="U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30152870</v>
          </cell>
        </row>
        <row r="246">
          <cell r="C246" t="str">
            <v>A0060</v>
          </cell>
          <cell r="D246" t="str">
            <v>PT Astra Honda Motor</v>
          </cell>
          <cell r="E246" t="str">
            <v>PMK</v>
          </cell>
          <cell r="F246" t="str">
            <v>20PMK</v>
          </cell>
          <cell r="G246">
            <v>0.1</v>
          </cell>
          <cell r="I246">
            <v>0.09</v>
          </cell>
          <cell r="J246">
            <v>10.043646528773564</v>
          </cell>
          <cell r="K246">
            <v>18.602749491035311</v>
          </cell>
          <cell r="P246">
            <v>28402768</v>
          </cell>
          <cell r="Q246">
            <v>51668512.01184658</v>
          </cell>
          <cell r="R246">
            <v>6572272.7904985761</v>
          </cell>
          <cell r="S246">
            <v>6408855</v>
          </cell>
          <cell r="U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28402768</v>
          </cell>
        </row>
        <row r="248">
          <cell r="C248" t="str">
            <v>A0316</v>
          </cell>
          <cell r="D248" t="str">
            <v>PT Astra Komponen Indonesia</v>
          </cell>
          <cell r="E248" t="str">
            <v>PEB 1</v>
          </cell>
          <cell r="F248" t="str">
            <v>21PEB 1</v>
          </cell>
          <cell r="G248">
            <v>0.1</v>
          </cell>
          <cell r="H248">
            <v>0.1</v>
          </cell>
          <cell r="I248">
            <v>0.09</v>
          </cell>
          <cell r="J248">
            <v>7.190359580912479</v>
          </cell>
          <cell r="K248">
            <v>7.3407825809045946</v>
          </cell>
          <cell r="L248">
            <v>668915</v>
          </cell>
          <cell r="N248">
            <v>558323.7328</v>
          </cell>
          <cell r="O248">
            <v>81595.911999999997</v>
          </cell>
          <cell r="P248">
            <v>8130007.2607336929</v>
          </cell>
          <cell r="Q248">
            <v>7181661.621526856</v>
          </cell>
          <cell r="R248">
            <v>317905.60400458181</v>
          </cell>
          <cell r="S248">
            <v>55353.318823683301</v>
          </cell>
          <cell r="U248">
            <v>-5908601.6890019942</v>
          </cell>
          <cell r="V248">
            <v>7985057.1816000007</v>
          </cell>
          <cell r="W248">
            <v>-1499730.2774846454</v>
          </cell>
          <cell r="X248">
            <v>0</v>
          </cell>
          <cell r="Y248">
            <v>0</v>
          </cell>
          <cell r="Z248">
            <v>721675.29424705368</v>
          </cell>
          <cell r="AB248">
            <v>0.1</v>
          </cell>
          <cell r="AC248">
            <v>0</v>
          </cell>
          <cell r="AD248">
            <v>0.09</v>
          </cell>
          <cell r="AE248">
            <v>13.459300306185334</v>
          </cell>
          <cell r="AF248">
            <v>17.463602144748901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343156.5629483696</v>
          </cell>
          <cell r="AL248">
            <v>412516.76407989842</v>
          </cell>
          <cell r="AM248">
            <v>46727.721912915033</v>
          </cell>
          <cell r="AN248">
            <v>16500</v>
          </cell>
          <cell r="AO248">
            <v>0</v>
          </cell>
          <cell r="AP248">
            <v>0</v>
          </cell>
          <cell r="AQ248">
            <v>0</v>
          </cell>
          <cell r="AR248">
            <v>112927.96838196799</v>
          </cell>
          <cell r="AS248">
            <v>0</v>
          </cell>
          <cell r="AT248">
            <v>0</v>
          </cell>
          <cell r="AU248">
            <v>456084.53133033763</v>
          </cell>
          <cell r="AW248">
            <v>0.1</v>
          </cell>
          <cell r="AX248">
            <v>0</v>
          </cell>
          <cell r="AY248">
            <v>0.09</v>
          </cell>
          <cell r="AZ248">
            <v>13.459300306185334</v>
          </cell>
          <cell r="BA248">
            <v>7.3407825809045946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696561.30003319308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1158013.193029261</v>
          </cell>
          <cell r="BN248">
            <v>-173269.17423235785</v>
          </cell>
          <cell r="BO248">
            <v>23757.420197489515</v>
          </cell>
          <cell r="BP248">
            <v>1681305.3188300962</v>
          </cell>
          <cell r="BR248">
            <v>0.1</v>
          </cell>
          <cell r="BS248">
            <v>0</v>
          </cell>
          <cell r="BT248">
            <v>0.09</v>
          </cell>
          <cell r="BU248">
            <v>13.459300306185334</v>
          </cell>
          <cell r="BV248">
            <v>17.461739987007991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781739.15514037409</v>
          </cell>
          <cell r="CB248">
            <v>771495.08256557316</v>
          </cell>
          <cell r="CC248">
            <v>91643.443173308202</v>
          </cell>
          <cell r="CD248">
            <v>21285.13433893499</v>
          </cell>
          <cell r="CE248">
            <v>0</v>
          </cell>
          <cell r="CF248">
            <v>0</v>
          </cell>
          <cell r="CG248">
            <v>0</v>
          </cell>
          <cell r="CH248">
            <v>301055.73249920621</v>
          </cell>
          <cell r="CI248">
            <v>-84563.86021497559</v>
          </cell>
          <cell r="CJ248">
            <v>11594.786952437378</v>
          </cell>
          <cell r="CK248">
            <v>998231.02742460463</v>
          </cell>
          <cell r="CM248">
            <v>0.1</v>
          </cell>
          <cell r="CN248">
            <v>0</v>
          </cell>
          <cell r="CO248">
            <v>0.09</v>
          </cell>
          <cell r="CP248">
            <v>18.751226438420179</v>
          </cell>
          <cell r="CQ248">
            <v>22.751226438420179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872880.7993335902</v>
          </cell>
          <cell r="CX248">
            <v>252061.89953731501</v>
          </cell>
          <cell r="CY248">
            <v>854009.55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C248">
            <v>0.1</v>
          </cell>
          <cell r="ED248">
            <v>0</v>
          </cell>
          <cell r="EE248">
            <v>0.09</v>
          </cell>
          <cell r="EF248">
            <v>13.459300306185334</v>
          </cell>
          <cell r="EG248">
            <v>17.463602144748901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246894.69960777866</v>
          </cell>
          <cell r="EM248">
            <v>177991.9449639041</v>
          </cell>
          <cell r="EN248">
            <v>18391.330724298106</v>
          </cell>
          <cell r="EO248">
            <v>22193.154268725404</v>
          </cell>
          <cell r="EP248">
            <v>0</v>
          </cell>
          <cell r="EQ248">
            <v>0</v>
          </cell>
          <cell r="ER248">
            <v>0</v>
          </cell>
          <cell r="ES248">
            <v>11189.776976037705</v>
          </cell>
          <cell r="ET248">
            <v>0</v>
          </cell>
          <cell r="EU248">
            <v>0</v>
          </cell>
          <cell r="EV248">
            <v>258084.47658381637</v>
          </cell>
          <cell r="EX248">
            <v>0.1</v>
          </cell>
          <cell r="EY248">
            <v>0</v>
          </cell>
          <cell r="EZ248">
            <v>0.09</v>
          </cell>
          <cell r="FA248">
            <v>13.459300306185334</v>
          </cell>
          <cell r="FB248">
            <v>17.463602144748901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814155.24791830184</v>
          </cell>
          <cell r="FH248">
            <v>451588.66300773114</v>
          </cell>
          <cell r="FI248">
            <v>54002.778679141345</v>
          </cell>
          <cell r="FJ248">
            <v>111392.55</v>
          </cell>
          <cell r="FK248">
            <v>0</v>
          </cell>
          <cell r="FL248">
            <v>0</v>
          </cell>
          <cell r="FM248">
            <v>0</v>
          </cell>
          <cell r="FN248">
            <v>53088.404058246786</v>
          </cell>
          <cell r="FO248">
            <v>0</v>
          </cell>
          <cell r="FP248">
            <v>0</v>
          </cell>
          <cell r="FQ248">
            <v>867243.6519765486</v>
          </cell>
          <cell r="FS248">
            <v>0.1</v>
          </cell>
          <cell r="FT248">
            <v>0</v>
          </cell>
          <cell r="FU248">
            <v>0.09</v>
          </cell>
          <cell r="FV248">
            <v>13.459300306185334</v>
          </cell>
          <cell r="FW248">
            <v>17.463602144748901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1240946.9448950705</v>
          </cell>
          <cell r="GC248">
            <v>569463.91109929828</v>
          </cell>
          <cell r="GD248">
            <v>47968.303622447318</v>
          </cell>
          <cell r="GE248">
            <v>50710.431866507701</v>
          </cell>
          <cell r="GF248">
            <v>0</v>
          </cell>
          <cell r="GG248">
            <v>0</v>
          </cell>
          <cell r="GH248">
            <v>0</v>
          </cell>
          <cell r="GI248">
            <v>346672.67565342656</v>
          </cell>
          <cell r="GJ248">
            <v>0</v>
          </cell>
          <cell r="GK248">
            <v>0</v>
          </cell>
          <cell r="GL248">
            <v>1587619.6205484972</v>
          </cell>
          <cell r="GN248">
            <v>0.1</v>
          </cell>
          <cell r="GO248">
            <v>0</v>
          </cell>
          <cell r="GP248">
            <v>0.09</v>
          </cell>
          <cell r="GQ248">
            <v>13.459300306185334</v>
          </cell>
          <cell r="GR248">
            <v>17.463602144748901</v>
          </cell>
          <cell r="GS248">
            <v>0</v>
          </cell>
          <cell r="GT248">
            <v>0</v>
          </cell>
          <cell r="GU248">
            <v>0</v>
          </cell>
          <cell r="GV248">
            <v>0</v>
          </cell>
          <cell r="GW248">
            <v>686984.41489030328</v>
          </cell>
          <cell r="GX248">
            <v>501237.71305359824</v>
          </cell>
          <cell r="GY248">
            <v>211119.78170798719</v>
          </cell>
          <cell r="GZ248">
            <v>156193.83661107384</v>
          </cell>
          <cell r="HA248">
            <v>0</v>
          </cell>
          <cell r="HB248">
            <v>0</v>
          </cell>
          <cell r="HC248">
            <v>0</v>
          </cell>
          <cell r="HD248">
            <v>0</v>
          </cell>
          <cell r="HE248">
            <v>0</v>
          </cell>
          <cell r="HF248">
            <v>0</v>
          </cell>
          <cell r="HG248">
            <v>686984.41489030328</v>
          </cell>
          <cell r="HI248">
            <v>0.1</v>
          </cell>
          <cell r="HJ248">
            <v>0</v>
          </cell>
          <cell r="HK248">
            <v>0.09</v>
          </cell>
          <cell r="HL248">
            <v>13.459300306185334</v>
          </cell>
          <cell r="HM248">
            <v>17.463602144748901</v>
          </cell>
          <cell r="HN248">
            <v>0</v>
          </cell>
          <cell r="HO248">
            <v>0</v>
          </cell>
          <cell r="HP248">
            <v>0</v>
          </cell>
          <cell r="HQ248">
            <v>0</v>
          </cell>
          <cell r="HR248">
            <v>1325515.3269292722</v>
          </cell>
          <cell r="HS248">
            <v>475380.72956247249</v>
          </cell>
          <cell r="HT248">
            <v>75513.661350462353</v>
          </cell>
          <cell r="HU248">
            <v>37665</v>
          </cell>
          <cell r="HV248">
            <v>0</v>
          </cell>
          <cell r="HW248">
            <v>0</v>
          </cell>
          <cell r="HX248">
            <v>0</v>
          </cell>
          <cell r="HY248">
            <v>0</v>
          </cell>
          <cell r="HZ248">
            <v>0</v>
          </cell>
          <cell r="IA248">
            <v>0</v>
          </cell>
          <cell r="IB248">
            <v>1325515.3269292722</v>
          </cell>
        </row>
        <row r="249">
          <cell r="C249" t="str">
            <v>A0316</v>
          </cell>
          <cell r="D249" t="str">
            <v>PT Astra Komponen Indonesia</v>
          </cell>
          <cell r="E249" t="str">
            <v>PEB 2</v>
          </cell>
          <cell r="F249" t="str">
            <v>21PEB 2</v>
          </cell>
          <cell r="G249">
            <v>0.1</v>
          </cell>
          <cell r="I249">
            <v>0.09</v>
          </cell>
          <cell r="J249">
            <v>13.459300306185334</v>
          </cell>
          <cell r="K249">
            <v>17.463602144748901</v>
          </cell>
          <cell r="P249">
            <v>343156.5629483696</v>
          </cell>
          <cell r="Q249">
            <v>412516.76407989842</v>
          </cell>
          <cell r="R249">
            <v>46727.721912915033</v>
          </cell>
          <cell r="S249">
            <v>16500</v>
          </cell>
          <cell r="U249">
            <v>0</v>
          </cell>
          <cell r="W249">
            <v>112927.96838196799</v>
          </cell>
          <cell r="X249">
            <v>0</v>
          </cell>
          <cell r="Y249">
            <v>0</v>
          </cell>
          <cell r="Z249">
            <v>456084.53133033763</v>
          </cell>
        </row>
        <row r="250">
          <cell r="C250" t="str">
            <v>A0316</v>
          </cell>
          <cell r="D250" t="str">
            <v>PT Astra Komponen Indonesia</v>
          </cell>
          <cell r="E250" t="str">
            <v>PEB 3</v>
          </cell>
          <cell r="F250" t="str">
            <v>21PEB 3</v>
          </cell>
          <cell r="G250">
            <v>0.1</v>
          </cell>
          <cell r="I250">
            <v>0.09</v>
          </cell>
          <cell r="J250">
            <v>13.459300306185334</v>
          </cell>
          <cell r="K250">
            <v>7.3407825809045946</v>
          </cell>
          <cell r="P250">
            <v>696561.30003319308</v>
          </cell>
          <cell r="Q250">
            <v>0</v>
          </cell>
          <cell r="R250">
            <v>0</v>
          </cell>
          <cell r="S250">
            <v>0</v>
          </cell>
          <cell r="U250">
            <v>0</v>
          </cell>
          <cell r="W250">
            <v>1158013.193029261</v>
          </cell>
          <cell r="X250">
            <v>-173269.17423235785</v>
          </cell>
          <cell r="Y250">
            <v>23757.420197489515</v>
          </cell>
          <cell r="Z250">
            <v>1681305.3188300962</v>
          </cell>
        </row>
        <row r="251">
          <cell r="C251" t="str">
            <v>A0316</v>
          </cell>
          <cell r="D251" t="str">
            <v>PT Astra Komponen Indonesia</v>
          </cell>
          <cell r="E251" t="str">
            <v>PEB 4</v>
          </cell>
          <cell r="F251" t="str">
            <v>21PEB 4</v>
          </cell>
          <cell r="G251">
            <v>0.1</v>
          </cell>
          <cell r="I251">
            <v>0.09</v>
          </cell>
          <cell r="J251">
            <v>13.459300306185334</v>
          </cell>
          <cell r="K251">
            <v>17.461739987007991</v>
          </cell>
          <cell r="P251">
            <v>781739.15514037409</v>
          </cell>
          <cell r="Q251">
            <v>771495.08256557316</v>
          </cell>
          <cell r="R251">
            <v>91643.443173308202</v>
          </cell>
          <cell r="S251">
            <v>21285.13433893499</v>
          </cell>
          <cell r="U251">
            <v>0</v>
          </cell>
          <cell r="W251">
            <v>301055.73249920621</v>
          </cell>
          <cell r="X251">
            <v>-84563.86021497559</v>
          </cell>
          <cell r="Y251">
            <v>11594.786952437378</v>
          </cell>
          <cell r="Z251">
            <v>998231.02742460463</v>
          </cell>
        </row>
        <row r="252">
          <cell r="C252" t="str">
            <v>A0316</v>
          </cell>
          <cell r="D252" t="str">
            <v>PT Astra Komponen Indonesia</v>
          </cell>
          <cell r="E252" t="str">
            <v>PEB 5</v>
          </cell>
          <cell r="F252" t="str">
            <v>21PEB 5</v>
          </cell>
          <cell r="G252">
            <v>0.1</v>
          </cell>
          <cell r="I252">
            <v>0.09</v>
          </cell>
          <cell r="J252">
            <v>18.751226438420179</v>
          </cell>
          <cell r="K252">
            <v>22.751226438420179</v>
          </cell>
          <cell r="P252">
            <v>0</v>
          </cell>
          <cell r="Q252">
            <v>872880.7993335902</v>
          </cell>
          <cell r="R252">
            <v>252061.89953731501</v>
          </cell>
          <cell r="S252">
            <v>854009.55</v>
          </cell>
          <cell r="U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</row>
        <row r="253">
          <cell r="C253" t="str">
            <v>A0316</v>
          </cell>
          <cell r="D253" t="str">
            <v>PT Astra Komponen Indonesia</v>
          </cell>
          <cell r="E253" t="str">
            <v>PEB 6</v>
          </cell>
          <cell r="F253" t="str">
            <v>21PEB 6</v>
          </cell>
          <cell r="P253">
            <v>0</v>
          </cell>
          <cell r="U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</row>
        <row r="254">
          <cell r="C254" t="str">
            <v>A0316</v>
          </cell>
          <cell r="D254" t="str">
            <v>PT Astra Komponen Indonesia</v>
          </cell>
          <cell r="E254" t="str">
            <v>PEB 7</v>
          </cell>
          <cell r="F254" t="str">
            <v>21PEB 7</v>
          </cell>
          <cell r="G254">
            <v>0.1</v>
          </cell>
          <cell r="I254">
            <v>0.09</v>
          </cell>
          <cell r="J254">
            <v>13.459300306185334</v>
          </cell>
          <cell r="K254">
            <v>17.463602144748901</v>
          </cell>
          <cell r="P254">
            <v>246894.69960777866</v>
          </cell>
          <cell r="Q254">
            <v>177991.9449639041</v>
          </cell>
          <cell r="R254">
            <v>18391.330724298106</v>
          </cell>
          <cell r="S254">
            <v>22193.154268725404</v>
          </cell>
          <cell r="U254">
            <v>0</v>
          </cell>
          <cell r="W254">
            <v>11189.776976037705</v>
          </cell>
          <cell r="X254">
            <v>0</v>
          </cell>
          <cell r="Y254">
            <v>0</v>
          </cell>
          <cell r="Z254">
            <v>258084.47658381637</v>
          </cell>
        </row>
        <row r="255">
          <cell r="C255" t="str">
            <v>A0316</v>
          </cell>
          <cell r="D255" t="str">
            <v>PT Astra Komponen Indonesia</v>
          </cell>
          <cell r="E255" t="str">
            <v>MPP</v>
          </cell>
          <cell r="F255" t="str">
            <v>21MPP</v>
          </cell>
          <cell r="G255">
            <v>0.1</v>
          </cell>
          <cell r="I255">
            <v>0.09</v>
          </cell>
          <cell r="J255">
            <v>13.459300306185334</v>
          </cell>
          <cell r="K255">
            <v>17.463602144748901</v>
          </cell>
          <cell r="P255">
            <v>814155.24791830184</v>
          </cell>
          <cell r="Q255">
            <v>451588.66300773114</v>
          </cell>
          <cell r="R255">
            <v>54002.778679141345</v>
          </cell>
          <cell r="S255">
            <v>111392.55</v>
          </cell>
          <cell r="U255">
            <v>0</v>
          </cell>
          <cell r="W255">
            <v>53088.404058246786</v>
          </cell>
          <cell r="X255">
            <v>0</v>
          </cell>
          <cell r="Y255">
            <v>0</v>
          </cell>
          <cell r="Z255">
            <v>867243.6519765486</v>
          </cell>
        </row>
        <row r="256">
          <cell r="C256" t="str">
            <v>A0316</v>
          </cell>
          <cell r="D256" t="str">
            <v>PT Astra Komponen Indonesia</v>
          </cell>
          <cell r="E256" t="str">
            <v>ID</v>
          </cell>
          <cell r="F256" t="str">
            <v>21ID</v>
          </cell>
          <cell r="G256">
            <v>0.1</v>
          </cell>
          <cell r="I256">
            <v>0.09</v>
          </cell>
          <cell r="J256">
            <v>13.459300306185334</v>
          </cell>
          <cell r="K256">
            <v>17.463602144748901</v>
          </cell>
          <cell r="P256">
            <v>1240946.9448950705</v>
          </cell>
          <cell r="Q256">
            <v>569463.91109929828</v>
          </cell>
          <cell r="R256">
            <v>47968.303622447318</v>
          </cell>
          <cell r="S256">
            <v>50710.431866507701</v>
          </cell>
          <cell r="U256">
            <v>0</v>
          </cell>
          <cell r="W256">
            <v>346672.67565342656</v>
          </cell>
          <cell r="X256">
            <v>0</v>
          </cell>
          <cell r="Y256">
            <v>0</v>
          </cell>
          <cell r="Z256">
            <v>1587619.6205484972</v>
          </cell>
        </row>
        <row r="257">
          <cell r="C257" t="str">
            <v>A0316</v>
          </cell>
          <cell r="D257" t="str">
            <v>PT Astra Komponen Indonesia</v>
          </cell>
          <cell r="E257" t="str">
            <v>LL</v>
          </cell>
          <cell r="F257" t="str">
            <v>21LL</v>
          </cell>
          <cell r="G257">
            <v>0.1</v>
          </cell>
          <cell r="I257">
            <v>0.09</v>
          </cell>
          <cell r="J257">
            <v>13.459300306185334</v>
          </cell>
          <cell r="K257">
            <v>17.463602144748901</v>
          </cell>
          <cell r="P257">
            <v>686984.41489030328</v>
          </cell>
          <cell r="Q257">
            <v>501237.71305359824</v>
          </cell>
          <cell r="R257">
            <v>211119.78170798719</v>
          </cell>
          <cell r="S257">
            <v>156193.83661107384</v>
          </cell>
          <cell r="U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686984.41489030328</v>
          </cell>
        </row>
        <row r="258">
          <cell r="C258" t="str">
            <v>A0316</v>
          </cell>
          <cell r="D258" t="str">
            <v>PT Astra Komponen Indonesia</v>
          </cell>
          <cell r="E258" t="str">
            <v>PMK</v>
          </cell>
          <cell r="F258" t="str">
            <v>21PMK</v>
          </cell>
          <cell r="G258">
            <v>0.1</v>
          </cell>
          <cell r="I258">
            <v>0.09</v>
          </cell>
          <cell r="J258">
            <v>13.459300306185334</v>
          </cell>
          <cell r="K258">
            <v>17.463602144748901</v>
          </cell>
          <cell r="P258">
            <v>1325515.3269292722</v>
          </cell>
          <cell r="Q258">
            <v>475380.72956247249</v>
          </cell>
          <cell r="R258">
            <v>75513.661350462353</v>
          </cell>
          <cell r="S258">
            <v>37665</v>
          </cell>
          <cell r="U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1325515.3269292722</v>
          </cell>
        </row>
        <row r="260">
          <cell r="C260" t="str">
            <v>A0178</v>
          </cell>
          <cell r="D260" t="str">
            <v>PT Astra Mitra Ventura</v>
          </cell>
          <cell r="E260" t="str">
            <v>PEB 1</v>
          </cell>
          <cell r="F260" t="str">
            <v>22PEB 1</v>
          </cell>
          <cell r="G260">
            <v>0.1</v>
          </cell>
          <cell r="H260">
            <v>0.1</v>
          </cell>
          <cell r="I260">
            <v>0.09</v>
          </cell>
          <cell r="J260">
            <v>7.1410578868429058</v>
          </cell>
          <cell r="K260">
            <v>7.110640525633789</v>
          </cell>
          <cell r="L260">
            <v>0</v>
          </cell>
          <cell r="N260">
            <v>220936.386</v>
          </cell>
          <cell r="O260">
            <v>22911.119999999999</v>
          </cell>
          <cell r="P260">
            <v>1534456</v>
          </cell>
          <cell r="Q260">
            <v>1998247.5709940325</v>
          </cell>
          <cell r="R260">
            <v>89868.270327288861</v>
          </cell>
          <cell r="S260">
            <v>16508.541327663035</v>
          </cell>
          <cell r="U260">
            <v>-820005</v>
          </cell>
          <cell r="V260">
            <v>1652826.4686666669</v>
          </cell>
          <cell r="W260">
            <v>-225370</v>
          </cell>
          <cell r="X260">
            <v>0</v>
          </cell>
          <cell r="Y260">
            <v>0</v>
          </cell>
          <cell r="Z260">
            <v>489081</v>
          </cell>
          <cell r="AB260">
            <v>0.1</v>
          </cell>
          <cell r="AC260">
            <v>0</v>
          </cell>
          <cell r="AD260">
            <v>0.09</v>
          </cell>
          <cell r="AE260">
            <v>10.157904920079883</v>
          </cell>
          <cell r="AF260">
            <v>14.648323291113504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549166</v>
          </cell>
          <cell r="AL260">
            <v>571151.25848281267</v>
          </cell>
          <cell r="AM260">
            <v>33119.449666617817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-47128</v>
          </cell>
          <cell r="AS260">
            <v>-404188</v>
          </cell>
          <cell r="AT260">
            <v>40844</v>
          </cell>
          <cell r="AU260">
            <v>97850</v>
          </cell>
          <cell r="AW260">
            <v>0.1</v>
          </cell>
          <cell r="AX260">
            <v>0</v>
          </cell>
          <cell r="AY260">
            <v>0.09</v>
          </cell>
          <cell r="AZ260">
            <v>7.1410578868429058</v>
          </cell>
          <cell r="BA260">
            <v>7.110640525633789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606.70432361831399</v>
          </cell>
          <cell r="BH260">
            <v>33.273086216454828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R260">
            <v>0.1</v>
          </cell>
          <cell r="BS260">
            <v>0</v>
          </cell>
          <cell r="BT260">
            <v>0.09</v>
          </cell>
          <cell r="BU260">
            <v>10.37157895306828</v>
          </cell>
          <cell r="BV260">
            <v>17.160884212940076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142636</v>
          </cell>
          <cell r="CB260">
            <v>82403.111302379199</v>
          </cell>
          <cell r="CC260">
            <v>9766.5498545522078</v>
          </cell>
          <cell r="CD260">
            <v>4070.4350563501212</v>
          </cell>
          <cell r="CE260">
            <v>0</v>
          </cell>
          <cell r="CF260">
            <v>0</v>
          </cell>
          <cell r="CG260">
            <v>0</v>
          </cell>
          <cell r="CH260">
            <v>130192</v>
          </cell>
          <cell r="CI260">
            <v>-84502</v>
          </cell>
          <cell r="CJ260">
            <v>5407</v>
          </cell>
          <cell r="CK260">
            <v>188326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C260">
            <v>0.1</v>
          </cell>
          <cell r="ED260">
            <v>0</v>
          </cell>
          <cell r="EE260">
            <v>0.09</v>
          </cell>
          <cell r="EF260">
            <v>10.157904920079883</v>
          </cell>
          <cell r="EG260">
            <v>14.648323291113504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29600</v>
          </cell>
          <cell r="EM260">
            <v>33658.142917671343</v>
          </cell>
          <cell r="EN260">
            <v>3307.2720385212315</v>
          </cell>
          <cell r="EO260">
            <v>4401.7054437131928</v>
          </cell>
          <cell r="EP260">
            <v>0</v>
          </cell>
          <cell r="EQ260">
            <v>0</v>
          </cell>
          <cell r="ER260">
            <v>0</v>
          </cell>
          <cell r="ES260">
            <v>-28248</v>
          </cell>
          <cell r="ET260">
            <v>0</v>
          </cell>
          <cell r="EU260">
            <v>0</v>
          </cell>
          <cell r="EV260">
            <v>1352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S260">
            <v>0.1</v>
          </cell>
          <cell r="FT260">
            <v>0</v>
          </cell>
          <cell r="FU260">
            <v>0.09</v>
          </cell>
          <cell r="FV260">
            <v>10.157904920079883</v>
          </cell>
          <cell r="FW260">
            <v>14.648323291113504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12681</v>
          </cell>
          <cell r="GC260">
            <v>120075.79146670323</v>
          </cell>
          <cell r="GD260">
            <v>9039.6266664571358</v>
          </cell>
          <cell r="GE260">
            <v>13426.434492606126</v>
          </cell>
          <cell r="GF260">
            <v>0</v>
          </cell>
          <cell r="GG260">
            <v>0</v>
          </cell>
          <cell r="GH260">
            <v>0</v>
          </cell>
          <cell r="GI260">
            <v>0</v>
          </cell>
          <cell r="GJ260">
            <v>0</v>
          </cell>
          <cell r="GK260">
            <v>0</v>
          </cell>
          <cell r="GL260">
            <v>12681</v>
          </cell>
          <cell r="GN260">
            <v>0.1</v>
          </cell>
          <cell r="GO260">
            <v>0</v>
          </cell>
          <cell r="GP260">
            <v>0.09</v>
          </cell>
          <cell r="GQ260">
            <v>10.157904920079883</v>
          </cell>
          <cell r="GR260">
            <v>14.648323291113504</v>
          </cell>
          <cell r="GS260">
            <v>0</v>
          </cell>
          <cell r="GT260">
            <v>0</v>
          </cell>
          <cell r="GU260">
            <v>0</v>
          </cell>
          <cell r="GV260">
            <v>0</v>
          </cell>
          <cell r="GW260">
            <v>88277</v>
          </cell>
          <cell r="GX260">
            <v>119849.77087045723</v>
          </cell>
          <cell r="GY260">
            <v>40498.946373264444</v>
          </cell>
          <cell r="GZ260">
            <v>63567.547946341816</v>
          </cell>
          <cell r="HA260">
            <v>0</v>
          </cell>
          <cell r="HB260">
            <v>0</v>
          </cell>
          <cell r="HC260">
            <v>0</v>
          </cell>
          <cell r="HD260">
            <v>0</v>
          </cell>
          <cell r="HE260">
            <v>0</v>
          </cell>
          <cell r="HF260">
            <v>0</v>
          </cell>
          <cell r="HG260">
            <v>88277</v>
          </cell>
          <cell r="HI260">
            <v>0.1</v>
          </cell>
          <cell r="HJ260">
            <v>0</v>
          </cell>
          <cell r="HK260">
            <v>0.09</v>
          </cell>
          <cell r="HL260">
            <v>10.157904920079883</v>
          </cell>
          <cell r="HM260">
            <v>14.648323291113504</v>
          </cell>
          <cell r="HN260">
            <v>0</v>
          </cell>
          <cell r="HO260">
            <v>0</v>
          </cell>
          <cell r="HP260">
            <v>0</v>
          </cell>
          <cell r="HQ260">
            <v>0</v>
          </cell>
          <cell r="HR260">
            <v>58437</v>
          </cell>
          <cell r="HS260">
            <v>92482.486982844071</v>
          </cell>
          <cell r="HT260">
            <v>11049.611310035281</v>
          </cell>
          <cell r="HU260">
            <v>14945.25</v>
          </cell>
          <cell r="HV260">
            <v>0</v>
          </cell>
          <cell r="HW260">
            <v>0</v>
          </cell>
          <cell r="HX260">
            <v>0</v>
          </cell>
          <cell r="HY260">
            <v>0</v>
          </cell>
          <cell r="HZ260">
            <v>0</v>
          </cell>
          <cell r="IA260">
            <v>0</v>
          </cell>
          <cell r="IB260">
            <v>58437</v>
          </cell>
        </row>
        <row r="261">
          <cell r="C261" t="str">
            <v>A0178</v>
          </cell>
          <cell r="D261" t="str">
            <v>PT Astra Mitra Ventura</v>
          </cell>
          <cell r="E261" t="str">
            <v>PEB 2</v>
          </cell>
          <cell r="F261" t="str">
            <v>22PEB 2</v>
          </cell>
          <cell r="G261">
            <v>0.1</v>
          </cell>
          <cell r="I261">
            <v>0.09</v>
          </cell>
          <cell r="J261">
            <v>10.157904920079883</v>
          </cell>
          <cell r="K261">
            <v>14.648323291113504</v>
          </cell>
          <cell r="P261">
            <v>549166</v>
          </cell>
          <cell r="Q261">
            <v>571151.25848281267</v>
          </cell>
          <cell r="R261">
            <v>33119.449666617817</v>
          </cell>
          <cell r="S261">
            <v>0</v>
          </cell>
          <cell r="U261">
            <v>0</v>
          </cell>
          <cell r="W261">
            <v>-47128</v>
          </cell>
          <cell r="X261">
            <v>-404188</v>
          </cell>
          <cell r="Y261">
            <v>40844</v>
          </cell>
          <cell r="Z261">
            <v>97850</v>
          </cell>
        </row>
        <row r="262">
          <cell r="C262" t="str">
            <v>A0178</v>
          </cell>
          <cell r="D262" t="str">
            <v>PT Astra Mitra Ventura</v>
          </cell>
          <cell r="E262" t="str">
            <v>PEB 3</v>
          </cell>
          <cell r="F262" t="str">
            <v>22PEB 3</v>
          </cell>
          <cell r="G262">
            <v>0.1</v>
          </cell>
          <cell r="I262">
            <v>0.09</v>
          </cell>
          <cell r="J262">
            <v>7.1410578868429058</v>
          </cell>
          <cell r="K262">
            <v>7.110640525633789</v>
          </cell>
          <cell r="P262">
            <v>0</v>
          </cell>
          <cell r="Q262">
            <v>606.70432361831399</v>
          </cell>
          <cell r="R262">
            <v>33.273086216454828</v>
          </cell>
          <cell r="S262">
            <v>0</v>
          </cell>
          <cell r="U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</row>
        <row r="263">
          <cell r="C263" t="str">
            <v>A0178</v>
          </cell>
          <cell r="D263" t="str">
            <v>PT Astra Mitra Ventura</v>
          </cell>
          <cell r="E263" t="str">
            <v>PEB 4</v>
          </cell>
          <cell r="F263" t="str">
            <v>22PEB 4</v>
          </cell>
          <cell r="G263">
            <v>0.1</v>
          </cell>
          <cell r="I263">
            <v>0.09</v>
          </cell>
          <cell r="J263">
            <v>10.37157895306828</v>
          </cell>
          <cell r="K263">
            <v>17.160884212940076</v>
          </cell>
          <cell r="P263">
            <v>142636</v>
          </cell>
          <cell r="Q263">
            <v>82403.111302379199</v>
          </cell>
          <cell r="R263">
            <v>9766.5498545522078</v>
          </cell>
          <cell r="S263">
            <v>4070.4350563501212</v>
          </cell>
          <cell r="U263">
            <v>0</v>
          </cell>
          <cell r="W263">
            <v>130192</v>
          </cell>
          <cell r="X263">
            <v>-84502</v>
          </cell>
          <cell r="Y263">
            <v>5407</v>
          </cell>
          <cell r="Z263">
            <v>188326</v>
          </cell>
        </row>
        <row r="264">
          <cell r="C264" t="str">
            <v>A0178</v>
          </cell>
          <cell r="D264" t="str">
            <v>PT Astra Mitra Ventura</v>
          </cell>
          <cell r="E264" t="str">
            <v>PEB 5</v>
          </cell>
          <cell r="F264" t="str">
            <v>22PEB 5</v>
          </cell>
          <cell r="P264">
            <v>0</v>
          </cell>
          <cell r="U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</row>
        <row r="265">
          <cell r="C265" t="str">
            <v>A0178</v>
          </cell>
          <cell r="D265" t="str">
            <v>PT Astra Mitra Ventura</v>
          </cell>
          <cell r="E265" t="str">
            <v>PEB 6</v>
          </cell>
          <cell r="F265" t="str">
            <v>22PEB 6</v>
          </cell>
          <cell r="P265">
            <v>0</v>
          </cell>
          <cell r="U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</row>
        <row r="266">
          <cell r="C266" t="str">
            <v>A0178</v>
          </cell>
          <cell r="D266" t="str">
            <v>PT Astra Mitra Ventura</v>
          </cell>
          <cell r="E266" t="str">
            <v>PEB 7</v>
          </cell>
          <cell r="F266" t="str">
            <v>22PEB 7</v>
          </cell>
          <cell r="G266">
            <v>0.1</v>
          </cell>
          <cell r="I266">
            <v>0.09</v>
          </cell>
          <cell r="J266">
            <v>10.157904920079883</v>
          </cell>
          <cell r="K266">
            <v>14.648323291113504</v>
          </cell>
          <cell r="P266">
            <v>29600</v>
          </cell>
          <cell r="Q266">
            <v>33658.142917671343</v>
          </cell>
          <cell r="R266">
            <v>3307.2720385212315</v>
          </cell>
          <cell r="S266">
            <v>4401.7054437131928</v>
          </cell>
          <cell r="U266">
            <v>0</v>
          </cell>
          <cell r="W266">
            <v>-28248</v>
          </cell>
          <cell r="X266">
            <v>0</v>
          </cell>
          <cell r="Y266">
            <v>0</v>
          </cell>
          <cell r="Z266">
            <v>1352</v>
          </cell>
        </row>
        <row r="267">
          <cell r="C267" t="str">
            <v>A0178</v>
          </cell>
          <cell r="D267" t="str">
            <v>PT Astra Mitra Ventura</v>
          </cell>
          <cell r="E267" t="str">
            <v>MPP</v>
          </cell>
          <cell r="F267" t="str">
            <v>22MPP</v>
          </cell>
          <cell r="P267">
            <v>0</v>
          </cell>
          <cell r="U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</row>
        <row r="268">
          <cell r="C268" t="str">
            <v>A0178</v>
          </cell>
          <cell r="D268" t="str">
            <v>PT Astra Mitra Ventura</v>
          </cell>
          <cell r="E268" t="str">
            <v>ID</v>
          </cell>
          <cell r="F268" t="str">
            <v>22ID</v>
          </cell>
          <cell r="G268">
            <v>0.1</v>
          </cell>
          <cell r="I268">
            <v>0.09</v>
          </cell>
          <cell r="J268">
            <v>10.157904920079883</v>
          </cell>
          <cell r="K268">
            <v>14.648323291113504</v>
          </cell>
          <cell r="P268">
            <v>12681</v>
          </cell>
          <cell r="Q268">
            <v>120075.79146670323</v>
          </cell>
          <cell r="R268">
            <v>9039.6266664571358</v>
          </cell>
          <cell r="S268">
            <v>13426.434492606126</v>
          </cell>
          <cell r="U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12681</v>
          </cell>
        </row>
        <row r="269">
          <cell r="C269" t="str">
            <v>A0178</v>
          </cell>
          <cell r="D269" t="str">
            <v>PT Astra Mitra Ventura</v>
          </cell>
          <cell r="E269" t="str">
            <v>LL</v>
          </cell>
          <cell r="F269" t="str">
            <v>22LL</v>
          </cell>
          <cell r="G269">
            <v>0.1</v>
          </cell>
          <cell r="I269">
            <v>0.09</v>
          </cell>
          <cell r="J269">
            <v>10.157904920079883</v>
          </cell>
          <cell r="K269">
            <v>14.648323291113504</v>
          </cell>
          <cell r="P269">
            <v>88277</v>
          </cell>
          <cell r="Q269">
            <v>119849.77087045723</v>
          </cell>
          <cell r="R269">
            <v>40498.946373264444</v>
          </cell>
          <cell r="S269">
            <v>63567.547946341816</v>
          </cell>
          <cell r="U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88277</v>
          </cell>
        </row>
        <row r="270">
          <cell r="C270" t="str">
            <v>A0178</v>
          </cell>
          <cell r="D270" t="str">
            <v>PT Astra Mitra Ventura</v>
          </cell>
          <cell r="E270" t="str">
            <v>PMK</v>
          </cell>
          <cell r="F270" t="str">
            <v>22PMK</v>
          </cell>
          <cell r="G270">
            <v>0.1</v>
          </cell>
          <cell r="I270">
            <v>0.09</v>
          </cell>
          <cell r="J270">
            <v>10.157904920079883</v>
          </cell>
          <cell r="K270">
            <v>14.648323291113504</v>
          </cell>
          <cell r="P270">
            <v>58437</v>
          </cell>
          <cell r="Q270">
            <v>92482.486982844071</v>
          </cell>
          <cell r="R270">
            <v>11049.611310035281</v>
          </cell>
          <cell r="S270">
            <v>14945.25</v>
          </cell>
          <cell r="U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58437</v>
          </cell>
        </row>
        <row r="272">
          <cell r="C272" t="str">
            <v>A0020</v>
          </cell>
          <cell r="D272" t="str">
            <v>PT Astra Multi Finance</v>
          </cell>
          <cell r="E272" t="str">
            <v>PEB 1</v>
          </cell>
          <cell r="F272" t="str">
            <v>23PEB 1</v>
          </cell>
          <cell r="G272">
            <v>0.1</v>
          </cell>
          <cell r="H272">
            <v>0.1</v>
          </cell>
          <cell r="I272">
            <v>0.09</v>
          </cell>
          <cell r="L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25442</v>
          </cell>
          <cell r="U272">
            <v>0</v>
          </cell>
          <cell r="V272">
            <v>148281.26666666669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R272">
            <v>0.1</v>
          </cell>
          <cell r="BS272">
            <v>0</v>
          </cell>
          <cell r="BT272">
            <v>0.09</v>
          </cell>
          <cell r="BU272">
            <v>18.015488989400136</v>
          </cell>
          <cell r="BV272">
            <v>18.015488989400136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220409.87728390197</v>
          </cell>
          <cell r="CC272">
            <v>26906.321864534126</v>
          </cell>
          <cell r="CD272">
            <v>16742.761750558158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C272">
            <v>0.1</v>
          </cell>
          <cell r="ED272">
            <v>0</v>
          </cell>
          <cell r="EE272">
            <v>0.09</v>
          </cell>
          <cell r="EF272">
            <v>18.015488989400136</v>
          </cell>
          <cell r="EG272">
            <v>18.015488989400136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14881.31631753991</v>
          </cell>
          <cell r="EN272">
            <v>2288.9001288839072</v>
          </cell>
          <cell r="EO272">
            <v>2568.0863308954044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S272">
            <v>0.1</v>
          </cell>
          <cell r="FT272">
            <v>0</v>
          </cell>
          <cell r="FU272">
            <v>0.09</v>
          </cell>
          <cell r="FV272">
            <v>18.015488989400136</v>
          </cell>
          <cell r="FW272">
            <v>18.015488989400136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182763.11164424295</v>
          </cell>
          <cell r="GD272">
            <v>20682.16594030222</v>
          </cell>
          <cell r="GE272">
            <v>9151.1314158152727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N272">
            <v>0.1</v>
          </cell>
          <cell r="GO272">
            <v>0</v>
          </cell>
          <cell r="GP272">
            <v>0.09</v>
          </cell>
          <cell r="GQ272">
            <v>18.015488989400136</v>
          </cell>
          <cell r="GR272">
            <v>18.015488989400136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248896.8118720355</v>
          </cell>
          <cell r="GY272">
            <v>80642.298800385572</v>
          </cell>
          <cell r="GZ272">
            <v>89399.783994690559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I272">
            <v>0.1</v>
          </cell>
          <cell r="HJ272">
            <v>0</v>
          </cell>
          <cell r="HK272">
            <v>0.09</v>
          </cell>
          <cell r="HL272">
            <v>18.015488989400136</v>
          </cell>
          <cell r="HM272">
            <v>18.015488989400136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381811.94753720035</v>
          </cell>
          <cell r="HT272">
            <v>59122.732183503336</v>
          </cell>
          <cell r="HU272">
            <v>16503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</row>
        <row r="273">
          <cell r="C273" t="str">
            <v>A0020</v>
          </cell>
          <cell r="D273" t="str">
            <v>PT Astra Multi Finance</v>
          </cell>
          <cell r="E273" t="str">
            <v>PEB 2</v>
          </cell>
          <cell r="F273" t="str">
            <v>23PEB 2</v>
          </cell>
        </row>
        <row r="274">
          <cell r="C274" t="str">
            <v>A0020</v>
          </cell>
          <cell r="D274" t="str">
            <v>PT Astra Multi Finance</v>
          </cell>
          <cell r="E274" t="str">
            <v>PEB 3</v>
          </cell>
          <cell r="F274" t="str">
            <v>23PEB 3</v>
          </cell>
        </row>
        <row r="275">
          <cell r="C275" t="str">
            <v>A0020</v>
          </cell>
          <cell r="D275" t="str">
            <v>PT Astra Multi Finance</v>
          </cell>
          <cell r="E275" t="str">
            <v>PEB 4</v>
          </cell>
          <cell r="F275" t="str">
            <v>23PEB 4</v>
          </cell>
          <cell r="G275">
            <v>0.1</v>
          </cell>
          <cell r="I275">
            <v>0.09</v>
          </cell>
          <cell r="J275">
            <v>18.015488989400136</v>
          </cell>
          <cell r="K275">
            <v>18.015488989400136</v>
          </cell>
          <cell r="Q275">
            <v>220409.87728390197</v>
          </cell>
          <cell r="R275">
            <v>26906.321864534126</v>
          </cell>
          <cell r="S275">
            <v>16742.761750558158</v>
          </cell>
        </row>
        <row r="276">
          <cell r="C276" t="str">
            <v>A0020</v>
          </cell>
          <cell r="D276" t="str">
            <v>PT Astra Multi Finance</v>
          </cell>
          <cell r="E276" t="str">
            <v>PEB 5</v>
          </cell>
          <cell r="F276" t="str">
            <v>23PEB 5</v>
          </cell>
        </row>
        <row r="277">
          <cell r="C277" t="str">
            <v>A0020</v>
          </cell>
          <cell r="D277" t="str">
            <v>PT Astra Multi Finance</v>
          </cell>
          <cell r="E277" t="str">
            <v>PEB 6</v>
          </cell>
          <cell r="F277" t="str">
            <v>23PEB 6</v>
          </cell>
        </row>
        <row r="278">
          <cell r="C278" t="str">
            <v>A0020</v>
          </cell>
          <cell r="D278" t="str">
            <v>PT Astra Multi Finance</v>
          </cell>
          <cell r="E278" t="str">
            <v>PEB 7</v>
          </cell>
          <cell r="F278" t="str">
            <v>23PEB 7</v>
          </cell>
          <cell r="G278">
            <v>0.1</v>
          </cell>
          <cell r="I278">
            <v>0.09</v>
          </cell>
          <cell r="J278">
            <v>18.015488989400136</v>
          </cell>
          <cell r="K278">
            <v>18.015488989400136</v>
          </cell>
          <cell r="Q278">
            <v>14881.31631753991</v>
          </cell>
          <cell r="R278">
            <v>2288.9001288839072</v>
          </cell>
          <cell r="S278">
            <v>2568.0863308954044</v>
          </cell>
        </row>
        <row r="279">
          <cell r="C279" t="str">
            <v>A0020</v>
          </cell>
          <cell r="D279" t="str">
            <v>PT Astra Multi Finance</v>
          </cell>
          <cell r="E279" t="str">
            <v>MPP</v>
          </cell>
          <cell r="F279" t="str">
            <v>23MPP</v>
          </cell>
        </row>
        <row r="280">
          <cell r="C280" t="str">
            <v>A0020</v>
          </cell>
          <cell r="D280" t="str">
            <v>PT Astra Multi Finance</v>
          </cell>
          <cell r="E280" t="str">
            <v>ID</v>
          </cell>
          <cell r="F280" t="str">
            <v>23ID</v>
          </cell>
          <cell r="G280">
            <v>0.1</v>
          </cell>
          <cell r="I280">
            <v>0.09</v>
          </cell>
          <cell r="J280">
            <v>18.015488989400136</v>
          </cell>
          <cell r="K280">
            <v>18.015488989400136</v>
          </cell>
          <cell r="Q280">
            <v>182763.11164424295</v>
          </cell>
          <cell r="R280">
            <v>20682.16594030222</v>
          </cell>
          <cell r="S280">
            <v>9151.1314158152727</v>
          </cell>
        </row>
        <row r="281">
          <cell r="C281" t="str">
            <v>A0020</v>
          </cell>
          <cell r="D281" t="str">
            <v>PT Astra Multi Finance</v>
          </cell>
          <cell r="E281" t="str">
            <v>LL</v>
          </cell>
          <cell r="F281" t="str">
            <v>23LL</v>
          </cell>
          <cell r="G281">
            <v>0.1</v>
          </cell>
          <cell r="I281">
            <v>0.09</v>
          </cell>
          <cell r="J281">
            <v>18.015488989400136</v>
          </cell>
          <cell r="K281">
            <v>18.015488989400136</v>
          </cell>
          <cell r="Q281">
            <v>248896.8118720355</v>
          </cell>
          <cell r="R281">
            <v>80642.298800385572</v>
          </cell>
          <cell r="S281">
            <v>89399.783994690559</v>
          </cell>
        </row>
        <row r="282">
          <cell r="C282" t="str">
            <v>A0020</v>
          </cell>
          <cell r="D282" t="str">
            <v>PT Astra Multi Finance</v>
          </cell>
          <cell r="E282" t="str">
            <v>PMK</v>
          </cell>
          <cell r="F282" t="str">
            <v>23PMK</v>
          </cell>
          <cell r="G282">
            <v>0.1</v>
          </cell>
          <cell r="I282">
            <v>0.09</v>
          </cell>
          <cell r="J282">
            <v>18.015488989400136</v>
          </cell>
          <cell r="K282">
            <v>18.015488989400136</v>
          </cell>
          <cell r="Q282">
            <v>381811.94753720035</v>
          </cell>
          <cell r="R282">
            <v>59122.732183503336</v>
          </cell>
          <cell r="S282">
            <v>16503</v>
          </cell>
        </row>
        <row r="284">
          <cell r="C284" t="str">
            <v>A0306</v>
          </cell>
          <cell r="D284" t="str">
            <v>PT Astra Nippon Gasket Indonesia</v>
          </cell>
          <cell r="E284" t="str">
            <v>PEB 1</v>
          </cell>
          <cell r="F284" t="str">
            <v>24PEB 1</v>
          </cell>
          <cell r="G284">
            <v>0.1</v>
          </cell>
          <cell r="H284">
            <v>0.1</v>
          </cell>
          <cell r="I284">
            <v>0.09</v>
          </cell>
          <cell r="J284">
            <v>10.592346693468185</v>
          </cell>
          <cell r="K284">
            <v>10.045266969106462</v>
          </cell>
          <cell r="L284">
            <v>0</v>
          </cell>
          <cell r="N284">
            <v>453815.16879999998</v>
          </cell>
          <cell r="O284">
            <v>25946.832000000002</v>
          </cell>
          <cell r="P284">
            <v>1455030.9021889919</v>
          </cell>
          <cell r="Q284">
            <v>1975032.4579042271</v>
          </cell>
          <cell r="R284">
            <v>94875.312411003601</v>
          </cell>
          <cell r="S284">
            <v>10825.197409768189</v>
          </cell>
          <cell r="U284">
            <v>-976877.08067872573</v>
          </cell>
          <cell r="V284">
            <v>1182859.7002666667</v>
          </cell>
          <cell r="W284">
            <v>-116572.10784210224</v>
          </cell>
          <cell r="X284">
            <v>0</v>
          </cell>
          <cell r="Y284">
            <v>0</v>
          </cell>
          <cell r="Z284">
            <v>361581.71366816381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W284">
            <v>0.1</v>
          </cell>
          <cell r="AX284">
            <v>0</v>
          </cell>
          <cell r="AY284">
            <v>0.09</v>
          </cell>
          <cell r="AZ284">
            <v>16.743695251324258</v>
          </cell>
          <cell r="BA284">
            <v>10.045266969106462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96293.340551756788</v>
          </cell>
          <cell r="BG284">
            <v>34028.810716757704</v>
          </cell>
          <cell r="BH284">
            <v>2011.308636040555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-7958.4393000605414</v>
          </cell>
          <cell r="BN284">
            <v>-3440.2687268805394</v>
          </cell>
          <cell r="BO284">
            <v>1461.9052095584727</v>
          </cell>
          <cell r="BP284">
            <v>84894.632524815708</v>
          </cell>
          <cell r="BR284">
            <v>0.1</v>
          </cell>
          <cell r="BS284">
            <v>0</v>
          </cell>
          <cell r="BT284">
            <v>0.09</v>
          </cell>
          <cell r="BU284">
            <v>16.743695251324258</v>
          </cell>
          <cell r="BV284">
            <v>18.87672135855648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884207.12932400638</v>
          </cell>
          <cell r="CB284">
            <v>1084723.162374123</v>
          </cell>
          <cell r="CC284">
            <v>72842.593091774688</v>
          </cell>
          <cell r="CD284">
            <v>952137.21981534187</v>
          </cell>
          <cell r="CE284">
            <v>0</v>
          </cell>
          <cell r="CF284">
            <v>0</v>
          </cell>
          <cell r="CG284">
            <v>0</v>
          </cell>
          <cell r="CH284">
            <v>4153.3874570137059</v>
          </cell>
          <cell r="CI284">
            <v>-27948.121366544678</v>
          </cell>
          <cell r="CJ284">
            <v>11876.253707707196</v>
          </cell>
          <cell r="CK284">
            <v>860412.39541447547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C284">
            <v>0.1</v>
          </cell>
          <cell r="ED284">
            <v>0</v>
          </cell>
          <cell r="EE284">
            <v>0.09</v>
          </cell>
          <cell r="EF284">
            <v>16.743695251324258</v>
          </cell>
          <cell r="EG284">
            <v>17.415879279098576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76390.01663907367</v>
          </cell>
          <cell r="EM284">
            <v>177019.32690107898</v>
          </cell>
          <cell r="EN284">
            <v>18415.83143436148</v>
          </cell>
          <cell r="EO284">
            <v>18940.91772633246</v>
          </cell>
          <cell r="EP284">
            <v>0</v>
          </cell>
          <cell r="EQ284">
            <v>0</v>
          </cell>
          <cell r="ER284">
            <v>0</v>
          </cell>
          <cell r="ES284">
            <v>-48613.78359048799</v>
          </cell>
          <cell r="ET284">
            <v>0</v>
          </cell>
          <cell r="EU284">
            <v>0</v>
          </cell>
          <cell r="EV284">
            <v>27776.233048585684</v>
          </cell>
          <cell r="EX284">
            <v>0.1</v>
          </cell>
          <cell r="EY284">
            <v>0</v>
          </cell>
          <cell r="EZ284">
            <v>0.09</v>
          </cell>
          <cell r="FA284">
            <v>16.743695251324258</v>
          </cell>
          <cell r="FB284">
            <v>17.415879279098576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288767.91573724459</v>
          </cell>
          <cell r="FH284">
            <v>198444.01859690508</v>
          </cell>
          <cell r="FI284">
            <v>14399.868993612075</v>
          </cell>
          <cell r="FJ284">
            <v>43164</v>
          </cell>
          <cell r="FK284">
            <v>0</v>
          </cell>
          <cell r="FL284">
            <v>0</v>
          </cell>
          <cell r="FM284">
            <v>0</v>
          </cell>
          <cell r="FN284">
            <v>15697.999570287824</v>
          </cell>
          <cell r="FO284">
            <v>-150179.05202808001</v>
          </cell>
          <cell r="FP284">
            <v>10731.523999999999</v>
          </cell>
          <cell r="FQ284">
            <v>154286.8632794524</v>
          </cell>
          <cell r="FS284">
            <v>0.1</v>
          </cell>
          <cell r="FT284">
            <v>0</v>
          </cell>
          <cell r="FU284">
            <v>0.09</v>
          </cell>
          <cell r="FV284">
            <v>16.743695251324258</v>
          </cell>
          <cell r="FW284">
            <v>17.415879279098576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477619.23128194321</v>
          </cell>
          <cell r="GC284">
            <v>362214.83699922339</v>
          </cell>
          <cell r="GD284">
            <v>33471.962544002025</v>
          </cell>
          <cell r="GE284">
            <v>20327.624252826292</v>
          </cell>
          <cell r="GF284">
            <v>0</v>
          </cell>
          <cell r="GG284">
            <v>0</v>
          </cell>
          <cell r="GH284">
            <v>0</v>
          </cell>
          <cell r="GI284">
            <v>123436.47312299655</v>
          </cell>
          <cell r="GJ284">
            <v>0</v>
          </cell>
          <cell r="GK284">
            <v>0</v>
          </cell>
          <cell r="GL284">
            <v>601055.70440493978</v>
          </cell>
          <cell r="GN284">
            <v>0.1</v>
          </cell>
          <cell r="GO284">
            <v>0</v>
          </cell>
          <cell r="GP284">
            <v>0.09</v>
          </cell>
          <cell r="GQ284">
            <v>16.743695251324258</v>
          </cell>
          <cell r="GR284">
            <v>17.415879279098576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322090.22235801729</v>
          </cell>
          <cell r="GX284">
            <v>427469.37662169058</v>
          </cell>
          <cell r="GY284">
            <v>138550.74843238929</v>
          </cell>
          <cell r="GZ284">
            <v>146199.78537267394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322090.22235801729</v>
          </cell>
          <cell r="HI284">
            <v>0.1</v>
          </cell>
          <cell r="HJ284">
            <v>0</v>
          </cell>
          <cell r="HK284">
            <v>0.09</v>
          </cell>
          <cell r="HL284">
            <v>16.743695251324258</v>
          </cell>
          <cell r="HM284">
            <v>17.415879279098576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715680.35840218805</v>
          </cell>
          <cell r="HS284">
            <v>345536.353873585</v>
          </cell>
          <cell r="HT284">
            <v>58123.78536487111</v>
          </cell>
          <cell r="HU284">
            <v>57108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715680.35840218805</v>
          </cell>
        </row>
        <row r="285">
          <cell r="C285" t="str">
            <v>A0306</v>
          </cell>
          <cell r="D285" t="str">
            <v>PT Astra Nippon Gasket Indonesia</v>
          </cell>
          <cell r="E285" t="str">
            <v>PEB 2</v>
          </cell>
          <cell r="F285" t="str">
            <v>24PEB 2</v>
          </cell>
          <cell r="P285">
            <v>0</v>
          </cell>
          <cell r="U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</row>
        <row r="286">
          <cell r="C286" t="str">
            <v>A0306</v>
          </cell>
          <cell r="D286" t="str">
            <v>PT Astra Nippon Gasket Indonesia</v>
          </cell>
          <cell r="E286" t="str">
            <v>PEB 3</v>
          </cell>
          <cell r="F286" t="str">
            <v>24PEB 3</v>
          </cell>
          <cell r="G286">
            <v>0.1</v>
          </cell>
          <cell r="I286">
            <v>0.09</v>
          </cell>
          <cell r="J286">
            <v>16.743695251324258</v>
          </cell>
          <cell r="K286">
            <v>10.045266969106462</v>
          </cell>
          <cell r="P286">
            <v>96293.340551756788</v>
          </cell>
          <cell r="Q286">
            <v>34028.810716757704</v>
          </cell>
          <cell r="R286">
            <v>2011.308636040555</v>
          </cell>
          <cell r="S286">
            <v>0</v>
          </cell>
          <cell r="U286">
            <v>0</v>
          </cell>
          <cell r="W286">
            <v>-7958.4393000605414</v>
          </cell>
          <cell r="X286">
            <v>-3440.2687268805394</v>
          </cell>
          <cell r="Y286">
            <v>1461.9052095584727</v>
          </cell>
          <cell r="Z286">
            <v>84894.632524815708</v>
          </cell>
        </row>
        <row r="287">
          <cell r="C287" t="str">
            <v>A0306</v>
          </cell>
          <cell r="D287" t="str">
            <v>PT Astra Nippon Gasket Indonesia</v>
          </cell>
          <cell r="E287" t="str">
            <v>PEB 4</v>
          </cell>
          <cell r="F287" t="str">
            <v>24PEB 4</v>
          </cell>
          <cell r="G287">
            <v>0.1</v>
          </cell>
          <cell r="I287">
            <v>0.09</v>
          </cell>
          <cell r="J287">
            <v>16.743695251324258</v>
          </cell>
          <cell r="K287">
            <v>18.87672135855648</v>
          </cell>
          <cell r="P287">
            <v>884207.12932400638</v>
          </cell>
          <cell r="Q287">
            <v>1084723.162374123</v>
          </cell>
          <cell r="R287">
            <v>72842.593091774688</v>
          </cell>
          <cell r="S287">
            <v>952137.21981534187</v>
          </cell>
          <cell r="U287">
            <v>0</v>
          </cell>
          <cell r="W287">
            <v>4153.3874570137059</v>
          </cell>
          <cell r="X287">
            <v>-27948.121366544678</v>
          </cell>
          <cell r="Y287">
            <v>11876.253707707196</v>
          </cell>
          <cell r="Z287">
            <v>860412.39541447547</v>
          </cell>
        </row>
        <row r="288">
          <cell r="C288" t="str">
            <v>A0306</v>
          </cell>
          <cell r="D288" t="str">
            <v>PT Astra Nippon Gasket Indonesia</v>
          </cell>
          <cell r="E288" t="str">
            <v>PEB 5</v>
          </cell>
          <cell r="F288" t="str">
            <v>24PEB 5</v>
          </cell>
          <cell r="P288">
            <v>0</v>
          </cell>
          <cell r="U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</row>
        <row r="289">
          <cell r="C289" t="str">
            <v>A0306</v>
          </cell>
          <cell r="D289" t="str">
            <v>PT Astra Nippon Gasket Indonesia</v>
          </cell>
          <cell r="E289" t="str">
            <v>PEB 6</v>
          </cell>
          <cell r="F289" t="str">
            <v>24PEB 6</v>
          </cell>
          <cell r="P289">
            <v>0</v>
          </cell>
          <cell r="U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</row>
        <row r="290">
          <cell r="C290" t="str">
            <v>A0306</v>
          </cell>
          <cell r="D290" t="str">
            <v>PT Astra Nippon Gasket Indonesia</v>
          </cell>
          <cell r="E290" t="str">
            <v>PEB 7</v>
          </cell>
          <cell r="F290" t="str">
            <v>24PEB 7</v>
          </cell>
          <cell r="G290">
            <v>0.1</v>
          </cell>
          <cell r="I290">
            <v>0.09</v>
          </cell>
          <cell r="J290">
            <v>16.743695251324258</v>
          </cell>
          <cell r="K290">
            <v>17.415879279098576</v>
          </cell>
          <cell r="P290">
            <v>76390.01663907367</v>
          </cell>
          <cell r="Q290">
            <v>177019.32690107898</v>
          </cell>
          <cell r="R290">
            <v>18415.83143436148</v>
          </cell>
          <cell r="S290">
            <v>18940.91772633246</v>
          </cell>
          <cell r="U290">
            <v>0</v>
          </cell>
          <cell r="W290">
            <v>-48613.78359048799</v>
          </cell>
          <cell r="X290">
            <v>0</v>
          </cell>
          <cell r="Y290">
            <v>0</v>
          </cell>
          <cell r="Z290">
            <v>27776.233048585684</v>
          </cell>
        </row>
        <row r="291">
          <cell r="C291" t="str">
            <v>A0306</v>
          </cell>
          <cell r="D291" t="str">
            <v>PT Astra Nippon Gasket Indonesia</v>
          </cell>
          <cell r="E291" t="str">
            <v>MPP</v>
          </cell>
          <cell r="F291" t="str">
            <v>24MPP</v>
          </cell>
          <cell r="G291">
            <v>0.1</v>
          </cell>
          <cell r="I291">
            <v>0.09</v>
          </cell>
          <cell r="J291">
            <v>16.743695251324258</v>
          </cell>
          <cell r="K291">
            <v>17.415879279098576</v>
          </cell>
          <cell r="P291">
            <v>288767.91573724459</v>
          </cell>
          <cell r="Q291">
            <v>198444.01859690508</v>
          </cell>
          <cell r="R291">
            <v>14399.868993612075</v>
          </cell>
          <cell r="S291">
            <v>43164</v>
          </cell>
          <cell r="U291">
            <v>0</v>
          </cell>
          <cell r="W291">
            <v>15697.999570287824</v>
          </cell>
          <cell r="X291">
            <v>-150179.05202808001</v>
          </cell>
          <cell r="Y291">
            <v>10731.523999999999</v>
          </cell>
          <cell r="Z291">
            <v>154286.8632794524</v>
          </cell>
        </row>
        <row r="292">
          <cell r="C292" t="str">
            <v>A0306</v>
          </cell>
          <cell r="D292" t="str">
            <v>PT Astra Nippon Gasket Indonesia</v>
          </cell>
          <cell r="E292" t="str">
            <v>ID</v>
          </cell>
          <cell r="F292" t="str">
            <v>24ID</v>
          </cell>
          <cell r="G292">
            <v>0.1</v>
          </cell>
          <cell r="I292">
            <v>0.09</v>
          </cell>
          <cell r="J292">
            <v>16.743695251324258</v>
          </cell>
          <cell r="K292">
            <v>17.415879279098576</v>
          </cell>
          <cell r="P292">
            <v>477619.23128194321</v>
          </cell>
          <cell r="Q292">
            <v>362214.83699922339</v>
          </cell>
          <cell r="R292">
            <v>33471.962544002025</v>
          </cell>
          <cell r="S292">
            <v>20327.624252826292</v>
          </cell>
          <cell r="U292">
            <v>0</v>
          </cell>
          <cell r="W292">
            <v>123436.47312299655</v>
          </cell>
          <cell r="X292">
            <v>0</v>
          </cell>
          <cell r="Y292">
            <v>0</v>
          </cell>
          <cell r="Z292">
            <v>601055.70440493978</v>
          </cell>
        </row>
        <row r="293">
          <cell r="C293" t="str">
            <v>A0306</v>
          </cell>
          <cell r="D293" t="str">
            <v>PT Astra Nippon Gasket Indonesia</v>
          </cell>
          <cell r="E293" t="str">
            <v>LL</v>
          </cell>
          <cell r="F293" t="str">
            <v>24LL</v>
          </cell>
          <cell r="G293">
            <v>0.1</v>
          </cell>
          <cell r="I293">
            <v>0.09</v>
          </cell>
          <cell r="J293">
            <v>16.743695251324258</v>
          </cell>
          <cell r="K293">
            <v>17.415879279098576</v>
          </cell>
          <cell r="P293">
            <v>322090.22235801729</v>
          </cell>
          <cell r="Q293">
            <v>427469.37662169058</v>
          </cell>
          <cell r="R293">
            <v>138550.74843238929</v>
          </cell>
          <cell r="S293">
            <v>146199.78537267394</v>
          </cell>
          <cell r="U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322090.22235801729</v>
          </cell>
        </row>
        <row r="294">
          <cell r="C294" t="str">
            <v>A0306</v>
          </cell>
          <cell r="D294" t="str">
            <v>PT Astra Nippon Gasket Indonesia</v>
          </cell>
          <cell r="E294" t="str">
            <v>PMK</v>
          </cell>
          <cell r="F294" t="str">
            <v>24PMK</v>
          </cell>
          <cell r="G294">
            <v>0.1</v>
          </cell>
          <cell r="I294">
            <v>0.09</v>
          </cell>
          <cell r="J294">
            <v>16.743695251324258</v>
          </cell>
          <cell r="K294">
            <v>17.415879279098576</v>
          </cell>
          <cell r="P294">
            <v>715680.35840218805</v>
          </cell>
          <cell r="Q294">
            <v>345536.353873585</v>
          </cell>
          <cell r="R294">
            <v>58123.78536487111</v>
          </cell>
          <cell r="S294">
            <v>57108</v>
          </cell>
          <cell r="U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715680.35840218805</v>
          </cell>
        </row>
        <row r="296">
          <cell r="C296" t="str">
            <v>A0172</v>
          </cell>
          <cell r="D296" t="str">
            <v>PT Astra Nissan Diesel Indonesia</v>
          </cell>
          <cell r="E296" t="str">
            <v>PEB 1</v>
          </cell>
          <cell r="F296" t="str">
            <v>25PEB 1</v>
          </cell>
          <cell r="G296">
            <v>0.1</v>
          </cell>
          <cell r="H296">
            <v>0.1</v>
          </cell>
          <cell r="I296">
            <v>0.09</v>
          </cell>
          <cell r="J296">
            <v>7.0395262581200209</v>
          </cell>
          <cell r="K296">
            <v>6.7355620595385162</v>
          </cell>
          <cell r="L296">
            <v>150474</v>
          </cell>
          <cell r="N296">
            <v>421017.00199999998</v>
          </cell>
          <cell r="O296">
            <v>71067.72</v>
          </cell>
          <cell r="P296">
            <v>5208083</v>
          </cell>
          <cell r="Q296">
            <v>6654404.3848347655</v>
          </cell>
          <cell r="R296">
            <v>279220.21810920624</v>
          </cell>
          <cell r="S296">
            <v>68194.572437079958</v>
          </cell>
          <cell r="U296">
            <v>-4252407</v>
          </cell>
          <cell r="V296">
            <v>6735038.3073333343</v>
          </cell>
          <cell r="W296">
            <v>-557933</v>
          </cell>
          <cell r="X296">
            <v>0</v>
          </cell>
          <cell r="Y296">
            <v>0</v>
          </cell>
          <cell r="Z296">
            <v>397743</v>
          </cell>
          <cell r="AB296">
            <v>0.1</v>
          </cell>
          <cell r="AC296">
            <v>0</v>
          </cell>
          <cell r="AD296">
            <v>0.09</v>
          </cell>
          <cell r="AE296">
            <v>10.110671348078228</v>
          </cell>
          <cell r="AF296">
            <v>14.153886010975512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1753832</v>
          </cell>
          <cell r="AL296">
            <v>2138243.2891715323</v>
          </cell>
          <cell r="AM296">
            <v>121776.76608858243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-116952</v>
          </cell>
          <cell r="AS296">
            <v>0</v>
          </cell>
          <cell r="AT296">
            <v>0</v>
          </cell>
          <cell r="AU296">
            <v>1636880</v>
          </cell>
          <cell r="AW296">
            <v>0.1</v>
          </cell>
          <cell r="AX296">
            <v>0</v>
          </cell>
          <cell r="AY296">
            <v>0.09</v>
          </cell>
          <cell r="AZ296">
            <v>7.0395262581200209</v>
          </cell>
          <cell r="BA296">
            <v>6.7355620595385162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79774</v>
          </cell>
          <cell r="BG296">
            <v>112571.71265826863</v>
          </cell>
          <cell r="BH296">
            <v>5885.1383437185705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-3737</v>
          </cell>
          <cell r="BN296">
            <v>0</v>
          </cell>
          <cell r="BO296">
            <v>0</v>
          </cell>
          <cell r="BP296">
            <v>76037</v>
          </cell>
          <cell r="BR296">
            <v>0.1</v>
          </cell>
          <cell r="BS296">
            <v>0</v>
          </cell>
          <cell r="BT296">
            <v>0.09</v>
          </cell>
          <cell r="BU296">
            <v>10.594006478070881</v>
          </cell>
          <cell r="BV296">
            <v>16.436447226802283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616087</v>
          </cell>
          <cell r="CB296">
            <v>258511.89708624216</v>
          </cell>
          <cell r="CC296">
            <v>28114.383893150891</v>
          </cell>
          <cell r="CD296">
            <v>23322.416198494338</v>
          </cell>
          <cell r="CE296">
            <v>0</v>
          </cell>
          <cell r="CF296">
            <v>0</v>
          </cell>
          <cell r="CG296">
            <v>0</v>
          </cell>
          <cell r="CH296">
            <v>-149586</v>
          </cell>
          <cell r="CI296">
            <v>-148981</v>
          </cell>
          <cell r="CJ296">
            <v>7933</v>
          </cell>
          <cell r="CK296">
            <v>317520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C296">
            <v>0.1</v>
          </cell>
          <cell r="ED296">
            <v>0</v>
          </cell>
          <cell r="EE296">
            <v>0.09</v>
          </cell>
          <cell r="EF296">
            <v>10.110671348078228</v>
          </cell>
          <cell r="EG296">
            <v>14.153886010975512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117687</v>
          </cell>
          <cell r="EM296">
            <v>115624.93032854347</v>
          </cell>
          <cell r="EN296">
            <v>9801.8720753239504</v>
          </cell>
          <cell r="EO296">
            <v>17849.877939274647</v>
          </cell>
          <cell r="EP296">
            <v>0</v>
          </cell>
          <cell r="EQ296">
            <v>0</v>
          </cell>
          <cell r="ER296">
            <v>0</v>
          </cell>
          <cell r="ES296">
            <v>-116959</v>
          </cell>
          <cell r="ET296">
            <v>0</v>
          </cell>
          <cell r="EU296">
            <v>0</v>
          </cell>
          <cell r="EV296">
            <v>728</v>
          </cell>
          <cell r="EX296">
            <v>0.1</v>
          </cell>
          <cell r="EY296">
            <v>0</v>
          </cell>
          <cell r="EZ296">
            <v>0.09</v>
          </cell>
          <cell r="FA296">
            <v>0</v>
          </cell>
          <cell r="FB296">
            <v>14.153886010975512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344583.46135602164</v>
          </cell>
          <cell r="FI296">
            <v>20545.791433125676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S296">
            <v>0.1</v>
          </cell>
          <cell r="FT296">
            <v>0</v>
          </cell>
          <cell r="FU296">
            <v>0.09</v>
          </cell>
          <cell r="FV296">
            <v>10.110671348078228</v>
          </cell>
          <cell r="FW296">
            <v>14.153886010975512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51375</v>
          </cell>
          <cell r="GC296">
            <v>387576.32850371301</v>
          </cell>
          <cell r="GD296">
            <v>28917.912079645841</v>
          </cell>
          <cell r="GE296">
            <v>58256.057983664708</v>
          </cell>
          <cell r="GF296">
            <v>0</v>
          </cell>
          <cell r="GG296">
            <v>0</v>
          </cell>
          <cell r="GH296">
            <v>0</v>
          </cell>
          <cell r="GI296">
            <v>0</v>
          </cell>
          <cell r="GJ296">
            <v>0</v>
          </cell>
          <cell r="GK296">
            <v>0</v>
          </cell>
          <cell r="GL296">
            <v>51375</v>
          </cell>
          <cell r="GN296">
            <v>0.1</v>
          </cell>
          <cell r="GO296">
            <v>0</v>
          </cell>
          <cell r="GP296">
            <v>0.09</v>
          </cell>
          <cell r="GQ296">
            <v>10.110671348078228</v>
          </cell>
          <cell r="GR296">
            <v>14.153886010975512</v>
          </cell>
          <cell r="GS296">
            <v>0</v>
          </cell>
          <cell r="GT296">
            <v>0</v>
          </cell>
          <cell r="GU296">
            <v>0</v>
          </cell>
          <cell r="GV296">
            <v>0</v>
          </cell>
          <cell r="GW296">
            <v>514411</v>
          </cell>
          <cell r="GX296">
            <v>484678.27765879955</v>
          </cell>
          <cell r="GY296">
            <v>164948.90495128863</v>
          </cell>
          <cell r="GZ296">
            <v>211111.69493351385</v>
          </cell>
          <cell r="HA296">
            <v>0</v>
          </cell>
          <cell r="HB296">
            <v>0</v>
          </cell>
          <cell r="HC296">
            <v>0</v>
          </cell>
          <cell r="HD296">
            <v>0</v>
          </cell>
          <cell r="HE296">
            <v>0</v>
          </cell>
          <cell r="HF296">
            <v>0</v>
          </cell>
          <cell r="HG296">
            <v>514411</v>
          </cell>
          <cell r="HI296">
            <v>0.1</v>
          </cell>
          <cell r="HJ296">
            <v>0</v>
          </cell>
          <cell r="HK296">
            <v>0.09</v>
          </cell>
          <cell r="HL296">
            <v>10.110671348078228</v>
          </cell>
          <cell r="HM296">
            <v>14.153886010975512</v>
          </cell>
          <cell r="HN296">
            <v>0</v>
          </cell>
          <cell r="HO296">
            <v>0</v>
          </cell>
          <cell r="HP296">
            <v>0</v>
          </cell>
          <cell r="HQ296">
            <v>0</v>
          </cell>
          <cell r="HR296">
            <v>440121</v>
          </cell>
          <cell r="HS296">
            <v>460827.05830328655</v>
          </cell>
          <cell r="HT296">
            <v>47282.765003584791</v>
          </cell>
          <cell r="HU296">
            <v>55470</v>
          </cell>
          <cell r="HV296">
            <v>0</v>
          </cell>
          <cell r="HW296">
            <v>0</v>
          </cell>
          <cell r="HX296">
            <v>0</v>
          </cell>
          <cell r="HY296">
            <v>0</v>
          </cell>
          <cell r="HZ296">
            <v>0</v>
          </cell>
          <cell r="IA296">
            <v>0</v>
          </cell>
          <cell r="IB296">
            <v>440121</v>
          </cell>
        </row>
        <row r="297">
          <cell r="C297" t="str">
            <v>A0172</v>
          </cell>
          <cell r="D297" t="str">
            <v>PT Astra Nissan Diesel Indonesia</v>
          </cell>
          <cell r="E297" t="str">
            <v>PEB 2</v>
          </cell>
          <cell r="F297" t="str">
            <v>25PEB 2</v>
          </cell>
          <cell r="G297">
            <v>0.1</v>
          </cell>
          <cell r="I297">
            <v>0.09</v>
          </cell>
          <cell r="J297">
            <v>10.110671348078228</v>
          </cell>
          <cell r="K297">
            <v>14.153886010975512</v>
          </cell>
          <cell r="P297">
            <v>1753832</v>
          </cell>
          <cell r="Q297">
            <v>2138243.2891715323</v>
          </cell>
          <cell r="R297">
            <v>121776.76608858243</v>
          </cell>
          <cell r="S297">
            <v>0</v>
          </cell>
          <cell r="U297">
            <v>0</v>
          </cell>
          <cell r="W297">
            <v>-116952</v>
          </cell>
          <cell r="X297">
            <v>0</v>
          </cell>
          <cell r="Y297">
            <v>0</v>
          </cell>
          <cell r="Z297">
            <v>1636880</v>
          </cell>
        </row>
        <row r="298">
          <cell r="C298" t="str">
            <v>A0172</v>
          </cell>
          <cell r="D298" t="str">
            <v>PT Astra Nissan Diesel Indonesia</v>
          </cell>
          <cell r="E298" t="str">
            <v>PEB 3</v>
          </cell>
          <cell r="F298" t="str">
            <v>25PEB 3</v>
          </cell>
          <cell r="G298">
            <v>0.1</v>
          </cell>
          <cell r="I298">
            <v>0.09</v>
          </cell>
          <cell r="J298">
            <v>7.0395262581200209</v>
          </cell>
          <cell r="K298">
            <v>6.7355620595385162</v>
          </cell>
          <cell r="P298">
            <v>79774</v>
          </cell>
          <cell r="Q298">
            <v>112571.71265826863</v>
          </cell>
          <cell r="R298">
            <v>5885.1383437185705</v>
          </cell>
          <cell r="S298">
            <v>0</v>
          </cell>
          <cell r="U298">
            <v>0</v>
          </cell>
          <cell r="W298">
            <v>-3737</v>
          </cell>
          <cell r="X298">
            <v>0</v>
          </cell>
          <cell r="Y298">
            <v>0</v>
          </cell>
          <cell r="Z298">
            <v>76037</v>
          </cell>
        </row>
        <row r="299">
          <cell r="C299" t="str">
            <v>A0172</v>
          </cell>
          <cell r="D299" t="str">
            <v>PT Astra Nissan Diesel Indonesia</v>
          </cell>
          <cell r="E299" t="str">
            <v>PEB 4</v>
          </cell>
          <cell r="F299" t="str">
            <v>25PEB 4</v>
          </cell>
          <cell r="G299">
            <v>0.1</v>
          </cell>
          <cell r="I299">
            <v>0.09</v>
          </cell>
          <cell r="J299">
            <v>10.594006478070881</v>
          </cell>
          <cell r="K299">
            <v>16.436447226802283</v>
          </cell>
          <cell r="P299">
            <v>616087</v>
          </cell>
          <cell r="Q299">
            <v>258511.89708624216</v>
          </cell>
          <cell r="R299">
            <v>28114.383893150891</v>
          </cell>
          <cell r="S299">
            <v>23322.416198494338</v>
          </cell>
          <cell r="U299">
            <v>0</v>
          </cell>
          <cell r="W299">
            <v>-149586</v>
          </cell>
          <cell r="X299">
            <v>-148981</v>
          </cell>
          <cell r="Y299">
            <v>7933</v>
          </cell>
          <cell r="Z299">
            <v>317520</v>
          </cell>
        </row>
        <row r="300">
          <cell r="C300" t="str">
            <v>A0172</v>
          </cell>
          <cell r="D300" t="str">
            <v>PT Astra Nissan Diesel Indonesia</v>
          </cell>
          <cell r="E300" t="str">
            <v>PEB 5</v>
          </cell>
          <cell r="F300" t="str">
            <v>25PEB 5</v>
          </cell>
          <cell r="P300">
            <v>0</v>
          </cell>
          <cell r="U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C301" t="str">
            <v>A0172</v>
          </cell>
          <cell r="D301" t="str">
            <v>PT Astra Nissan Diesel Indonesia</v>
          </cell>
          <cell r="E301" t="str">
            <v>PEB 6</v>
          </cell>
          <cell r="F301" t="str">
            <v>25PEB 6</v>
          </cell>
          <cell r="P301">
            <v>0</v>
          </cell>
          <cell r="U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</row>
        <row r="302">
          <cell r="C302" t="str">
            <v>A0172</v>
          </cell>
          <cell r="D302" t="str">
            <v>PT Astra Nissan Diesel Indonesia</v>
          </cell>
          <cell r="E302" t="str">
            <v>PEB 7</v>
          </cell>
          <cell r="F302" t="str">
            <v>25PEB 7</v>
          </cell>
          <cell r="G302">
            <v>0.1</v>
          </cell>
          <cell r="I302">
            <v>0.09</v>
          </cell>
          <cell r="J302">
            <v>10.110671348078228</v>
          </cell>
          <cell r="K302">
            <v>14.153886010975512</v>
          </cell>
          <cell r="P302">
            <v>117687</v>
          </cell>
          <cell r="Q302">
            <v>115624.93032854347</v>
          </cell>
          <cell r="R302">
            <v>9801.8720753239504</v>
          </cell>
          <cell r="S302">
            <v>17849.877939274647</v>
          </cell>
          <cell r="U302">
            <v>0</v>
          </cell>
          <cell r="W302">
            <v>-116959</v>
          </cell>
          <cell r="X302">
            <v>0</v>
          </cell>
          <cell r="Y302">
            <v>0</v>
          </cell>
          <cell r="Z302">
            <v>728</v>
          </cell>
        </row>
        <row r="303">
          <cell r="C303" t="str">
            <v>A0172</v>
          </cell>
          <cell r="D303" t="str">
            <v>PT Astra Nissan Diesel Indonesia</v>
          </cell>
          <cell r="E303" t="str">
            <v>MPP</v>
          </cell>
          <cell r="F303" t="str">
            <v>25MPP</v>
          </cell>
          <cell r="G303">
            <v>0.1</v>
          </cell>
          <cell r="I303">
            <v>0.09</v>
          </cell>
          <cell r="J303">
            <v>0</v>
          </cell>
          <cell r="K303">
            <v>14.153886010975512</v>
          </cell>
          <cell r="P303">
            <v>0</v>
          </cell>
          <cell r="Q303">
            <v>344583.46135602164</v>
          </cell>
          <cell r="R303">
            <v>20545.791433125676</v>
          </cell>
          <cell r="S303">
            <v>0</v>
          </cell>
          <cell r="U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</row>
        <row r="304">
          <cell r="C304" t="str">
            <v>A0172</v>
          </cell>
          <cell r="D304" t="str">
            <v>PT Astra Nissan Diesel Indonesia</v>
          </cell>
          <cell r="E304" t="str">
            <v>ID</v>
          </cell>
          <cell r="F304" t="str">
            <v>25ID</v>
          </cell>
          <cell r="G304">
            <v>0.1</v>
          </cell>
          <cell r="I304">
            <v>0.09</v>
          </cell>
          <cell r="J304">
            <v>10.110671348078228</v>
          </cell>
          <cell r="K304">
            <v>14.153886010975512</v>
          </cell>
          <cell r="P304">
            <v>51375</v>
          </cell>
          <cell r="Q304">
            <v>387576.32850371301</v>
          </cell>
          <cell r="R304">
            <v>28917.912079645841</v>
          </cell>
          <cell r="S304">
            <v>58256.057983664708</v>
          </cell>
          <cell r="U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51375</v>
          </cell>
        </row>
        <row r="305">
          <cell r="C305" t="str">
            <v>A0172</v>
          </cell>
          <cell r="D305" t="str">
            <v>PT Astra Nissan Diesel Indonesia</v>
          </cell>
          <cell r="E305" t="str">
            <v>LL</v>
          </cell>
          <cell r="F305" t="str">
            <v>25LL</v>
          </cell>
          <cell r="G305">
            <v>0.1</v>
          </cell>
          <cell r="I305">
            <v>0.09</v>
          </cell>
          <cell r="J305">
            <v>10.110671348078228</v>
          </cell>
          <cell r="K305">
            <v>14.153886010975512</v>
          </cell>
          <cell r="P305">
            <v>514411</v>
          </cell>
          <cell r="Q305">
            <v>484678.27765879955</v>
          </cell>
          <cell r="R305">
            <v>164948.90495128863</v>
          </cell>
          <cell r="S305">
            <v>211111.69493351385</v>
          </cell>
          <cell r="U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514411</v>
          </cell>
        </row>
        <row r="306">
          <cell r="C306" t="str">
            <v>A0172</v>
          </cell>
          <cell r="D306" t="str">
            <v>PT Astra Nissan Diesel Indonesia</v>
          </cell>
          <cell r="E306" t="str">
            <v>PMK</v>
          </cell>
          <cell r="F306" t="str">
            <v>25PMK</v>
          </cell>
          <cell r="G306">
            <v>0.1</v>
          </cell>
          <cell r="I306">
            <v>0.09</v>
          </cell>
          <cell r="J306">
            <v>10.110671348078228</v>
          </cell>
          <cell r="K306">
            <v>14.153886010975512</v>
          </cell>
          <cell r="P306">
            <v>440121</v>
          </cell>
          <cell r="Q306">
            <v>460827.05830328655</v>
          </cell>
          <cell r="R306">
            <v>47282.765003584791</v>
          </cell>
          <cell r="S306">
            <v>55470</v>
          </cell>
          <cell r="U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440121</v>
          </cell>
        </row>
        <row r="308">
          <cell r="C308" t="str">
            <v>A0317</v>
          </cell>
          <cell r="D308" t="str">
            <v>PT Astra Otoparts Tbk - HO</v>
          </cell>
          <cell r="E308" t="str">
            <v>PEB 1</v>
          </cell>
          <cell r="F308" t="str">
            <v>26PEB 1</v>
          </cell>
          <cell r="G308">
            <v>0.1</v>
          </cell>
          <cell r="H308">
            <v>0.1</v>
          </cell>
          <cell r="I308">
            <v>0.09</v>
          </cell>
          <cell r="J308">
            <v>7.5976523908275295</v>
          </cell>
          <cell r="K308">
            <v>7.2021784876030974</v>
          </cell>
          <cell r="L308">
            <v>8411456</v>
          </cell>
          <cell r="N308">
            <v>2502834.5039999997</v>
          </cell>
          <cell r="O308">
            <v>301100.48</v>
          </cell>
          <cell r="P308">
            <v>17369255.034919135</v>
          </cell>
          <cell r="Q308">
            <v>25671596.37787012</v>
          </cell>
          <cell r="R308">
            <v>1165562.1884750687</v>
          </cell>
          <cell r="S308">
            <v>4603625.8847169261</v>
          </cell>
          <cell r="U308">
            <v>-14545790.480425401</v>
          </cell>
          <cell r="V308">
            <v>13684165.861333333</v>
          </cell>
          <cell r="W308">
            <v>1690076.9448420452</v>
          </cell>
          <cell r="X308">
            <v>0</v>
          </cell>
          <cell r="Y308">
            <v>0</v>
          </cell>
          <cell r="Z308">
            <v>4513541.4993357807</v>
          </cell>
          <cell r="AB308">
            <v>0.1</v>
          </cell>
          <cell r="AC308">
            <v>0</v>
          </cell>
          <cell r="AD308">
            <v>0.09</v>
          </cell>
          <cell r="AE308">
            <v>12.851732638827354</v>
          </cell>
          <cell r="AF308">
            <v>17.361993063685727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1121567.1239872794</v>
          </cell>
          <cell r="AL308">
            <v>2069982.213574833</v>
          </cell>
          <cell r="AM308">
            <v>200852.43993250464</v>
          </cell>
          <cell r="AN308">
            <v>82500</v>
          </cell>
          <cell r="AO308">
            <v>0</v>
          </cell>
          <cell r="AP308">
            <v>0</v>
          </cell>
          <cell r="AQ308">
            <v>0</v>
          </cell>
          <cell r="AR308">
            <v>259226.99562726024</v>
          </cell>
          <cell r="AS308">
            <v>0</v>
          </cell>
          <cell r="AT308">
            <v>0</v>
          </cell>
          <cell r="AU308">
            <v>1380794.1196145397</v>
          </cell>
          <cell r="AW308">
            <v>0.1</v>
          </cell>
          <cell r="AX308">
            <v>0</v>
          </cell>
          <cell r="AY308">
            <v>0.09</v>
          </cell>
          <cell r="AZ308">
            <v>12.851732638827354</v>
          </cell>
          <cell r="BA308">
            <v>7.2021784876030974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1034164.3472215817</v>
          </cell>
          <cell r="BG308">
            <v>533541.98498208832</v>
          </cell>
          <cell r="BH308">
            <v>27579.153257371319</v>
          </cell>
          <cell r="BI308">
            <v>417613.0746666668</v>
          </cell>
          <cell r="BJ308">
            <v>0</v>
          </cell>
          <cell r="BK308">
            <v>0</v>
          </cell>
          <cell r="BL308">
            <v>0</v>
          </cell>
          <cell r="BM308">
            <v>340239.54474385065</v>
          </cell>
          <cell r="BN308">
            <v>-80366.991454756178</v>
          </cell>
          <cell r="BO308">
            <v>28815.199844693194</v>
          </cell>
          <cell r="BP308">
            <v>1294036.9005106762</v>
          </cell>
          <cell r="BR308">
            <v>0.1</v>
          </cell>
          <cell r="BS308">
            <v>0</v>
          </cell>
          <cell r="BT308">
            <v>0.09</v>
          </cell>
          <cell r="BU308">
            <v>12.851732638827354</v>
          </cell>
          <cell r="BV308">
            <v>18.53385373353856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2222000.1626819721</v>
          </cell>
          <cell r="CB308">
            <v>5992388.2457390409</v>
          </cell>
          <cell r="CC308">
            <v>596404.39501051453</v>
          </cell>
          <cell r="CD308">
            <v>119731.44682274455</v>
          </cell>
          <cell r="CE308">
            <v>0</v>
          </cell>
          <cell r="CF308">
            <v>0</v>
          </cell>
          <cell r="CG308">
            <v>0</v>
          </cell>
          <cell r="CH308">
            <v>1052631.2122189673</v>
          </cell>
          <cell r="CI308">
            <v>-203238.04610394058</v>
          </cell>
          <cell r="CJ308">
            <v>72870.027962001477</v>
          </cell>
          <cell r="CK308">
            <v>3071393.3287969986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C308">
            <v>0.1</v>
          </cell>
          <cell r="ED308">
            <v>0</v>
          </cell>
          <cell r="EE308">
            <v>0.09</v>
          </cell>
          <cell r="EF308">
            <v>12.851732638827354</v>
          </cell>
          <cell r="EG308">
            <v>17.361993063685727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913234.7163062169</v>
          </cell>
          <cell r="EM308">
            <v>768557.99162224343</v>
          </cell>
          <cell r="EN308">
            <v>85217.394372116032</v>
          </cell>
          <cell r="EO308">
            <v>90474.903643457117</v>
          </cell>
          <cell r="EP308">
            <v>0</v>
          </cell>
          <cell r="EQ308">
            <v>0</v>
          </cell>
          <cell r="ER308">
            <v>0</v>
          </cell>
          <cell r="ES308">
            <v>297179.9498889902</v>
          </cell>
          <cell r="ET308">
            <v>0</v>
          </cell>
          <cell r="EU308">
            <v>0</v>
          </cell>
          <cell r="EV308">
            <v>1210414.666195207</v>
          </cell>
          <cell r="EX308">
            <v>0.1</v>
          </cell>
          <cell r="EY308">
            <v>0</v>
          </cell>
          <cell r="EZ308">
            <v>0.09</v>
          </cell>
          <cell r="FA308">
            <v>12.851732638827354</v>
          </cell>
          <cell r="FB308">
            <v>17.361993063685727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2271780.3434477262</v>
          </cell>
          <cell r="FH308">
            <v>1817060.7864870129</v>
          </cell>
          <cell r="FI308">
            <v>118187.28937394502</v>
          </cell>
          <cell r="FJ308">
            <v>472251.76500000001</v>
          </cell>
          <cell r="FK308">
            <v>0</v>
          </cell>
          <cell r="FL308">
            <v>0</v>
          </cell>
          <cell r="FM308">
            <v>0</v>
          </cell>
          <cell r="FN308">
            <v>621268.68819380202</v>
          </cell>
          <cell r="FO308">
            <v>-563076.27672374109</v>
          </cell>
          <cell r="FP308">
            <v>140011.87634708628</v>
          </cell>
          <cell r="FQ308">
            <v>2329972.7549177869</v>
          </cell>
          <cell r="FS308">
            <v>0.1</v>
          </cell>
          <cell r="FT308">
            <v>0</v>
          </cell>
          <cell r="FU308">
            <v>0.09</v>
          </cell>
          <cell r="FV308">
            <v>12.851732638827354</v>
          </cell>
          <cell r="FW308">
            <v>17.361993063685727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2458987.7910304903</v>
          </cell>
          <cell r="GC308">
            <v>2267526.3011202244</v>
          </cell>
          <cell r="GD308">
            <v>206249.83423437094</v>
          </cell>
          <cell r="GE308">
            <v>197686.94313059692</v>
          </cell>
          <cell r="GF308">
            <v>0</v>
          </cell>
          <cell r="GG308">
            <v>0</v>
          </cell>
          <cell r="GH308">
            <v>0</v>
          </cell>
          <cell r="GI308">
            <v>1080894.8542731288</v>
          </cell>
          <cell r="GJ308">
            <v>0</v>
          </cell>
          <cell r="GK308">
            <v>0</v>
          </cell>
          <cell r="GL308">
            <v>3539882.6453036196</v>
          </cell>
          <cell r="GN308">
            <v>0.1</v>
          </cell>
          <cell r="GO308">
            <v>0</v>
          </cell>
          <cell r="GP308">
            <v>0.09</v>
          </cell>
          <cell r="GQ308">
            <v>12.851732638827354</v>
          </cell>
          <cell r="GR308">
            <v>17.361993063685727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1956489.7479507471</v>
          </cell>
          <cell r="GX308">
            <v>2377543.5330325272</v>
          </cell>
          <cell r="GY308">
            <v>899250.79208983143</v>
          </cell>
          <cell r="GZ308">
            <v>766949.53948893643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1956489.7479507471</v>
          </cell>
          <cell r="HI308">
            <v>0.1</v>
          </cell>
          <cell r="HJ308">
            <v>0</v>
          </cell>
          <cell r="HK308">
            <v>0.09</v>
          </cell>
          <cell r="HL308">
            <v>12.851732638827354</v>
          </cell>
          <cell r="HM308">
            <v>17.361993063685727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2535564.3880434418</v>
          </cell>
          <cell r="HS308">
            <v>2710494.268531708</v>
          </cell>
          <cell r="HT308">
            <v>391772.90756791289</v>
          </cell>
          <cell r="HU308">
            <v>334250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2535564.3880434418</v>
          </cell>
        </row>
        <row r="309">
          <cell r="C309" t="str">
            <v>A0317</v>
          </cell>
          <cell r="D309" t="str">
            <v>PT Astra Otoparts Tbk - HO</v>
          </cell>
          <cell r="E309" t="str">
            <v>PEB 2</v>
          </cell>
          <cell r="F309" t="str">
            <v>26PEB 2</v>
          </cell>
          <cell r="G309">
            <v>0.1</v>
          </cell>
          <cell r="I309">
            <v>0.09</v>
          </cell>
          <cell r="J309">
            <v>12.851732638827354</v>
          </cell>
          <cell r="K309">
            <v>17.361993063685727</v>
          </cell>
          <cell r="P309">
            <v>1121567.1239872794</v>
          </cell>
          <cell r="Q309">
            <v>2069982.213574833</v>
          </cell>
          <cell r="R309">
            <v>200852.43993250464</v>
          </cell>
          <cell r="S309">
            <v>82500</v>
          </cell>
          <cell r="U309">
            <v>0</v>
          </cell>
          <cell r="W309">
            <v>259226.99562726024</v>
          </cell>
          <cell r="X309">
            <v>0</v>
          </cell>
          <cell r="Y309">
            <v>0</v>
          </cell>
          <cell r="Z309">
            <v>1380794.1196145397</v>
          </cell>
        </row>
        <row r="310">
          <cell r="C310" t="str">
            <v>A0317</v>
          </cell>
          <cell r="D310" t="str">
            <v>PT Astra Otoparts Tbk - HO</v>
          </cell>
          <cell r="E310" t="str">
            <v>PEB 3</v>
          </cell>
          <cell r="F310" t="str">
            <v>26PEB 3</v>
          </cell>
          <cell r="G310">
            <v>0.1</v>
          </cell>
          <cell r="I310">
            <v>0.09</v>
          </cell>
          <cell r="J310">
            <v>12.851732638827354</v>
          </cell>
          <cell r="K310">
            <v>7.2021784876030974</v>
          </cell>
          <cell r="P310">
            <v>1034164.3472215817</v>
          </cell>
          <cell r="Q310">
            <v>533541.98498208832</v>
          </cell>
          <cell r="R310">
            <v>27579.153257371319</v>
          </cell>
          <cell r="S310">
            <v>417613.0746666668</v>
          </cell>
          <cell r="U310">
            <v>0</v>
          </cell>
          <cell r="W310">
            <v>340239.54474385065</v>
          </cell>
          <cell r="X310">
            <v>-80366.991454756178</v>
          </cell>
          <cell r="Y310">
            <v>28815.199844693194</v>
          </cell>
          <cell r="Z310">
            <v>1294036.9005106762</v>
          </cell>
        </row>
        <row r="311">
          <cell r="C311" t="str">
            <v>A0317</v>
          </cell>
          <cell r="D311" t="str">
            <v>PT Astra Otoparts Tbk - HO</v>
          </cell>
          <cell r="E311" t="str">
            <v>PEB 4</v>
          </cell>
          <cell r="F311" t="str">
            <v>26PEB 4</v>
          </cell>
          <cell r="G311">
            <v>0.1</v>
          </cell>
          <cell r="I311">
            <v>0.09</v>
          </cell>
          <cell r="J311">
            <v>12.851732638827354</v>
          </cell>
          <cell r="K311">
            <v>18.53385373353856</v>
          </cell>
          <cell r="P311">
            <v>2222000.1626819721</v>
          </cell>
          <cell r="Q311">
            <v>5992388.2457390409</v>
          </cell>
          <cell r="R311">
            <v>596404.39501051453</v>
          </cell>
          <cell r="S311">
            <v>119731.44682274455</v>
          </cell>
          <cell r="U311">
            <v>0</v>
          </cell>
          <cell r="W311">
            <v>1052631.2122189673</v>
          </cell>
          <cell r="X311">
            <v>-203238.04610394058</v>
          </cell>
          <cell r="Y311">
            <v>72870.027962001477</v>
          </cell>
          <cell r="Z311">
            <v>3071393.3287969986</v>
          </cell>
        </row>
        <row r="312">
          <cell r="C312" t="str">
            <v>A0317</v>
          </cell>
          <cell r="D312" t="str">
            <v>PT Astra Otoparts Tbk - HO</v>
          </cell>
          <cell r="E312" t="str">
            <v>PEB 5</v>
          </cell>
          <cell r="F312" t="str">
            <v>26PEB 5</v>
          </cell>
          <cell r="P312">
            <v>0</v>
          </cell>
          <cell r="U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</row>
        <row r="313">
          <cell r="C313" t="str">
            <v>A0317</v>
          </cell>
          <cell r="D313" t="str">
            <v>PT Astra Otoparts Tbk - HO</v>
          </cell>
          <cell r="E313" t="str">
            <v>PEB 6</v>
          </cell>
          <cell r="F313" t="str">
            <v>26PEB 6</v>
          </cell>
          <cell r="P313">
            <v>0</v>
          </cell>
          <cell r="U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</row>
        <row r="314">
          <cell r="C314" t="str">
            <v>A0317</v>
          </cell>
          <cell r="D314" t="str">
            <v>PT Astra Otoparts Tbk - HO</v>
          </cell>
          <cell r="E314" t="str">
            <v>PEB 7</v>
          </cell>
          <cell r="F314" t="str">
            <v>26PEB 7</v>
          </cell>
          <cell r="G314">
            <v>0.1</v>
          </cell>
          <cell r="I314">
            <v>0.09</v>
          </cell>
          <cell r="J314">
            <v>12.851732638827354</v>
          </cell>
          <cell r="K314">
            <v>17.361993063685727</v>
          </cell>
          <cell r="P314">
            <v>913234.7163062169</v>
          </cell>
          <cell r="Q314">
            <v>768557.99162224343</v>
          </cell>
          <cell r="R314">
            <v>85217.394372116032</v>
          </cell>
          <cell r="S314">
            <v>90474.903643457117</v>
          </cell>
          <cell r="U314">
            <v>0</v>
          </cell>
          <cell r="W314">
            <v>297179.9498889902</v>
          </cell>
          <cell r="X314">
            <v>0</v>
          </cell>
          <cell r="Y314">
            <v>0</v>
          </cell>
          <cell r="Z314">
            <v>1210414.666195207</v>
          </cell>
        </row>
        <row r="315">
          <cell r="C315" t="str">
            <v>A0317</v>
          </cell>
          <cell r="D315" t="str">
            <v>PT Astra Otoparts Tbk - HO</v>
          </cell>
          <cell r="E315" t="str">
            <v>MPP</v>
          </cell>
          <cell r="F315" t="str">
            <v>26MPP</v>
          </cell>
          <cell r="G315">
            <v>0.1</v>
          </cell>
          <cell r="I315">
            <v>0.09</v>
          </cell>
          <cell r="J315">
            <v>12.851732638827354</v>
          </cell>
          <cell r="K315">
            <v>17.361993063685727</v>
          </cell>
          <cell r="P315">
            <v>2271780.3434477262</v>
          </cell>
          <cell r="Q315">
            <v>1817060.7864870129</v>
          </cell>
          <cell r="R315">
            <v>118187.28937394502</v>
          </cell>
          <cell r="S315">
            <v>472251.76500000001</v>
          </cell>
          <cell r="U315">
            <v>0</v>
          </cell>
          <cell r="W315">
            <v>621268.68819380202</v>
          </cell>
          <cell r="X315">
            <v>-563076.27672374109</v>
          </cell>
          <cell r="Y315">
            <v>140011.87634708628</v>
          </cell>
          <cell r="Z315">
            <v>2329972.7549177869</v>
          </cell>
        </row>
        <row r="316">
          <cell r="C316" t="str">
            <v>A0317</v>
          </cell>
          <cell r="D316" t="str">
            <v>PT Astra Otoparts Tbk - HO</v>
          </cell>
          <cell r="E316" t="str">
            <v>ID</v>
          </cell>
          <cell r="F316" t="str">
            <v>26ID</v>
          </cell>
          <cell r="G316">
            <v>0.1</v>
          </cell>
          <cell r="I316">
            <v>0.09</v>
          </cell>
          <cell r="J316">
            <v>12.851732638827354</v>
          </cell>
          <cell r="K316">
            <v>17.361993063685727</v>
          </cell>
          <cell r="P316">
            <v>2458987.7910304903</v>
          </cell>
          <cell r="Q316">
            <v>2267526.3011202244</v>
          </cell>
          <cell r="R316">
            <v>206249.83423437094</v>
          </cell>
          <cell r="S316">
            <v>197686.94313059692</v>
          </cell>
          <cell r="U316">
            <v>0</v>
          </cell>
          <cell r="W316">
            <v>1080894.8542731288</v>
          </cell>
          <cell r="X316">
            <v>0</v>
          </cell>
          <cell r="Y316">
            <v>0</v>
          </cell>
          <cell r="Z316">
            <v>3539882.6453036196</v>
          </cell>
        </row>
        <row r="317">
          <cell r="C317" t="str">
            <v>A0317</v>
          </cell>
          <cell r="D317" t="str">
            <v>PT Astra Otoparts Tbk - HO</v>
          </cell>
          <cell r="E317" t="str">
            <v>LL</v>
          </cell>
          <cell r="F317" t="str">
            <v>26LL</v>
          </cell>
          <cell r="G317">
            <v>0.1</v>
          </cell>
          <cell r="I317">
            <v>0.09</v>
          </cell>
          <cell r="J317">
            <v>12.851732638827354</v>
          </cell>
          <cell r="K317">
            <v>17.361993063685727</v>
          </cell>
          <cell r="P317">
            <v>1956489.7479507471</v>
          </cell>
          <cell r="Q317">
            <v>2377543.5330325272</v>
          </cell>
          <cell r="R317">
            <v>899250.79208983143</v>
          </cell>
          <cell r="S317">
            <v>766949.53948893643</v>
          </cell>
          <cell r="U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1956489.7479507471</v>
          </cell>
        </row>
        <row r="318">
          <cell r="C318" t="str">
            <v>A0317</v>
          </cell>
          <cell r="D318" t="str">
            <v>PT Astra Otoparts Tbk - HO</v>
          </cell>
          <cell r="E318" t="str">
            <v>PMK</v>
          </cell>
          <cell r="F318" t="str">
            <v>26PMK</v>
          </cell>
          <cell r="G318">
            <v>0.1</v>
          </cell>
          <cell r="I318">
            <v>0.09</v>
          </cell>
          <cell r="J318">
            <v>12.851732638827354</v>
          </cell>
          <cell r="K318">
            <v>17.361993063685727</v>
          </cell>
          <cell r="P318">
            <v>2535564.3880434418</v>
          </cell>
          <cell r="Q318">
            <v>2710494.268531708</v>
          </cell>
          <cell r="R318">
            <v>391772.90756791289</v>
          </cell>
          <cell r="S318">
            <v>334250</v>
          </cell>
          <cell r="U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2535564.3880434418</v>
          </cell>
        </row>
        <row r="320">
          <cell r="C320" t="str">
            <v>Nm</v>
          </cell>
          <cell r="D320" t="str">
            <v>PT Astra Otoparts Tbk - Div. Nusametal</v>
          </cell>
          <cell r="E320" t="str">
            <v>PEB 1</v>
          </cell>
          <cell r="F320" t="str">
            <v>27PEB 1</v>
          </cell>
          <cell r="G320">
            <v>0.1</v>
          </cell>
          <cell r="H320">
            <v>0.1</v>
          </cell>
          <cell r="I320">
            <v>0.09</v>
          </cell>
          <cell r="J320">
            <v>9.4507607904533604</v>
          </cell>
          <cell r="K320">
            <v>10.461913014186306</v>
          </cell>
          <cell r="L320">
            <v>3014301</v>
          </cell>
          <cell r="N320">
            <v>869157.96640000003</v>
          </cell>
          <cell r="O320">
            <v>94957.168000000005</v>
          </cell>
          <cell r="P320">
            <v>4385651.5646639047</v>
          </cell>
          <cell r="Q320">
            <v>5960589.0173829896</v>
          </cell>
          <cell r="R320">
            <v>271987.99620107963</v>
          </cell>
          <cell r="S320">
            <v>42324.314330448753</v>
          </cell>
          <cell r="U320">
            <v>-3365998.5425510225</v>
          </cell>
          <cell r="V320">
            <v>4890246.7781333337</v>
          </cell>
          <cell r="W320">
            <v>803552.10398275801</v>
          </cell>
          <cell r="X320">
            <v>0</v>
          </cell>
          <cell r="Y320">
            <v>0</v>
          </cell>
          <cell r="Z320">
            <v>1823205.1260956407</v>
          </cell>
          <cell r="AB320">
            <v>0.1</v>
          </cell>
          <cell r="AC320">
            <v>0</v>
          </cell>
          <cell r="AD320">
            <v>0.09</v>
          </cell>
          <cell r="AE320">
            <v>13.398722849736206</v>
          </cell>
          <cell r="AF320">
            <v>17.552860447454673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1244227.151441026</v>
          </cell>
          <cell r="AL320">
            <v>2175257.6554368199</v>
          </cell>
          <cell r="AM320">
            <v>170142.1081527514</v>
          </cell>
          <cell r="AN320">
            <v>26400</v>
          </cell>
          <cell r="AO320">
            <v>0</v>
          </cell>
          <cell r="AP320">
            <v>0</v>
          </cell>
          <cell r="AQ320">
            <v>0</v>
          </cell>
          <cell r="AR320">
            <v>-363222.26174813946</v>
          </cell>
          <cell r="AS320">
            <v>0</v>
          </cell>
          <cell r="AT320">
            <v>0</v>
          </cell>
          <cell r="AU320">
            <v>881004.88969288662</v>
          </cell>
          <cell r="AW320">
            <v>0.1</v>
          </cell>
          <cell r="AX320">
            <v>0</v>
          </cell>
          <cell r="AY320">
            <v>0.09</v>
          </cell>
          <cell r="AZ320">
            <v>13.398722849736206</v>
          </cell>
          <cell r="BA320">
            <v>10.461913014186306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361122.44915362098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92446.672977242793</v>
          </cell>
          <cell r="BN320">
            <v>-80823.109600360156</v>
          </cell>
          <cell r="BO320">
            <v>23421.544477551364</v>
          </cell>
          <cell r="BP320">
            <v>372746.01253050362</v>
          </cell>
          <cell r="BR320">
            <v>0.1</v>
          </cell>
          <cell r="BS320">
            <v>0</v>
          </cell>
          <cell r="BT320">
            <v>0.09</v>
          </cell>
          <cell r="BU320">
            <v>13.398722849736206</v>
          </cell>
          <cell r="BV320">
            <v>17.991812752115131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1174014.4391783539</v>
          </cell>
          <cell r="CB320">
            <v>103289.65093830937</v>
          </cell>
          <cell r="CC320">
            <v>11454.394340017658</v>
          </cell>
          <cell r="CD320">
            <v>243624.35195279782</v>
          </cell>
          <cell r="CE320">
            <v>0</v>
          </cell>
          <cell r="CF320">
            <v>0</v>
          </cell>
          <cell r="CG320">
            <v>0</v>
          </cell>
          <cell r="CH320">
            <v>-281718.71288023511</v>
          </cell>
          <cell r="CI320">
            <v>-131327.06286668035</v>
          </cell>
          <cell r="CJ320">
            <v>38056.969835078344</v>
          </cell>
          <cell r="CK320">
            <v>760968.66343143815</v>
          </cell>
          <cell r="CM320">
            <v>0.1</v>
          </cell>
          <cell r="CN320">
            <v>0</v>
          </cell>
          <cell r="CO320">
            <v>0.09</v>
          </cell>
          <cell r="CP320">
            <v>14.388550205238886</v>
          </cell>
          <cell r="CQ320">
            <v>14.388550205238886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66700.306727337098</v>
          </cell>
          <cell r="CX320">
            <v>12684.225641431214</v>
          </cell>
          <cell r="CY320">
            <v>59331.915500000003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C320">
            <v>0.1</v>
          </cell>
          <cell r="ED320">
            <v>0</v>
          </cell>
          <cell r="EE320">
            <v>0.09</v>
          </cell>
          <cell r="EF320">
            <v>13.398722849736206</v>
          </cell>
          <cell r="EG320">
            <v>17.552860447454673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830406.38345076819</v>
          </cell>
          <cell r="EM320">
            <v>717608.13084815873</v>
          </cell>
          <cell r="EN320">
            <v>58711.825475291691</v>
          </cell>
          <cell r="EO320">
            <v>79167.180642144987</v>
          </cell>
          <cell r="EP320">
            <v>0</v>
          </cell>
          <cell r="EQ320">
            <v>0</v>
          </cell>
          <cell r="ER320">
            <v>0</v>
          </cell>
          <cell r="ES320">
            <v>96590.088498755576</v>
          </cell>
          <cell r="ET320">
            <v>0</v>
          </cell>
          <cell r="EU320">
            <v>0</v>
          </cell>
          <cell r="EV320">
            <v>926996.47194952378</v>
          </cell>
          <cell r="EX320">
            <v>0.1</v>
          </cell>
          <cell r="EY320">
            <v>0</v>
          </cell>
          <cell r="EZ320">
            <v>0.09</v>
          </cell>
          <cell r="FA320">
            <v>13.398722849736206</v>
          </cell>
          <cell r="FB320">
            <v>17.552860447454673</v>
          </cell>
          <cell r="FC320">
            <v>0</v>
          </cell>
          <cell r="FD320">
            <v>0</v>
          </cell>
          <cell r="FE320">
            <v>0</v>
          </cell>
          <cell r="FF320">
            <v>0</v>
          </cell>
          <cell r="FG320">
            <v>508141.95633911196</v>
          </cell>
          <cell r="FH320">
            <v>696651.83537589433</v>
          </cell>
          <cell r="FI320">
            <v>49240.010302568051</v>
          </cell>
          <cell r="FJ320">
            <v>7507.92</v>
          </cell>
          <cell r="FK320">
            <v>0</v>
          </cell>
          <cell r="FL320">
            <v>0</v>
          </cell>
          <cell r="FM320">
            <v>0</v>
          </cell>
          <cell r="FN320">
            <v>-51520.022554395997</v>
          </cell>
          <cell r="FO320">
            <v>-246780.19155944354</v>
          </cell>
          <cell r="FP320">
            <v>24902.558675395831</v>
          </cell>
          <cell r="FQ320">
            <v>209841.74222527246</v>
          </cell>
          <cell r="FS320">
            <v>0.1</v>
          </cell>
          <cell r="FT320">
            <v>0</v>
          </cell>
          <cell r="FU320">
            <v>0.09</v>
          </cell>
          <cell r="FV320">
            <v>13.398722849736206</v>
          </cell>
          <cell r="FW320">
            <v>17.552860447454673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1794897.9960884198</v>
          </cell>
          <cell r="GC320">
            <v>1584176.3172843475</v>
          </cell>
          <cell r="GD320">
            <v>120713.82552963552</v>
          </cell>
          <cell r="GE320">
            <v>90894.167776667411</v>
          </cell>
          <cell r="GF320">
            <v>0</v>
          </cell>
          <cell r="GG320">
            <v>0</v>
          </cell>
          <cell r="GH320">
            <v>0</v>
          </cell>
          <cell r="GI320">
            <v>91439.928896668338</v>
          </cell>
          <cell r="GJ320">
            <v>0</v>
          </cell>
          <cell r="GK320">
            <v>0</v>
          </cell>
          <cell r="GL320">
            <v>1886337.9249850884</v>
          </cell>
          <cell r="GN320">
            <v>0.1</v>
          </cell>
          <cell r="GO320">
            <v>0</v>
          </cell>
          <cell r="GP320">
            <v>0.09</v>
          </cell>
          <cell r="GQ320">
            <v>13.398722849736206</v>
          </cell>
          <cell r="GR320">
            <v>17.552860447454673</v>
          </cell>
          <cell r="GS320">
            <v>0</v>
          </cell>
          <cell r="GT320">
            <v>0</v>
          </cell>
          <cell r="GU320">
            <v>0</v>
          </cell>
          <cell r="GV320">
            <v>0</v>
          </cell>
          <cell r="GW320">
            <v>1126682.0304710765</v>
          </cell>
          <cell r="GX320">
            <v>1397102.1555423473</v>
          </cell>
          <cell r="GY320">
            <v>553283.4343666638</v>
          </cell>
          <cell r="GZ320">
            <v>664059.53347936715</v>
          </cell>
          <cell r="HA320">
            <v>0</v>
          </cell>
          <cell r="HB320">
            <v>0</v>
          </cell>
          <cell r="HC320">
            <v>0</v>
          </cell>
          <cell r="HD320">
            <v>0</v>
          </cell>
          <cell r="HE320">
            <v>0</v>
          </cell>
          <cell r="HF320">
            <v>0</v>
          </cell>
          <cell r="HG320">
            <v>1126682.0304710765</v>
          </cell>
          <cell r="HI320">
            <v>0.1</v>
          </cell>
          <cell r="HJ320">
            <v>0</v>
          </cell>
          <cell r="HK320">
            <v>0.09</v>
          </cell>
          <cell r="HL320">
            <v>13.398722849736206</v>
          </cell>
          <cell r="HM320">
            <v>17.552860447454673</v>
          </cell>
          <cell r="HN320">
            <v>0</v>
          </cell>
          <cell r="HO320">
            <v>0</v>
          </cell>
          <cell r="HP320">
            <v>0</v>
          </cell>
          <cell r="HQ320">
            <v>0</v>
          </cell>
          <cell r="HR320">
            <v>4569660.959672031</v>
          </cell>
          <cell r="HS320">
            <v>4017596.8137738877</v>
          </cell>
          <cell r="HT320">
            <v>447302.73647191899</v>
          </cell>
          <cell r="HU320">
            <v>474750</v>
          </cell>
          <cell r="HV320">
            <v>0</v>
          </cell>
          <cell r="HW320">
            <v>0</v>
          </cell>
          <cell r="HX320">
            <v>0</v>
          </cell>
          <cell r="HY320">
            <v>0</v>
          </cell>
          <cell r="HZ320">
            <v>0</v>
          </cell>
          <cell r="IA320">
            <v>0</v>
          </cell>
          <cell r="IB320">
            <v>4569660.959672031</v>
          </cell>
        </row>
        <row r="321">
          <cell r="C321" t="str">
            <v>Nm</v>
          </cell>
          <cell r="D321" t="str">
            <v>PT Astra Otoparts Tbk - Div. Nusametal</v>
          </cell>
          <cell r="E321" t="str">
            <v>PEB 2</v>
          </cell>
          <cell r="F321" t="str">
            <v>27PEB 2</v>
          </cell>
          <cell r="G321">
            <v>0.1</v>
          </cell>
          <cell r="I321">
            <v>0.09</v>
          </cell>
          <cell r="J321">
            <v>13.398722849736206</v>
          </cell>
          <cell r="K321">
            <v>17.552860447454673</v>
          </cell>
          <cell r="P321">
            <v>1244227.151441026</v>
          </cell>
          <cell r="Q321">
            <v>2175257.6554368199</v>
          </cell>
          <cell r="R321">
            <v>170142.1081527514</v>
          </cell>
          <cell r="S321">
            <v>26400</v>
          </cell>
          <cell r="U321">
            <v>0</v>
          </cell>
          <cell r="W321">
            <v>-363222.26174813946</v>
          </cell>
          <cell r="X321">
            <v>0</v>
          </cell>
          <cell r="Y321">
            <v>0</v>
          </cell>
          <cell r="Z321">
            <v>881004.88969288662</v>
          </cell>
        </row>
        <row r="322">
          <cell r="C322" t="str">
            <v>Nm</v>
          </cell>
          <cell r="D322" t="str">
            <v>PT Astra Otoparts Tbk - Div. Nusametal</v>
          </cell>
          <cell r="E322" t="str">
            <v>PEB 3</v>
          </cell>
          <cell r="F322" t="str">
            <v>27PEB 3</v>
          </cell>
          <cell r="G322">
            <v>0.1</v>
          </cell>
          <cell r="I322">
            <v>0.09</v>
          </cell>
          <cell r="J322">
            <v>13.398722849736206</v>
          </cell>
          <cell r="K322">
            <v>10.461913014186306</v>
          </cell>
          <cell r="P322">
            <v>361122.44915362098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W322">
            <v>92446.672977242793</v>
          </cell>
          <cell r="X322">
            <v>-80823.109600360156</v>
          </cell>
          <cell r="Y322">
            <v>23421.544477551364</v>
          </cell>
          <cell r="Z322">
            <v>372746.01253050362</v>
          </cell>
        </row>
        <row r="323">
          <cell r="C323" t="str">
            <v>Nm</v>
          </cell>
          <cell r="D323" t="str">
            <v>PT Astra Otoparts Tbk - Div. Nusametal</v>
          </cell>
          <cell r="E323" t="str">
            <v>PEB 4</v>
          </cell>
          <cell r="F323" t="str">
            <v>27PEB 4</v>
          </cell>
          <cell r="G323">
            <v>0.1</v>
          </cell>
          <cell r="I323">
            <v>0.09</v>
          </cell>
          <cell r="J323">
            <v>13.398722849736206</v>
          </cell>
          <cell r="K323">
            <v>17.991812752115131</v>
          </cell>
          <cell r="P323">
            <v>1174014.4391783539</v>
          </cell>
          <cell r="Q323">
            <v>103289.65093830937</v>
          </cell>
          <cell r="R323">
            <v>11454.394340017658</v>
          </cell>
          <cell r="S323">
            <v>243624.35195279782</v>
          </cell>
          <cell r="U323">
            <v>0</v>
          </cell>
          <cell r="W323">
            <v>-281718.71288023511</v>
          </cell>
          <cell r="X323">
            <v>-131327.06286668035</v>
          </cell>
          <cell r="Y323">
            <v>38056.969835078344</v>
          </cell>
          <cell r="Z323">
            <v>760968.66343143815</v>
          </cell>
        </row>
        <row r="324">
          <cell r="C324" t="str">
            <v>Nm</v>
          </cell>
          <cell r="D324" t="str">
            <v>PT Astra Otoparts Tbk - Div. Nusametal</v>
          </cell>
          <cell r="E324" t="str">
            <v>PEB 5</v>
          </cell>
          <cell r="F324" t="str">
            <v>27PEB 5</v>
          </cell>
          <cell r="G324">
            <v>0.1</v>
          </cell>
          <cell r="I324">
            <v>0.09</v>
          </cell>
          <cell r="J324">
            <v>14.388550205238886</v>
          </cell>
          <cell r="K324">
            <v>14.388550205238886</v>
          </cell>
          <cell r="P324">
            <v>0</v>
          </cell>
          <cell r="Q324">
            <v>66700.306727337098</v>
          </cell>
          <cell r="R324">
            <v>12684.225641431214</v>
          </cell>
          <cell r="S324">
            <v>59331.915500000003</v>
          </cell>
          <cell r="U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</row>
        <row r="325">
          <cell r="C325" t="str">
            <v>Nm</v>
          </cell>
          <cell r="D325" t="str">
            <v>PT Astra Otoparts Tbk - Div. Nusametal</v>
          </cell>
          <cell r="E325" t="str">
            <v>PEB 6</v>
          </cell>
          <cell r="F325" t="str">
            <v>27PEB 6</v>
          </cell>
          <cell r="P325">
            <v>0</v>
          </cell>
          <cell r="U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</row>
        <row r="326">
          <cell r="C326" t="str">
            <v>Nm</v>
          </cell>
          <cell r="D326" t="str">
            <v>PT Astra Otoparts Tbk - Div. Nusametal</v>
          </cell>
          <cell r="E326" t="str">
            <v>PEB 7</v>
          </cell>
          <cell r="F326" t="str">
            <v>27PEB 7</v>
          </cell>
          <cell r="G326">
            <v>0.1</v>
          </cell>
          <cell r="I326">
            <v>0.09</v>
          </cell>
          <cell r="J326">
            <v>13.398722849736206</v>
          </cell>
          <cell r="K326">
            <v>17.552860447454673</v>
          </cell>
          <cell r="P326">
            <v>830406.38345076819</v>
          </cell>
          <cell r="Q326">
            <v>717608.13084815873</v>
          </cell>
          <cell r="R326">
            <v>58711.825475291691</v>
          </cell>
          <cell r="S326">
            <v>79167.180642144987</v>
          </cell>
          <cell r="U326">
            <v>0</v>
          </cell>
          <cell r="W326">
            <v>96590.088498755576</v>
          </cell>
          <cell r="X326">
            <v>0</v>
          </cell>
          <cell r="Y326">
            <v>0</v>
          </cell>
          <cell r="Z326">
            <v>926996.47194952378</v>
          </cell>
        </row>
        <row r="327">
          <cell r="C327" t="str">
            <v>Nm</v>
          </cell>
          <cell r="D327" t="str">
            <v>PT Astra Otoparts Tbk - Div. Nusametal</v>
          </cell>
          <cell r="E327" t="str">
            <v>MPP</v>
          </cell>
          <cell r="F327" t="str">
            <v>27MPP</v>
          </cell>
          <cell r="G327">
            <v>0.1</v>
          </cell>
          <cell r="I327">
            <v>0.09</v>
          </cell>
          <cell r="J327">
            <v>13.398722849736206</v>
          </cell>
          <cell r="K327">
            <v>17.552860447454673</v>
          </cell>
          <cell r="P327">
            <v>508141.95633911196</v>
          </cell>
          <cell r="Q327">
            <v>696651.83537589433</v>
          </cell>
          <cell r="R327">
            <v>49240.010302568051</v>
          </cell>
          <cell r="S327">
            <v>7507.92</v>
          </cell>
          <cell r="U327">
            <v>0</v>
          </cell>
          <cell r="W327">
            <v>-51520.022554395997</v>
          </cell>
          <cell r="X327">
            <v>-246780.19155944354</v>
          </cell>
          <cell r="Y327">
            <v>24902.558675395831</v>
          </cell>
          <cell r="Z327">
            <v>209841.74222527246</v>
          </cell>
        </row>
        <row r="328">
          <cell r="C328" t="str">
            <v>Nm</v>
          </cell>
          <cell r="D328" t="str">
            <v>PT Astra Otoparts Tbk - Div. Nusametal</v>
          </cell>
          <cell r="E328" t="str">
            <v>ID</v>
          </cell>
          <cell r="F328" t="str">
            <v>27ID</v>
          </cell>
          <cell r="G328">
            <v>0.1</v>
          </cell>
          <cell r="I328">
            <v>0.09</v>
          </cell>
          <cell r="J328">
            <v>13.398722849736206</v>
          </cell>
          <cell r="K328">
            <v>17.552860447454673</v>
          </cell>
          <cell r="P328">
            <v>1794897.9960884198</v>
          </cell>
          <cell r="Q328">
            <v>1584176.3172843475</v>
          </cell>
          <cell r="R328">
            <v>120713.82552963552</v>
          </cell>
          <cell r="S328">
            <v>90894.167776667411</v>
          </cell>
          <cell r="U328">
            <v>0</v>
          </cell>
          <cell r="W328">
            <v>91439.928896668338</v>
          </cell>
          <cell r="X328">
            <v>0</v>
          </cell>
          <cell r="Y328">
            <v>0</v>
          </cell>
          <cell r="Z328">
            <v>1886337.9249850884</v>
          </cell>
        </row>
        <row r="329">
          <cell r="C329" t="str">
            <v>Nm</v>
          </cell>
          <cell r="D329" t="str">
            <v>PT Astra Otoparts Tbk - Div. Nusametal</v>
          </cell>
          <cell r="E329" t="str">
            <v>LL</v>
          </cell>
          <cell r="F329" t="str">
            <v>27LL</v>
          </cell>
          <cell r="G329">
            <v>0.1</v>
          </cell>
          <cell r="I329">
            <v>0.09</v>
          </cell>
          <cell r="J329">
            <v>13.398722849736206</v>
          </cell>
          <cell r="K329">
            <v>17.552860447454673</v>
          </cell>
          <cell r="P329">
            <v>1126682.0304710765</v>
          </cell>
          <cell r="Q329">
            <v>1397102.1555423473</v>
          </cell>
          <cell r="R329">
            <v>553283.4343666638</v>
          </cell>
          <cell r="S329">
            <v>664059.53347936715</v>
          </cell>
          <cell r="U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1126682.0304710765</v>
          </cell>
        </row>
        <row r="330">
          <cell r="C330" t="str">
            <v>Nm</v>
          </cell>
          <cell r="D330" t="str">
            <v>PT Astra Otoparts Tbk - Div. Nusametal</v>
          </cell>
          <cell r="E330" t="str">
            <v>PMK</v>
          </cell>
          <cell r="F330" t="str">
            <v>27PMK</v>
          </cell>
          <cell r="G330">
            <v>0.1</v>
          </cell>
          <cell r="I330">
            <v>0.09</v>
          </cell>
          <cell r="J330">
            <v>13.398722849736206</v>
          </cell>
          <cell r="K330">
            <v>17.552860447454673</v>
          </cell>
          <cell r="P330">
            <v>4569660.959672031</v>
          </cell>
          <cell r="Q330">
            <v>4017596.8137738877</v>
          </cell>
          <cell r="R330">
            <v>447302.73647191899</v>
          </cell>
          <cell r="S330">
            <v>474750</v>
          </cell>
          <cell r="U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4569660.959672031</v>
          </cell>
        </row>
        <row r="332">
          <cell r="C332" t="str">
            <v>Ap</v>
          </cell>
          <cell r="D332" t="str">
            <v>PT Astra Otoparts Tbk - Div. Adiwira</v>
          </cell>
          <cell r="E332" t="str">
            <v>PEB 1</v>
          </cell>
          <cell r="F332" t="str">
            <v>28PEB 1</v>
          </cell>
          <cell r="L332">
            <v>0</v>
          </cell>
          <cell r="N332">
            <v>0</v>
          </cell>
          <cell r="O332">
            <v>0</v>
          </cell>
          <cell r="P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22683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12859</v>
          </cell>
          <cell r="BN332">
            <v>-6398</v>
          </cell>
          <cell r="BO332">
            <v>1609</v>
          </cell>
          <cell r="BP332">
            <v>29144</v>
          </cell>
          <cell r="BR332">
            <v>0.1</v>
          </cell>
          <cell r="BS332">
            <v>0</v>
          </cell>
          <cell r="BT332">
            <v>0.09</v>
          </cell>
          <cell r="BU332">
            <v>17.870348033035384</v>
          </cell>
          <cell r="BV332">
            <v>19.020932668514149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1429520</v>
          </cell>
          <cell r="CB332">
            <v>3899440.9696991425</v>
          </cell>
          <cell r="CC332">
            <v>428205.92791252997</v>
          </cell>
          <cell r="CD332">
            <v>470119.06660316838</v>
          </cell>
          <cell r="CE332">
            <v>0</v>
          </cell>
          <cell r="CF332">
            <v>0</v>
          </cell>
          <cell r="CG332">
            <v>0</v>
          </cell>
          <cell r="CH332">
            <v>15472</v>
          </cell>
          <cell r="CI332">
            <v>-246680</v>
          </cell>
          <cell r="CJ332">
            <v>62017</v>
          </cell>
          <cell r="CK332">
            <v>1198312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C332">
            <v>0.1</v>
          </cell>
          <cell r="ED332">
            <v>0</v>
          </cell>
          <cell r="EE332">
            <v>0.09</v>
          </cell>
          <cell r="EF332">
            <v>17.870348033035384</v>
          </cell>
          <cell r="EG332">
            <v>19.020932668514149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342363</v>
          </cell>
          <cell r="EM332">
            <v>725948.00237380329</v>
          </cell>
          <cell r="EN332">
            <v>81121.621713837114</v>
          </cell>
          <cell r="EO332">
            <v>76422.793254462929</v>
          </cell>
          <cell r="EP332">
            <v>0</v>
          </cell>
          <cell r="EQ332">
            <v>0</v>
          </cell>
          <cell r="ER332">
            <v>0</v>
          </cell>
          <cell r="ES332">
            <v>44099</v>
          </cell>
          <cell r="ET332">
            <v>0</v>
          </cell>
          <cell r="EU332">
            <v>0</v>
          </cell>
          <cell r="EV332">
            <v>386461</v>
          </cell>
          <cell r="EX332">
            <v>0.1</v>
          </cell>
          <cell r="EY332">
            <v>0</v>
          </cell>
          <cell r="EZ332">
            <v>0.09</v>
          </cell>
          <cell r="FA332">
            <v>17.870348033035384</v>
          </cell>
          <cell r="FB332">
            <v>19.020932668514149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868234</v>
          </cell>
          <cell r="FH332">
            <v>662676.17664615239</v>
          </cell>
          <cell r="FI332">
            <v>66864.063614516795</v>
          </cell>
          <cell r="FJ332">
            <v>16382.668935000002</v>
          </cell>
          <cell r="FK332">
            <v>0</v>
          </cell>
          <cell r="FL332">
            <v>0</v>
          </cell>
          <cell r="FM332">
            <v>0</v>
          </cell>
          <cell r="FN332">
            <v>-50247</v>
          </cell>
          <cell r="FO332">
            <v>0</v>
          </cell>
          <cell r="FP332">
            <v>0</v>
          </cell>
          <cell r="FQ332">
            <v>817988</v>
          </cell>
          <cell r="FS332">
            <v>0.1</v>
          </cell>
          <cell r="FT332">
            <v>0</v>
          </cell>
          <cell r="FU332">
            <v>0.09</v>
          </cell>
          <cell r="FV332">
            <v>17.870348033035384</v>
          </cell>
          <cell r="FW332">
            <v>19.020932668514149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1865646</v>
          </cell>
          <cell r="GC332">
            <v>1515202.2408490856</v>
          </cell>
          <cell r="GD332">
            <v>149760.98299061772</v>
          </cell>
          <cell r="GE332">
            <v>87199.095068908282</v>
          </cell>
          <cell r="GF332">
            <v>0</v>
          </cell>
          <cell r="GG332">
            <v>0</v>
          </cell>
          <cell r="GH332">
            <v>0</v>
          </cell>
          <cell r="GI332">
            <v>185496</v>
          </cell>
          <cell r="GJ332">
            <v>0</v>
          </cell>
          <cell r="GK332">
            <v>0</v>
          </cell>
          <cell r="GL332">
            <v>2051142</v>
          </cell>
          <cell r="GN332">
            <v>0.1</v>
          </cell>
          <cell r="GO332">
            <v>0</v>
          </cell>
          <cell r="GP332">
            <v>0.09</v>
          </cell>
          <cell r="GQ332">
            <v>17.870348033035384</v>
          </cell>
          <cell r="GR332">
            <v>19.020932668514149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1405203</v>
          </cell>
          <cell r="GX332">
            <v>2716591.8329729112</v>
          </cell>
          <cell r="GY332">
            <v>629584.62275982462</v>
          </cell>
          <cell r="GZ332">
            <v>670718.37961527158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1405203</v>
          </cell>
          <cell r="HI332">
            <v>0.1</v>
          </cell>
          <cell r="HJ332">
            <v>0</v>
          </cell>
          <cell r="HK332">
            <v>0.09</v>
          </cell>
          <cell r="HL332">
            <v>17.870348033035384</v>
          </cell>
          <cell r="HM332">
            <v>19.020932668514149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5780977</v>
          </cell>
          <cell r="HS332">
            <v>4984461.7172468491</v>
          </cell>
          <cell r="HT332">
            <v>645799.23902906838</v>
          </cell>
          <cell r="HU332">
            <v>492800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5780977</v>
          </cell>
        </row>
        <row r="333">
          <cell r="C333" t="str">
            <v>Ap</v>
          </cell>
          <cell r="D333" t="str">
            <v>PT Astra Otoparts Tbk - Div. Adiwira</v>
          </cell>
          <cell r="E333" t="str">
            <v>PEB 2</v>
          </cell>
          <cell r="F333" t="str">
            <v>28PEB 2</v>
          </cell>
          <cell r="P333">
            <v>0</v>
          </cell>
          <cell r="U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</row>
        <row r="334">
          <cell r="C334" t="str">
            <v>Ap</v>
          </cell>
          <cell r="D334" t="str">
            <v>PT Astra Otoparts Tbk - Div. Adiwira</v>
          </cell>
          <cell r="E334" t="str">
            <v>PEB 3</v>
          </cell>
          <cell r="F334" t="str">
            <v>28PEB 3</v>
          </cell>
          <cell r="P334">
            <v>22683</v>
          </cell>
          <cell r="U334">
            <v>0</v>
          </cell>
          <cell r="W334">
            <v>12859</v>
          </cell>
          <cell r="X334">
            <v>-6398</v>
          </cell>
          <cell r="Y334">
            <v>1609</v>
          </cell>
          <cell r="Z334">
            <v>29144</v>
          </cell>
        </row>
        <row r="335">
          <cell r="C335" t="str">
            <v>Ap</v>
          </cell>
          <cell r="D335" t="str">
            <v>PT Astra Otoparts Tbk - Div. Adiwira</v>
          </cell>
          <cell r="E335" t="str">
            <v>PEB 4</v>
          </cell>
          <cell r="F335" t="str">
            <v>28PEB 4</v>
          </cell>
          <cell r="G335">
            <v>0.1</v>
          </cell>
          <cell r="I335">
            <v>0.09</v>
          </cell>
          <cell r="J335">
            <v>17.870348033035384</v>
          </cell>
          <cell r="K335">
            <v>19.020932668514149</v>
          </cell>
          <cell r="P335">
            <v>1429520</v>
          </cell>
          <cell r="Q335">
            <v>3899440.9696991425</v>
          </cell>
          <cell r="R335">
            <v>428205.92791252997</v>
          </cell>
          <cell r="S335">
            <v>470119.06660316838</v>
          </cell>
          <cell r="U335">
            <v>0</v>
          </cell>
          <cell r="W335">
            <v>15472</v>
          </cell>
          <cell r="X335">
            <v>-246680</v>
          </cell>
          <cell r="Y335">
            <v>62017</v>
          </cell>
          <cell r="Z335">
            <v>1198312</v>
          </cell>
        </row>
        <row r="336">
          <cell r="C336" t="str">
            <v>Ap</v>
          </cell>
          <cell r="D336" t="str">
            <v>PT Astra Otoparts Tbk - Div. Adiwira</v>
          </cell>
          <cell r="E336" t="str">
            <v>PEB 5</v>
          </cell>
          <cell r="F336" t="str">
            <v>28PEB 5</v>
          </cell>
          <cell r="P336">
            <v>0</v>
          </cell>
          <cell r="U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</row>
        <row r="337">
          <cell r="C337" t="str">
            <v>Ap</v>
          </cell>
          <cell r="D337" t="str">
            <v>PT Astra Otoparts Tbk - Div. Adiwira</v>
          </cell>
          <cell r="E337" t="str">
            <v>PEB 6</v>
          </cell>
          <cell r="F337" t="str">
            <v>28PEB 6</v>
          </cell>
          <cell r="P337">
            <v>0</v>
          </cell>
          <cell r="U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</row>
        <row r="338">
          <cell r="C338" t="str">
            <v>Ap</v>
          </cell>
          <cell r="D338" t="str">
            <v>PT Astra Otoparts Tbk - Div. Adiwira</v>
          </cell>
          <cell r="E338" t="str">
            <v>PEB 7</v>
          </cell>
          <cell r="F338" t="str">
            <v>28PEB 7</v>
          </cell>
          <cell r="G338">
            <v>0.1</v>
          </cell>
          <cell r="I338">
            <v>0.09</v>
          </cell>
          <cell r="J338">
            <v>17.870348033035384</v>
          </cell>
          <cell r="K338">
            <v>19.020932668514149</v>
          </cell>
          <cell r="P338">
            <v>342363</v>
          </cell>
          <cell r="Q338">
            <v>725948.00237380329</v>
          </cell>
          <cell r="R338">
            <v>81121.621713837114</v>
          </cell>
          <cell r="S338">
            <v>76422.793254462929</v>
          </cell>
          <cell r="U338">
            <v>0</v>
          </cell>
          <cell r="W338">
            <v>44099</v>
          </cell>
          <cell r="X338">
            <v>0</v>
          </cell>
          <cell r="Y338">
            <v>0</v>
          </cell>
          <cell r="Z338">
            <v>386461</v>
          </cell>
        </row>
        <row r="339">
          <cell r="C339" t="str">
            <v>Ap</v>
          </cell>
          <cell r="D339" t="str">
            <v>PT Astra Otoparts Tbk - Div. Adiwira</v>
          </cell>
          <cell r="E339" t="str">
            <v>MPP</v>
          </cell>
          <cell r="F339" t="str">
            <v>28MPP</v>
          </cell>
          <cell r="G339">
            <v>0.1</v>
          </cell>
          <cell r="I339">
            <v>0.09</v>
          </cell>
          <cell r="J339">
            <v>17.870348033035384</v>
          </cell>
          <cell r="K339">
            <v>19.020932668514149</v>
          </cell>
          <cell r="P339">
            <v>868234</v>
          </cell>
          <cell r="Q339">
            <v>662676.17664615239</v>
          </cell>
          <cell r="R339">
            <v>66864.063614516795</v>
          </cell>
          <cell r="S339">
            <v>16382.668935000002</v>
          </cell>
          <cell r="U339">
            <v>0</v>
          </cell>
          <cell r="W339">
            <v>-50247</v>
          </cell>
          <cell r="X339">
            <v>0</v>
          </cell>
          <cell r="Y339">
            <v>0</v>
          </cell>
          <cell r="Z339">
            <v>817988</v>
          </cell>
        </row>
        <row r="340">
          <cell r="C340" t="str">
            <v>Ap</v>
          </cell>
          <cell r="D340" t="str">
            <v>PT Astra Otoparts Tbk - Div. Adiwira</v>
          </cell>
          <cell r="E340" t="str">
            <v>ID</v>
          </cell>
          <cell r="F340" t="str">
            <v>28ID</v>
          </cell>
          <cell r="G340">
            <v>0.1</v>
          </cell>
          <cell r="I340">
            <v>0.09</v>
          </cell>
          <cell r="J340">
            <v>17.870348033035384</v>
          </cell>
          <cell r="K340">
            <v>19.020932668514149</v>
          </cell>
          <cell r="P340">
            <v>1865646</v>
          </cell>
          <cell r="Q340">
            <v>1515202.2408490856</v>
          </cell>
          <cell r="R340">
            <v>149760.98299061772</v>
          </cell>
          <cell r="S340">
            <v>87199.095068908282</v>
          </cell>
          <cell r="U340">
            <v>0</v>
          </cell>
          <cell r="W340">
            <v>185496</v>
          </cell>
          <cell r="X340">
            <v>0</v>
          </cell>
          <cell r="Y340">
            <v>0</v>
          </cell>
          <cell r="Z340">
            <v>2051142</v>
          </cell>
        </row>
        <row r="341">
          <cell r="C341" t="str">
            <v>Ap</v>
          </cell>
          <cell r="D341" t="str">
            <v>PT Astra Otoparts Tbk - Div. Adiwira</v>
          </cell>
          <cell r="E341" t="str">
            <v>LL</v>
          </cell>
          <cell r="F341" t="str">
            <v>28LL</v>
          </cell>
          <cell r="G341">
            <v>0.1</v>
          </cell>
          <cell r="I341">
            <v>0.09</v>
          </cell>
          <cell r="J341">
            <v>17.870348033035384</v>
          </cell>
          <cell r="K341">
            <v>19.020932668514149</v>
          </cell>
          <cell r="P341">
            <v>1405203</v>
          </cell>
          <cell r="Q341">
            <v>2716591.8329729112</v>
          </cell>
          <cell r="R341">
            <v>629584.62275982462</v>
          </cell>
          <cell r="S341">
            <v>670718.37961527158</v>
          </cell>
          <cell r="U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1405203</v>
          </cell>
        </row>
        <row r="342">
          <cell r="C342" t="str">
            <v>Ap</v>
          </cell>
          <cell r="D342" t="str">
            <v>PT Astra Otoparts Tbk - Div. Adiwira</v>
          </cell>
          <cell r="E342" t="str">
            <v>PMK</v>
          </cell>
          <cell r="F342" t="str">
            <v>28PMK</v>
          </cell>
          <cell r="G342">
            <v>0.1</v>
          </cell>
          <cell r="I342">
            <v>0.09</v>
          </cell>
          <cell r="J342">
            <v>17.870348033035384</v>
          </cell>
          <cell r="K342">
            <v>19.020932668514149</v>
          </cell>
          <cell r="P342">
            <v>5780977</v>
          </cell>
          <cell r="Q342">
            <v>4984461.7172468491</v>
          </cell>
          <cell r="R342">
            <v>645799.23902906838</v>
          </cell>
          <cell r="S342">
            <v>492800</v>
          </cell>
          <cell r="U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5780977</v>
          </cell>
        </row>
        <row r="344">
          <cell r="C344" t="str">
            <v>We</v>
          </cell>
          <cell r="D344" t="str">
            <v>PT Astra Otoparts Tbk - Div. Winteq</v>
          </cell>
          <cell r="E344" t="str">
            <v>PEB 1</v>
          </cell>
          <cell r="F344" t="str">
            <v>29PEB 1</v>
          </cell>
          <cell r="G344">
            <v>0.1</v>
          </cell>
          <cell r="H344">
            <v>0.1</v>
          </cell>
          <cell r="I344">
            <v>0.09</v>
          </cell>
          <cell r="J344">
            <v>12.385494341573834</v>
          </cell>
          <cell r="K344">
            <v>11.475598817318229</v>
          </cell>
          <cell r="L344">
            <v>206582</v>
          </cell>
          <cell r="N344">
            <v>60747.9712</v>
          </cell>
          <cell r="O344">
            <v>7059.1440000000002</v>
          </cell>
          <cell r="P344">
            <v>633740</v>
          </cell>
          <cell r="Q344">
            <v>408551.3140024122</v>
          </cell>
          <cell r="R344">
            <v>21542.934914846504</v>
          </cell>
          <cell r="S344">
            <v>2511.749378973032</v>
          </cell>
          <cell r="U344">
            <v>-520823</v>
          </cell>
          <cell r="V344">
            <v>335725.10506666667</v>
          </cell>
          <cell r="W344">
            <v>134580</v>
          </cell>
          <cell r="X344">
            <v>0</v>
          </cell>
          <cell r="Y344">
            <v>0</v>
          </cell>
          <cell r="Z344">
            <v>247497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W344">
            <v>0.1</v>
          </cell>
          <cell r="AX344">
            <v>0</v>
          </cell>
          <cell r="AY344">
            <v>0.09</v>
          </cell>
          <cell r="AZ344">
            <v>18.057643991405264</v>
          </cell>
          <cell r="BA344">
            <v>11.475598817318229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3351</v>
          </cell>
          <cell r="BG344">
            <v>52816.484693703715</v>
          </cell>
          <cell r="BH344">
            <v>2720.1383297201469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2636</v>
          </cell>
          <cell r="BN344">
            <v>0</v>
          </cell>
          <cell r="BO344">
            <v>0</v>
          </cell>
          <cell r="BP344">
            <v>5987</v>
          </cell>
          <cell r="BR344">
            <v>0.1</v>
          </cell>
          <cell r="BS344">
            <v>0</v>
          </cell>
          <cell r="BT344">
            <v>0.09</v>
          </cell>
          <cell r="BU344">
            <v>18.057643991405264</v>
          </cell>
          <cell r="BV344">
            <v>20.295510381282355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211170</v>
          </cell>
          <cell r="CB344">
            <v>722318.14347916713</v>
          </cell>
          <cell r="CC344">
            <v>102021.08366291584</v>
          </cell>
          <cell r="CD344">
            <v>8836.5707804184876</v>
          </cell>
          <cell r="CE344">
            <v>0</v>
          </cell>
          <cell r="CF344">
            <v>0</v>
          </cell>
          <cell r="CG344">
            <v>0</v>
          </cell>
          <cell r="CH344">
            <v>3172</v>
          </cell>
          <cell r="CI344">
            <v>0</v>
          </cell>
          <cell r="CJ344">
            <v>0</v>
          </cell>
          <cell r="CK344">
            <v>214341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0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C344">
            <v>0.1</v>
          </cell>
          <cell r="ED344">
            <v>0</v>
          </cell>
          <cell r="EE344">
            <v>0.09</v>
          </cell>
          <cell r="EF344">
            <v>18.057643991405264</v>
          </cell>
          <cell r="EG344">
            <v>20.015513188775557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50574</v>
          </cell>
          <cell r="EM344">
            <v>89538.510499950615</v>
          </cell>
          <cell r="EN344">
            <v>12797.633233275414</v>
          </cell>
          <cell r="EO344">
            <v>9497.7016228097964</v>
          </cell>
          <cell r="EP344">
            <v>0</v>
          </cell>
          <cell r="EQ344">
            <v>0</v>
          </cell>
          <cell r="ER344">
            <v>0</v>
          </cell>
          <cell r="ES344">
            <v>9040</v>
          </cell>
          <cell r="ET344">
            <v>0</v>
          </cell>
          <cell r="EU344">
            <v>0</v>
          </cell>
          <cell r="EV344">
            <v>59614</v>
          </cell>
          <cell r="EX344">
            <v>0.1</v>
          </cell>
          <cell r="EY344">
            <v>0</v>
          </cell>
          <cell r="EZ344">
            <v>0.09</v>
          </cell>
          <cell r="FA344">
            <v>18.057643991405264</v>
          </cell>
          <cell r="FB344">
            <v>20.015513188775557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130536</v>
          </cell>
          <cell r="FH344">
            <v>82473.940323222952</v>
          </cell>
          <cell r="FI344">
            <v>8213.1350225121641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-8992</v>
          </cell>
          <cell r="FO344">
            <v>0</v>
          </cell>
          <cell r="FP344">
            <v>0</v>
          </cell>
          <cell r="FQ344">
            <v>121544</v>
          </cell>
          <cell r="FS344">
            <v>0.1</v>
          </cell>
          <cell r="FT344">
            <v>0</v>
          </cell>
          <cell r="FU344">
            <v>0.09</v>
          </cell>
          <cell r="FV344">
            <v>18.057643991405264</v>
          </cell>
          <cell r="FW344">
            <v>20.015513188775557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275595</v>
          </cell>
          <cell r="GC344">
            <v>205606.99027234217</v>
          </cell>
          <cell r="GD344">
            <v>23731.558617321753</v>
          </cell>
          <cell r="GE344">
            <v>10713.526842773841</v>
          </cell>
          <cell r="GF344">
            <v>0</v>
          </cell>
          <cell r="GG344">
            <v>0</v>
          </cell>
          <cell r="GH344">
            <v>0</v>
          </cell>
          <cell r="GI344">
            <v>38024</v>
          </cell>
          <cell r="GJ344">
            <v>0</v>
          </cell>
          <cell r="GK344">
            <v>0</v>
          </cell>
          <cell r="GL344">
            <v>313619</v>
          </cell>
          <cell r="GN344">
            <v>0.1</v>
          </cell>
          <cell r="GO344">
            <v>0</v>
          </cell>
          <cell r="GP344">
            <v>0.09</v>
          </cell>
          <cell r="GQ344">
            <v>18.057643991405264</v>
          </cell>
          <cell r="GR344">
            <v>20.015513188775557</v>
          </cell>
          <cell r="GS344">
            <v>0</v>
          </cell>
          <cell r="GT344">
            <v>0</v>
          </cell>
          <cell r="GU344">
            <v>0</v>
          </cell>
          <cell r="GV344">
            <v>0</v>
          </cell>
          <cell r="GW344">
            <v>120435</v>
          </cell>
          <cell r="GX344">
            <v>443415.45582440181</v>
          </cell>
          <cell r="GY344">
            <v>92747.38602010622</v>
          </cell>
          <cell r="GZ344">
            <v>119467.9568797236</v>
          </cell>
          <cell r="HA344">
            <v>0</v>
          </cell>
          <cell r="HB344">
            <v>0</v>
          </cell>
          <cell r="HC344">
            <v>0</v>
          </cell>
          <cell r="HD344">
            <v>0</v>
          </cell>
          <cell r="HE344">
            <v>0</v>
          </cell>
          <cell r="HF344">
            <v>0</v>
          </cell>
          <cell r="HG344">
            <v>120435</v>
          </cell>
          <cell r="HI344">
            <v>0.1</v>
          </cell>
          <cell r="HJ344">
            <v>0</v>
          </cell>
          <cell r="HK344">
            <v>0.09</v>
          </cell>
          <cell r="HL344">
            <v>18.057643991405264</v>
          </cell>
          <cell r="HM344">
            <v>20.015513188775557</v>
          </cell>
          <cell r="HN344">
            <v>0</v>
          </cell>
          <cell r="HO344">
            <v>0</v>
          </cell>
          <cell r="HP344">
            <v>0</v>
          </cell>
          <cell r="HQ344">
            <v>0</v>
          </cell>
          <cell r="HR344">
            <v>495468</v>
          </cell>
          <cell r="HS344">
            <v>288722.71238562267</v>
          </cell>
          <cell r="HT344">
            <v>48098.468003107126</v>
          </cell>
          <cell r="HU344">
            <v>11350</v>
          </cell>
          <cell r="HV344">
            <v>0</v>
          </cell>
          <cell r="HW344">
            <v>0</v>
          </cell>
          <cell r="HX344">
            <v>0</v>
          </cell>
          <cell r="HY344">
            <v>0</v>
          </cell>
          <cell r="HZ344">
            <v>0</v>
          </cell>
          <cell r="IA344">
            <v>0</v>
          </cell>
          <cell r="IB344">
            <v>495468</v>
          </cell>
        </row>
        <row r="345">
          <cell r="C345" t="str">
            <v>We</v>
          </cell>
          <cell r="D345" t="str">
            <v>PT Astra Otoparts Tbk - Div. Winteq</v>
          </cell>
          <cell r="E345" t="str">
            <v>PEB 2</v>
          </cell>
          <cell r="F345" t="str">
            <v>29PEB 2</v>
          </cell>
          <cell r="P345">
            <v>0</v>
          </cell>
          <cell r="U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</row>
        <row r="346">
          <cell r="C346" t="str">
            <v>We</v>
          </cell>
          <cell r="D346" t="str">
            <v>PT Astra Otoparts Tbk - Div. Winteq</v>
          </cell>
          <cell r="E346" t="str">
            <v>PEB 3</v>
          </cell>
          <cell r="F346" t="str">
            <v>29PEB 3</v>
          </cell>
          <cell r="G346">
            <v>0.1</v>
          </cell>
          <cell r="I346">
            <v>0.09</v>
          </cell>
          <cell r="J346">
            <v>18.057643991405264</v>
          </cell>
          <cell r="K346">
            <v>11.475598817318229</v>
          </cell>
          <cell r="P346">
            <v>3351</v>
          </cell>
          <cell r="Q346">
            <v>52816.484693703715</v>
          </cell>
          <cell r="R346">
            <v>2720.1383297201469</v>
          </cell>
          <cell r="S346">
            <v>0</v>
          </cell>
          <cell r="U346">
            <v>0</v>
          </cell>
          <cell r="W346">
            <v>2636</v>
          </cell>
          <cell r="X346">
            <v>0</v>
          </cell>
          <cell r="Y346">
            <v>0</v>
          </cell>
          <cell r="Z346">
            <v>5987</v>
          </cell>
        </row>
        <row r="347">
          <cell r="C347" t="str">
            <v>We</v>
          </cell>
          <cell r="D347" t="str">
            <v>PT Astra Otoparts Tbk - Div. Winteq</v>
          </cell>
          <cell r="E347" t="str">
            <v>PEB 4</v>
          </cell>
          <cell r="F347" t="str">
            <v>29PEB 4</v>
          </cell>
          <cell r="G347">
            <v>0.1</v>
          </cell>
          <cell r="I347">
            <v>0.09</v>
          </cell>
          <cell r="J347">
            <v>18.057643991405264</v>
          </cell>
          <cell r="K347">
            <v>20.295510381282355</v>
          </cell>
          <cell r="P347">
            <v>211170</v>
          </cell>
          <cell r="Q347">
            <v>722318.14347916713</v>
          </cell>
          <cell r="R347">
            <v>102021.08366291584</v>
          </cell>
          <cell r="S347">
            <v>8836.5707804184876</v>
          </cell>
          <cell r="U347">
            <v>0</v>
          </cell>
          <cell r="W347">
            <v>3172</v>
          </cell>
          <cell r="X347">
            <v>0</v>
          </cell>
          <cell r="Y347">
            <v>0</v>
          </cell>
          <cell r="Z347">
            <v>214341</v>
          </cell>
        </row>
        <row r="348">
          <cell r="C348" t="str">
            <v>We</v>
          </cell>
          <cell r="D348" t="str">
            <v>PT Astra Otoparts Tbk - Div. Winteq</v>
          </cell>
          <cell r="E348" t="str">
            <v>PEB 5</v>
          </cell>
          <cell r="F348" t="str">
            <v>29PEB 5</v>
          </cell>
          <cell r="P348">
            <v>0</v>
          </cell>
          <cell r="U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</row>
        <row r="349">
          <cell r="C349" t="str">
            <v>We</v>
          </cell>
          <cell r="D349" t="str">
            <v>PT Astra Otoparts Tbk - Div. Winteq</v>
          </cell>
          <cell r="E349" t="str">
            <v>PEB 6</v>
          </cell>
          <cell r="F349" t="str">
            <v>29PEB 6</v>
          </cell>
          <cell r="P349">
            <v>0</v>
          </cell>
          <cell r="U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</row>
        <row r="350">
          <cell r="C350" t="str">
            <v>We</v>
          </cell>
          <cell r="D350" t="str">
            <v>PT Astra Otoparts Tbk - Div. Winteq</v>
          </cell>
          <cell r="E350" t="str">
            <v>PEB 7</v>
          </cell>
          <cell r="F350" t="str">
            <v>29PEB 7</v>
          </cell>
          <cell r="G350">
            <v>0.1</v>
          </cell>
          <cell r="I350">
            <v>0.09</v>
          </cell>
          <cell r="J350">
            <v>18.057643991405264</v>
          </cell>
          <cell r="K350">
            <v>20.015513188775557</v>
          </cell>
          <cell r="P350">
            <v>50574</v>
          </cell>
          <cell r="Q350">
            <v>89538.510499950615</v>
          </cell>
          <cell r="R350">
            <v>12797.633233275414</v>
          </cell>
          <cell r="S350">
            <v>9497.7016228097964</v>
          </cell>
          <cell r="U350">
            <v>0</v>
          </cell>
          <cell r="W350">
            <v>9040</v>
          </cell>
          <cell r="X350">
            <v>0</v>
          </cell>
          <cell r="Y350">
            <v>0</v>
          </cell>
          <cell r="Z350">
            <v>59614</v>
          </cell>
        </row>
        <row r="351">
          <cell r="C351" t="str">
            <v>We</v>
          </cell>
          <cell r="D351" t="str">
            <v>PT Astra Otoparts Tbk - Div. Winteq</v>
          </cell>
          <cell r="E351" t="str">
            <v>MPP</v>
          </cell>
          <cell r="F351" t="str">
            <v>29MPP</v>
          </cell>
          <cell r="G351">
            <v>0.1</v>
          </cell>
          <cell r="I351">
            <v>0.09</v>
          </cell>
          <cell r="J351">
            <v>18.057643991405264</v>
          </cell>
          <cell r="K351">
            <v>20.015513188775557</v>
          </cell>
          <cell r="P351">
            <v>130536</v>
          </cell>
          <cell r="Q351">
            <v>82473.940323222952</v>
          </cell>
          <cell r="R351">
            <v>8213.1350225121641</v>
          </cell>
          <cell r="S351">
            <v>0</v>
          </cell>
          <cell r="U351">
            <v>0</v>
          </cell>
          <cell r="W351">
            <v>-8992</v>
          </cell>
          <cell r="X351">
            <v>0</v>
          </cell>
          <cell r="Y351">
            <v>0</v>
          </cell>
          <cell r="Z351">
            <v>121544</v>
          </cell>
        </row>
        <row r="352">
          <cell r="C352" t="str">
            <v>We</v>
          </cell>
          <cell r="D352" t="str">
            <v>PT Astra Otoparts Tbk - Div. Winteq</v>
          </cell>
          <cell r="E352" t="str">
            <v>ID</v>
          </cell>
          <cell r="F352" t="str">
            <v>29ID</v>
          </cell>
          <cell r="G352">
            <v>0.1</v>
          </cell>
          <cell r="I352">
            <v>0.09</v>
          </cell>
          <cell r="J352">
            <v>18.057643991405264</v>
          </cell>
          <cell r="K352">
            <v>20.015513188775557</v>
          </cell>
          <cell r="P352">
            <v>275595</v>
          </cell>
          <cell r="Q352">
            <v>205606.99027234217</v>
          </cell>
          <cell r="R352">
            <v>23731.558617321753</v>
          </cell>
          <cell r="S352">
            <v>10713.526842773841</v>
          </cell>
          <cell r="U352">
            <v>0</v>
          </cell>
          <cell r="W352">
            <v>38024</v>
          </cell>
          <cell r="X352">
            <v>0</v>
          </cell>
          <cell r="Y352">
            <v>0</v>
          </cell>
          <cell r="Z352">
            <v>313619</v>
          </cell>
        </row>
        <row r="353">
          <cell r="C353" t="str">
            <v>We</v>
          </cell>
          <cell r="D353" t="str">
            <v>PT Astra Otoparts Tbk - Div. Winteq</v>
          </cell>
          <cell r="E353" t="str">
            <v>LL</v>
          </cell>
          <cell r="F353" t="str">
            <v>29LL</v>
          </cell>
          <cell r="G353">
            <v>0.1</v>
          </cell>
          <cell r="I353">
            <v>0.09</v>
          </cell>
          <cell r="J353">
            <v>18.057643991405264</v>
          </cell>
          <cell r="K353">
            <v>20.015513188775557</v>
          </cell>
          <cell r="P353">
            <v>120435</v>
          </cell>
          <cell r="Q353">
            <v>443415.45582440181</v>
          </cell>
          <cell r="R353">
            <v>92747.38602010622</v>
          </cell>
          <cell r="S353">
            <v>119467.9568797236</v>
          </cell>
          <cell r="U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120435</v>
          </cell>
        </row>
        <row r="354">
          <cell r="C354" t="str">
            <v>We</v>
          </cell>
          <cell r="D354" t="str">
            <v>PT Astra Otoparts Tbk - Div. Winteq</v>
          </cell>
          <cell r="E354" t="str">
            <v>PMK</v>
          </cell>
          <cell r="F354" t="str">
            <v>29PMK</v>
          </cell>
          <cell r="G354">
            <v>0.1</v>
          </cell>
          <cell r="I354">
            <v>0.09</v>
          </cell>
          <cell r="J354">
            <v>18.057643991405264</v>
          </cell>
          <cell r="K354">
            <v>20.015513188775557</v>
          </cell>
          <cell r="P354">
            <v>495468</v>
          </cell>
          <cell r="Q354">
            <v>288722.71238562267</v>
          </cell>
          <cell r="R354">
            <v>48098.468003107126</v>
          </cell>
          <cell r="S354">
            <v>11350</v>
          </cell>
          <cell r="U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495468</v>
          </cell>
        </row>
        <row r="356">
          <cell r="C356" t="str">
            <v>A0024</v>
          </cell>
          <cell r="D356" t="str">
            <v>PT Astra Sedaya Finance</v>
          </cell>
          <cell r="E356" t="str">
            <v>PEB 1</v>
          </cell>
          <cell r="F356" t="str">
            <v>30PEB 1</v>
          </cell>
          <cell r="G356">
            <v>0.1</v>
          </cell>
          <cell r="H356">
            <v>0.1</v>
          </cell>
          <cell r="I356">
            <v>0.09</v>
          </cell>
          <cell r="J356">
            <v>8.681991683971372</v>
          </cell>
          <cell r="K356">
            <v>9.7238486048454558</v>
          </cell>
          <cell r="L356">
            <v>1922571</v>
          </cell>
          <cell r="N356">
            <v>2791588.5359999998</v>
          </cell>
          <cell r="O356">
            <v>482232.82400000002</v>
          </cell>
          <cell r="P356">
            <v>26233907</v>
          </cell>
          <cell r="Q356">
            <v>36435476.716000155</v>
          </cell>
          <cell r="R356">
            <v>1696956.8508799309</v>
          </cell>
          <cell r="S356">
            <v>233788.41003139544</v>
          </cell>
          <cell r="U356">
            <v>-21191291</v>
          </cell>
          <cell r="V356">
            <v>33610596.186666667</v>
          </cell>
          <cell r="W356">
            <v>-1788998</v>
          </cell>
          <cell r="X356">
            <v>0</v>
          </cell>
          <cell r="Y356">
            <v>0</v>
          </cell>
          <cell r="Z356">
            <v>3253618</v>
          </cell>
          <cell r="AB356">
            <v>0.1</v>
          </cell>
          <cell r="AC356">
            <v>0</v>
          </cell>
          <cell r="AD356">
            <v>0.09</v>
          </cell>
          <cell r="AE356">
            <v>10.209950831809994</v>
          </cell>
          <cell r="AF356">
            <v>17.088623046621684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486446</v>
          </cell>
          <cell r="AL356">
            <v>2744358.1234773165</v>
          </cell>
          <cell r="AM356">
            <v>273370.16479250567</v>
          </cell>
          <cell r="AN356">
            <v>8838.5</v>
          </cell>
          <cell r="AO356">
            <v>0</v>
          </cell>
          <cell r="AP356">
            <v>0</v>
          </cell>
          <cell r="AQ356">
            <v>0</v>
          </cell>
          <cell r="AR356">
            <v>-349815</v>
          </cell>
          <cell r="AS356">
            <v>-127301</v>
          </cell>
          <cell r="AT356">
            <v>6757</v>
          </cell>
          <cell r="AU356">
            <v>9330</v>
          </cell>
          <cell r="AW356">
            <v>0.1</v>
          </cell>
          <cell r="AX356">
            <v>0</v>
          </cell>
          <cell r="AY356">
            <v>0.09</v>
          </cell>
          <cell r="AZ356">
            <v>8.681991683971372</v>
          </cell>
          <cell r="BA356">
            <v>9.7238486048454558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4133431</v>
          </cell>
          <cell r="BG356">
            <v>1583806.5529825094</v>
          </cell>
          <cell r="BH356">
            <v>80019.035950299251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1301064</v>
          </cell>
          <cell r="BN356">
            <v>-1198419</v>
          </cell>
          <cell r="BO356">
            <v>167323</v>
          </cell>
          <cell r="BP356">
            <v>4236076</v>
          </cell>
          <cell r="BR356">
            <v>0.1</v>
          </cell>
          <cell r="BS356">
            <v>0</v>
          </cell>
          <cell r="BT356">
            <v>0.09</v>
          </cell>
          <cell r="BU356">
            <v>10.525783962014733</v>
          </cell>
          <cell r="BV356">
            <v>18.356150117347507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8390652</v>
          </cell>
          <cell r="CB356">
            <v>7914942.3098026104</v>
          </cell>
          <cell r="CC356">
            <v>1472038.1621385009</v>
          </cell>
          <cell r="CD356">
            <v>248977.81576393126</v>
          </cell>
          <cell r="CE356">
            <v>0</v>
          </cell>
          <cell r="CF356">
            <v>0</v>
          </cell>
          <cell r="CG356">
            <v>0</v>
          </cell>
          <cell r="CH356">
            <v>-3291771</v>
          </cell>
          <cell r="CI356">
            <v>-1387291</v>
          </cell>
          <cell r="CJ356">
            <v>77355</v>
          </cell>
          <cell r="CK356">
            <v>3711590</v>
          </cell>
          <cell r="CM356">
            <v>0.1</v>
          </cell>
          <cell r="CN356">
            <v>0</v>
          </cell>
          <cell r="CO356">
            <v>0.09</v>
          </cell>
          <cell r="CP356">
            <v>1.54044957745</v>
          </cell>
          <cell r="CQ356">
            <v>1.54044957745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31270</v>
          </cell>
          <cell r="CW356">
            <v>37912.107500000006</v>
          </cell>
          <cell r="CX356">
            <v>2923.8592196737759</v>
          </cell>
          <cell r="CY356">
            <v>37912.107500000006</v>
          </cell>
          <cell r="CZ356">
            <v>0</v>
          </cell>
          <cell r="DA356">
            <v>0</v>
          </cell>
          <cell r="DB356">
            <v>0</v>
          </cell>
          <cell r="DC356">
            <v>-1802</v>
          </cell>
          <cell r="DD356">
            <v>0</v>
          </cell>
          <cell r="DE356">
            <v>0</v>
          </cell>
          <cell r="DF356">
            <v>29468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C356">
            <v>0.1</v>
          </cell>
          <cell r="ED356">
            <v>0</v>
          </cell>
          <cell r="EE356">
            <v>0.09</v>
          </cell>
          <cell r="EF356">
            <v>10.209950831809994</v>
          </cell>
          <cell r="EG356">
            <v>17.088623046621684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1721770</v>
          </cell>
          <cell r="EM356">
            <v>1762723.2625764245</v>
          </cell>
          <cell r="EN356">
            <v>219122.68844581954</v>
          </cell>
          <cell r="EO356">
            <v>195809.68959941017</v>
          </cell>
          <cell r="EP356">
            <v>0</v>
          </cell>
          <cell r="EQ356">
            <v>0</v>
          </cell>
          <cell r="ER356">
            <v>0</v>
          </cell>
          <cell r="ES356">
            <v>-1712186</v>
          </cell>
          <cell r="ET356">
            <v>0</v>
          </cell>
          <cell r="EU356">
            <v>0</v>
          </cell>
          <cell r="EV356">
            <v>9584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 t="str">
            <v xml:space="preserve"> 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S356">
            <v>0.1</v>
          </cell>
          <cell r="FT356">
            <v>0</v>
          </cell>
          <cell r="FU356">
            <v>0.09</v>
          </cell>
          <cell r="FV356">
            <v>10.209950831809994</v>
          </cell>
          <cell r="FW356">
            <v>17.088623046621684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255107</v>
          </cell>
          <cell r="GC356">
            <v>5256546.3824116886</v>
          </cell>
          <cell r="GD356">
            <v>559339.25968885678</v>
          </cell>
          <cell r="GE356">
            <v>358632.42235574924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255107</v>
          </cell>
          <cell r="GN356">
            <v>0.1</v>
          </cell>
          <cell r="GO356">
            <v>0</v>
          </cell>
          <cell r="GP356">
            <v>0.09</v>
          </cell>
          <cell r="GQ356">
            <v>10.209950831809994</v>
          </cell>
          <cell r="GR356">
            <v>17.088623046621684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5150721</v>
          </cell>
          <cell r="GX356">
            <v>5926411.4839480817</v>
          </cell>
          <cell r="GY356">
            <v>2049961.4966121158</v>
          </cell>
          <cell r="GZ356">
            <v>2954627.2527284226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5150721</v>
          </cell>
          <cell r="HI356">
            <v>0.1</v>
          </cell>
          <cell r="HJ356">
            <v>0</v>
          </cell>
          <cell r="HK356">
            <v>0.09</v>
          </cell>
          <cell r="HL356">
            <v>10.209950831809994</v>
          </cell>
          <cell r="HM356">
            <v>17.088623046621684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6786222</v>
          </cell>
          <cell r="HS356">
            <v>9242004.0831224285</v>
          </cell>
          <cell r="HT356">
            <v>1185670.4594896599</v>
          </cell>
          <cell r="HU356">
            <v>1471500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6786222</v>
          </cell>
        </row>
        <row r="357">
          <cell r="C357" t="str">
            <v>A0024</v>
          </cell>
          <cell r="D357" t="str">
            <v>PT Astra Sedaya Finance</v>
          </cell>
          <cell r="E357" t="str">
            <v>PEB 2</v>
          </cell>
          <cell r="F357" t="str">
            <v>30PEB 2</v>
          </cell>
          <cell r="G357">
            <v>0.1</v>
          </cell>
          <cell r="I357">
            <v>0.09</v>
          </cell>
          <cell r="J357">
            <v>10.209950831809994</v>
          </cell>
          <cell r="K357">
            <v>17.088623046621684</v>
          </cell>
          <cell r="P357">
            <v>486446</v>
          </cell>
          <cell r="Q357">
            <v>2744358.1234773165</v>
          </cell>
          <cell r="R357">
            <v>273370.16479250567</v>
          </cell>
          <cell r="S357">
            <v>8838.5</v>
          </cell>
          <cell r="U357">
            <v>0</v>
          </cell>
          <cell r="W357">
            <v>-349815</v>
          </cell>
          <cell r="X357">
            <v>-127301</v>
          </cell>
          <cell r="Y357">
            <v>6757</v>
          </cell>
          <cell r="Z357">
            <v>9330</v>
          </cell>
        </row>
        <row r="358">
          <cell r="C358" t="str">
            <v>A0024</v>
          </cell>
          <cell r="D358" t="str">
            <v>PT Astra Sedaya Finance</v>
          </cell>
          <cell r="E358" t="str">
            <v>PEB 3</v>
          </cell>
          <cell r="F358" t="str">
            <v>30PEB 3</v>
          </cell>
          <cell r="G358">
            <v>0.1</v>
          </cell>
          <cell r="I358">
            <v>0.09</v>
          </cell>
          <cell r="J358">
            <v>8.681991683971372</v>
          </cell>
          <cell r="K358">
            <v>9.7238486048454558</v>
          </cell>
          <cell r="P358">
            <v>4133431</v>
          </cell>
          <cell r="Q358">
            <v>1583806.5529825094</v>
          </cell>
          <cell r="R358">
            <v>80019.035950299251</v>
          </cell>
          <cell r="S358">
            <v>0</v>
          </cell>
          <cell r="U358">
            <v>0</v>
          </cell>
          <cell r="W358">
            <v>1301064</v>
          </cell>
          <cell r="X358">
            <v>-1198419</v>
          </cell>
          <cell r="Y358">
            <v>167323</v>
          </cell>
          <cell r="Z358">
            <v>4236076</v>
          </cell>
        </row>
        <row r="359">
          <cell r="C359" t="str">
            <v>A0024</v>
          </cell>
          <cell r="D359" t="str">
            <v>PT Astra Sedaya Finance</v>
          </cell>
          <cell r="E359" t="str">
            <v>PEB 4</v>
          </cell>
          <cell r="F359" t="str">
            <v>30PEB 4</v>
          </cell>
          <cell r="G359">
            <v>0.1</v>
          </cell>
          <cell r="I359">
            <v>0.09</v>
          </cell>
          <cell r="J359">
            <v>10.525783962014733</v>
          </cell>
          <cell r="K359">
            <v>18.356150117347507</v>
          </cell>
          <cell r="P359">
            <v>8390652</v>
          </cell>
          <cell r="Q359">
            <v>7914942.3098026104</v>
          </cell>
          <cell r="R359">
            <v>1472038.1621385009</v>
          </cell>
          <cell r="S359">
            <v>248977.81576393126</v>
          </cell>
          <cell r="U359">
            <v>0</v>
          </cell>
          <cell r="W359">
            <v>-3291771</v>
          </cell>
          <cell r="X359">
            <v>-1387291</v>
          </cell>
          <cell r="Y359">
            <v>77355</v>
          </cell>
          <cell r="Z359">
            <v>3711590</v>
          </cell>
        </row>
        <row r="360">
          <cell r="C360" t="str">
            <v>A0024</v>
          </cell>
          <cell r="D360" t="str">
            <v>PT Astra Sedaya Finance</v>
          </cell>
          <cell r="E360" t="str">
            <v>PEB 5</v>
          </cell>
          <cell r="F360" t="str">
            <v>30PEB 5</v>
          </cell>
          <cell r="G360">
            <v>0.1</v>
          </cell>
          <cell r="I360">
            <v>0.09</v>
          </cell>
          <cell r="J360">
            <v>1.54044957745</v>
          </cell>
          <cell r="K360">
            <v>1.54044957745</v>
          </cell>
          <cell r="P360">
            <v>31270</v>
          </cell>
          <cell r="Q360">
            <v>37912.107500000006</v>
          </cell>
          <cell r="R360">
            <v>2923.8592196737759</v>
          </cell>
          <cell r="S360">
            <v>37912.107500000006</v>
          </cell>
          <cell r="U360">
            <v>0</v>
          </cell>
          <cell r="W360">
            <v>-1802</v>
          </cell>
          <cell r="X360">
            <v>0</v>
          </cell>
          <cell r="Y360">
            <v>0</v>
          </cell>
          <cell r="Z360">
            <v>29468</v>
          </cell>
        </row>
        <row r="361">
          <cell r="C361" t="str">
            <v>A0024</v>
          </cell>
          <cell r="D361" t="str">
            <v>PT Astra Sedaya Finance</v>
          </cell>
          <cell r="E361" t="str">
            <v>PEB 6</v>
          </cell>
          <cell r="F361" t="str">
            <v>30PEB 6</v>
          </cell>
          <cell r="P361">
            <v>0</v>
          </cell>
          <cell r="U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</row>
        <row r="362">
          <cell r="C362" t="str">
            <v>A0024</v>
          </cell>
          <cell r="D362" t="str">
            <v>PT Astra Sedaya Finance</v>
          </cell>
          <cell r="E362" t="str">
            <v>PEB 7</v>
          </cell>
          <cell r="F362" t="str">
            <v>30PEB 7</v>
          </cell>
          <cell r="G362">
            <v>0.1</v>
          </cell>
          <cell r="I362">
            <v>0.09</v>
          </cell>
          <cell r="J362">
            <v>10.209950831809994</v>
          </cell>
          <cell r="K362">
            <v>17.088623046621684</v>
          </cell>
          <cell r="P362">
            <v>1721770</v>
          </cell>
          <cell r="Q362">
            <v>1762723.2625764245</v>
          </cell>
          <cell r="R362">
            <v>219122.68844581954</v>
          </cell>
          <cell r="S362">
            <v>195809.68959941017</v>
          </cell>
          <cell r="U362">
            <v>0</v>
          </cell>
          <cell r="W362">
            <v>-1712186</v>
          </cell>
          <cell r="X362">
            <v>0</v>
          </cell>
          <cell r="Y362">
            <v>0</v>
          </cell>
          <cell r="Z362">
            <v>9584</v>
          </cell>
        </row>
        <row r="363">
          <cell r="C363" t="str">
            <v>A0024</v>
          </cell>
          <cell r="D363" t="str">
            <v>PT Astra Sedaya Finance</v>
          </cell>
          <cell r="E363" t="str">
            <v>MPP</v>
          </cell>
          <cell r="F363" t="str">
            <v>30MPP</v>
          </cell>
          <cell r="K363" t="str">
            <v xml:space="preserve"> </v>
          </cell>
          <cell r="P363">
            <v>0</v>
          </cell>
          <cell r="U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</row>
        <row r="364">
          <cell r="C364" t="str">
            <v>A0024</v>
          </cell>
          <cell r="D364" t="str">
            <v>PT Astra Sedaya Finance</v>
          </cell>
          <cell r="E364" t="str">
            <v>ID</v>
          </cell>
          <cell r="F364" t="str">
            <v>30ID</v>
          </cell>
          <cell r="G364">
            <v>0.1</v>
          </cell>
          <cell r="I364">
            <v>0.09</v>
          </cell>
          <cell r="J364">
            <v>10.209950831809994</v>
          </cell>
          <cell r="K364">
            <v>17.088623046621684</v>
          </cell>
          <cell r="P364">
            <v>255107</v>
          </cell>
          <cell r="Q364">
            <v>5256546.3824116886</v>
          </cell>
          <cell r="R364">
            <v>559339.25968885678</v>
          </cell>
          <cell r="S364">
            <v>358632.42235574924</v>
          </cell>
          <cell r="U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255107</v>
          </cell>
        </row>
        <row r="365">
          <cell r="C365" t="str">
            <v>A0024</v>
          </cell>
          <cell r="D365" t="str">
            <v>PT Astra Sedaya Finance</v>
          </cell>
          <cell r="E365" t="str">
            <v>LL</v>
          </cell>
          <cell r="F365" t="str">
            <v>30LL</v>
          </cell>
          <cell r="G365">
            <v>0.1</v>
          </cell>
          <cell r="I365">
            <v>0.09</v>
          </cell>
          <cell r="J365">
            <v>10.209950831809994</v>
          </cell>
          <cell r="K365">
            <v>17.088623046621684</v>
          </cell>
          <cell r="P365">
            <v>5150721</v>
          </cell>
          <cell r="Q365">
            <v>5926411.4839480817</v>
          </cell>
          <cell r="R365">
            <v>2049961.4966121158</v>
          </cell>
          <cell r="S365">
            <v>2954627.2527284226</v>
          </cell>
          <cell r="U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5150721</v>
          </cell>
        </row>
        <row r="366">
          <cell r="C366" t="str">
            <v>A0024</v>
          </cell>
          <cell r="D366" t="str">
            <v>PT Astra Sedaya Finance</v>
          </cell>
          <cell r="E366" t="str">
            <v>PMK</v>
          </cell>
          <cell r="F366" t="str">
            <v>30PMK</v>
          </cell>
          <cell r="G366">
            <v>0.1</v>
          </cell>
          <cell r="I366">
            <v>0.09</v>
          </cell>
          <cell r="J366">
            <v>10.209950831809994</v>
          </cell>
          <cell r="K366">
            <v>17.088623046621684</v>
          </cell>
          <cell r="P366">
            <v>6786222</v>
          </cell>
          <cell r="Q366">
            <v>9242004.0831224285</v>
          </cell>
          <cell r="R366">
            <v>1185670.4594896599</v>
          </cell>
          <cell r="S366">
            <v>1471500</v>
          </cell>
          <cell r="U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6786222</v>
          </cell>
        </row>
        <row r="368">
          <cell r="C368" t="str">
            <v>A0224</v>
          </cell>
          <cell r="D368" t="str">
            <v>PT Astratel Nusantara</v>
          </cell>
          <cell r="E368" t="str">
            <v>PEB 1</v>
          </cell>
          <cell r="F368" t="str">
            <v>31PEB 1</v>
          </cell>
          <cell r="G368">
            <v>0.1</v>
          </cell>
          <cell r="H368">
            <v>0.1</v>
          </cell>
          <cell r="I368">
            <v>0.09</v>
          </cell>
          <cell r="J368">
            <v>5.790228288670872</v>
          </cell>
          <cell r="K368">
            <v>5.020558719408589</v>
          </cell>
          <cell r="L368">
            <v>797592</v>
          </cell>
          <cell r="N368">
            <v>805392.62360000005</v>
          </cell>
          <cell r="O368">
            <v>95131.694400000008</v>
          </cell>
          <cell r="P368">
            <v>7222327</v>
          </cell>
          <cell r="Q368">
            <v>8545231.0338233449</v>
          </cell>
          <cell r="R368">
            <v>354727.21820171666</v>
          </cell>
          <cell r="S368">
            <v>115321.69610292313</v>
          </cell>
          <cell r="U368">
            <v>-4618802</v>
          </cell>
          <cell r="V368">
            <v>6907110.7393333344</v>
          </cell>
          <cell r="W368">
            <v>602983</v>
          </cell>
          <cell r="X368">
            <v>0</v>
          </cell>
          <cell r="Y368">
            <v>0</v>
          </cell>
          <cell r="Z368">
            <v>3206508</v>
          </cell>
          <cell r="AB368">
            <v>0.1</v>
          </cell>
          <cell r="AC368">
            <v>0</v>
          </cell>
          <cell r="AD368">
            <v>0.09</v>
          </cell>
          <cell r="AE368">
            <v>9.2154419548538069</v>
          </cell>
          <cell r="AF368">
            <v>11.585677950505763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2586993</v>
          </cell>
          <cell r="AL368">
            <v>3014355.5132434699</v>
          </cell>
          <cell r="AM368">
            <v>174030.02947273964</v>
          </cell>
          <cell r="AN368">
            <v>10529.4</v>
          </cell>
          <cell r="AO368">
            <v>0</v>
          </cell>
          <cell r="AP368">
            <v>0</v>
          </cell>
          <cell r="AQ368">
            <v>0</v>
          </cell>
          <cell r="AR368">
            <v>116322</v>
          </cell>
          <cell r="AS368">
            <v>-1183044</v>
          </cell>
          <cell r="AT368">
            <v>121150</v>
          </cell>
          <cell r="AU368">
            <v>1520271</v>
          </cell>
          <cell r="AW368">
            <v>0.1</v>
          </cell>
          <cell r="AX368">
            <v>0</v>
          </cell>
          <cell r="AY368">
            <v>0.09</v>
          </cell>
          <cell r="AZ368">
            <v>5.790228288670872</v>
          </cell>
          <cell r="BA368">
            <v>5.020558719408589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1151</v>
          </cell>
          <cell r="BG368">
            <v>27811.443932616341</v>
          </cell>
          <cell r="BH368">
            <v>1419.9839155285699</v>
          </cell>
          <cell r="BI368">
            <v>12742.753573333335</v>
          </cell>
          <cell r="BJ368">
            <v>0</v>
          </cell>
          <cell r="BK368">
            <v>0</v>
          </cell>
          <cell r="BL368">
            <v>0</v>
          </cell>
          <cell r="BM368">
            <v>977</v>
          </cell>
          <cell r="BN368">
            <v>0</v>
          </cell>
          <cell r="BO368">
            <v>0</v>
          </cell>
          <cell r="BP368">
            <v>2128</v>
          </cell>
          <cell r="BR368">
            <v>0.1</v>
          </cell>
          <cell r="BS368">
            <v>0</v>
          </cell>
          <cell r="BT368">
            <v>0.09</v>
          </cell>
          <cell r="BU368">
            <v>9.5587308493108196</v>
          </cell>
          <cell r="BV368">
            <v>13.774051027538157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1206178</v>
          </cell>
          <cell r="CB368">
            <v>788921.48827837827</v>
          </cell>
          <cell r="CC368">
            <v>91543.94455762906</v>
          </cell>
          <cell r="CD368">
            <v>23280.574050190116</v>
          </cell>
          <cell r="CE368">
            <v>0</v>
          </cell>
          <cell r="CF368">
            <v>0</v>
          </cell>
          <cell r="CG368">
            <v>0</v>
          </cell>
          <cell r="CH368">
            <v>300585</v>
          </cell>
          <cell r="CI368">
            <v>-929662</v>
          </cell>
          <cell r="CJ368">
            <v>159484</v>
          </cell>
          <cell r="CK368">
            <v>577101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C368">
            <v>0.1</v>
          </cell>
          <cell r="ED368">
            <v>0</v>
          </cell>
          <cell r="EE368">
            <v>0.09</v>
          </cell>
          <cell r="EF368">
            <v>9.2154419548538069</v>
          </cell>
          <cell r="EG368">
            <v>11.585677950505763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218909</v>
          </cell>
          <cell r="EM368">
            <v>135888.40488130721</v>
          </cell>
          <cell r="EN368">
            <v>10256.602092768228</v>
          </cell>
          <cell r="EO368">
            <v>21802.436251419498</v>
          </cell>
          <cell r="EP368">
            <v>0</v>
          </cell>
          <cell r="EQ368">
            <v>0</v>
          </cell>
          <cell r="ER368">
            <v>0</v>
          </cell>
          <cell r="ES368">
            <v>-156105</v>
          </cell>
          <cell r="ET368">
            <v>0</v>
          </cell>
          <cell r="EU368">
            <v>0</v>
          </cell>
          <cell r="EV368">
            <v>62804</v>
          </cell>
          <cell r="EX368">
            <v>0.1</v>
          </cell>
          <cell r="EY368">
            <v>0</v>
          </cell>
          <cell r="EZ368">
            <v>0.09</v>
          </cell>
          <cell r="FA368">
            <v>0</v>
          </cell>
          <cell r="FB368">
            <v>11.585677950505763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475649.18368383392</v>
          </cell>
          <cell r="FI368">
            <v>29262.443564912955</v>
          </cell>
          <cell r="FJ368">
            <v>2256.3000000000002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S368">
            <v>0.1</v>
          </cell>
          <cell r="FT368">
            <v>0</v>
          </cell>
          <cell r="FU368">
            <v>0.09</v>
          </cell>
          <cell r="FV368">
            <v>9.2154419548538069</v>
          </cell>
          <cell r="FW368">
            <v>11.585677950505763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72712</v>
          </cell>
          <cell r="GC368">
            <v>604436.0572942748</v>
          </cell>
          <cell r="GD368">
            <v>43852.330142947998</v>
          </cell>
          <cell r="GE368">
            <v>78160.73571719334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72712</v>
          </cell>
          <cell r="GN368">
            <v>0.1</v>
          </cell>
          <cell r="GO368">
            <v>0</v>
          </cell>
          <cell r="GP368">
            <v>0.09</v>
          </cell>
          <cell r="GQ368">
            <v>9.2154419548538069</v>
          </cell>
          <cell r="GR368">
            <v>11.585677950505763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528994</v>
          </cell>
          <cell r="GX368">
            <v>587079.93317936151</v>
          </cell>
          <cell r="GY368">
            <v>226913.11066903037</v>
          </cell>
          <cell r="GZ368">
            <v>203001.63214881139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528994</v>
          </cell>
          <cell r="HI368">
            <v>0.1</v>
          </cell>
          <cell r="HJ368">
            <v>0</v>
          </cell>
          <cell r="HK368">
            <v>0.09</v>
          </cell>
          <cell r="HL368">
            <v>9.2154419548538069</v>
          </cell>
          <cell r="HM368">
            <v>11.585677950505763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243727</v>
          </cell>
          <cell r="HS368">
            <v>334971.5369748536</v>
          </cell>
          <cell r="HT368">
            <v>38277.059155631308</v>
          </cell>
          <cell r="HU368">
            <v>52762.5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243727</v>
          </cell>
        </row>
        <row r="369">
          <cell r="C369" t="str">
            <v>A0224</v>
          </cell>
          <cell r="D369" t="str">
            <v>PT Astratel Nusantara</v>
          </cell>
          <cell r="E369" t="str">
            <v>PEB 2</v>
          </cell>
          <cell r="F369" t="str">
            <v>31PEB 2</v>
          </cell>
          <cell r="G369">
            <v>0.1</v>
          </cell>
          <cell r="I369">
            <v>0.09</v>
          </cell>
          <cell r="J369">
            <v>9.2154419548538069</v>
          </cell>
          <cell r="K369">
            <v>11.585677950505763</v>
          </cell>
          <cell r="P369">
            <v>2586993</v>
          </cell>
          <cell r="Q369">
            <v>3014355.5132434699</v>
          </cell>
          <cell r="R369">
            <v>174030.02947273964</v>
          </cell>
          <cell r="S369">
            <v>10529.4</v>
          </cell>
          <cell r="U369">
            <v>0</v>
          </cell>
          <cell r="W369">
            <v>116322</v>
          </cell>
          <cell r="X369">
            <v>-1183044</v>
          </cell>
          <cell r="Y369">
            <v>121150</v>
          </cell>
          <cell r="Z369">
            <v>1520271</v>
          </cell>
        </row>
        <row r="370">
          <cell r="C370" t="str">
            <v>A0224</v>
          </cell>
          <cell r="D370" t="str">
            <v>PT Astratel Nusantara</v>
          </cell>
          <cell r="E370" t="str">
            <v>PEB 3</v>
          </cell>
          <cell r="F370" t="str">
            <v>31PEB 3</v>
          </cell>
          <cell r="G370">
            <v>0.1</v>
          </cell>
          <cell r="I370">
            <v>0.09</v>
          </cell>
          <cell r="J370">
            <v>5.790228288670872</v>
          </cell>
          <cell r="K370">
            <v>5.020558719408589</v>
          </cell>
          <cell r="P370">
            <v>1151</v>
          </cell>
          <cell r="Q370">
            <v>27811.443932616341</v>
          </cell>
          <cell r="R370">
            <v>1419.9839155285699</v>
          </cell>
          <cell r="S370">
            <v>12742.753573333335</v>
          </cell>
          <cell r="U370">
            <v>0</v>
          </cell>
          <cell r="W370">
            <v>977</v>
          </cell>
          <cell r="X370">
            <v>0</v>
          </cell>
          <cell r="Y370">
            <v>0</v>
          </cell>
          <cell r="Z370">
            <v>2128</v>
          </cell>
        </row>
        <row r="371">
          <cell r="C371" t="str">
            <v>A0224</v>
          </cell>
          <cell r="D371" t="str">
            <v>PT Astratel Nusantara</v>
          </cell>
          <cell r="E371" t="str">
            <v>PEB 4</v>
          </cell>
          <cell r="F371" t="str">
            <v>31PEB 4</v>
          </cell>
          <cell r="G371">
            <v>0.1</v>
          </cell>
          <cell r="I371">
            <v>0.09</v>
          </cell>
          <cell r="J371">
            <v>9.5587308493108196</v>
          </cell>
          <cell r="K371">
            <v>13.774051027538157</v>
          </cell>
          <cell r="P371">
            <v>1206178</v>
          </cell>
          <cell r="Q371">
            <v>788921.48827837827</v>
          </cell>
          <cell r="R371">
            <v>91543.94455762906</v>
          </cell>
          <cell r="S371">
            <v>23280.574050190116</v>
          </cell>
          <cell r="U371">
            <v>0</v>
          </cell>
          <cell r="W371">
            <v>300585</v>
          </cell>
          <cell r="X371">
            <v>-929662</v>
          </cell>
          <cell r="Y371">
            <v>159484</v>
          </cell>
          <cell r="Z371">
            <v>577101</v>
          </cell>
        </row>
        <row r="372">
          <cell r="C372" t="str">
            <v>A0224</v>
          </cell>
          <cell r="D372" t="str">
            <v>PT Astratel Nusantara</v>
          </cell>
          <cell r="E372" t="str">
            <v>PEB 5</v>
          </cell>
          <cell r="F372" t="str">
            <v>31PEB 5</v>
          </cell>
          <cell r="J372">
            <v>0</v>
          </cell>
          <cell r="P372">
            <v>0</v>
          </cell>
          <cell r="U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</row>
        <row r="373">
          <cell r="C373" t="str">
            <v>A0224</v>
          </cell>
          <cell r="D373" t="str">
            <v>PT Astratel Nusantara</v>
          </cell>
          <cell r="E373" t="str">
            <v>PEB 6</v>
          </cell>
          <cell r="F373" t="str">
            <v>31PEB 6</v>
          </cell>
          <cell r="J373">
            <v>0</v>
          </cell>
          <cell r="P373">
            <v>0</v>
          </cell>
          <cell r="U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</row>
        <row r="374">
          <cell r="C374" t="str">
            <v>A0224</v>
          </cell>
          <cell r="D374" t="str">
            <v>PT Astratel Nusantara</v>
          </cell>
          <cell r="E374" t="str">
            <v>PEB 7</v>
          </cell>
          <cell r="F374" t="str">
            <v>31PEB 7</v>
          </cell>
          <cell r="G374">
            <v>0.1</v>
          </cell>
          <cell r="I374">
            <v>0.09</v>
          </cell>
          <cell r="J374">
            <v>9.2154419548538069</v>
          </cell>
          <cell r="K374">
            <v>11.585677950505763</v>
          </cell>
          <cell r="P374">
            <v>218909</v>
          </cell>
          <cell r="Q374">
            <v>135888.40488130721</v>
          </cell>
          <cell r="R374">
            <v>10256.602092768228</v>
          </cell>
          <cell r="S374">
            <v>21802.436251419498</v>
          </cell>
          <cell r="U374">
            <v>0</v>
          </cell>
          <cell r="W374">
            <v>-156105</v>
          </cell>
          <cell r="X374">
            <v>0</v>
          </cell>
          <cell r="Y374">
            <v>0</v>
          </cell>
          <cell r="Z374">
            <v>62804</v>
          </cell>
        </row>
        <row r="375">
          <cell r="C375" t="str">
            <v>A0224</v>
          </cell>
          <cell r="D375" t="str">
            <v>PT Astratel Nusantara</v>
          </cell>
          <cell r="E375" t="str">
            <v>MPP</v>
          </cell>
          <cell r="F375" t="str">
            <v>31MPP</v>
          </cell>
          <cell r="G375">
            <v>0.1</v>
          </cell>
          <cell r="I375">
            <v>0.09</v>
          </cell>
          <cell r="J375">
            <v>0</v>
          </cell>
          <cell r="K375">
            <v>11.585677950505763</v>
          </cell>
          <cell r="P375">
            <v>0</v>
          </cell>
          <cell r="Q375">
            <v>475649.18368383392</v>
          </cell>
          <cell r="R375">
            <v>29262.443564912955</v>
          </cell>
          <cell r="S375">
            <v>2256.3000000000002</v>
          </cell>
          <cell r="U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</row>
        <row r="376">
          <cell r="C376" t="str">
            <v>A0224</v>
          </cell>
          <cell r="D376" t="str">
            <v>PT Astratel Nusantara</v>
          </cell>
          <cell r="E376" t="str">
            <v>ID</v>
          </cell>
          <cell r="F376" t="str">
            <v>31ID</v>
          </cell>
          <cell r="G376">
            <v>0.1</v>
          </cell>
          <cell r="I376">
            <v>0.09</v>
          </cell>
          <cell r="J376">
            <v>9.2154419548538069</v>
          </cell>
          <cell r="K376">
            <v>11.585677950505763</v>
          </cell>
          <cell r="P376">
            <v>72712</v>
          </cell>
          <cell r="Q376">
            <v>604436.0572942748</v>
          </cell>
          <cell r="R376">
            <v>43852.330142947998</v>
          </cell>
          <cell r="S376">
            <v>78160.73571719334</v>
          </cell>
          <cell r="U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72712</v>
          </cell>
        </row>
        <row r="377">
          <cell r="C377" t="str">
            <v>A0224</v>
          </cell>
          <cell r="D377" t="str">
            <v>PT Astratel Nusantara</v>
          </cell>
          <cell r="E377" t="str">
            <v>LL</v>
          </cell>
          <cell r="F377" t="str">
            <v>31LL</v>
          </cell>
          <cell r="G377">
            <v>0.1</v>
          </cell>
          <cell r="I377">
            <v>0.09</v>
          </cell>
          <cell r="J377">
            <v>9.2154419548538069</v>
          </cell>
          <cell r="K377">
            <v>11.585677950505763</v>
          </cell>
          <cell r="P377">
            <v>528994</v>
          </cell>
          <cell r="Q377">
            <v>587079.93317936151</v>
          </cell>
          <cell r="R377">
            <v>226913.11066903037</v>
          </cell>
          <cell r="S377">
            <v>203001.63214881139</v>
          </cell>
          <cell r="U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528994</v>
          </cell>
        </row>
        <row r="378">
          <cell r="C378" t="str">
            <v>A0224</v>
          </cell>
          <cell r="D378" t="str">
            <v>PT Astratel Nusantara</v>
          </cell>
          <cell r="E378" t="str">
            <v>PMK</v>
          </cell>
          <cell r="F378" t="str">
            <v>31PMK</v>
          </cell>
          <cell r="G378">
            <v>0.1</v>
          </cell>
          <cell r="I378">
            <v>0.09</v>
          </cell>
          <cell r="J378">
            <v>9.2154419548538069</v>
          </cell>
          <cell r="K378">
            <v>11.585677950505763</v>
          </cell>
          <cell r="P378">
            <v>243727</v>
          </cell>
          <cell r="Q378">
            <v>334971.5369748536</v>
          </cell>
          <cell r="R378">
            <v>38277.059155631308</v>
          </cell>
          <cell r="S378">
            <v>52762.5</v>
          </cell>
          <cell r="U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243727</v>
          </cell>
        </row>
        <row r="380">
          <cell r="C380" t="str">
            <v>A0026</v>
          </cell>
          <cell r="D380" t="str">
            <v>PT Asuransi Astra Buana</v>
          </cell>
          <cell r="E380" t="str">
            <v>PEB 1</v>
          </cell>
          <cell r="F380" t="str">
            <v>32PEB 1</v>
          </cell>
          <cell r="G380">
            <v>0.1</v>
          </cell>
          <cell r="H380">
            <v>0.1</v>
          </cell>
          <cell r="I380">
            <v>0.09</v>
          </cell>
          <cell r="J380">
            <v>6.7589496067030153</v>
          </cell>
          <cell r="K380">
            <v>6.30135582527386</v>
          </cell>
          <cell r="L380">
            <v>308076</v>
          </cell>
          <cell r="N380">
            <v>1794702.1688000001</v>
          </cell>
          <cell r="O380">
            <v>271397.576</v>
          </cell>
          <cell r="P380">
            <v>18893766</v>
          </cell>
          <cell r="Q380">
            <v>23099654.435646214</v>
          </cell>
          <cell r="R380">
            <v>1047899.5183188764</v>
          </cell>
          <cell r="S380">
            <v>6327780.5343150161</v>
          </cell>
          <cell r="U380">
            <v>-14074039</v>
          </cell>
          <cell r="V380">
            <v>23320731.44826667</v>
          </cell>
          <cell r="W380">
            <v>-2312959</v>
          </cell>
          <cell r="X380">
            <v>0</v>
          </cell>
          <cell r="Y380">
            <v>0</v>
          </cell>
          <cell r="Z380">
            <v>2506768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W380">
            <v>0.1</v>
          </cell>
          <cell r="AX380">
            <v>0</v>
          </cell>
          <cell r="AY380">
            <v>0.09</v>
          </cell>
          <cell r="AZ380">
            <v>6.7589496067030153</v>
          </cell>
          <cell r="BA380">
            <v>6.30135582527386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836695</v>
          </cell>
          <cell r="BG380">
            <v>918274.12170571706</v>
          </cell>
          <cell r="BH380">
            <v>61224.150229507883</v>
          </cell>
          <cell r="BI380">
            <v>492651.04848666652</v>
          </cell>
          <cell r="BJ380">
            <v>0</v>
          </cell>
          <cell r="BK380">
            <v>0</v>
          </cell>
          <cell r="BL380">
            <v>0</v>
          </cell>
          <cell r="BM380">
            <v>509160</v>
          </cell>
          <cell r="BN380">
            <v>-295148</v>
          </cell>
          <cell r="BO380">
            <v>183686</v>
          </cell>
          <cell r="BP380">
            <v>1050707</v>
          </cell>
          <cell r="BR380">
            <v>0.1</v>
          </cell>
          <cell r="BS380">
            <v>0</v>
          </cell>
          <cell r="BT380">
            <v>0.09</v>
          </cell>
          <cell r="BU380">
            <v>10.177540424751887</v>
          </cell>
          <cell r="BV380">
            <v>16.058130994137226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11379130</v>
          </cell>
          <cell r="CB380">
            <v>6897796.7773581278</v>
          </cell>
          <cell r="CC380">
            <v>693517.76683805871</v>
          </cell>
          <cell r="CD380">
            <v>331333.8025216324</v>
          </cell>
          <cell r="CE380">
            <v>0</v>
          </cell>
          <cell r="CF380">
            <v>0</v>
          </cell>
          <cell r="CG380">
            <v>0</v>
          </cell>
          <cell r="CH380">
            <v>-2274620</v>
          </cell>
          <cell r="CI380">
            <v>-2518918</v>
          </cell>
          <cell r="CJ380">
            <v>144646</v>
          </cell>
          <cell r="CK380">
            <v>6585592</v>
          </cell>
          <cell r="CM380">
            <v>0.1</v>
          </cell>
          <cell r="CN380">
            <v>0</v>
          </cell>
          <cell r="CO380">
            <v>0.09</v>
          </cell>
          <cell r="CP380">
            <v>23.810323533555902</v>
          </cell>
          <cell r="CQ380">
            <v>23.810323533555902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1819.862073042955</v>
          </cell>
          <cell r="CX380">
            <v>1819.862073042955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C380">
            <v>0.1</v>
          </cell>
          <cell r="ED380">
            <v>0</v>
          </cell>
          <cell r="EE380">
            <v>0.09</v>
          </cell>
          <cell r="EF380">
            <v>10.087512850913535</v>
          </cell>
          <cell r="EG380">
            <v>15.109643103594514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1175090</v>
          </cell>
          <cell r="EM380">
            <v>1130411.9856205159</v>
          </cell>
          <cell r="EN380">
            <v>112812.96454677849</v>
          </cell>
          <cell r="EO380">
            <v>137538.08678308493</v>
          </cell>
          <cell r="EP380">
            <v>0</v>
          </cell>
          <cell r="EQ380">
            <v>0</v>
          </cell>
          <cell r="ER380">
            <v>0</v>
          </cell>
          <cell r="ES380">
            <v>-1174323</v>
          </cell>
          <cell r="ET380">
            <v>0</v>
          </cell>
          <cell r="EU380">
            <v>0</v>
          </cell>
          <cell r="EV380">
            <v>767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S380">
            <v>0.1</v>
          </cell>
          <cell r="FT380">
            <v>0</v>
          </cell>
          <cell r="FU380">
            <v>0.09</v>
          </cell>
          <cell r="FV380">
            <v>10.087512850913535</v>
          </cell>
          <cell r="FW380">
            <v>15.109643103594514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307267</v>
          </cell>
          <cell r="GC380">
            <v>3599531.3463231274</v>
          </cell>
          <cell r="GD380">
            <v>323247.57544747519</v>
          </cell>
          <cell r="GE380">
            <v>296886.39439818467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307267</v>
          </cell>
          <cell r="GN380">
            <v>0.1</v>
          </cell>
          <cell r="GO380">
            <v>0</v>
          </cell>
          <cell r="GP380">
            <v>0.09</v>
          </cell>
          <cell r="GQ380">
            <v>10.087512850913535</v>
          </cell>
          <cell r="GR380">
            <v>15.109643103594514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2558984</v>
          </cell>
          <cell r="GX380">
            <v>4215536.0560031282</v>
          </cell>
          <cell r="GY380">
            <v>1412750.6060932465</v>
          </cell>
          <cell r="GZ380">
            <v>1939978.8786137402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2558984</v>
          </cell>
          <cell r="HI380">
            <v>0.1</v>
          </cell>
          <cell r="HJ380">
            <v>0</v>
          </cell>
          <cell r="HK380">
            <v>0.09</v>
          </cell>
          <cell r="HL380">
            <v>10.087512850913535</v>
          </cell>
          <cell r="HM380">
            <v>15.115988628212893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3086318</v>
          </cell>
          <cell r="HS380">
            <v>3667653.3358137961</v>
          </cell>
          <cell r="HT380">
            <v>446396.63542070426</v>
          </cell>
          <cell r="HU380">
            <v>563201.353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3086318</v>
          </cell>
        </row>
        <row r="381">
          <cell r="C381" t="str">
            <v>A0026</v>
          </cell>
          <cell r="D381" t="str">
            <v>PT Asuransi Astra Buana</v>
          </cell>
          <cell r="E381" t="str">
            <v>PEB 2</v>
          </cell>
          <cell r="F381" t="str">
            <v>32PEB 2</v>
          </cell>
          <cell r="P381">
            <v>0</v>
          </cell>
          <cell r="U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</row>
        <row r="382">
          <cell r="C382" t="str">
            <v>A0026</v>
          </cell>
          <cell r="D382" t="str">
            <v>PT Asuransi Astra Buana</v>
          </cell>
          <cell r="E382" t="str">
            <v>PEB 3</v>
          </cell>
          <cell r="F382" t="str">
            <v>32PEB 3</v>
          </cell>
          <cell r="G382">
            <v>0.1</v>
          </cell>
          <cell r="I382">
            <v>0.09</v>
          </cell>
          <cell r="J382">
            <v>6.7589496067030153</v>
          </cell>
          <cell r="K382">
            <v>6.30135582527386</v>
          </cell>
          <cell r="P382">
            <v>836695</v>
          </cell>
          <cell r="Q382">
            <v>918274.12170571706</v>
          </cell>
          <cell r="R382">
            <v>61224.150229507883</v>
          </cell>
          <cell r="S382">
            <v>492651.04848666652</v>
          </cell>
          <cell r="U382">
            <v>0</v>
          </cell>
          <cell r="W382">
            <v>509160</v>
          </cell>
          <cell r="X382">
            <v>-295148</v>
          </cell>
          <cell r="Y382">
            <v>183686</v>
          </cell>
          <cell r="Z382">
            <v>1050707</v>
          </cell>
        </row>
        <row r="383">
          <cell r="C383" t="str">
            <v>A0026</v>
          </cell>
          <cell r="D383" t="str">
            <v>PT Asuransi Astra Buana</v>
          </cell>
          <cell r="E383" t="str">
            <v>PEB 4</v>
          </cell>
          <cell r="F383" t="str">
            <v>32PEB 4</v>
          </cell>
          <cell r="G383">
            <v>0.1</v>
          </cell>
          <cell r="I383">
            <v>0.09</v>
          </cell>
          <cell r="J383">
            <v>10.177540424751887</v>
          </cell>
          <cell r="K383">
            <v>16.058130994137226</v>
          </cell>
          <cell r="P383">
            <v>11379130</v>
          </cell>
          <cell r="Q383">
            <v>6897796.7773581278</v>
          </cell>
          <cell r="R383">
            <v>693517.76683805871</v>
          </cell>
          <cell r="S383">
            <v>331333.8025216324</v>
          </cell>
          <cell r="U383">
            <v>0</v>
          </cell>
          <cell r="W383">
            <v>-2274620</v>
          </cell>
          <cell r="X383">
            <v>-2518918</v>
          </cell>
          <cell r="Y383">
            <v>144646</v>
          </cell>
          <cell r="Z383">
            <v>6585592</v>
          </cell>
        </row>
        <row r="384">
          <cell r="C384" t="str">
            <v>A0026</v>
          </cell>
          <cell r="D384" t="str">
            <v>PT Asuransi Astra Buana</v>
          </cell>
          <cell r="E384" t="str">
            <v>PEB 5</v>
          </cell>
          <cell r="F384" t="str">
            <v>32PEB 5</v>
          </cell>
          <cell r="G384">
            <v>0.1</v>
          </cell>
          <cell r="I384">
            <v>0.09</v>
          </cell>
          <cell r="J384">
            <v>23.810323533555902</v>
          </cell>
          <cell r="K384">
            <v>23.810323533555902</v>
          </cell>
          <cell r="P384">
            <v>0</v>
          </cell>
          <cell r="Q384">
            <v>1819.862073042955</v>
          </cell>
          <cell r="R384">
            <v>1819.862073042955</v>
          </cell>
          <cell r="S384">
            <v>0</v>
          </cell>
          <cell r="U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</row>
        <row r="385">
          <cell r="C385" t="str">
            <v>A0026</v>
          </cell>
          <cell r="D385" t="str">
            <v>PT Asuransi Astra Buana</v>
          </cell>
          <cell r="E385" t="str">
            <v>PEB 6</v>
          </cell>
          <cell r="F385" t="str">
            <v>32PEB 6</v>
          </cell>
          <cell r="P385">
            <v>0</v>
          </cell>
          <cell r="U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</row>
        <row r="386">
          <cell r="C386" t="str">
            <v>A0026</v>
          </cell>
          <cell r="D386" t="str">
            <v>PT Asuransi Astra Buana</v>
          </cell>
          <cell r="E386" t="str">
            <v>PEB 7</v>
          </cell>
          <cell r="F386" t="str">
            <v>32PEB 7</v>
          </cell>
          <cell r="G386">
            <v>0.1</v>
          </cell>
          <cell r="I386">
            <v>0.09</v>
          </cell>
          <cell r="J386">
            <v>10.087512850913535</v>
          </cell>
          <cell r="K386">
            <v>15.109643103594514</v>
          </cell>
          <cell r="P386">
            <v>1175090</v>
          </cell>
          <cell r="Q386">
            <v>1130411.9856205159</v>
          </cell>
          <cell r="R386">
            <v>112812.96454677849</v>
          </cell>
          <cell r="S386">
            <v>137538.08678308493</v>
          </cell>
          <cell r="U386">
            <v>0</v>
          </cell>
          <cell r="W386">
            <v>-1174323</v>
          </cell>
          <cell r="X386">
            <v>0</v>
          </cell>
          <cell r="Y386">
            <v>0</v>
          </cell>
          <cell r="Z386">
            <v>767</v>
          </cell>
        </row>
        <row r="387">
          <cell r="C387" t="str">
            <v>A0026</v>
          </cell>
          <cell r="D387" t="str">
            <v>PT Asuransi Astra Buana</v>
          </cell>
          <cell r="E387" t="str">
            <v>MPP</v>
          </cell>
          <cell r="F387" t="str">
            <v>32MPP</v>
          </cell>
          <cell r="P387">
            <v>0</v>
          </cell>
          <cell r="U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</row>
        <row r="388">
          <cell r="C388" t="str">
            <v>A0026</v>
          </cell>
          <cell r="D388" t="str">
            <v>PT Asuransi Astra Buana</v>
          </cell>
          <cell r="E388" t="str">
            <v>ID</v>
          </cell>
          <cell r="F388" t="str">
            <v>32ID</v>
          </cell>
          <cell r="G388">
            <v>0.1</v>
          </cell>
          <cell r="I388">
            <v>0.09</v>
          </cell>
          <cell r="J388">
            <v>10.087512850913535</v>
          </cell>
          <cell r="K388">
            <v>15.109643103594514</v>
          </cell>
          <cell r="P388">
            <v>307267</v>
          </cell>
          <cell r="Q388">
            <v>3599531.3463231274</v>
          </cell>
          <cell r="R388">
            <v>323247.57544747519</v>
          </cell>
          <cell r="S388">
            <v>296886.39439818467</v>
          </cell>
          <cell r="U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307267</v>
          </cell>
        </row>
        <row r="389">
          <cell r="C389" t="str">
            <v>A0026</v>
          </cell>
          <cell r="D389" t="str">
            <v>PT Asuransi Astra Buana</v>
          </cell>
          <cell r="E389" t="str">
            <v>LL</v>
          </cell>
          <cell r="F389" t="str">
            <v>32LL</v>
          </cell>
          <cell r="G389">
            <v>0.1</v>
          </cell>
          <cell r="I389">
            <v>0.09</v>
          </cell>
          <cell r="J389">
            <v>10.087512850913535</v>
          </cell>
          <cell r="K389">
            <v>15.109643103594514</v>
          </cell>
          <cell r="P389">
            <v>2558984</v>
          </cell>
          <cell r="Q389">
            <v>4215536.0560031282</v>
          </cell>
          <cell r="R389">
            <v>1412750.6060932465</v>
          </cell>
          <cell r="S389">
            <v>1939978.8786137402</v>
          </cell>
          <cell r="U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2558984</v>
          </cell>
        </row>
        <row r="390">
          <cell r="C390" t="str">
            <v>A0026</v>
          </cell>
          <cell r="D390" t="str">
            <v>PT Asuransi Astra Buana</v>
          </cell>
          <cell r="E390" t="str">
            <v>PMK</v>
          </cell>
          <cell r="F390" t="str">
            <v>32PMK</v>
          </cell>
          <cell r="G390">
            <v>0.1</v>
          </cell>
          <cell r="I390">
            <v>0.09</v>
          </cell>
          <cell r="J390">
            <v>10.087512850913535</v>
          </cell>
          <cell r="K390">
            <v>15.115988628212893</v>
          </cell>
          <cell r="P390">
            <v>3086318</v>
          </cell>
          <cell r="Q390">
            <v>3667653.3358137961</v>
          </cell>
          <cell r="R390">
            <v>446396.63542070426</v>
          </cell>
          <cell r="S390">
            <v>563201.353</v>
          </cell>
          <cell r="U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3086318</v>
          </cell>
        </row>
        <row r="392">
          <cell r="C392" t="str">
            <v>A0038</v>
          </cell>
          <cell r="D392" t="str">
            <v>PT AT Indonesia</v>
          </cell>
          <cell r="E392" t="str">
            <v>PEB 1</v>
          </cell>
          <cell r="F392" t="str">
            <v>33PEB 1</v>
          </cell>
          <cell r="G392">
            <v>0.1</v>
          </cell>
          <cell r="H392">
            <v>0.1</v>
          </cell>
          <cell r="I392">
            <v>0.09</v>
          </cell>
          <cell r="J392">
            <v>10.186487391026265</v>
          </cell>
          <cell r="K392">
            <v>10.149362033162571</v>
          </cell>
          <cell r="L392">
            <v>230278</v>
          </cell>
          <cell r="N392">
            <v>576291.56960000005</v>
          </cell>
          <cell r="O392">
            <v>65184.103999999999</v>
          </cell>
          <cell r="P392">
            <v>4053454.314799055</v>
          </cell>
          <cell r="Q392">
            <v>5076501.4250181429</v>
          </cell>
          <cell r="R392">
            <v>230850.37390884478</v>
          </cell>
          <cell r="S392">
            <v>211425.12214899692</v>
          </cell>
          <cell r="U392">
            <v>-2598389.4141009585</v>
          </cell>
          <cell r="V392">
            <v>4427406.1912000002</v>
          </cell>
          <cell r="W392">
            <v>-1490188.6679424886</v>
          </cell>
          <cell r="X392">
            <v>0</v>
          </cell>
          <cell r="Y392">
            <v>0</v>
          </cell>
          <cell r="Z392">
            <v>-35123.767244391915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W392">
            <v>0.1</v>
          </cell>
          <cell r="AX392">
            <v>0</v>
          </cell>
          <cell r="AY392">
            <v>0.09</v>
          </cell>
          <cell r="AZ392">
            <v>16.43130665133387</v>
          </cell>
          <cell r="BA392">
            <v>10.149362033162571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534670.55103987071</v>
          </cell>
          <cell r="BG392">
            <v>201931.14023964384</v>
          </cell>
          <cell r="BH392">
            <v>10647.636383490084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-242350.59586671425</v>
          </cell>
          <cell r="BN392">
            <v>-8401.6386144750395</v>
          </cell>
          <cell r="BO392">
            <v>4640.0236554162648</v>
          </cell>
          <cell r="BP392">
            <v>283918.31655868137</v>
          </cell>
          <cell r="BR392">
            <v>0.1</v>
          </cell>
          <cell r="BS392">
            <v>0</v>
          </cell>
          <cell r="BT392">
            <v>0.09</v>
          </cell>
          <cell r="BU392">
            <v>16.43130665133387</v>
          </cell>
          <cell r="BV392">
            <v>19.685238163615434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1307423.3791464954</v>
          </cell>
          <cell r="CB392">
            <v>2236203.5897544548</v>
          </cell>
          <cell r="CC392">
            <v>243345.2084456915</v>
          </cell>
          <cell r="CD392">
            <v>76857.005405812568</v>
          </cell>
          <cell r="CE392">
            <v>0</v>
          </cell>
          <cell r="CF392">
            <v>0</v>
          </cell>
          <cell r="CG392">
            <v>0</v>
          </cell>
          <cell r="CH392">
            <v>-570298.92644498555</v>
          </cell>
          <cell r="CI392">
            <v>-18716.701412490227</v>
          </cell>
          <cell r="CJ392">
            <v>10336.785630804481</v>
          </cell>
          <cell r="CK392">
            <v>718407.75128901959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C392">
            <v>0.1</v>
          </cell>
          <cell r="ED392">
            <v>0</v>
          </cell>
          <cell r="EE392">
            <v>0.09</v>
          </cell>
          <cell r="EF392">
            <v>16.43130665133387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141396.08629187726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-46870.297387873783</v>
          </cell>
          <cell r="ET392">
            <v>0</v>
          </cell>
          <cell r="EU392">
            <v>0</v>
          </cell>
          <cell r="EV392">
            <v>94525.788904003479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18.656035673764805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518846.08115799469</v>
          </cell>
          <cell r="FI392">
            <v>41813.673949203265</v>
          </cell>
          <cell r="FJ392">
            <v>5953.1985000000004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S392">
            <v>0.1</v>
          </cell>
          <cell r="FT392">
            <v>0</v>
          </cell>
          <cell r="FU392">
            <v>0.09</v>
          </cell>
          <cell r="FV392">
            <v>16.43130665133387</v>
          </cell>
          <cell r="FW392">
            <v>18.656035673764805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1517818.0340704795</v>
          </cell>
          <cell r="GC392">
            <v>1198576.5443119975</v>
          </cell>
          <cell r="GD392">
            <v>112188.71571865128</v>
          </cell>
          <cell r="GE392">
            <v>68797.103268352468</v>
          </cell>
          <cell r="GF392">
            <v>0</v>
          </cell>
          <cell r="GG392">
            <v>0</v>
          </cell>
          <cell r="GH392">
            <v>0</v>
          </cell>
          <cell r="GI392">
            <v>-264227.63160696247</v>
          </cell>
          <cell r="GJ392">
            <v>0</v>
          </cell>
          <cell r="GK392">
            <v>0</v>
          </cell>
          <cell r="GL392">
            <v>1253590.4024635169</v>
          </cell>
          <cell r="GN392">
            <v>0.1</v>
          </cell>
          <cell r="GO392">
            <v>0</v>
          </cell>
          <cell r="GP392">
            <v>0.09</v>
          </cell>
          <cell r="GQ392">
            <v>16.43130665133387</v>
          </cell>
          <cell r="GR392">
            <v>18.656035673764805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1096987.3882300367</v>
          </cell>
          <cell r="GX392">
            <v>1223509.6086135174</v>
          </cell>
          <cell r="GY392">
            <v>469256.03880421992</v>
          </cell>
          <cell r="GZ392">
            <v>557161.12079552677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1096987.3882300367</v>
          </cell>
          <cell r="HI392">
            <v>0.1</v>
          </cell>
          <cell r="HJ392">
            <v>0</v>
          </cell>
          <cell r="HK392">
            <v>0.09</v>
          </cell>
          <cell r="HL392">
            <v>16.43130665133387</v>
          </cell>
          <cell r="HM392">
            <v>18.656035673764805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1902964.1780444726</v>
          </cell>
          <cell r="HS392">
            <v>1113173.9779793548</v>
          </cell>
          <cell r="HT392">
            <v>195418.06322633495</v>
          </cell>
          <cell r="HU392">
            <v>150300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1902964.1780444726</v>
          </cell>
        </row>
        <row r="393">
          <cell r="C393" t="str">
            <v>A0038</v>
          </cell>
          <cell r="D393" t="str">
            <v>PT AT Indonesia</v>
          </cell>
          <cell r="E393" t="str">
            <v>PEB 2</v>
          </cell>
          <cell r="F393" t="str">
            <v>33PEB 2</v>
          </cell>
          <cell r="P393">
            <v>0</v>
          </cell>
          <cell r="U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</row>
        <row r="394">
          <cell r="C394" t="str">
            <v>A0038</v>
          </cell>
          <cell r="D394" t="str">
            <v>PT AT Indonesia</v>
          </cell>
          <cell r="E394" t="str">
            <v>PEB 3</v>
          </cell>
          <cell r="F394" t="str">
            <v>33PEB 3</v>
          </cell>
          <cell r="G394">
            <v>0.1</v>
          </cell>
          <cell r="I394">
            <v>0.09</v>
          </cell>
          <cell r="J394">
            <v>16.43130665133387</v>
          </cell>
          <cell r="K394">
            <v>10.149362033162571</v>
          </cell>
          <cell r="P394">
            <v>534670.55103987071</v>
          </cell>
          <cell r="Q394">
            <v>201931.14023964384</v>
          </cell>
          <cell r="R394">
            <v>10647.636383490084</v>
          </cell>
          <cell r="S394">
            <v>0</v>
          </cell>
          <cell r="U394">
            <v>0</v>
          </cell>
          <cell r="W394">
            <v>-242350.59586671425</v>
          </cell>
          <cell r="X394">
            <v>-8401.6386144750395</v>
          </cell>
          <cell r="Y394">
            <v>4640.0236554162648</v>
          </cell>
          <cell r="Z394">
            <v>283918.31655868137</v>
          </cell>
        </row>
        <row r="395">
          <cell r="C395" t="str">
            <v>A0038</v>
          </cell>
          <cell r="D395" t="str">
            <v>PT AT Indonesia</v>
          </cell>
          <cell r="E395" t="str">
            <v>PEB 4</v>
          </cell>
          <cell r="F395" t="str">
            <v>33PEB 4</v>
          </cell>
          <cell r="G395">
            <v>0.1</v>
          </cell>
          <cell r="I395">
            <v>0.09</v>
          </cell>
          <cell r="J395">
            <v>16.43130665133387</v>
          </cell>
          <cell r="K395">
            <v>19.685238163615434</v>
          </cell>
          <cell r="P395">
            <v>1307423.3791464954</v>
          </cell>
          <cell r="Q395">
            <v>2236203.5897544548</v>
          </cell>
          <cell r="R395">
            <v>243345.2084456915</v>
          </cell>
          <cell r="S395">
            <v>76857.005405812568</v>
          </cell>
          <cell r="U395">
            <v>0</v>
          </cell>
          <cell r="W395">
            <v>-570298.92644498555</v>
          </cell>
          <cell r="X395">
            <v>-18716.701412490227</v>
          </cell>
          <cell r="Y395">
            <v>10336.785630804481</v>
          </cell>
          <cell r="Z395">
            <v>718407.75128901959</v>
          </cell>
        </row>
        <row r="396">
          <cell r="C396" t="str">
            <v>A0038</v>
          </cell>
          <cell r="D396" t="str">
            <v>PT AT Indonesia</v>
          </cell>
          <cell r="E396" t="str">
            <v>PEB 5</v>
          </cell>
          <cell r="F396" t="str">
            <v>33PEB 5</v>
          </cell>
          <cell r="P396">
            <v>0</v>
          </cell>
          <cell r="U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</row>
        <row r="397">
          <cell r="C397" t="str">
            <v>A0038</v>
          </cell>
          <cell r="D397" t="str">
            <v>PT AT Indonesia</v>
          </cell>
          <cell r="E397" t="str">
            <v>PEB 6</v>
          </cell>
          <cell r="F397" t="str">
            <v>33PEB 6</v>
          </cell>
          <cell r="P397">
            <v>0</v>
          </cell>
          <cell r="U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</row>
        <row r="398">
          <cell r="C398" t="str">
            <v>A0038</v>
          </cell>
          <cell r="D398" t="str">
            <v>PT AT Indonesia</v>
          </cell>
          <cell r="E398" t="str">
            <v>PEB 7</v>
          </cell>
          <cell r="F398" t="str">
            <v>33PEB 7</v>
          </cell>
          <cell r="G398">
            <v>0.1</v>
          </cell>
          <cell r="I398">
            <v>0.09</v>
          </cell>
          <cell r="J398">
            <v>16.43130665133387</v>
          </cell>
          <cell r="P398">
            <v>141396.08629187726</v>
          </cell>
          <cell r="U398">
            <v>0</v>
          </cell>
          <cell r="W398">
            <v>-46870.297387873783</v>
          </cell>
          <cell r="X398">
            <v>0</v>
          </cell>
          <cell r="Y398">
            <v>0</v>
          </cell>
          <cell r="Z398">
            <v>94525.788904003479</v>
          </cell>
        </row>
        <row r="399">
          <cell r="C399" t="str">
            <v>A0038</v>
          </cell>
          <cell r="D399" t="str">
            <v>PT AT Indonesia</v>
          </cell>
          <cell r="E399" t="str">
            <v>MPP</v>
          </cell>
          <cell r="F399" t="str">
            <v>33MPP</v>
          </cell>
          <cell r="K399">
            <v>18.656035673764805</v>
          </cell>
          <cell r="P399">
            <v>0</v>
          </cell>
          <cell r="Q399">
            <v>518846.08115799469</v>
          </cell>
          <cell r="R399">
            <v>41813.673949203265</v>
          </cell>
          <cell r="S399">
            <v>5953.1985000000004</v>
          </cell>
          <cell r="U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</row>
        <row r="400">
          <cell r="C400" t="str">
            <v>A0038</v>
          </cell>
          <cell r="D400" t="str">
            <v>PT AT Indonesia</v>
          </cell>
          <cell r="E400" t="str">
            <v>ID</v>
          </cell>
          <cell r="F400" t="str">
            <v>33ID</v>
          </cell>
          <cell r="G400">
            <v>0.1</v>
          </cell>
          <cell r="I400">
            <v>0.09</v>
          </cell>
          <cell r="J400">
            <v>16.43130665133387</v>
          </cell>
          <cell r="K400">
            <v>18.656035673764805</v>
          </cell>
          <cell r="P400">
            <v>1517818.0340704795</v>
          </cell>
          <cell r="Q400">
            <v>1198576.5443119975</v>
          </cell>
          <cell r="R400">
            <v>112188.71571865128</v>
          </cell>
          <cell r="S400">
            <v>68797.103268352468</v>
          </cell>
          <cell r="U400">
            <v>0</v>
          </cell>
          <cell r="W400">
            <v>-264227.63160696247</v>
          </cell>
          <cell r="X400">
            <v>0</v>
          </cell>
          <cell r="Y400">
            <v>0</v>
          </cell>
          <cell r="Z400">
            <v>1253590.4024635169</v>
          </cell>
        </row>
        <row r="401">
          <cell r="C401" t="str">
            <v>A0038</v>
          </cell>
          <cell r="D401" t="str">
            <v>PT AT Indonesia</v>
          </cell>
          <cell r="E401" t="str">
            <v>LL</v>
          </cell>
          <cell r="F401" t="str">
            <v>33LL</v>
          </cell>
          <cell r="G401">
            <v>0.1</v>
          </cell>
          <cell r="I401">
            <v>0.09</v>
          </cell>
          <cell r="J401">
            <v>16.43130665133387</v>
          </cell>
          <cell r="K401">
            <v>18.656035673764805</v>
          </cell>
          <cell r="P401">
            <v>1096987.3882300367</v>
          </cell>
          <cell r="Q401">
            <v>1223509.6086135174</v>
          </cell>
          <cell r="R401">
            <v>469256.03880421992</v>
          </cell>
          <cell r="S401">
            <v>557161.12079552677</v>
          </cell>
          <cell r="U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1096987.3882300367</v>
          </cell>
        </row>
        <row r="402">
          <cell r="C402" t="str">
            <v>A0038</v>
          </cell>
          <cell r="D402" t="str">
            <v>PT AT Indonesia</v>
          </cell>
          <cell r="E402" t="str">
            <v>PMK</v>
          </cell>
          <cell r="F402" t="str">
            <v>33PMK</v>
          </cell>
          <cell r="G402">
            <v>0.1</v>
          </cell>
          <cell r="I402">
            <v>0.09</v>
          </cell>
          <cell r="J402">
            <v>16.43130665133387</v>
          </cell>
          <cell r="K402">
            <v>18.656035673764805</v>
          </cell>
          <cell r="P402">
            <v>1902964.1780444726</v>
          </cell>
          <cell r="Q402">
            <v>1113173.9779793548</v>
          </cell>
          <cell r="R402">
            <v>195418.06322633495</v>
          </cell>
          <cell r="S402">
            <v>150300</v>
          </cell>
          <cell r="U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1902964.1780444726</v>
          </cell>
        </row>
        <row r="404">
          <cell r="C404" t="str">
            <v>A0331</v>
          </cell>
          <cell r="D404" t="str">
            <v>PT Bhadra Cemerlang</v>
          </cell>
          <cell r="E404" t="str">
            <v>PEB 1</v>
          </cell>
          <cell r="F404" t="str">
            <v>34PEB 1</v>
          </cell>
          <cell r="J404">
            <v>0</v>
          </cell>
          <cell r="N404">
            <v>0</v>
          </cell>
          <cell r="O404">
            <v>0</v>
          </cell>
          <cell r="P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9.972462232601508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258458</v>
          </cell>
          <cell r="AL404">
            <v>325954.46750026417</v>
          </cell>
          <cell r="AM404">
            <v>62789.006841314345</v>
          </cell>
          <cell r="AN404">
            <v>4101.8879999999999</v>
          </cell>
          <cell r="AO404">
            <v>0</v>
          </cell>
          <cell r="AP404">
            <v>0</v>
          </cell>
          <cell r="AQ404">
            <v>0</v>
          </cell>
          <cell r="AR404">
            <v>-81795</v>
          </cell>
          <cell r="AS404">
            <v>0</v>
          </cell>
          <cell r="AT404">
            <v>0</v>
          </cell>
          <cell r="AU404">
            <v>176663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10.50376931550964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479447</v>
          </cell>
          <cell r="CB404">
            <v>444046.70026867278</v>
          </cell>
          <cell r="CC404">
            <v>133970.56949405669</v>
          </cell>
          <cell r="CD404">
            <v>50101.981619969032</v>
          </cell>
          <cell r="CE404">
            <v>0</v>
          </cell>
          <cell r="CF404">
            <v>0</v>
          </cell>
          <cell r="CG404">
            <v>0</v>
          </cell>
          <cell r="CH404">
            <v>-260334</v>
          </cell>
          <cell r="CI404">
            <v>0</v>
          </cell>
          <cell r="CJ404">
            <v>0</v>
          </cell>
          <cell r="CK404">
            <v>219113</v>
          </cell>
          <cell r="CM404">
            <v>0</v>
          </cell>
          <cell r="CN404">
            <v>0</v>
          </cell>
          <cell r="CO404">
            <v>0</v>
          </cell>
          <cell r="CP404">
            <v>9.3399673542519874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8171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149644</v>
          </cell>
          <cell r="DD404">
            <v>0</v>
          </cell>
          <cell r="DE404">
            <v>0</v>
          </cell>
          <cell r="DF404">
            <v>157815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V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C404">
            <v>0</v>
          </cell>
          <cell r="ED404">
            <v>0</v>
          </cell>
          <cell r="EE404">
            <v>0</v>
          </cell>
          <cell r="EF404">
            <v>9.972462232601508</v>
          </cell>
          <cell r="EG404">
            <v>0</v>
          </cell>
          <cell r="EH404">
            <v>0</v>
          </cell>
          <cell r="EI404">
            <v>0</v>
          </cell>
          <cell r="EJ404">
            <v>0</v>
          </cell>
          <cell r="EK404">
            <v>0</v>
          </cell>
          <cell r="EL404">
            <v>32797</v>
          </cell>
          <cell r="EM404">
            <v>54558.282525621136</v>
          </cell>
          <cell r="EN404">
            <v>12987.314567116655</v>
          </cell>
          <cell r="EO404">
            <v>4943.9300405877093</v>
          </cell>
          <cell r="EP404">
            <v>0</v>
          </cell>
          <cell r="EQ404">
            <v>0</v>
          </cell>
          <cell r="ER404">
            <v>0</v>
          </cell>
          <cell r="ES404">
            <v>1548</v>
          </cell>
          <cell r="ET404">
            <v>0</v>
          </cell>
          <cell r="EU404">
            <v>0</v>
          </cell>
          <cell r="EV404">
            <v>34345</v>
          </cell>
          <cell r="EX404">
            <v>0</v>
          </cell>
          <cell r="EY404">
            <v>0</v>
          </cell>
          <cell r="EZ404">
            <v>0</v>
          </cell>
          <cell r="FA404">
            <v>0</v>
          </cell>
          <cell r="FB404">
            <v>0</v>
          </cell>
          <cell r="FC404">
            <v>0</v>
          </cell>
          <cell r="FD404">
            <v>0</v>
          </cell>
          <cell r="FE404">
            <v>0</v>
          </cell>
          <cell r="FF404">
            <v>0</v>
          </cell>
          <cell r="FG404">
            <v>0</v>
          </cell>
          <cell r="FH404">
            <v>68795.743381429289</v>
          </cell>
          <cell r="FI404">
            <v>18584.869685336049</v>
          </cell>
          <cell r="FJ404">
            <v>9098.4480000000003</v>
          </cell>
          <cell r="FK404">
            <v>0</v>
          </cell>
          <cell r="FL404">
            <v>0</v>
          </cell>
          <cell r="FM404">
            <v>0</v>
          </cell>
          <cell r="FN404">
            <v>0</v>
          </cell>
          <cell r="FO404">
            <v>0</v>
          </cell>
          <cell r="FP404">
            <v>0</v>
          </cell>
          <cell r="FQ404">
            <v>0</v>
          </cell>
          <cell r="FS404">
            <v>0</v>
          </cell>
          <cell r="FT404">
            <v>0</v>
          </cell>
          <cell r="FU404">
            <v>0</v>
          </cell>
          <cell r="FV404">
            <v>9.972462232601508</v>
          </cell>
          <cell r="FW404">
            <v>0</v>
          </cell>
          <cell r="FX404">
            <v>0</v>
          </cell>
          <cell r="FY404">
            <v>0</v>
          </cell>
          <cell r="FZ404">
            <v>0</v>
          </cell>
          <cell r="GA404">
            <v>0</v>
          </cell>
          <cell r="GB404">
            <v>4768</v>
          </cell>
          <cell r="GC404">
            <v>134459.10056689978</v>
          </cell>
          <cell r="GD404">
            <v>30039.983260208042</v>
          </cell>
          <cell r="GE404">
            <v>7428.8703840480921</v>
          </cell>
          <cell r="GF404">
            <v>0</v>
          </cell>
          <cell r="GG404">
            <v>0</v>
          </cell>
          <cell r="GH404">
            <v>0</v>
          </cell>
          <cell r="GI404">
            <v>0</v>
          </cell>
          <cell r="GJ404">
            <v>0</v>
          </cell>
          <cell r="GK404">
            <v>0</v>
          </cell>
          <cell r="GL404">
            <v>4768</v>
          </cell>
          <cell r="GN404">
            <v>0</v>
          </cell>
          <cell r="GO404">
            <v>0</v>
          </cell>
          <cell r="GP404">
            <v>0</v>
          </cell>
          <cell r="GQ404">
            <v>9.972462232601508</v>
          </cell>
          <cell r="GR404">
            <v>0</v>
          </cell>
          <cell r="GS404">
            <v>0</v>
          </cell>
          <cell r="GT404">
            <v>0</v>
          </cell>
          <cell r="GU404">
            <v>0</v>
          </cell>
          <cell r="GV404">
            <v>0</v>
          </cell>
          <cell r="GW404">
            <v>282029</v>
          </cell>
          <cell r="GX404">
            <v>285301.51309173956</v>
          </cell>
          <cell r="GY404">
            <v>101182.9651389459</v>
          </cell>
          <cell r="GZ404">
            <v>106024.7090941553</v>
          </cell>
          <cell r="HA404">
            <v>0</v>
          </cell>
          <cell r="HB404">
            <v>0</v>
          </cell>
          <cell r="HC404">
            <v>0</v>
          </cell>
          <cell r="HD404">
            <v>0</v>
          </cell>
          <cell r="HE404">
            <v>0</v>
          </cell>
          <cell r="HF404">
            <v>0</v>
          </cell>
          <cell r="HG404">
            <v>282029</v>
          </cell>
          <cell r="HI404">
            <v>0</v>
          </cell>
          <cell r="HJ404">
            <v>0</v>
          </cell>
          <cell r="HK404">
            <v>0</v>
          </cell>
          <cell r="HL404">
            <v>9.972462232601508</v>
          </cell>
          <cell r="HM404">
            <v>0</v>
          </cell>
          <cell r="HN404">
            <v>0</v>
          </cell>
          <cell r="HO404">
            <v>0</v>
          </cell>
          <cell r="HP404">
            <v>0</v>
          </cell>
          <cell r="HQ404">
            <v>0</v>
          </cell>
          <cell r="HR404">
            <v>62001</v>
          </cell>
          <cell r="HS404">
            <v>147945.86013198239</v>
          </cell>
          <cell r="HT404">
            <v>40462.959862800351</v>
          </cell>
          <cell r="HU404">
            <v>6300</v>
          </cell>
          <cell r="HV404">
            <v>0</v>
          </cell>
          <cell r="HW404">
            <v>0</v>
          </cell>
          <cell r="HX404">
            <v>0</v>
          </cell>
          <cell r="HY404">
            <v>0</v>
          </cell>
          <cell r="HZ404">
            <v>0</v>
          </cell>
          <cell r="IA404">
            <v>0</v>
          </cell>
          <cell r="IB404">
            <v>62001</v>
          </cell>
        </row>
        <row r="405">
          <cell r="C405" t="str">
            <v>A0331</v>
          </cell>
          <cell r="D405" t="str">
            <v>PT Bhadra Cemerlang</v>
          </cell>
          <cell r="E405" t="str">
            <v>PEB 2</v>
          </cell>
          <cell r="F405" t="str">
            <v>34PEB 2</v>
          </cell>
          <cell r="J405">
            <v>9.972462232601508</v>
          </cell>
          <cell r="P405">
            <v>258458</v>
          </cell>
          <cell r="Q405">
            <v>325954.46750026417</v>
          </cell>
          <cell r="R405">
            <v>62789.006841314345</v>
          </cell>
          <cell r="S405">
            <v>4101.8879999999999</v>
          </cell>
          <cell r="U405">
            <v>0</v>
          </cell>
          <cell r="W405">
            <v>-81795</v>
          </cell>
          <cell r="X405">
            <v>0</v>
          </cell>
          <cell r="Y405">
            <v>0</v>
          </cell>
          <cell r="Z405">
            <v>176663</v>
          </cell>
        </row>
        <row r="406">
          <cell r="C406" t="str">
            <v>A0331</v>
          </cell>
          <cell r="D406" t="str">
            <v>PT Bhadra Cemerlang</v>
          </cell>
          <cell r="E406" t="str">
            <v>PEB 3</v>
          </cell>
          <cell r="F406" t="str">
            <v>34PEB 3</v>
          </cell>
          <cell r="J406">
            <v>0</v>
          </cell>
          <cell r="P406">
            <v>0</v>
          </cell>
          <cell r="U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</row>
        <row r="407">
          <cell r="C407" t="str">
            <v>A0331</v>
          </cell>
          <cell r="D407" t="str">
            <v>PT Bhadra Cemerlang</v>
          </cell>
          <cell r="E407" t="str">
            <v>PEB 4</v>
          </cell>
          <cell r="F407" t="str">
            <v>34PEB 4</v>
          </cell>
          <cell r="J407">
            <v>10.50376931550964</v>
          </cell>
          <cell r="P407">
            <v>479447</v>
          </cell>
          <cell r="Q407">
            <v>444046.70026867278</v>
          </cell>
          <cell r="R407">
            <v>133970.56949405669</v>
          </cell>
          <cell r="S407">
            <v>50101.981619969032</v>
          </cell>
          <cell r="U407">
            <v>0</v>
          </cell>
          <cell r="W407">
            <v>-260334</v>
          </cell>
          <cell r="X407">
            <v>0</v>
          </cell>
          <cell r="Y407">
            <v>0</v>
          </cell>
          <cell r="Z407">
            <v>219113</v>
          </cell>
        </row>
        <row r="408">
          <cell r="C408" t="str">
            <v>A0331</v>
          </cell>
          <cell r="D408" t="str">
            <v>PT Bhadra Cemerlang</v>
          </cell>
          <cell r="E408" t="str">
            <v>PEB 5</v>
          </cell>
          <cell r="F408" t="str">
            <v>34PEB 5</v>
          </cell>
          <cell r="J408">
            <v>9.3399673542519874</v>
          </cell>
          <cell r="P408">
            <v>8171</v>
          </cell>
          <cell r="U408">
            <v>0</v>
          </cell>
          <cell r="W408">
            <v>149644</v>
          </cell>
          <cell r="X408">
            <v>0</v>
          </cell>
          <cell r="Y408">
            <v>0</v>
          </cell>
          <cell r="Z408">
            <v>157815</v>
          </cell>
        </row>
        <row r="409">
          <cell r="C409" t="str">
            <v>A0331</v>
          </cell>
          <cell r="D409" t="str">
            <v>PT Bhadra Cemerlang</v>
          </cell>
          <cell r="E409" t="str">
            <v>PEB 6</v>
          </cell>
          <cell r="F409" t="str">
            <v>34PEB 6</v>
          </cell>
          <cell r="J409">
            <v>0</v>
          </cell>
          <cell r="P409">
            <v>0</v>
          </cell>
          <cell r="U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</row>
        <row r="410">
          <cell r="C410" t="str">
            <v>A0331</v>
          </cell>
          <cell r="D410" t="str">
            <v>PT Bhadra Cemerlang</v>
          </cell>
          <cell r="E410" t="str">
            <v>PEB 7</v>
          </cell>
          <cell r="F410" t="str">
            <v>34PEB 7</v>
          </cell>
          <cell r="J410">
            <v>9.972462232601508</v>
          </cell>
          <cell r="P410">
            <v>32797</v>
          </cell>
          <cell r="Q410">
            <v>54558.282525621136</v>
          </cell>
          <cell r="R410">
            <v>12987.314567116655</v>
          </cell>
          <cell r="S410">
            <v>4943.9300405877093</v>
          </cell>
          <cell r="U410">
            <v>0</v>
          </cell>
          <cell r="W410">
            <v>1548</v>
          </cell>
          <cell r="X410">
            <v>0</v>
          </cell>
          <cell r="Y410">
            <v>0</v>
          </cell>
          <cell r="Z410">
            <v>34345</v>
          </cell>
        </row>
        <row r="411">
          <cell r="C411" t="str">
            <v>A0331</v>
          </cell>
          <cell r="D411" t="str">
            <v>PT Bhadra Cemerlang</v>
          </cell>
          <cell r="E411" t="str">
            <v>MPP</v>
          </cell>
          <cell r="F411" t="str">
            <v>34MPP</v>
          </cell>
          <cell r="J411">
            <v>0</v>
          </cell>
          <cell r="P411">
            <v>0</v>
          </cell>
          <cell r="Q411">
            <v>68795.743381429289</v>
          </cell>
          <cell r="R411">
            <v>18584.869685336049</v>
          </cell>
          <cell r="S411">
            <v>9098.4480000000003</v>
          </cell>
          <cell r="U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</row>
        <row r="412">
          <cell r="C412" t="str">
            <v>A0331</v>
          </cell>
          <cell r="D412" t="str">
            <v>PT Bhadra Cemerlang</v>
          </cell>
          <cell r="E412" t="str">
            <v>ID</v>
          </cell>
          <cell r="F412" t="str">
            <v>34ID</v>
          </cell>
          <cell r="J412">
            <v>9.972462232601508</v>
          </cell>
          <cell r="P412">
            <v>4768</v>
          </cell>
          <cell r="Q412">
            <v>134459.10056689978</v>
          </cell>
          <cell r="R412">
            <v>30039.983260208042</v>
          </cell>
          <cell r="S412">
            <v>7428.8703840480921</v>
          </cell>
          <cell r="U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4768</v>
          </cell>
        </row>
        <row r="413">
          <cell r="C413" t="str">
            <v>A0331</v>
          </cell>
          <cell r="D413" t="str">
            <v>PT Bhadra Cemerlang</v>
          </cell>
          <cell r="E413" t="str">
            <v>LL</v>
          </cell>
          <cell r="F413" t="str">
            <v>34LL</v>
          </cell>
          <cell r="J413">
            <v>9.972462232601508</v>
          </cell>
          <cell r="P413">
            <v>282029</v>
          </cell>
          <cell r="Q413">
            <v>285301.51309173956</v>
          </cell>
          <cell r="R413">
            <v>101182.9651389459</v>
          </cell>
          <cell r="S413">
            <v>106024.7090941553</v>
          </cell>
          <cell r="U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282029</v>
          </cell>
        </row>
        <row r="414">
          <cell r="C414" t="str">
            <v>A0331</v>
          </cell>
          <cell r="D414" t="str">
            <v>PT Bhadra Cemerlang</v>
          </cell>
          <cell r="E414" t="str">
            <v>PMK</v>
          </cell>
          <cell r="F414" t="str">
            <v>34PMK</v>
          </cell>
          <cell r="J414">
            <v>9.972462232601508</v>
          </cell>
          <cell r="P414">
            <v>62001</v>
          </cell>
          <cell r="Q414">
            <v>147945.86013198239</v>
          </cell>
          <cell r="R414">
            <v>40462.959862800351</v>
          </cell>
          <cell r="S414">
            <v>6300</v>
          </cell>
          <cell r="U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62001</v>
          </cell>
        </row>
        <row r="416">
          <cell r="C416" t="str">
            <v>A0398</v>
          </cell>
          <cell r="D416" t="str">
            <v>PT Bhadra Sukses</v>
          </cell>
          <cell r="E416" t="str">
            <v>PEB 1</v>
          </cell>
          <cell r="F416" t="str">
            <v>35PEB 1</v>
          </cell>
          <cell r="J416">
            <v>0</v>
          </cell>
          <cell r="N416">
            <v>0</v>
          </cell>
          <cell r="O416">
            <v>0</v>
          </cell>
          <cell r="P416">
            <v>0</v>
          </cell>
          <cell r="Q416" t="str">
            <v xml:space="preserve"> </v>
          </cell>
          <cell r="R416" t="str">
            <v xml:space="preserve"> </v>
          </cell>
          <cell r="S416" t="str">
            <v xml:space="preserve"> 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10.214881696382514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309279</v>
          </cell>
          <cell r="AL416">
            <v>457692.05489247415</v>
          </cell>
          <cell r="AM416">
            <v>33388.282915745018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98514</v>
          </cell>
          <cell r="AS416">
            <v>0</v>
          </cell>
          <cell r="AT416">
            <v>0</v>
          </cell>
          <cell r="AU416">
            <v>407793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 t="str">
            <v xml:space="preserve"> </v>
          </cell>
          <cell r="BH416" t="str">
            <v xml:space="preserve"> </v>
          </cell>
          <cell r="BI416" t="str">
            <v xml:space="preserve"> 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10.214881696382514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452099</v>
          </cell>
          <cell r="CB416">
            <v>521855.75287641026</v>
          </cell>
          <cell r="CC416">
            <v>47145.8835223805</v>
          </cell>
          <cell r="CD416">
            <v>10710.73382670667</v>
          </cell>
          <cell r="CE416">
            <v>0</v>
          </cell>
          <cell r="CF416">
            <v>0</v>
          </cell>
          <cell r="CG416">
            <v>0</v>
          </cell>
          <cell r="CH416">
            <v>-348085</v>
          </cell>
          <cell r="CI416">
            <v>-35174</v>
          </cell>
          <cell r="CJ416">
            <v>2658</v>
          </cell>
          <cell r="CK416">
            <v>68840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H416">
            <v>0</v>
          </cell>
          <cell r="DI416">
            <v>0</v>
          </cell>
          <cell r="DJ416">
            <v>0</v>
          </cell>
          <cell r="DK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0</v>
          </cell>
          <cell r="DU416">
            <v>0</v>
          </cell>
          <cell r="DV416">
            <v>0</v>
          </cell>
          <cell r="DW416">
            <v>0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C416">
            <v>0</v>
          </cell>
          <cell r="ED416">
            <v>0</v>
          </cell>
          <cell r="EE416">
            <v>0</v>
          </cell>
          <cell r="EF416">
            <v>10.214881696382514</v>
          </cell>
          <cell r="EG416">
            <v>0</v>
          </cell>
          <cell r="EH416">
            <v>0</v>
          </cell>
          <cell r="EI416">
            <v>0</v>
          </cell>
          <cell r="EJ416">
            <v>0</v>
          </cell>
          <cell r="EK416">
            <v>0</v>
          </cell>
          <cell r="EL416">
            <v>34605</v>
          </cell>
          <cell r="EM416">
            <v>48688.675627125391</v>
          </cell>
          <cell r="EN416">
            <v>4066.1918292847854</v>
          </cell>
          <cell r="EO416">
            <v>5477.3738686350453</v>
          </cell>
          <cell r="EP416">
            <v>0</v>
          </cell>
          <cell r="EQ416">
            <v>0</v>
          </cell>
          <cell r="ER416">
            <v>0</v>
          </cell>
          <cell r="ES416">
            <v>-24920</v>
          </cell>
          <cell r="ET416">
            <v>0</v>
          </cell>
          <cell r="EU416">
            <v>0</v>
          </cell>
          <cell r="EV416">
            <v>9685</v>
          </cell>
          <cell r="EX416">
            <v>0</v>
          </cell>
          <cell r="EY416">
            <v>0</v>
          </cell>
          <cell r="EZ416">
            <v>0</v>
          </cell>
          <cell r="FA416">
            <v>0</v>
          </cell>
          <cell r="FB416">
            <v>0</v>
          </cell>
          <cell r="FC416">
            <v>0</v>
          </cell>
          <cell r="FD416">
            <v>0</v>
          </cell>
          <cell r="FE416">
            <v>0</v>
          </cell>
          <cell r="FF416">
            <v>0</v>
          </cell>
          <cell r="FG416">
            <v>0</v>
          </cell>
          <cell r="FH416">
            <v>73686.281603803465</v>
          </cell>
          <cell r="FI416">
            <v>5496.545246889129</v>
          </cell>
          <cell r="FJ416">
            <v>0</v>
          </cell>
          <cell r="FK416">
            <v>0</v>
          </cell>
          <cell r="FL416">
            <v>0</v>
          </cell>
          <cell r="FM416">
            <v>0</v>
          </cell>
          <cell r="FN416">
            <v>0</v>
          </cell>
          <cell r="FO416">
            <v>0</v>
          </cell>
          <cell r="FP416">
            <v>0</v>
          </cell>
          <cell r="FQ416">
            <v>0</v>
          </cell>
          <cell r="FS416">
            <v>0</v>
          </cell>
          <cell r="FT416">
            <v>0</v>
          </cell>
          <cell r="FU416">
            <v>0</v>
          </cell>
          <cell r="FV416">
            <v>10.214881696382514</v>
          </cell>
          <cell r="FW416">
            <v>0</v>
          </cell>
          <cell r="FX416">
            <v>0</v>
          </cell>
          <cell r="FY416">
            <v>0</v>
          </cell>
          <cell r="FZ416">
            <v>0</v>
          </cell>
          <cell r="GA416">
            <v>0</v>
          </cell>
          <cell r="GB416">
            <v>4973</v>
          </cell>
          <cell r="GC416">
            <v>148541.69302954126</v>
          </cell>
          <cell r="GD416">
            <v>11749.131678104541</v>
          </cell>
          <cell r="GE416">
            <v>9859.8189697220514</v>
          </cell>
          <cell r="GF416">
            <v>0</v>
          </cell>
          <cell r="GG416">
            <v>0</v>
          </cell>
          <cell r="GH416">
            <v>0</v>
          </cell>
          <cell r="GI416">
            <v>0</v>
          </cell>
          <cell r="GJ416">
            <v>0</v>
          </cell>
          <cell r="GK416">
            <v>0</v>
          </cell>
          <cell r="GL416">
            <v>4973</v>
          </cell>
          <cell r="GN416">
            <v>0</v>
          </cell>
          <cell r="GO416">
            <v>0</v>
          </cell>
          <cell r="GP416">
            <v>0</v>
          </cell>
          <cell r="GQ416">
            <v>10.214881696382514</v>
          </cell>
          <cell r="GR416">
            <v>0</v>
          </cell>
          <cell r="GS416">
            <v>0</v>
          </cell>
          <cell r="GT416">
            <v>0</v>
          </cell>
          <cell r="GU416">
            <v>0</v>
          </cell>
          <cell r="GV416">
            <v>0</v>
          </cell>
          <cell r="GW416">
            <v>89820</v>
          </cell>
          <cell r="GX416">
            <v>139800.24683559692</v>
          </cell>
          <cell r="GY416">
            <v>51615.621833525787</v>
          </cell>
          <cell r="GZ416">
            <v>53818.452732457474</v>
          </cell>
          <cell r="HA416">
            <v>0</v>
          </cell>
          <cell r="HB416">
            <v>0</v>
          </cell>
          <cell r="HC416">
            <v>0</v>
          </cell>
          <cell r="HD416">
            <v>0</v>
          </cell>
          <cell r="HE416">
            <v>0</v>
          </cell>
          <cell r="HF416">
            <v>0</v>
          </cell>
          <cell r="HG416">
            <v>89820</v>
          </cell>
          <cell r="HI416">
            <v>0</v>
          </cell>
          <cell r="HJ416">
            <v>0</v>
          </cell>
          <cell r="HK416">
            <v>0</v>
          </cell>
          <cell r="HL416">
            <v>10.214881696382514</v>
          </cell>
          <cell r="HM416">
            <v>0</v>
          </cell>
          <cell r="HN416">
            <v>0</v>
          </cell>
          <cell r="HO416">
            <v>0</v>
          </cell>
          <cell r="HP416">
            <v>0</v>
          </cell>
          <cell r="HQ416">
            <v>0</v>
          </cell>
          <cell r="HR416">
            <v>144614</v>
          </cell>
          <cell r="HS416">
            <v>208146.5590632346</v>
          </cell>
          <cell r="HT416">
            <v>24182.526658579707</v>
          </cell>
          <cell r="HU416">
            <v>19687.5</v>
          </cell>
          <cell r="HV416">
            <v>0</v>
          </cell>
          <cell r="HW416">
            <v>0</v>
          </cell>
          <cell r="HX416">
            <v>0</v>
          </cell>
          <cell r="HY416">
            <v>0</v>
          </cell>
          <cell r="HZ416">
            <v>0</v>
          </cell>
          <cell r="IA416">
            <v>0</v>
          </cell>
          <cell r="IB416">
            <v>144614</v>
          </cell>
        </row>
        <row r="417">
          <cell r="C417" t="str">
            <v>A0398</v>
          </cell>
          <cell r="D417" t="str">
            <v>PT Bhadra Sukses</v>
          </cell>
          <cell r="E417" t="str">
            <v>PEB 2</v>
          </cell>
          <cell r="F417" t="str">
            <v>35PEB 2</v>
          </cell>
          <cell r="J417">
            <v>10.214881696382514</v>
          </cell>
          <cell r="P417">
            <v>309279</v>
          </cell>
          <cell r="Q417">
            <v>457692.05489247415</v>
          </cell>
          <cell r="R417">
            <v>33388.282915745018</v>
          </cell>
          <cell r="S417">
            <v>0</v>
          </cell>
          <cell r="U417">
            <v>0</v>
          </cell>
          <cell r="W417">
            <v>98514</v>
          </cell>
          <cell r="X417">
            <v>0</v>
          </cell>
          <cell r="Y417">
            <v>0</v>
          </cell>
          <cell r="Z417">
            <v>407793</v>
          </cell>
        </row>
        <row r="418">
          <cell r="C418" t="str">
            <v>A0398</v>
          </cell>
          <cell r="D418" t="str">
            <v>PT Bhadra Sukses</v>
          </cell>
          <cell r="E418" t="str">
            <v>PEB 3</v>
          </cell>
          <cell r="F418" t="str">
            <v>35PEB 3</v>
          </cell>
          <cell r="J418">
            <v>0</v>
          </cell>
          <cell r="P418">
            <v>0</v>
          </cell>
          <cell r="Q418" t="str">
            <v xml:space="preserve"> </v>
          </cell>
          <cell r="R418" t="str">
            <v xml:space="preserve"> </v>
          </cell>
          <cell r="S418" t="str">
            <v xml:space="preserve"> </v>
          </cell>
          <cell r="U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</row>
        <row r="419">
          <cell r="C419" t="str">
            <v>A0398</v>
          </cell>
          <cell r="D419" t="str">
            <v>PT Bhadra Sukses</v>
          </cell>
          <cell r="E419" t="str">
            <v>PEB 4</v>
          </cell>
          <cell r="F419" t="str">
            <v>35PEB 4</v>
          </cell>
          <cell r="J419">
            <v>10.214881696382514</v>
          </cell>
          <cell r="P419">
            <v>452099</v>
          </cell>
          <cell r="Q419">
            <v>521855.75287641026</v>
          </cell>
          <cell r="R419">
            <v>47145.8835223805</v>
          </cell>
          <cell r="S419">
            <v>10710.73382670667</v>
          </cell>
          <cell r="U419">
            <v>0</v>
          </cell>
          <cell r="W419">
            <v>-348085</v>
          </cell>
          <cell r="X419">
            <v>-35174</v>
          </cell>
          <cell r="Y419">
            <v>2658</v>
          </cell>
          <cell r="Z419">
            <v>68840</v>
          </cell>
        </row>
        <row r="420">
          <cell r="C420" t="str">
            <v>A0398</v>
          </cell>
          <cell r="D420" t="str">
            <v>PT Bhadra Sukses</v>
          </cell>
          <cell r="E420" t="str">
            <v>PEB 5</v>
          </cell>
          <cell r="F420" t="str">
            <v>35PEB 5</v>
          </cell>
          <cell r="J420">
            <v>0</v>
          </cell>
          <cell r="P420">
            <v>0</v>
          </cell>
          <cell r="U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</row>
        <row r="421">
          <cell r="C421" t="str">
            <v>A0398</v>
          </cell>
          <cell r="D421" t="str">
            <v>PT Bhadra Sukses</v>
          </cell>
          <cell r="E421" t="str">
            <v>PEB 6</v>
          </cell>
          <cell r="F421" t="str">
            <v>35PEB 6</v>
          </cell>
          <cell r="J421">
            <v>0</v>
          </cell>
          <cell r="P421">
            <v>0</v>
          </cell>
          <cell r="U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</row>
        <row r="422">
          <cell r="C422" t="str">
            <v>A0398</v>
          </cell>
          <cell r="D422" t="str">
            <v>PT Bhadra Sukses</v>
          </cell>
          <cell r="E422" t="str">
            <v>PEB 7</v>
          </cell>
          <cell r="F422" t="str">
            <v>35PEB 7</v>
          </cell>
          <cell r="J422">
            <v>10.214881696382514</v>
          </cell>
          <cell r="P422">
            <v>34605</v>
          </cell>
          <cell r="Q422">
            <v>48688.675627125391</v>
          </cell>
          <cell r="R422">
            <v>4066.1918292847854</v>
          </cell>
          <cell r="S422">
            <v>5477.3738686350453</v>
          </cell>
          <cell r="U422">
            <v>0</v>
          </cell>
          <cell r="W422">
            <v>-24920</v>
          </cell>
          <cell r="X422">
            <v>0</v>
          </cell>
          <cell r="Y422">
            <v>0</v>
          </cell>
          <cell r="Z422">
            <v>9685</v>
          </cell>
        </row>
        <row r="423">
          <cell r="C423" t="str">
            <v>A0398</v>
          </cell>
          <cell r="D423" t="str">
            <v>PT Bhadra Sukses</v>
          </cell>
          <cell r="E423" t="str">
            <v>MPP</v>
          </cell>
          <cell r="F423" t="str">
            <v>35MPP</v>
          </cell>
          <cell r="J423">
            <v>0</v>
          </cell>
          <cell r="P423">
            <v>0</v>
          </cell>
          <cell r="Q423">
            <v>73686.281603803465</v>
          </cell>
          <cell r="R423">
            <v>5496.545246889129</v>
          </cell>
          <cell r="S423">
            <v>0</v>
          </cell>
          <cell r="U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</row>
        <row r="424">
          <cell r="C424" t="str">
            <v>A0398</v>
          </cell>
          <cell r="D424" t="str">
            <v>PT Bhadra Sukses</v>
          </cell>
          <cell r="E424" t="str">
            <v>ID</v>
          </cell>
          <cell r="F424" t="str">
            <v>35ID</v>
          </cell>
          <cell r="J424">
            <v>10.214881696382514</v>
          </cell>
          <cell r="P424">
            <v>4973</v>
          </cell>
          <cell r="Q424">
            <v>148541.69302954126</v>
          </cell>
          <cell r="R424">
            <v>11749.131678104541</v>
          </cell>
          <cell r="S424">
            <v>9859.8189697220514</v>
          </cell>
          <cell r="U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4973</v>
          </cell>
        </row>
        <row r="425">
          <cell r="C425" t="str">
            <v>A0398</v>
          </cell>
          <cell r="D425" t="str">
            <v>PT Bhadra Sukses</v>
          </cell>
          <cell r="E425" t="str">
            <v>LL</v>
          </cell>
          <cell r="F425" t="str">
            <v>35LL</v>
          </cell>
          <cell r="J425">
            <v>10.214881696382514</v>
          </cell>
          <cell r="P425">
            <v>89820</v>
          </cell>
          <cell r="Q425">
            <v>139800.24683559692</v>
          </cell>
          <cell r="R425">
            <v>51615.621833525787</v>
          </cell>
          <cell r="S425">
            <v>53818.452732457474</v>
          </cell>
          <cell r="U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89820</v>
          </cell>
        </row>
        <row r="426">
          <cell r="C426" t="str">
            <v>A0398</v>
          </cell>
          <cell r="D426" t="str">
            <v>PT Bhadra Sukses</v>
          </cell>
          <cell r="E426" t="str">
            <v>PMK</v>
          </cell>
          <cell r="F426" t="str">
            <v>35PMK</v>
          </cell>
          <cell r="J426">
            <v>10.214881696382514</v>
          </cell>
          <cell r="P426">
            <v>144614</v>
          </cell>
          <cell r="Q426">
            <v>208146.5590632346</v>
          </cell>
          <cell r="R426">
            <v>24182.526658579707</v>
          </cell>
          <cell r="S426">
            <v>19687.5</v>
          </cell>
          <cell r="U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144614</v>
          </cell>
        </row>
        <row r="428">
          <cell r="C428" t="str">
            <v>A0210</v>
          </cell>
          <cell r="D428" t="str">
            <v>PT Bina Pertiwi</v>
          </cell>
          <cell r="E428" t="str">
            <v>PEB 1</v>
          </cell>
          <cell r="F428" t="str">
            <v>36PEB 1</v>
          </cell>
          <cell r="G428">
            <v>0.1</v>
          </cell>
          <cell r="H428">
            <v>0.1</v>
          </cell>
          <cell r="I428">
            <v>0.09</v>
          </cell>
          <cell r="J428">
            <v>7.0707667592655259</v>
          </cell>
          <cell r="K428">
            <v>6.2390182999515069</v>
          </cell>
          <cell r="L428">
            <v>203184</v>
          </cell>
          <cell r="N428">
            <v>449784.3248</v>
          </cell>
          <cell r="O428">
            <v>49690.752</v>
          </cell>
          <cell r="P428">
            <v>3360166</v>
          </cell>
          <cell r="Q428">
            <v>4457481.3949222993</v>
          </cell>
          <cell r="R428">
            <v>185621.38181717385</v>
          </cell>
          <cell r="S428">
            <v>139694.36188452714</v>
          </cell>
          <cell r="U428">
            <v>-2919655</v>
          </cell>
          <cell r="V428">
            <v>3794350.392266667</v>
          </cell>
          <cell r="W428">
            <v>-179811</v>
          </cell>
          <cell r="X428">
            <v>0</v>
          </cell>
          <cell r="Y428">
            <v>0</v>
          </cell>
          <cell r="Z428">
            <v>260700</v>
          </cell>
          <cell r="AB428">
            <v>0.1</v>
          </cell>
          <cell r="AC428">
            <v>0</v>
          </cell>
          <cell r="AD428">
            <v>0.09</v>
          </cell>
          <cell r="AE428">
            <v>10.394555467434834</v>
          </cell>
          <cell r="AF428">
            <v>16.540278498635466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1792778</v>
          </cell>
          <cell r="AL428">
            <v>2157920.0061951592</v>
          </cell>
          <cell r="AM428">
            <v>144894.36655384378</v>
          </cell>
          <cell r="AN428">
            <v>37366.29</v>
          </cell>
          <cell r="AO428">
            <v>0</v>
          </cell>
          <cell r="AP428">
            <v>0</v>
          </cell>
          <cell r="AQ428">
            <v>0</v>
          </cell>
          <cell r="AR428">
            <v>-329285</v>
          </cell>
          <cell r="AS428">
            <v>-910665</v>
          </cell>
          <cell r="AT428">
            <v>50839</v>
          </cell>
          <cell r="AU428">
            <v>552828</v>
          </cell>
          <cell r="AW428">
            <v>0.1</v>
          </cell>
          <cell r="AX428">
            <v>0</v>
          </cell>
          <cell r="AY428">
            <v>0.09</v>
          </cell>
          <cell r="AZ428">
            <v>7.0707667592655259</v>
          </cell>
          <cell r="BA428">
            <v>6.2390182999515069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450029</v>
          </cell>
          <cell r="BG428">
            <v>331177.75039542734</v>
          </cell>
          <cell r="BH428">
            <v>15088.827858574467</v>
          </cell>
          <cell r="BI428">
            <v>36321.14936666665</v>
          </cell>
          <cell r="BJ428">
            <v>0</v>
          </cell>
          <cell r="BK428">
            <v>0</v>
          </cell>
          <cell r="BL428">
            <v>0</v>
          </cell>
          <cell r="BM428">
            <v>-440498</v>
          </cell>
          <cell r="BN428">
            <v>-86105</v>
          </cell>
          <cell r="BO428">
            <v>6791</v>
          </cell>
          <cell r="BP428">
            <v>-76574</v>
          </cell>
          <cell r="BR428">
            <v>0.1</v>
          </cell>
          <cell r="BS428">
            <v>0</v>
          </cell>
          <cell r="BT428">
            <v>0.09</v>
          </cell>
          <cell r="BU428">
            <v>10.10376121286486</v>
          </cell>
          <cell r="BV428">
            <v>18.683360610889199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205388</v>
          </cell>
          <cell r="CB428">
            <v>467521.95227084827</v>
          </cell>
          <cell r="CC428">
            <v>60660.238802382206</v>
          </cell>
          <cell r="CD428">
            <v>10898.965197478157</v>
          </cell>
          <cell r="CE428">
            <v>0</v>
          </cell>
          <cell r="CF428">
            <v>0</v>
          </cell>
          <cell r="CG428">
            <v>0</v>
          </cell>
          <cell r="CH428">
            <v>-118905</v>
          </cell>
          <cell r="CI428">
            <v>-17489</v>
          </cell>
          <cell r="CJ428">
            <v>960</v>
          </cell>
          <cell r="CK428">
            <v>68994</v>
          </cell>
          <cell r="CM428">
            <v>0.1</v>
          </cell>
          <cell r="CN428">
            <v>0</v>
          </cell>
          <cell r="CO428">
            <v>0.09</v>
          </cell>
          <cell r="CP428">
            <v>7.4708244493268534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32590</v>
          </cell>
          <cell r="CW428">
            <v>142449.68556866009</v>
          </cell>
          <cell r="CX428">
            <v>94669.160578187482</v>
          </cell>
          <cell r="CY428">
            <v>0</v>
          </cell>
          <cell r="CZ428">
            <v>0</v>
          </cell>
          <cell r="DA428">
            <v>0</v>
          </cell>
          <cell r="DB428">
            <v>0</v>
          </cell>
          <cell r="DC428">
            <v>-9316</v>
          </cell>
          <cell r="DD428">
            <v>0</v>
          </cell>
          <cell r="DE428">
            <v>0</v>
          </cell>
          <cell r="DF428">
            <v>23274</v>
          </cell>
          <cell r="DH428">
            <v>0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0</v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C428">
            <v>0.1</v>
          </cell>
          <cell r="ED428">
            <v>0</v>
          </cell>
          <cell r="EE428">
            <v>0.09</v>
          </cell>
          <cell r="EF428">
            <v>10.394555467434834</v>
          </cell>
          <cell r="EG428">
            <v>16.540278498635466</v>
          </cell>
          <cell r="EH428">
            <v>0</v>
          </cell>
          <cell r="EI428">
            <v>0</v>
          </cell>
          <cell r="EJ428">
            <v>0</v>
          </cell>
          <cell r="EK428">
            <v>0</v>
          </cell>
          <cell r="EL428">
            <v>91564</v>
          </cell>
          <cell r="EM428">
            <v>131866.13704423187</v>
          </cell>
          <cell r="EN428">
            <v>18567.398172809</v>
          </cell>
          <cell r="EO428">
            <v>16895.875701642875</v>
          </cell>
          <cell r="EP428">
            <v>0</v>
          </cell>
          <cell r="EQ428">
            <v>0</v>
          </cell>
          <cell r="ER428">
            <v>0</v>
          </cell>
          <cell r="ES428">
            <v>-86905</v>
          </cell>
          <cell r="ET428">
            <v>0</v>
          </cell>
          <cell r="EU428">
            <v>0</v>
          </cell>
          <cell r="EV428">
            <v>4659</v>
          </cell>
          <cell r="EX428">
            <v>0.1</v>
          </cell>
          <cell r="EY428">
            <v>0</v>
          </cell>
          <cell r="EZ428">
            <v>0.09</v>
          </cell>
          <cell r="FA428">
            <v>10.394555467434834</v>
          </cell>
          <cell r="FB428">
            <v>16.540278498635466</v>
          </cell>
          <cell r="FC428">
            <v>0</v>
          </cell>
          <cell r="FD428">
            <v>0</v>
          </cell>
          <cell r="FE428">
            <v>0</v>
          </cell>
          <cell r="FF428">
            <v>0</v>
          </cell>
          <cell r="FG428">
            <v>2122</v>
          </cell>
          <cell r="FH428">
            <v>504649.45967987564</v>
          </cell>
          <cell r="FI428">
            <v>38258.032722402451</v>
          </cell>
          <cell r="FJ428">
            <v>12455.43</v>
          </cell>
          <cell r="FK428">
            <v>0</v>
          </cell>
          <cell r="FL428">
            <v>0</v>
          </cell>
          <cell r="FM428">
            <v>0</v>
          </cell>
          <cell r="FN428">
            <v>0</v>
          </cell>
          <cell r="FO428">
            <v>-1877</v>
          </cell>
          <cell r="FP428">
            <v>143</v>
          </cell>
          <cell r="FQ428">
            <v>245</v>
          </cell>
          <cell r="FS428">
            <v>0.1</v>
          </cell>
          <cell r="FT428">
            <v>0</v>
          </cell>
          <cell r="FU428">
            <v>0.09</v>
          </cell>
          <cell r="FV428">
            <v>10.394555467434834</v>
          </cell>
          <cell r="FW428">
            <v>16.540278498635466</v>
          </cell>
          <cell r="FX428">
            <v>0</v>
          </cell>
          <cell r="FY428">
            <v>0</v>
          </cell>
          <cell r="FZ428">
            <v>0</v>
          </cell>
          <cell r="GA428">
            <v>0</v>
          </cell>
          <cell r="GB428">
            <v>32886</v>
          </cell>
          <cell r="GC428">
            <v>342157.96560024738</v>
          </cell>
          <cell r="GD428">
            <v>37318.341912420947</v>
          </cell>
          <cell r="GE428">
            <v>39820.676194122738</v>
          </cell>
          <cell r="GF428">
            <v>0</v>
          </cell>
          <cell r="GG428">
            <v>0</v>
          </cell>
          <cell r="GH428">
            <v>0</v>
          </cell>
          <cell r="GI428">
            <v>0</v>
          </cell>
          <cell r="GJ428">
            <v>0</v>
          </cell>
          <cell r="GK428">
            <v>0</v>
          </cell>
          <cell r="GL428">
            <v>32886</v>
          </cell>
          <cell r="GN428">
            <v>0.1</v>
          </cell>
          <cell r="GO428">
            <v>0</v>
          </cell>
          <cell r="GP428">
            <v>0.09</v>
          </cell>
          <cell r="GQ428">
            <v>10.394555467434834</v>
          </cell>
          <cell r="GR428">
            <v>16.540278498635466</v>
          </cell>
          <cell r="GS428">
            <v>0</v>
          </cell>
          <cell r="GT428">
            <v>0</v>
          </cell>
          <cell r="GU428">
            <v>0</v>
          </cell>
          <cell r="GV428">
            <v>0</v>
          </cell>
          <cell r="GW428">
            <v>316834</v>
          </cell>
          <cell r="GX428">
            <v>389998</v>
          </cell>
          <cell r="GY428">
            <v>150311</v>
          </cell>
          <cell r="GZ428">
            <v>129090.44061917</v>
          </cell>
          <cell r="HA428">
            <v>0</v>
          </cell>
          <cell r="HB428">
            <v>0</v>
          </cell>
          <cell r="HC428">
            <v>0</v>
          </cell>
          <cell r="HD428">
            <v>0</v>
          </cell>
          <cell r="HE428">
            <v>0</v>
          </cell>
          <cell r="HF428">
            <v>0</v>
          </cell>
          <cell r="HG428">
            <v>316834</v>
          </cell>
          <cell r="HI428">
            <v>0.1</v>
          </cell>
          <cell r="HJ428">
            <v>0</v>
          </cell>
          <cell r="HK428">
            <v>0.09</v>
          </cell>
          <cell r="HL428">
            <v>10.394555467434834</v>
          </cell>
          <cell r="HM428">
            <v>16.540278498635466</v>
          </cell>
          <cell r="HN428">
            <v>0</v>
          </cell>
          <cell r="HO428">
            <v>0</v>
          </cell>
          <cell r="HP428">
            <v>0</v>
          </cell>
          <cell r="HQ428">
            <v>0</v>
          </cell>
          <cell r="HR428">
            <v>158437</v>
          </cell>
          <cell r="HS428">
            <v>386645.90804055432</v>
          </cell>
          <cell r="HT428">
            <v>66772.409342337502</v>
          </cell>
          <cell r="HU428">
            <v>39255.25</v>
          </cell>
          <cell r="HV428">
            <v>0</v>
          </cell>
          <cell r="HW428">
            <v>0</v>
          </cell>
          <cell r="HX428">
            <v>0</v>
          </cell>
          <cell r="HY428">
            <v>0</v>
          </cell>
          <cell r="HZ428">
            <v>0</v>
          </cell>
          <cell r="IA428">
            <v>0</v>
          </cell>
          <cell r="IB428">
            <v>158437</v>
          </cell>
        </row>
        <row r="429">
          <cell r="C429" t="str">
            <v>A0210</v>
          </cell>
          <cell r="D429" t="str">
            <v>PT Bina Pertiwi</v>
          </cell>
          <cell r="E429" t="str">
            <v>PEB 2</v>
          </cell>
          <cell r="F429" t="str">
            <v>36PEB 2</v>
          </cell>
          <cell r="G429">
            <v>0.1</v>
          </cell>
          <cell r="I429">
            <v>0.09</v>
          </cell>
          <cell r="J429">
            <v>10.394555467434834</v>
          </cell>
          <cell r="K429">
            <v>16.540278498635466</v>
          </cell>
          <cell r="P429">
            <v>1792778</v>
          </cell>
          <cell r="Q429">
            <v>2157920.0061951592</v>
          </cell>
          <cell r="R429">
            <v>144894.36655384378</v>
          </cell>
          <cell r="S429">
            <v>37366.29</v>
          </cell>
          <cell r="U429">
            <v>0</v>
          </cell>
          <cell r="W429">
            <v>-329285</v>
          </cell>
          <cell r="X429">
            <v>-910665</v>
          </cell>
          <cell r="Y429">
            <v>50839</v>
          </cell>
          <cell r="Z429">
            <v>552828</v>
          </cell>
        </row>
        <row r="430">
          <cell r="C430" t="str">
            <v>A0210</v>
          </cell>
          <cell r="D430" t="str">
            <v>PT Bina Pertiwi</v>
          </cell>
          <cell r="E430" t="str">
            <v>PEB 3</v>
          </cell>
          <cell r="F430" t="str">
            <v>36PEB 3</v>
          </cell>
          <cell r="G430">
            <v>0.1</v>
          </cell>
          <cell r="I430">
            <v>0.09</v>
          </cell>
          <cell r="J430">
            <v>7.0707667592655259</v>
          </cell>
          <cell r="K430">
            <v>6.2390182999515069</v>
          </cell>
          <cell r="P430">
            <v>450029</v>
          </cell>
          <cell r="Q430">
            <v>331177.75039542734</v>
          </cell>
          <cell r="R430">
            <v>15088.827858574467</v>
          </cell>
          <cell r="S430">
            <v>36321.14936666665</v>
          </cell>
          <cell r="U430">
            <v>0</v>
          </cell>
          <cell r="W430">
            <v>-440498</v>
          </cell>
          <cell r="X430">
            <v>-86105</v>
          </cell>
          <cell r="Y430">
            <v>6791</v>
          </cell>
          <cell r="Z430">
            <v>-76574</v>
          </cell>
        </row>
        <row r="431">
          <cell r="C431" t="str">
            <v>A0210</v>
          </cell>
          <cell r="D431" t="str">
            <v>PT Bina Pertiwi</v>
          </cell>
          <cell r="E431" t="str">
            <v>PEB 4</v>
          </cell>
          <cell r="F431" t="str">
            <v>36PEB 4</v>
          </cell>
          <cell r="G431">
            <v>0.1</v>
          </cell>
          <cell r="I431">
            <v>0.09</v>
          </cell>
          <cell r="J431">
            <v>10.10376121286486</v>
          </cell>
          <cell r="K431">
            <v>18.683360610889199</v>
          </cell>
          <cell r="P431">
            <v>205388</v>
          </cell>
          <cell r="Q431">
            <v>467521.95227084827</v>
          </cell>
          <cell r="R431">
            <v>60660.238802382206</v>
          </cell>
          <cell r="S431">
            <v>10898.965197478157</v>
          </cell>
          <cell r="U431">
            <v>0</v>
          </cell>
          <cell r="W431">
            <v>-118905</v>
          </cell>
          <cell r="X431">
            <v>-17489</v>
          </cell>
          <cell r="Y431">
            <v>960</v>
          </cell>
          <cell r="Z431">
            <v>68994</v>
          </cell>
        </row>
        <row r="432">
          <cell r="C432" t="str">
            <v>A0210</v>
          </cell>
          <cell r="D432" t="str">
            <v>PT Bina Pertiwi</v>
          </cell>
          <cell r="E432" t="str">
            <v>PEB 5</v>
          </cell>
          <cell r="F432" t="str">
            <v>36PEB 5</v>
          </cell>
          <cell r="G432">
            <v>0.1</v>
          </cell>
          <cell r="I432">
            <v>0.09</v>
          </cell>
          <cell r="J432">
            <v>7.4708244493268534</v>
          </cell>
          <cell r="P432">
            <v>32590</v>
          </cell>
          <cell r="Q432">
            <v>142449.68556866009</v>
          </cell>
          <cell r="R432">
            <v>94669.160578187482</v>
          </cell>
          <cell r="S432">
            <v>0</v>
          </cell>
          <cell r="U432">
            <v>0</v>
          </cell>
          <cell r="W432">
            <v>-9316</v>
          </cell>
          <cell r="X432">
            <v>0</v>
          </cell>
          <cell r="Y432">
            <v>0</v>
          </cell>
          <cell r="Z432">
            <v>23274</v>
          </cell>
        </row>
        <row r="433">
          <cell r="C433" t="str">
            <v>A0210</v>
          </cell>
          <cell r="D433" t="str">
            <v>PT Bina Pertiwi</v>
          </cell>
          <cell r="E433" t="str">
            <v>PEB 6</v>
          </cell>
          <cell r="F433" t="str">
            <v>36PEB 6</v>
          </cell>
          <cell r="J433">
            <v>0</v>
          </cell>
          <cell r="P433">
            <v>0</v>
          </cell>
          <cell r="U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</row>
        <row r="434">
          <cell r="C434" t="str">
            <v>A0210</v>
          </cell>
          <cell r="D434" t="str">
            <v>PT Bina Pertiwi</v>
          </cell>
          <cell r="E434" t="str">
            <v>PEB 7</v>
          </cell>
          <cell r="F434" t="str">
            <v>36PEB 7</v>
          </cell>
          <cell r="G434">
            <v>0.1</v>
          </cell>
          <cell r="I434">
            <v>0.09</v>
          </cell>
          <cell r="J434">
            <v>10.394555467434834</v>
          </cell>
          <cell r="K434">
            <v>16.540278498635466</v>
          </cell>
          <cell r="P434">
            <v>91564</v>
          </cell>
          <cell r="Q434">
            <v>131866.13704423187</v>
          </cell>
          <cell r="R434">
            <v>18567.398172809</v>
          </cell>
          <cell r="S434">
            <v>16895.875701642875</v>
          </cell>
          <cell r="U434">
            <v>0</v>
          </cell>
          <cell r="W434">
            <v>-86905</v>
          </cell>
          <cell r="X434">
            <v>0</v>
          </cell>
          <cell r="Y434">
            <v>0</v>
          </cell>
          <cell r="Z434">
            <v>4659</v>
          </cell>
        </row>
        <row r="435">
          <cell r="C435" t="str">
            <v>A0210</v>
          </cell>
          <cell r="D435" t="str">
            <v>PT Bina Pertiwi</v>
          </cell>
          <cell r="E435" t="str">
            <v>MPP</v>
          </cell>
          <cell r="F435" t="str">
            <v>36MPP</v>
          </cell>
          <cell r="G435">
            <v>0.1</v>
          </cell>
          <cell r="I435">
            <v>0.09</v>
          </cell>
          <cell r="J435">
            <v>10.394555467434834</v>
          </cell>
          <cell r="K435">
            <v>16.540278498635466</v>
          </cell>
          <cell r="P435">
            <v>2122</v>
          </cell>
          <cell r="Q435">
            <v>504649.45967987564</v>
          </cell>
          <cell r="R435">
            <v>38258.032722402451</v>
          </cell>
          <cell r="S435">
            <v>12455.43</v>
          </cell>
          <cell r="U435">
            <v>0</v>
          </cell>
          <cell r="W435">
            <v>0</v>
          </cell>
          <cell r="X435">
            <v>-1877</v>
          </cell>
          <cell r="Y435">
            <v>143</v>
          </cell>
          <cell r="Z435">
            <v>245</v>
          </cell>
        </row>
        <row r="436">
          <cell r="C436" t="str">
            <v>A0210</v>
          </cell>
          <cell r="D436" t="str">
            <v>PT Bina Pertiwi</v>
          </cell>
          <cell r="E436" t="str">
            <v>ID</v>
          </cell>
          <cell r="F436" t="str">
            <v>36ID</v>
          </cell>
          <cell r="G436">
            <v>0.1</v>
          </cell>
          <cell r="I436">
            <v>0.09</v>
          </cell>
          <cell r="J436">
            <v>10.394555467434834</v>
          </cell>
          <cell r="K436">
            <v>16.540278498635466</v>
          </cell>
          <cell r="P436">
            <v>32886</v>
          </cell>
          <cell r="Q436">
            <v>342157.96560024738</v>
          </cell>
          <cell r="R436">
            <v>37318.341912420947</v>
          </cell>
          <cell r="S436">
            <v>39820.676194122738</v>
          </cell>
          <cell r="U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32886</v>
          </cell>
        </row>
        <row r="437">
          <cell r="C437" t="str">
            <v>A0210</v>
          </cell>
          <cell r="D437" t="str">
            <v>PT Bina Pertiwi</v>
          </cell>
          <cell r="E437" t="str">
            <v>LL</v>
          </cell>
          <cell r="F437" t="str">
            <v>36LL</v>
          </cell>
          <cell r="G437">
            <v>0.1</v>
          </cell>
          <cell r="I437">
            <v>0.09</v>
          </cell>
          <cell r="J437">
            <v>10.394555467434834</v>
          </cell>
          <cell r="K437">
            <v>16.540278498635466</v>
          </cell>
          <cell r="P437">
            <v>316834</v>
          </cell>
          <cell r="Q437">
            <v>389998</v>
          </cell>
          <cell r="R437">
            <v>150311</v>
          </cell>
          <cell r="S437">
            <v>129090.44061917</v>
          </cell>
          <cell r="U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316834</v>
          </cell>
        </row>
        <row r="438">
          <cell r="C438" t="str">
            <v>A0210</v>
          </cell>
          <cell r="D438" t="str">
            <v>PT Bina Pertiwi</v>
          </cell>
          <cell r="E438" t="str">
            <v>PMK</v>
          </cell>
          <cell r="F438" t="str">
            <v>36PMK</v>
          </cell>
          <cell r="G438">
            <v>0.1</v>
          </cell>
          <cell r="I438">
            <v>0.09</v>
          </cell>
          <cell r="J438">
            <v>10.394555467434834</v>
          </cell>
          <cell r="K438">
            <v>16.540278498635466</v>
          </cell>
          <cell r="P438">
            <v>158437</v>
          </cell>
          <cell r="Q438">
            <v>386645.90804055432</v>
          </cell>
          <cell r="R438">
            <v>66772.409342337502</v>
          </cell>
          <cell r="S438">
            <v>39255.25</v>
          </cell>
          <cell r="U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158437</v>
          </cell>
        </row>
        <row r="440">
          <cell r="C440" t="str">
            <v>A0415</v>
          </cell>
          <cell r="D440" t="str">
            <v>PT Borneo Indah Marjaya</v>
          </cell>
          <cell r="E440" t="str">
            <v>PEB 1</v>
          </cell>
          <cell r="F440" t="str">
            <v>37PEB 1</v>
          </cell>
          <cell r="J440">
            <v>0</v>
          </cell>
          <cell r="N440">
            <v>0</v>
          </cell>
          <cell r="O440">
            <v>0</v>
          </cell>
          <cell r="P440">
            <v>0</v>
          </cell>
          <cell r="Q440" t="str">
            <v xml:space="preserve"> </v>
          </cell>
          <cell r="R440" t="str">
            <v xml:space="preserve"> </v>
          </cell>
          <cell r="S440" t="str">
            <v xml:space="preserve"> 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10.15893029699787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158694</v>
          </cell>
          <cell r="AL440">
            <v>145777.30684801805</v>
          </cell>
          <cell r="AM440">
            <v>35202.567309979146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-19734</v>
          </cell>
          <cell r="AS440">
            <v>0</v>
          </cell>
          <cell r="AT440">
            <v>0</v>
          </cell>
          <cell r="AU440">
            <v>138960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 t="str">
            <v xml:space="preserve"> </v>
          </cell>
          <cell r="BH440" t="str">
            <v xml:space="preserve"> </v>
          </cell>
          <cell r="BI440" t="str">
            <v xml:space="preserve"> 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10.15893029699787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273469</v>
          </cell>
          <cell r="CB440">
            <v>559640.52972589957</v>
          </cell>
          <cell r="CC440">
            <v>144264.73628838375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-140293</v>
          </cell>
          <cell r="CI440">
            <v>0</v>
          </cell>
          <cell r="CJ440">
            <v>0</v>
          </cell>
          <cell r="CK440">
            <v>133176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B440">
            <v>0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H440">
            <v>0</v>
          </cell>
          <cell r="DI440">
            <v>0</v>
          </cell>
          <cell r="DJ440">
            <v>0</v>
          </cell>
          <cell r="DK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0</v>
          </cell>
          <cell r="DU440">
            <v>0</v>
          </cell>
          <cell r="DV440">
            <v>0</v>
          </cell>
          <cell r="DW440">
            <v>0</v>
          </cell>
          <cell r="DX440">
            <v>0</v>
          </cell>
          <cell r="DY440">
            <v>0</v>
          </cell>
          <cell r="DZ440">
            <v>0</v>
          </cell>
          <cell r="EA440">
            <v>0</v>
          </cell>
          <cell r="EC440">
            <v>0</v>
          </cell>
          <cell r="ED440">
            <v>0</v>
          </cell>
          <cell r="EE440">
            <v>0</v>
          </cell>
          <cell r="EF440">
            <v>10.15893029699787</v>
          </cell>
          <cell r="EG440">
            <v>0</v>
          </cell>
          <cell r="EH440">
            <v>0</v>
          </cell>
          <cell r="EI440">
            <v>0</v>
          </cell>
          <cell r="EJ440">
            <v>0</v>
          </cell>
          <cell r="EK440">
            <v>0</v>
          </cell>
          <cell r="EL440">
            <v>17326</v>
          </cell>
          <cell r="EM440">
            <v>23163.560052589728</v>
          </cell>
          <cell r="EN440">
            <v>7845.5239484757594</v>
          </cell>
          <cell r="EO440">
            <v>1148.7340810749124</v>
          </cell>
          <cell r="EP440">
            <v>0</v>
          </cell>
          <cell r="EQ440">
            <v>0</v>
          </cell>
          <cell r="ER440">
            <v>0</v>
          </cell>
          <cell r="ES440">
            <v>358</v>
          </cell>
          <cell r="ET440">
            <v>0</v>
          </cell>
          <cell r="EU440">
            <v>0</v>
          </cell>
          <cell r="EV440">
            <v>17684</v>
          </cell>
          <cell r="EX440">
            <v>0</v>
          </cell>
          <cell r="EY440">
            <v>0</v>
          </cell>
          <cell r="EZ440">
            <v>0</v>
          </cell>
          <cell r="FA440">
            <v>0</v>
          </cell>
          <cell r="FB440">
            <v>0</v>
          </cell>
          <cell r="FC440">
            <v>0</v>
          </cell>
          <cell r="FD440">
            <v>0</v>
          </cell>
          <cell r="FE440">
            <v>0</v>
          </cell>
          <cell r="FF440">
            <v>0</v>
          </cell>
          <cell r="FG440">
            <v>0</v>
          </cell>
          <cell r="FH440">
            <v>28438.604278166393</v>
          </cell>
          <cell r="FI440">
            <v>7524.7594597010047</v>
          </cell>
          <cell r="FJ440">
            <v>0</v>
          </cell>
          <cell r="FK440">
            <v>0</v>
          </cell>
          <cell r="FL440">
            <v>0</v>
          </cell>
          <cell r="FM440">
            <v>0</v>
          </cell>
          <cell r="FN440">
            <v>0</v>
          </cell>
          <cell r="FO440">
            <v>0</v>
          </cell>
          <cell r="FP440">
            <v>0</v>
          </cell>
          <cell r="FQ440">
            <v>0</v>
          </cell>
          <cell r="FS440">
            <v>0</v>
          </cell>
          <cell r="FT440">
            <v>0</v>
          </cell>
          <cell r="FU440">
            <v>0</v>
          </cell>
          <cell r="FV440">
            <v>10.15893029699787</v>
          </cell>
          <cell r="FW440">
            <v>0</v>
          </cell>
          <cell r="FX440">
            <v>0</v>
          </cell>
          <cell r="FY440">
            <v>0</v>
          </cell>
          <cell r="FZ440">
            <v>0</v>
          </cell>
          <cell r="GA440">
            <v>0</v>
          </cell>
          <cell r="GB440">
            <v>2723</v>
          </cell>
          <cell r="GC440">
            <v>61777.932988737681</v>
          </cell>
          <cell r="GD440">
            <v>18453.676161554344</v>
          </cell>
          <cell r="GE440">
            <v>3548.9638734744058</v>
          </cell>
          <cell r="GF440">
            <v>0</v>
          </cell>
          <cell r="GG440">
            <v>0</v>
          </cell>
          <cell r="GH440">
            <v>0</v>
          </cell>
          <cell r="GI440">
            <v>0</v>
          </cell>
          <cell r="GJ440">
            <v>0</v>
          </cell>
          <cell r="GK440">
            <v>0</v>
          </cell>
          <cell r="GL440">
            <v>2723</v>
          </cell>
          <cell r="GN440">
            <v>0</v>
          </cell>
          <cell r="GO440">
            <v>0</v>
          </cell>
          <cell r="GP440">
            <v>0</v>
          </cell>
          <cell r="GQ440">
            <v>10.15893029699787</v>
          </cell>
          <cell r="GR440">
            <v>0</v>
          </cell>
          <cell r="GS440">
            <v>0</v>
          </cell>
          <cell r="GT440">
            <v>0</v>
          </cell>
          <cell r="GU440">
            <v>0</v>
          </cell>
          <cell r="GV440">
            <v>0</v>
          </cell>
          <cell r="GW440">
            <v>91486</v>
          </cell>
          <cell r="GX440">
            <v>130327.65086379545</v>
          </cell>
          <cell r="GY440">
            <v>59529.057154973976</v>
          </cell>
          <cell r="GZ440">
            <v>8297.2099267720314</v>
          </cell>
          <cell r="HA440">
            <v>0</v>
          </cell>
          <cell r="HB440">
            <v>0</v>
          </cell>
          <cell r="HC440">
            <v>0</v>
          </cell>
          <cell r="HD440">
            <v>0</v>
          </cell>
          <cell r="HE440">
            <v>0</v>
          </cell>
          <cell r="HF440">
            <v>0</v>
          </cell>
          <cell r="HG440">
            <v>91486</v>
          </cell>
          <cell r="HI440">
            <v>0</v>
          </cell>
          <cell r="HJ440">
            <v>0</v>
          </cell>
          <cell r="HK440">
            <v>0</v>
          </cell>
          <cell r="HL440">
            <v>10.15893029699787</v>
          </cell>
          <cell r="HM440">
            <v>0</v>
          </cell>
          <cell r="HN440">
            <v>0</v>
          </cell>
          <cell r="HO440">
            <v>0</v>
          </cell>
          <cell r="HP440">
            <v>0</v>
          </cell>
          <cell r="HQ440">
            <v>0</v>
          </cell>
          <cell r="HR440">
            <v>19123</v>
          </cell>
          <cell r="HS440">
            <v>44345.109944273136</v>
          </cell>
          <cell r="HT440">
            <v>15467.809046452125</v>
          </cell>
          <cell r="HU440">
            <v>1575</v>
          </cell>
          <cell r="HV440">
            <v>0</v>
          </cell>
          <cell r="HW440">
            <v>0</v>
          </cell>
          <cell r="HX440">
            <v>0</v>
          </cell>
          <cell r="HY440">
            <v>0</v>
          </cell>
          <cell r="HZ440">
            <v>0</v>
          </cell>
          <cell r="IA440">
            <v>0</v>
          </cell>
          <cell r="IB440">
            <v>19123</v>
          </cell>
        </row>
        <row r="441">
          <cell r="C441" t="str">
            <v>A0415</v>
          </cell>
          <cell r="D441" t="str">
            <v>PT Borneo Indah Marjaya</v>
          </cell>
          <cell r="E441" t="str">
            <v>PEB 2</v>
          </cell>
          <cell r="F441" t="str">
            <v>37PEB 2</v>
          </cell>
          <cell r="J441">
            <v>10.15893029699787</v>
          </cell>
          <cell r="P441">
            <v>158694</v>
          </cell>
          <cell r="Q441">
            <v>145777.30684801805</v>
          </cell>
          <cell r="R441">
            <v>35202.567309979146</v>
          </cell>
          <cell r="S441">
            <v>0</v>
          </cell>
          <cell r="U441">
            <v>0</v>
          </cell>
          <cell r="W441">
            <v>-19734</v>
          </cell>
          <cell r="X441">
            <v>0</v>
          </cell>
          <cell r="Y441">
            <v>0</v>
          </cell>
          <cell r="Z441">
            <v>138960</v>
          </cell>
        </row>
        <row r="442">
          <cell r="C442" t="str">
            <v>A0415</v>
          </cell>
          <cell r="D442" t="str">
            <v>PT Borneo Indah Marjaya</v>
          </cell>
          <cell r="E442" t="str">
            <v>PEB 3</v>
          </cell>
          <cell r="F442" t="str">
            <v>37PEB 3</v>
          </cell>
          <cell r="J442">
            <v>0</v>
          </cell>
          <cell r="P442">
            <v>0</v>
          </cell>
          <cell r="Q442" t="str">
            <v xml:space="preserve"> </v>
          </cell>
          <cell r="R442" t="str">
            <v xml:space="preserve"> </v>
          </cell>
          <cell r="S442" t="str">
            <v xml:space="preserve"> </v>
          </cell>
          <cell r="U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</row>
        <row r="443">
          <cell r="C443" t="str">
            <v>A0415</v>
          </cell>
          <cell r="D443" t="str">
            <v>PT Borneo Indah Marjaya</v>
          </cell>
          <cell r="E443" t="str">
            <v>PEB 4</v>
          </cell>
          <cell r="F443" t="str">
            <v>37PEB 4</v>
          </cell>
          <cell r="J443">
            <v>10.15893029699787</v>
          </cell>
          <cell r="P443">
            <v>273469</v>
          </cell>
          <cell r="Q443">
            <v>559640.52972589957</v>
          </cell>
          <cell r="R443">
            <v>144264.73628838375</v>
          </cell>
          <cell r="S443">
            <v>0</v>
          </cell>
          <cell r="U443">
            <v>0</v>
          </cell>
          <cell r="W443">
            <v>-140293</v>
          </cell>
          <cell r="X443">
            <v>0</v>
          </cell>
          <cell r="Y443">
            <v>0</v>
          </cell>
          <cell r="Z443">
            <v>133176</v>
          </cell>
        </row>
        <row r="444">
          <cell r="C444" t="str">
            <v>A0415</v>
          </cell>
          <cell r="D444" t="str">
            <v>PT Borneo Indah Marjaya</v>
          </cell>
          <cell r="E444" t="str">
            <v>PEB 5</v>
          </cell>
          <cell r="F444" t="str">
            <v>37PEB 5</v>
          </cell>
          <cell r="J444">
            <v>0</v>
          </cell>
          <cell r="P444">
            <v>0</v>
          </cell>
          <cell r="U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</row>
        <row r="445">
          <cell r="C445" t="str">
            <v>A0415</v>
          </cell>
          <cell r="D445" t="str">
            <v>PT Borneo Indah Marjaya</v>
          </cell>
          <cell r="E445" t="str">
            <v>PEB 6</v>
          </cell>
          <cell r="F445" t="str">
            <v>37PEB 6</v>
          </cell>
          <cell r="J445">
            <v>0</v>
          </cell>
          <cell r="P445">
            <v>0</v>
          </cell>
          <cell r="U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</row>
        <row r="446">
          <cell r="C446" t="str">
            <v>A0415</v>
          </cell>
          <cell r="D446" t="str">
            <v>PT Borneo Indah Marjaya</v>
          </cell>
          <cell r="E446" t="str">
            <v>PEB 7</v>
          </cell>
          <cell r="F446" t="str">
            <v>37PEB 7</v>
          </cell>
          <cell r="J446">
            <v>10.15893029699787</v>
          </cell>
          <cell r="P446">
            <v>17326</v>
          </cell>
          <cell r="Q446">
            <v>23163.560052589728</v>
          </cell>
          <cell r="R446">
            <v>7845.5239484757594</v>
          </cell>
          <cell r="S446">
            <v>1148.7340810749124</v>
          </cell>
          <cell r="U446">
            <v>0</v>
          </cell>
          <cell r="W446">
            <v>358</v>
          </cell>
          <cell r="X446">
            <v>0</v>
          </cell>
          <cell r="Y446">
            <v>0</v>
          </cell>
          <cell r="Z446">
            <v>17684</v>
          </cell>
        </row>
        <row r="447">
          <cell r="C447" t="str">
            <v>A0415</v>
          </cell>
          <cell r="D447" t="str">
            <v>PT Borneo Indah Marjaya</v>
          </cell>
          <cell r="E447" t="str">
            <v>MPP</v>
          </cell>
          <cell r="F447" t="str">
            <v>37MPP</v>
          </cell>
          <cell r="J447">
            <v>0</v>
          </cell>
          <cell r="P447">
            <v>0</v>
          </cell>
          <cell r="Q447">
            <v>28438.604278166393</v>
          </cell>
          <cell r="R447">
            <v>7524.7594597010047</v>
          </cell>
          <cell r="S447">
            <v>0</v>
          </cell>
          <cell r="U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</row>
        <row r="448">
          <cell r="C448" t="str">
            <v>A0415</v>
          </cell>
          <cell r="D448" t="str">
            <v>PT Borneo Indah Marjaya</v>
          </cell>
          <cell r="E448" t="str">
            <v>ID</v>
          </cell>
          <cell r="F448" t="str">
            <v>37ID</v>
          </cell>
          <cell r="J448">
            <v>10.15893029699787</v>
          </cell>
          <cell r="P448">
            <v>2723</v>
          </cell>
          <cell r="Q448">
            <v>61777.932988737681</v>
          </cell>
          <cell r="R448">
            <v>18453.676161554344</v>
          </cell>
          <cell r="S448">
            <v>3548.9638734744058</v>
          </cell>
          <cell r="U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2723</v>
          </cell>
        </row>
        <row r="449">
          <cell r="C449" t="str">
            <v>A0415</v>
          </cell>
          <cell r="D449" t="str">
            <v>PT Borneo Indah Marjaya</v>
          </cell>
          <cell r="E449" t="str">
            <v>LL</v>
          </cell>
          <cell r="F449" t="str">
            <v>37LL</v>
          </cell>
          <cell r="J449">
            <v>10.15893029699787</v>
          </cell>
          <cell r="P449">
            <v>91486</v>
          </cell>
          <cell r="Q449">
            <v>130327.65086379545</v>
          </cell>
          <cell r="R449">
            <v>59529.057154973976</v>
          </cell>
          <cell r="S449">
            <v>8297.2099267720314</v>
          </cell>
          <cell r="U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91486</v>
          </cell>
        </row>
        <row r="450">
          <cell r="C450" t="str">
            <v>A0415</v>
          </cell>
          <cell r="D450" t="str">
            <v>PT Borneo Indah Marjaya</v>
          </cell>
          <cell r="E450" t="str">
            <v>PMK</v>
          </cell>
          <cell r="F450" t="str">
            <v>37PMK</v>
          </cell>
          <cell r="J450">
            <v>10.15893029699787</v>
          </cell>
          <cell r="P450">
            <v>19123</v>
          </cell>
          <cell r="Q450">
            <v>44345.109944273136</v>
          </cell>
          <cell r="R450">
            <v>15467.809046452125</v>
          </cell>
          <cell r="S450">
            <v>1575</v>
          </cell>
          <cell r="U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19123</v>
          </cell>
        </row>
        <row r="452">
          <cell r="C452" t="str">
            <v>A0232</v>
          </cell>
          <cell r="D452" t="str">
            <v>PT Brahmayasa Bahtera</v>
          </cell>
          <cell r="E452" t="str">
            <v>PEB 1</v>
          </cell>
          <cell r="F452" t="str">
            <v>38PEB 1</v>
          </cell>
          <cell r="N452">
            <v>0</v>
          </cell>
          <cell r="O452">
            <v>0</v>
          </cell>
          <cell r="P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B452">
            <v>0.1</v>
          </cell>
          <cell r="AC452">
            <v>0</v>
          </cell>
          <cell r="AD452">
            <v>0.09</v>
          </cell>
          <cell r="AE452">
            <v>10.070131254050001</v>
          </cell>
          <cell r="AF452">
            <v>15.05175888488645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17714</v>
          </cell>
          <cell r="AL452">
            <v>27558.127173723784</v>
          </cell>
          <cell r="AM452">
            <v>1819.5081062621582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-10700</v>
          </cell>
          <cell r="AS452">
            <v>0</v>
          </cell>
          <cell r="AT452">
            <v>0</v>
          </cell>
          <cell r="AU452">
            <v>7014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M452">
            <v>0.1</v>
          </cell>
          <cell r="CN452">
            <v>0</v>
          </cell>
          <cell r="CO452">
            <v>0.09</v>
          </cell>
          <cell r="CP452">
            <v>10.070131254050001</v>
          </cell>
          <cell r="CQ452">
            <v>15.05175888488645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57039</v>
          </cell>
          <cell r="CW452">
            <v>88737.169499390569</v>
          </cell>
          <cell r="CX452">
            <v>5858.816102164149</v>
          </cell>
          <cell r="CY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-11043</v>
          </cell>
          <cell r="DD452">
            <v>0</v>
          </cell>
          <cell r="DE452">
            <v>0</v>
          </cell>
          <cell r="DF452">
            <v>45996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C452">
            <v>0.1</v>
          </cell>
          <cell r="ED452">
            <v>0</v>
          </cell>
          <cell r="EE452">
            <v>0.09</v>
          </cell>
          <cell r="EF452">
            <v>10.070131254050001</v>
          </cell>
          <cell r="EG452">
            <v>15.05175888488645</v>
          </cell>
          <cell r="EH452">
            <v>0</v>
          </cell>
          <cell r="EI452">
            <v>0</v>
          </cell>
          <cell r="EJ452">
            <v>0</v>
          </cell>
          <cell r="EK452">
            <v>0</v>
          </cell>
          <cell r="EL452">
            <v>2192</v>
          </cell>
          <cell r="EM452">
            <v>3388.368003702743</v>
          </cell>
          <cell r="EN452">
            <v>225.58166342018555</v>
          </cell>
          <cell r="EO452">
            <v>402.2749390277715</v>
          </cell>
          <cell r="EP452">
            <v>0</v>
          </cell>
          <cell r="EQ452">
            <v>0</v>
          </cell>
          <cell r="ER452">
            <v>0</v>
          </cell>
          <cell r="ES452">
            <v>-1618</v>
          </cell>
          <cell r="ET452">
            <v>0</v>
          </cell>
          <cell r="EU452">
            <v>0</v>
          </cell>
          <cell r="EV452">
            <v>574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S452">
            <v>0.1</v>
          </cell>
          <cell r="FT452">
            <v>0</v>
          </cell>
          <cell r="FU452">
            <v>0.09</v>
          </cell>
          <cell r="FV452">
            <v>10.070131254050001</v>
          </cell>
          <cell r="FW452">
            <v>15.05175888488645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190</v>
          </cell>
          <cell r="GC452">
            <v>9748.7973410984705</v>
          </cell>
          <cell r="GD452">
            <v>645.51467780192047</v>
          </cell>
          <cell r="GE452">
            <v>484.74114053464382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190</v>
          </cell>
          <cell r="GN452">
            <v>0.1</v>
          </cell>
          <cell r="GO452">
            <v>0</v>
          </cell>
          <cell r="GP452">
            <v>0.09</v>
          </cell>
          <cell r="GQ452">
            <v>10.070131254050001</v>
          </cell>
          <cell r="GR452">
            <v>15.05175888488645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12275</v>
          </cell>
          <cell r="GX452">
            <v>8706.077137434555</v>
          </cell>
          <cell r="GY452">
            <v>2843.8723012271603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12275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</row>
        <row r="453">
          <cell r="C453" t="str">
            <v>A0232</v>
          </cell>
          <cell r="D453" t="str">
            <v>PT Brahmayasa Bahtera</v>
          </cell>
          <cell r="E453" t="str">
            <v>PEB 2</v>
          </cell>
          <cell r="F453" t="str">
            <v>38PEB 2</v>
          </cell>
          <cell r="G453">
            <v>0.1</v>
          </cell>
          <cell r="I453">
            <v>0.09</v>
          </cell>
          <cell r="J453">
            <v>10.070131254050001</v>
          </cell>
          <cell r="K453">
            <v>15.05175888488645</v>
          </cell>
          <cell r="P453">
            <v>17714</v>
          </cell>
          <cell r="Q453">
            <v>27558.127173723784</v>
          </cell>
          <cell r="R453">
            <v>1819.5081062621582</v>
          </cell>
          <cell r="S453">
            <v>0</v>
          </cell>
          <cell r="U453">
            <v>0</v>
          </cell>
          <cell r="W453">
            <v>-10700</v>
          </cell>
          <cell r="X453">
            <v>0</v>
          </cell>
          <cell r="Y453">
            <v>0</v>
          </cell>
          <cell r="Z453">
            <v>7014</v>
          </cell>
        </row>
        <row r="454">
          <cell r="C454" t="str">
            <v>A0232</v>
          </cell>
          <cell r="D454" t="str">
            <v>PT Brahmayasa Bahtera</v>
          </cell>
          <cell r="E454" t="str">
            <v>PEB 3</v>
          </cell>
          <cell r="F454" t="str">
            <v>38PEB 3</v>
          </cell>
          <cell r="P454">
            <v>0</v>
          </cell>
          <cell r="U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</row>
        <row r="455">
          <cell r="C455" t="str">
            <v>A0232</v>
          </cell>
          <cell r="D455" t="str">
            <v>PT Brahmayasa Bahtera</v>
          </cell>
          <cell r="E455" t="str">
            <v>PEB 4</v>
          </cell>
          <cell r="F455" t="str">
            <v>38PEB 4</v>
          </cell>
          <cell r="P455">
            <v>0</v>
          </cell>
          <cell r="U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</row>
        <row r="456">
          <cell r="C456" t="str">
            <v>A0232</v>
          </cell>
          <cell r="D456" t="str">
            <v>PT Brahmayasa Bahtera</v>
          </cell>
          <cell r="E456" t="str">
            <v>PEB 5</v>
          </cell>
          <cell r="F456" t="str">
            <v>38PEB 5</v>
          </cell>
          <cell r="G456">
            <v>0.1</v>
          </cell>
          <cell r="I456">
            <v>0.09</v>
          </cell>
          <cell r="J456">
            <v>10.070131254050001</v>
          </cell>
          <cell r="K456">
            <v>15.05175888488645</v>
          </cell>
          <cell r="P456">
            <v>57039</v>
          </cell>
          <cell r="Q456">
            <v>88737.169499390569</v>
          </cell>
          <cell r="R456">
            <v>5858.816102164149</v>
          </cell>
          <cell r="S456">
            <v>0</v>
          </cell>
          <cell r="U456">
            <v>0</v>
          </cell>
          <cell r="W456">
            <v>-11043</v>
          </cell>
          <cell r="X456">
            <v>0</v>
          </cell>
          <cell r="Y456">
            <v>0</v>
          </cell>
          <cell r="Z456">
            <v>45996</v>
          </cell>
        </row>
        <row r="457">
          <cell r="C457" t="str">
            <v>A0232</v>
          </cell>
          <cell r="D457" t="str">
            <v>PT Brahmayasa Bahtera</v>
          </cell>
          <cell r="E457" t="str">
            <v>PEB 6</v>
          </cell>
          <cell r="F457" t="str">
            <v>38PEB 6</v>
          </cell>
          <cell r="P457">
            <v>0</v>
          </cell>
          <cell r="U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</row>
        <row r="458">
          <cell r="C458" t="str">
            <v>A0232</v>
          </cell>
          <cell r="D458" t="str">
            <v>PT Brahmayasa Bahtera</v>
          </cell>
          <cell r="E458" t="str">
            <v>PEB 7</v>
          </cell>
          <cell r="F458" t="str">
            <v>38PEB 7</v>
          </cell>
          <cell r="G458">
            <v>0.1</v>
          </cell>
          <cell r="I458">
            <v>0.09</v>
          </cell>
          <cell r="J458">
            <v>10.070131254050001</v>
          </cell>
          <cell r="K458">
            <v>15.05175888488645</v>
          </cell>
          <cell r="P458">
            <v>2192</v>
          </cell>
          <cell r="Q458">
            <v>3388.368003702743</v>
          </cell>
          <cell r="R458">
            <v>225.58166342018555</v>
          </cell>
          <cell r="S458">
            <v>402.2749390277715</v>
          </cell>
          <cell r="U458">
            <v>0</v>
          </cell>
          <cell r="W458">
            <v>-1618</v>
          </cell>
          <cell r="X458">
            <v>0</v>
          </cell>
          <cell r="Y458">
            <v>0</v>
          </cell>
          <cell r="Z458">
            <v>574</v>
          </cell>
        </row>
        <row r="459">
          <cell r="C459" t="str">
            <v>A0232</v>
          </cell>
          <cell r="D459" t="str">
            <v>PT Brahmayasa Bahtera</v>
          </cell>
          <cell r="E459" t="str">
            <v>MPP</v>
          </cell>
          <cell r="F459" t="str">
            <v>38MPP</v>
          </cell>
          <cell r="P459">
            <v>0</v>
          </cell>
          <cell r="U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</row>
        <row r="460">
          <cell r="C460" t="str">
            <v>A0232</v>
          </cell>
          <cell r="D460" t="str">
            <v>PT Brahmayasa Bahtera</v>
          </cell>
          <cell r="E460" t="str">
            <v>ID</v>
          </cell>
          <cell r="F460" t="str">
            <v>38ID</v>
          </cell>
          <cell r="G460">
            <v>0.1</v>
          </cell>
          <cell r="I460">
            <v>0.09</v>
          </cell>
          <cell r="J460">
            <v>10.070131254050001</v>
          </cell>
          <cell r="K460">
            <v>15.05175888488645</v>
          </cell>
          <cell r="P460">
            <v>190</v>
          </cell>
          <cell r="Q460">
            <v>9748.7973410984705</v>
          </cell>
          <cell r="R460">
            <v>645.51467780192047</v>
          </cell>
          <cell r="S460">
            <v>484.74114053464382</v>
          </cell>
          <cell r="U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190</v>
          </cell>
        </row>
        <row r="461">
          <cell r="C461" t="str">
            <v>A0232</v>
          </cell>
          <cell r="D461" t="str">
            <v>PT Brahmayasa Bahtera</v>
          </cell>
          <cell r="E461" t="str">
            <v>LL</v>
          </cell>
          <cell r="F461" t="str">
            <v>38LL</v>
          </cell>
          <cell r="G461">
            <v>0.1</v>
          </cell>
          <cell r="I461">
            <v>0.09</v>
          </cell>
          <cell r="J461">
            <v>10.070131254050001</v>
          </cell>
          <cell r="K461">
            <v>15.05175888488645</v>
          </cell>
          <cell r="P461">
            <v>12275</v>
          </cell>
          <cell r="Q461">
            <v>8706.077137434555</v>
          </cell>
          <cell r="R461">
            <v>2843.8723012271603</v>
          </cell>
          <cell r="S461">
            <v>0</v>
          </cell>
          <cell r="U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12275</v>
          </cell>
        </row>
        <row r="462">
          <cell r="C462" t="str">
            <v>A0232</v>
          </cell>
          <cell r="D462" t="str">
            <v>PT Brahmayasa Bahtera</v>
          </cell>
          <cell r="E462" t="str">
            <v>PMK</v>
          </cell>
          <cell r="F462" t="str">
            <v>38PMK</v>
          </cell>
          <cell r="P462">
            <v>0</v>
          </cell>
          <cell r="U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</row>
        <row r="464">
          <cell r="C464" t="str">
            <v>A0248</v>
          </cell>
          <cell r="D464" t="str">
            <v>PT Cakradenta Agung Pertiwi</v>
          </cell>
          <cell r="E464" t="str">
            <v>PEB 1</v>
          </cell>
          <cell r="F464" t="str">
            <v>39PEB 1</v>
          </cell>
          <cell r="J464">
            <v>0</v>
          </cell>
          <cell r="N464">
            <v>0</v>
          </cell>
          <cell r="O464">
            <v>0</v>
          </cell>
          <cell r="P464">
            <v>0</v>
          </cell>
          <cell r="Q464" t="str">
            <v xml:space="preserve"> </v>
          </cell>
          <cell r="R464" t="str">
            <v xml:space="preserve"> </v>
          </cell>
          <cell r="S464" t="str">
            <v xml:space="preserve"> 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10.478527874659344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321046</v>
          </cell>
          <cell r="AL464">
            <v>451860.3177994322</v>
          </cell>
          <cell r="AM464">
            <v>49969.904689878189</v>
          </cell>
          <cell r="AN464">
            <v>4298.96</v>
          </cell>
          <cell r="AO464">
            <v>0</v>
          </cell>
          <cell r="AP464">
            <v>0</v>
          </cell>
          <cell r="AQ464">
            <v>0</v>
          </cell>
          <cell r="AR464">
            <v>459438</v>
          </cell>
          <cell r="AS464">
            <v>0</v>
          </cell>
          <cell r="AT464">
            <v>0</v>
          </cell>
          <cell r="AU464">
            <v>780484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 t="str">
            <v xml:space="preserve"> </v>
          </cell>
          <cell r="BH464" t="str">
            <v xml:space="preserve"> </v>
          </cell>
          <cell r="BI464" t="str">
            <v xml:space="preserve"> 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10.478527874659344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707125</v>
          </cell>
          <cell r="CB464">
            <v>784968.3499564525</v>
          </cell>
          <cell r="CC464">
            <v>87124.048215108502</v>
          </cell>
          <cell r="CD464">
            <v>37499.572767044483</v>
          </cell>
          <cell r="CE464">
            <v>0</v>
          </cell>
          <cell r="CF464">
            <v>0</v>
          </cell>
          <cell r="CG464">
            <v>0</v>
          </cell>
          <cell r="CH464">
            <v>-563037</v>
          </cell>
          <cell r="CI464">
            <v>-77943</v>
          </cell>
          <cell r="CJ464">
            <v>5273</v>
          </cell>
          <cell r="CK464">
            <v>66145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 t="str">
            <v xml:space="preserve"> </v>
          </cell>
          <cell r="DS464" t="str">
            <v xml:space="preserve"> </v>
          </cell>
          <cell r="DT464" t="str">
            <v xml:space="preserve"> </v>
          </cell>
          <cell r="DU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10.478527874659344</v>
          </cell>
          <cell r="EG464">
            <v>0</v>
          </cell>
          <cell r="EH464">
            <v>0</v>
          </cell>
          <cell r="EI464">
            <v>0</v>
          </cell>
          <cell r="EJ464">
            <v>0</v>
          </cell>
          <cell r="EK464">
            <v>0</v>
          </cell>
          <cell r="EL464">
            <v>39601</v>
          </cell>
          <cell r="EM464">
            <v>65293.159618695179</v>
          </cell>
          <cell r="EN464">
            <v>8711.2247088881195</v>
          </cell>
          <cell r="EO464">
            <v>6837.1381741407358</v>
          </cell>
          <cell r="EP464">
            <v>0</v>
          </cell>
          <cell r="EQ464">
            <v>0</v>
          </cell>
          <cell r="ER464">
            <v>0</v>
          </cell>
          <cell r="ES464">
            <v>-34210</v>
          </cell>
          <cell r="ET464">
            <v>0</v>
          </cell>
          <cell r="EU464">
            <v>0</v>
          </cell>
          <cell r="EV464">
            <v>5391</v>
          </cell>
          <cell r="EX464">
            <v>0</v>
          </cell>
          <cell r="EY464">
            <v>0</v>
          </cell>
          <cell r="EZ464">
            <v>0</v>
          </cell>
          <cell r="FA464">
            <v>0</v>
          </cell>
          <cell r="FB464">
            <v>0</v>
          </cell>
          <cell r="FC464">
            <v>0</v>
          </cell>
          <cell r="FD464">
            <v>0</v>
          </cell>
          <cell r="FE464">
            <v>0</v>
          </cell>
          <cell r="FF464">
            <v>0</v>
          </cell>
          <cell r="FG464">
            <v>0</v>
          </cell>
          <cell r="FH464">
            <v>79690.07561692709</v>
          </cell>
          <cell r="FI464">
            <v>9020.6844826345841</v>
          </cell>
          <cell r="FJ464">
            <v>1612.11</v>
          </cell>
          <cell r="FK464">
            <v>0</v>
          </cell>
          <cell r="FL464">
            <v>0</v>
          </cell>
          <cell r="FM464">
            <v>0</v>
          </cell>
          <cell r="FN464">
            <v>0</v>
          </cell>
          <cell r="FO464">
            <v>0</v>
          </cell>
          <cell r="FP464">
            <v>0</v>
          </cell>
          <cell r="FQ464">
            <v>0</v>
          </cell>
          <cell r="FS464">
            <v>0</v>
          </cell>
          <cell r="FT464">
            <v>0</v>
          </cell>
          <cell r="FU464">
            <v>0</v>
          </cell>
          <cell r="FV464">
            <v>10.478527874659344</v>
          </cell>
          <cell r="FW464">
            <v>0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>
            <v>5393</v>
          </cell>
          <cell r="GC464">
            <v>172232.60802231822</v>
          </cell>
          <cell r="GD464">
            <v>21183.050477395955</v>
          </cell>
          <cell r="GE464">
            <v>10824.39037074593</v>
          </cell>
          <cell r="GF464">
            <v>0</v>
          </cell>
          <cell r="GG464">
            <v>0</v>
          </cell>
          <cell r="GH464">
            <v>0</v>
          </cell>
          <cell r="GI464">
            <v>0</v>
          </cell>
          <cell r="GJ464">
            <v>0</v>
          </cell>
          <cell r="GK464">
            <v>0</v>
          </cell>
          <cell r="GL464">
            <v>5393</v>
          </cell>
          <cell r="GN464">
            <v>0</v>
          </cell>
          <cell r="GO464">
            <v>0</v>
          </cell>
          <cell r="GP464">
            <v>0</v>
          </cell>
          <cell r="GQ464">
            <v>10.478527874659344</v>
          </cell>
          <cell r="GR464">
            <v>0</v>
          </cell>
          <cell r="GS464">
            <v>0</v>
          </cell>
          <cell r="GT464">
            <v>0</v>
          </cell>
          <cell r="GU464">
            <v>0</v>
          </cell>
          <cell r="GV464">
            <v>0</v>
          </cell>
          <cell r="GW464">
            <v>228107</v>
          </cell>
          <cell r="GX464">
            <v>228432.02269810365</v>
          </cell>
          <cell r="GY464">
            <v>80458.794396371202</v>
          </cell>
          <cell r="GZ464">
            <v>122221.36540117433</v>
          </cell>
          <cell r="HA464">
            <v>0</v>
          </cell>
          <cell r="HB464">
            <v>0</v>
          </cell>
          <cell r="HC464">
            <v>0</v>
          </cell>
          <cell r="HD464">
            <v>0</v>
          </cell>
          <cell r="HE464">
            <v>0</v>
          </cell>
          <cell r="HF464">
            <v>0</v>
          </cell>
          <cell r="HG464">
            <v>228107</v>
          </cell>
          <cell r="HI464">
            <v>0</v>
          </cell>
          <cell r="HJ464">
            <v>0</v>
          </cell>
          <cell r="HK464">
            <v>0</v>
          </cell>
          <cell r="HL464">
            <v>10.478527874659344</v>
          </cell>
          <cell r="HM464">
            <v>0</v>
          </cell>
          <cell r="HN464">
            <v>0</v>
          </cell>
          <cell r="HO464">
            <v>0</v>
          </cell>
          <cell r="HP464">
            <v>0</v>
          </cell>
          <cell r="HQ464">
            <v>0</v>
          </cell>
          <cell r="HR464">
            <v>161102</v>
          </cell>
          <cell r="HS464">
            <v>269755.01170852315</v>
          </cell>
          <cell r="HT464">
            <v>40157.368917413842</v>
          </cell>
          <cell r="HU464">
            <v>31500</v>
          </cell>
          <cell r="HV464">
            <v>0</v>
          </cell>
          <cell r="HW464">
            <v>0</v>
          </cell>
          <cell r="HX464">
            <v>0</v>
          </cell>
          <cell r="HY464">
            <v>0</v>
          </cell>
          <cell r="HZ464">
            <v>0</v>
          </cell>
          <cell r="IA464">
            <v>0</v>
          </cell>
          <cell r="IB464">
            <v>161102</v>
          </cell>
        </row>
        <row r="465">
          <cell r="C465" t="str">
            <v>A0248</v>
          </cell>
          <cell r="D465" t="str">
            <v>PT Cakradenta Agung Pertiwi</v>
          </cell>
          <cell r="E465" t="str">
            <v>PEB 2</v>
          </cell>
          <cell r="F465" t="str">
            <v>39PEB 2</v>
          </cell>
          <cell r="J465">
            <v>10.478527874659344</v>
          </cell>
          <cell r="P465">
            <v>321046</v>
          </cell>
          <cell r="Q465">
            <v>451860.3177994322</v>
          </cell>
          <cell r="R465">
            <v>49969.904689878189</v>
          </cell>
          <cell r="S465">
            <v>4298.96</v>
          </cell>
          <cell r="U465">
            <v>0</v>
          </cell>
          <cell r="W465">
            <v>459438</v>
          </cell>
          <cell r="X465">
            <v>0</v>
          </cell>
          <cell r="Y465">
            <v>0</v>
          </cell>
          <cell r="Z465">
            <v>780484</v>
          </cell>
        </row>
        <row r="466">
          <cell r="C466" t="str">
            <v>A0248</v>
          </cell>
          <cell r="D466" t="str">
            <v>PT Cakradenta Agung Pertiwi</v>
          </cell>
          <cell r="E466" t="str">
            <v>PEB 3</v>
          </cell>
          <cell r="F466" t="str">
            <v>39PEB 3</v>
          </cell>
          <cell r="J466">
            <v>0</v>
          </cell>
          <cell r="P466">
            <v>0</v>
          </cell>
          <cell r="Q466" t="str">
            <v xml:space="preserve"> </v>
          </cell>
          <cell r="R466" t="str">
            <v xml:space="preserve"> </v>
          </cell>
          <cell r="S466" t="str">
            <v xml:space="preserve"> </v>
          </cell>
          <cell r="U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</row>
        <row r="467">
          <cell r="C467" t="str">
            <v>A0248</v>
          </cell>
          <cell r="D467" t="str">
            <v>PT Cakradenta Agung Pertiwi</v>
          </cell>
          <cell r="E467" t="str">
            <v>PEB 4</v>
          </cell>
          <cell r="F467" t="str">
            <v>39PEB 4</v>
          </cell>
          <cell r="J467">
            <v>10.478527874659344</v>
          </cell>
          <cell r="P467">
            <v>707125</v>
          </cell>
          <cell r="Q467">
            <v>784968.3499564525</v>
          </cell>
          <cell r="R467">
            <v>87124.048215108502</v>
          </cell>
          <cell r="S467">
            <v>37499.572767044483</v>
          </cell>
          <cell r="U467">
            <v>0</v>
          </cell>
          <cell r="W467">
            <v>-563037</v>
          </cell>
          <cell r="X467">
            <v>-77943</v>
          </cell>
          <cell r="Y467">
            <v>5273</v>
          </cell>
          <cell r="Z467">
            <v>66145</v>
          </cell>
        </row>
        <row r="468">
          <cell r="C468" t="str">
            <v>A0248</v>
          </cell>
          <cell r="D468" t="str">
            <v>PT Cakradenta Agung Pertiwi</v>
          </cell>
          <cell r="E468" t="str">
            <v>PEB 5</v>
          </cell>
          <cell r="F468" t="str">
            <v>39PEB 5</v>
          </cell>
          <cell r="J468">
            <v>0</v>
          </cell>
          <cell r="P468">
            <v>0</v>
          </cell>
          <cell r="U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</row>
        <row r="469">
          <cell r="C469" t="str">
            <v>A0248</v>
          </cell>
          <cell r="D469" t="str">
            <v>PT Cakradenta Agung Pertiwi</v>
          </cell>
          <cell r="E469" t="str">
            <v>PEB 6</v>
          </cell>
          <cell r="F469" t="str">
            <v>39PEB 6</v>
          </cell>
          <cell r="J469">
            <v>0</v>
          </cell>
          <cell r="P469">
            <v>0</v>
          </cell>
          <cell r="Q469" t="str">
            <v xml:space="preserve"> </v>
          </cell>
          <cell r="R469" t="str">
            <v xml:space="preserve"> </v>
          </cell>
          <cell r="S469" t="str">
            <v xml:space="preserve"> </v>
          </cell>
          <cell r="U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</row>
        <row r="470">
          <cell r="C470" t="str">
            <v>A0248</v>
          </cell>
          <cell r="D470" t="str">
            <v>PT Cakradenta Agung Pertiwi</v>
          </cell>
          <cell r="E470" t="str">
            <v>PEB 7</v>
          </cell>
          <cell r="F470" t="str">
            <v>39PEB 7</v>
          </cell>
          <cell r="J470">
            <v>10.478527874659344</v>
          </cell>
          <cell r="P470">
            <v>39601</v>
          </cell>
          <cell r="Q470">
            <v>65293.159618695179</v>
          </cell>
          <cell r="R470">
            <v>8711.2247088881195</v>
          </cell>
          <cell r="S470">
            <v>6837.1381741407358</v>
          </cell>
          <cell r="U470">
            <v>0</v>
          </cell>
          <cell r="W470">
            <v>-34210</v>
          </cell>
          <cell r="X470">
            <v>0</v>
          </cell>
          <cell r="Y470">
            <v>0</v>
          </cell>
          <cell r="Z470">
            <v>5391</v>
          </cell>
        </row>
        <row r="471">
          <cell r="C471" t="str">
            <v>A0248</v>
          </cell>
          <cell r="D471" t="str">
            <v>PT Cakradenta Agung Pertiwi</v>
          </cell>
          <cell r="E471" t="str">
            <v>MPP</v>
          </cell>
          <cell r="F471" t="str">
            <v>39MPP</v>
          </cell>
          <cell r="J471">
            <v>0</v>
          </cell>
          <cell r="P471">
            <v>0</v>
          </cell>
          <cell r="Q471">
            <v>79690.07561692709</v>
          </cell>
          <cell r="R471">
            <v>9020.6844826345841</v>
          </cell>
          <cell r="S471">
            <v>1612.11</v>
          </cell>
          <cell r="U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</row>
        <row r="472">
          <cell r="C472" t="str">
            <v>A0248</v>
          </cell>
          <cell r="D472" t="str">
            <v>PT Cakradenta Agung Pertiwi</v>
          </cell>
          <cell r="E472" t="str">
            <v>ID</v>
          </cell>
          <cell r="F472" t="str">
            <v>39ID</v>
          </cell>
          <cell r="J472">
            <v>10.478527874659344</v>
          </cell>
          <cell r="P472">
            <v>5393</v>
          </cell>
          <cell r="Q472">
            <v>172232.60802231822</v>
          </cell>
          <cell r="R472">
            <v>21183.050477395955</v>
          </cell>
          <cell r="S472">
            <v>10824.39037074593</v>
          </cell>
          <cell r="U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5393</v>
          </cell>
        </row>
        <row r="473">
          <cell r="C473" t="str">
            <v>A0248</v>
          </cell>
          <cell r="D473" t="str">
            <v>PT Cakradenta Agung Pertiwi</v>
          </cell>
          <cell r="E473" t="str">
            <v>LL</v>
          </cell>
          <cell r="F473" t="str">
            <v>39LL</v>
          </cell>
          <cell r="J473">
            <v>10.478527874659344</v>
          </cell>
          <cell r="P473">
            <v>228107</v>
          </cell>
          <cell r="Q473">
            <v>228432.02269810365</v>
          </cell>
          <cell r="R473">
            <v>80458.794396371202</v>
          </cell>
          <cell r="S473">
            <v>122221.36540117433</v>
          </cell>
          <cell r="U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228107</v>
          </cell>
        </row>
        <row r="474">
          <cell r="C474" t="str">
            <v>A0248</v>
          </cell>
          <cell r="D474" t="str">
            <v>PT Cakradenta Agung Pertiwi</v>
          </cell>
          <cell r="E474" t="str">
            <v>PMK</v>
          </cell>
          <cell r="F474" t="str">
            <v>39PMK</v>
          </cell>
          <cell r="J474">
            <v>10.478527874659344</v>
          </cell>
          <cell r="P474">
            <v>161102</v>
          </cell>
          <cell r="Q474">
            <v>269755.01170852315</v>
          </cell>
          <cell r="R474">
            <v>40157.368917413842</v>
          </cell>
          <cell r="S474">
            <v>31500</v>
          </cell>
          <cell r="U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161102</v>
          </cell>
        </row>
        <row r="476">
          <cell r="C476" t="str">
            <v>A0247</v>
          </cell>
          <cell r="D476" t="str">
            <v>PT Cakung Permata Nusa</v>
          </cell>
          <cell r="E476" t="str">
            <v>PEB 1</v>
          </cell>
          <cell r="F476" t="str">
            <v>40PEB 1</v>
          </cell>
          <cell r="J476">
            <v>0</v>
          </cell>
          <cell r="N476">
            <v>0</v>
          </cell>
          <cell r="O476">
            <v>0</v>
          </cell>
          <cell r="P476">
            <v>0</v>
          </cell>
          <cell r="Q476" t="str">
            <v xml:space="preserve"> </v>
          </cell>
          <cell r="R476" t="str">
            <v xml:space="preserve"> </v>
          </cell>
          <cell r="S476" t="str">
            <v xml:space="preserve"> 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10.524274502377454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1631311</v>
          </cell>
          <cell r="AL476">
            <v>1456401.4030871163</v>
          </cell>
          <cell r="AM476">
            <v>180218.91161024556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-760881</v>
          </cell>
          <cell r="AS476">
            <v>0</v>
          </cell>
          <cell r="AT476">
            <v>0</v>
          </cell>
          <cell r="AU476">
            <v>870430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 t="str">
            <v xml:space="preserve"> </v>
          </cell>
          <cell r="BH476" t="str">
            <v xml:space="preserve"> </v>
          </cell>
          <cell r="BI476" t="str">
            <v xml:space="preserve"> 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10.517003532516142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3150042</v>
          </cell>
          <cell r="CB476">
            <v>2163934.6388838338</v>
          </cell>
          <cell r="CC476">
            <v>261790.24473168587</v>
          </cell>
          <cell r="CD476">
            <v>41695.873458378272</v>
          </cell>
          <cell r="CE476">
            <v>0</v>
          </cell>
          <cell r="CF476">
            <v>0</v>
          </cell>
          <cell r="CG476">
            <v>0</v>
          </cell>
          <cell r="CH476">
            <v>-2190901</v>
          </cell>
          <cell r="CI476">
            <v>-159584</v>
          </cell>
          <cell r="CJ476">
            <v>11634</v>
          </cell>
          <cell r="CK476">
            <v>799557</v>
          </cell>
          <cell r="CM476">
            <v>0</v>
          </cell>
          <cell r="CN476">
            <v>0</v>
          </cell>
          <cell r="CO476">
            <v>0</v>
          </cell>
          <cell r="CP476">
            <v>10.274991339076511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59392</v>
          </cell>
          <cell r="CW476" t="str">
            <v xml:space="preserve"> </v>
          </cell>
          <cell r="CX476" t="str">
            <v xml:space="preserve"> </v>
          </cell>
          <cell r="CY476" t="str">
            <v xml:space="preserve"> </v>
          </cell>
          <cell r="CZ476">
            <v>0</v>
          </cell>
          <cell r="DA476">
            <v>0</v>
          </cell>
          <cell r="DB476">
            <v>0</v>
          </cell>
          <cell r="DC476">
            <v>1198436</v>
          </cell>
          <cell r="DD476">
            <v>0</v>
          </cell>
          <cell r="DE476">
            <v>0</v>
          </cell>
          <cell r="DF476">
            <v>1257828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  <cell r="DP476">
            <v>0</v>
          </cell>
          <cell r="DQ476">
            <v>0</v>
          </cell>
          <cell r="DR476">
            <v>0</v>
          </cell>
          <cell r="DS476">
            <v>0</v>
          </cell>
          <cell r="DT476">
            <v>0</v>
          </cell>
          <cell r="DU476">
            <v>0</v>
          </cell>
          <cell r="DV476">
            <v>0</v>
          </cell>
          <cell r="DW476">
            <v>0</v>
          </cell>
          <cell r="DX476">
            <v>0</v>
          </cell>
          <cell r="DY476">
            <v>0</v>
          </cell>
          <cell r="DZ476">
            <v>0</v>
          </cell>
          <cell r="EA476">
            <v>0</v>
          </cell>
          <cell r="EC476">
            <v>0</v>
          </cell>
          <cell r="ED476">
            <v>0</v>
          </cell>
          <cell r="EE476">
            <v>0</v>
          </cell>
          <cell r="EF476">
            <v>10.524274502377454</v>
          </cell>
          <cell r="EG476">
            <v>0</v>
          </cell>
          <cell r="EH476">
            <v>0</v>
          </cell>
          <cell r="EI476">
            <v>0</v>
          </cell>
          <cell r="EJ476">
            <v>0</v>
          </cell>
          <cell r="EK476">
            <v>0</v>
          </cell>
          <cell r="EL476">
            <v>208465</v>
          </cell>
          <cell r="EM476">
            <v>215646.37783742032</v>
          </cell>
          <cell r="EN476">
            <v>32385.659517195672</v>
          </cell>
          <cell r="EO476">
            <v>22300.297577883608</v>
          </cell>
          <cell r="EP476">
            <v>0</v>
          </cell>
          <cell r="EQ476">
            <v>0</v>
          </cell>
          <cell r="ER476">
            <v>0</v>
          </cell>
          <cell r="ES476">
            <v>-201049</v>
          </cell>
          <cell r="ET476">
            <v>0</v>
          </cell>
          <cell r="EU476">
            <v>0</v>
          </cell>
          <cell r="EV476">
            <v>7416</v>
          </cell>
          <cell r="EX476">
            <v>0</v>
          </cell>
          <cell r="EY476">
            <v>0</v>
          </cell>
          <cell r="EZ476">
            <v>0</v>
          </cell>
          <cell r="FA476">
            <v>0</v>
          </cell>
          <cell r="FB476">
            <v>0</v>
          </cell>
          <cell r="FC476">
            <v>0</v>
          </cell>
          <cell r="FD476">
            <v>0</v>
          </cell>
          <cell r="FE476">
            <v>0</v>
          </cell>
          <cell r="FF476">
            <v>0</v>
          </cell>
          <cell r="FG476">
            <v>0</v>
          </cell>
          <cell r="FH476">
            <v>254276.85568394995</v>
          </cell>
          <cell r="FI476">
            <v>34016.436879794899</v>
          </cell>
          <cell r="FJ476">
            <v>0</v>
          </cell>
          <cell r="FK476">
            <v>0</v>
          </cell>
          <cell r="FL476">
            <v>0</v>
          </cell>
          <cell r="FM476">
            <v>0</v>
          </cell>
          <cell r="FN476">
            <v>0</v>
          </cell>
          <cell r="FO476">
            <v>0</v>
          </cell>
          <cell r="FP476">
            <v>0</v>
          </cell>
          <cell r="FQ476">
            <v>0</v>
          </cell>
          <cell r="FS476">
            <v>0</v>
          </cell>
          <cell r="FT476">
            <v>0</v>
          </cell>
          <cell r="FU476">
            <v>0</v>
          </cell>
          <cell r="FV476">
            <v>10.524274502377454</v>
          </cell>
          <cell r="FW476">
            <v>0</v>
          </cell>
          <cell r="FX476">
            <v>0</v>
          </cell>
          <cell r="FY476">
            <v>0</v>
          </cell>
          <cell r="FZ476">
            <v>0</v>
          </cell>
          <cell r="GA476">
            <v>0</v>
          </cell>
          <cell r="GB476">
            <v>24654</v>
          </cell>
          <cell r="GC476">
            <v>543532.04251032404</v>
          </cell>
          <cell r="GD476">
            <v>79806.66203819339</v>
          </cell>
          <cell r="GE476">
            <v>35644.515618256526</v>
          </cell>
          <cell r="GF476">
            <v>0</v>
          </cell>
          <cell r="GG476">
            <v>0</v>
          </cell>
          <cell r="GH476">
            <v>0</v>
          </cell>
          <cell r="GI476">
            <v>0</v>
          </cell>
          <cell r="GJ476">
            <v>0</v>
          </cell>
          <cell r="GK476">
            <v>0</v>
          </cell>
          <cell r="GL476">
            <v>24654</v>
          </cell>
          <cell r="GN476">
            <v>0</v>
          </cell>
          <cell r="GO476">
            <v>0</v>
          </cell>
          <cell r="GP476">
            <v>0</v>
          </cell>
          <cell r="GQ476">
            <v>10.524274502377454</v>
          </cell>
          <cell r="GR476">
            <v>0</v>
          </cell>
          <cell r="GS476">
            <v>0</v>
          </cell>
          <cell r="GT476">
            <v>0</v>
          </cell>
          <cell r="GU476">
            <v>0</v>
          </cell>
          <cell r="GV476">
            <v>0</v>
          </cell>
          <cell r="GW476">
            <v>1162535</v>
          </cell>
          <cell r="GX476">
            <v>746397.50983718678</v>
          </cell>
          <cell r="GY476">
            <v>284820.25108476292</v>
          </cell>
          <cell r="GZ476">
            <v>286652.31782533618</v>
          </cell>
          <cell r="HA476">
            <v>0</v>
          </cell>
          <cell r="HB476">
            <v>0</v>
          </cell>
          <cell r="HC476">
            <v>0</v>
          </cell>
          <cell r="HD476">
            <v>0</v>
          </cell>
          <cell r="HE476">
            <v>0</v>
          </cell>
          <cell r="HF476">
            <v>0</v>
          </cell>
          <cell r="HG476">
            <v>1162535</v>
          </cell>
          <cell r="HI476">
            <v>0</v>
          </cell>
          <cell r="HJ476">
            <v>0</v>
          </cell>
          <cell r="HK476">
            <v>0</v>
          </cell>
          <cell r="HL476">
            <v>10.524274502377454</v>
          </cell>
          <cell r="HM476">
            <v>0</v>
          </cell>
          <cell r="HN476">
            <v>0</v>
          </cell>
          <cell r="HO476">
            <v>0</v>
          </cell>
          <cell r="HP476">
            <v>0</v>
          </cell>
          <cell r="HQ476">
            <v>0</v>
          </cell>
          <cell r="HR476">
            <v>836600</v>
          </cell>
          <cell r="HS476">
            <v>836234.44237315096</v>
          </cell>
          <cell r="HT476">
            <v>125571.88806205019</v>
          </cell>
          <cell r="HU476">
            <v>86625</v>
          </cell>
          <cell r="HV476">
            <v>0</v>
          </cell>
          <cell r="HW476">
            <v>0</v>
          </cell>
          <cell r="HX476">
            <v>0</v>
          </cell>
          <cell r="HY476">
            <v>0</v>
          </cell>
          <cell r="HZ476">
            <v>0</v>
          </cell>
          <cell r="IA476">
            <v>0</v>
          </cell>
          <cell r="IB476">
            <v>836600</v>
          </cell>
        </row>
        <row r="477">
          <cell r="C477" t="str">
            <v>A0247</v>
          </cell>
          <cell r="D477" t="str">
            <v>PT Cakung Permata Nusa</v>
          </cell>
          <cell r="E477" t="str">
            <v>PEB 2</v>
          </cell>
          <cell r="F477" t="str">
            <v>40PEB 2</v>
          </cell>
          <cell r="J477">
            <v>10.524274502377454</v>
          </cell>
          <cell r="P477">
            <v>1631311</v>
          </cell>
          <cell r="Q477">
            <v>1456401.4030871163</v>
          </cell>
          <cell r="R477">
            <v>180218.91161024556</v>
          </cell>
          <cell r="S477">
            <v>0</v>
          </cell>
          <cell r="U477">
            <v>0</v>
          </cell>
          <cell r="W477">
            <v>-760881</v>
          </cell>
          <cell r="X477">
            <v>0</v>
          </cell>
          <cell r="Y477">
            <v>0</v>
          </cell>
          <cell r="Z477">
            <v>870430</v>
          </cell>
        </row>
        <row r="478">
          <cell r="C478" t="str">
            <v>A0247</v>
          </cell>
          <cell r="D478" t="str">
            <v>PT Cakung Permata Nusa</v>
          </cell>
          <cell r="E478" t="str">
            <v>PEB 3</v>
          </cell>
          <cell r="F478" t="str">
            <v>40PEB 3</v>
          </cell>
          <cell r="J478">
            <v>0</v>
          </cell>
          <cell r="P478">
            <v>0</v>
          </cell>
          <cell r="Q478" t="str">
            <v xml:space="preserve"> </v>
          </cell>
          <cell r="R478" t="str">
            <v xml:space="preserve"> </v>
          </cell>
          <cell r="S478" t="str">
            <v xml:space="preserve"> </v>
          </cell>
          <cell r="U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</row>
        <row r="479">
          <cell r="C479" t="str">
            <v>A0247</v>
          </cell>
          <cell r="D479" t="str">
            <v>PT Cakung Permata Nusa</v>
          </cell>
          <cell r="E479" t="str">
            <v>PEB 4</v>
          </cell>
          <cell r="F479" t="str">
            <v>40PEB 4</v>
          </cell>
          <cell r="J479">
            <v>10.517003532516142</v>
          </cell>
          <cell r="P479">
            <v>3150042</v>
          </cell>
          <cell r="Q479">
            <v>2163934.6388838338</v>
          </cell>
          <cell r="R479">
            <v>261790.24473168587</v>
          </cell>
          <cell r="S479">
            <v>41695.873458378272</v>
          </cell>
          <cell r="U479">
            <v>0</v>
          </cell>
          <cell r="W479">
            <v>-2190901</v>
          </cell>
          <cell r="X479">
            <v>-159584</v>
          </cell>
          <cell r="Y479">
            <v>11634</v>
          </cell>
          <cell r="Z479">
            <v>799557</v>
          </cell>
        </row>
        <row r="480">
          <cell r="C480" t="str">
            <v>A0247</v>
          </cell>
          <cell r="D480" t="str">
            <v>PT Cakung Permata Nusa</v>
          </cell>
          <cell r="E480" t="str">
            <v>PEB 5</v>
          </cell>
          <cell r="F480" t="str">
            <v>40PEB 5</v>
          </cell>
          <cell r="J480">
            <v>10.274991339076511</v>
          </cell>
          <cell r="P480">
            <v>59392</v>
          </cell>
          <cell r="Q480" t="str">
            <v xml:space="preserve"> </v>
          </cell>
          <cell r="R480" t="str">
            <v xml:space="preserve"> </v>
          </cell>
          <cell r="S480" t="str">
            <v xml:space="preserve"> </v>
          </cell>
          <cell r="U480">
            <v>0</v>
          </cell>
          <cell r="W480">
            <v>1198436</v>
          </cell>
          <cell r="X480">
            <v>0</v>
          </cell>
          <cell r="Y480">
            <v>0</v>
          </cell>
          <cell r="Z480">
            <v>1257828</v>
          </cell>
        </row>
        <row r="481">
          <cell r="C481" t="str">
            <v>A0247</v>
          </cell>
          <cell r="D481" t="str">
            <v>PT Cakung Permata Nusa</v>
          </cell>
          <cell r="E481" t="str">
            <v>PEB 6</v>
          </cell>
          <cell r="F481" t="str">
            <v>40PEB 6</v>
          </cell>
          <cell r="J481">
            <v>0</v>
          </cell>
          <cell r="P481">
            <v>0</v>
          </cell>
          <cell r="U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</row>
        <row r="482">
          <cell r="C482" t="str">
            <v>A0247</v>
          </cell>
          <cell r="D482" t="str">
            <v>PT Cakung Permata Nusa</v>
          </cell>
          <cell r="E482" t="str">
            <v>PEB 7</v>
          </cell>
          <cell r="F482" t="str">
            <v>40PEB 7</v>
          </cell>
          <cell r="J482">
            <v>10.524274502377454</v>
          </cell>
          <cell r="P482">
            <v>208465</v>
          </cell>
          <cell r="Q482">
            <v>215646.37783742032</v>
          </cell>
          <cell r="R482">
            <v>32385.659517195672</v>
          </cell>
          <cell r="S482">
            <v>22300.297577883608</v>
          </cell>
          <cell r="U482">
            <v>0</v>
          </cell>
          <cell r="W482">
            <v>-201049</v>
          </cell>
          <cell r="X482">
            <v>0</v>
          </cell>
          <cell r="Y482">
            <v>0</v>
          </cell>
          <cell r="Z482">
            <v>7416</v>
          </cell>
        </row>
        <row r="483">
          <cell r="C483" t="str">
            <v>A0247</v>
          </cell>
          <cell r="D483" t="str">
            <v>PT Cakung Permata Nusa</v>
          </cell>
          <cell r="E483" t="str">
            <v>MPP</v>
          </cell>
          <cell r="F483" t="str">
            <v>40MPP</v>
          </cell>
          <cell r="J483">
            <v>0</v>
          </cell>
          <cell r="P483">
            <v>0</v>
          </cell>
          <cell r="Q483">
            <v>254276.85568394995</v>
          </cell>
          <cell r="R483">
            <v>34016.436879794899</v>
          </cell>
          <cell r="S483">
            <v>0</v>
          </cell>
          <cell r="U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</row>
        <row r="484">
          <cell r="C484" t="str">
            <v>A0247</v>
          </cell>
          <cell r="D484" t="str">
            <v>PT Cakung Permata Nusa</v>
          </cell>
          <cell r="E484" t="str">
            <v>ID</v>
          </cell>
          <cell r="F484" t="str">
            <v>40ID</v>
          </cell>
          <cell r="J484">
            <v>10.524274502377454</v>
          </cell>
          <cell r="P484">
            <v>24654</v>
          </cell>
          <cell r="Q484">
            <v>543532.04251032404</v>
          </cell>
          <cell r="R484">
            <v>79806.66203819339</v>
          </cell>
          <cell r="S484">
            <v>35644.515618256526</v>
          </cell>
          <cell r="U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24654</v>
          </cell>
        </row>
        <row r="485">
          <cell r="C485" t="str">
            <v>A0247</v>
          </cell>
          <cell r="D485" t="str">
            <v>PT Cakung Permata Nusa</v>
          </cell>
          <cell r="E485" t="str">
            <v>LL</v>
          </cell>
          <cell r="F485" t="str">
            <v>40LL</v>
          </cell>
          <cell r="J485">
            <v>10.524274502377454</v>
          </cell>
          <cell r="P485">
            <v>1162535</v>
          </cell>
          <cell r="Q485">
            <v>746397.50983718678</v>
          </cell>
          <cell r="R485">
            <v>284820.25108476292</v>
          </cell>
          <cell r="S485">
            <v>286652.31782533618</v>
          </cell>
          <cell r="U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1162535</v>
          </cell>
        </row>
        <row r="486">
          <cell r="C486" t="str">
            <v>A0247</v>
          </cell>
          <cell r="D486" t="str">
            <v>PT Cakung Permata Nusa</v>
          </cell>
          <cell r="E486" t="str">
            <v>PMK</v>
          </cell>
          <cell r="F486" t="str">
            <v>40PMK</v>
          </cell>
          <cell r="J486">
            <v>10.524274502377454</v>
          </cell>
          <cell r="P486">
            <v>836600</v>
          </cell>
          <cell r="Q486">
            <v>836234.44237315096</v>
          </cell>
          <cell r="R486">
            <v>125571.88806205019</v>
          </cell>
          <cell r="S486">
            <v>86625</v>
          </cell>
          <cell r="U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836600</v>
          </cell>
        </row>
        <row r="488">
          <cell r="C488" t="str">
            <v>A0037</v>
          </cell>
          <cell r="D488" t="str">
            <v>PT Century Batteries Indonesia</v>
          </cell>
          <cell r="E488" t="str">
            <v>PEB 1</v>
          </cell>
          <cell r="F488" t="str">
            <v>41PEB 1</v>
          </cell>
          <cell r="G488">
            <v>0.1</v>
          </cell>
          <cell r="H488">
            <v>0.1</v>
          </cell>
          <cell r="I488">
            <v>0.09</v>
          </cell>
          <cell r="J488">
            <v>5.2043594794641983</v>
          </cell>
          <cell r="K488">
            <v>4.3464501132904525</v>
          </cell>
          <cell r="L488">
            <v>352556</v>
          </cell>
          <cell r="N488">
            <v>845519.87800000003</v>
          </cell>
          <cell r="O488">
            <v>118295.344</v>
          </cell>
          <cell r="P488">
            <v>10238893.043380758</v>
          </cell>
          <cell r="Q488">
            <v>11626294.151912956</v>
          </cell>
          <cell r="R488">
            <v>430644.46642441803</v>
          </cell>
          <cell r="S488">
            <v>1930585.4195793993</v>
          </cell>
          <cell r="U488">
            <v>-7104046.9430925613</v>
          </cell>
          <cell r="V488">
            <v>11272615.907333335</v>
          </cell>
          <cell r="W488">
            <v>-6324757.777179121</v>
          </cell>
          <cell r="X488">
            <v>0</v>
          </cell>
          <cell r="Y488">
            <v>0</v>
          </cell>
          <cell r="Z488">
            <v>-3189911.6768909246</v>
          </cell>
          <cell r="AB488">
            <v>0.1</v>
          </cell>
          <cell r="AC488">
            <v>0</v>
          </cell>
          <cell r="AD488">
            <v>0.09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W488">
            <v>0.1</v>
          </cell>
          <cell r="AX488">
            <v>0</v>
          </cell>
          <cell r="AY488">
            <v>0.09</v>
          </cell>
          <cell r="AZ488">
            <v>12.618969620460705</v>
          </cell>
          <cell r="BA488">
            <v>4.3464501132904525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680032.08525757713</v>
          </cell>
          <cell r="BG488">
            <v>226381.76584761866</v>
          </cell>
          <cell r="BH488">
            <v>10004.569083438626</v>
          </cell>
          <cell r="BI488">
            <v>18120.130293333394</v>
          </cell>
          <cell r="BJ488">
            <v>0</v>
          </cell>
          <cell r="BK488">
            <v>0</v>
          </cell>
          <cell r="BL488">
            <v>0</v>
          </cell>
          <cell r="BM488">
            <v>-472818.15145830845</v>
          </cell>
          <cell r="BN488">
            <v>2294329.6868895637</v>
          </cell>
          <cell r="BO488">
            <v>-180708.78918687359</v>
          </cell>
          <cell r="BP488">
            <v>2501543.6206888324</v>
          </cell>
          <cell r="BR488">
            <v>0.1</v>
          </cell>
          <cell r="BS488">
            <v>0</v>
          </cell>
          <cell r="BT488">
            <v>0.09</v>
          </cell>
          <cell r="BU488">
            <v>12.618969620460705</v>
          </cell>
          <cell r="BV488">
            <v>17.241785421646853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1259109.1401561168</v>
          </cell>
          <cell r="CB488">
            <v>1740914.5900800177</v>
          </cell>
          <cell r="CC488">
            <v>157638.34686371844</v>
          </cell>
          <cell r="CD488">
            <v>271634.21068558242</v>
          </cell>
          <cell r="CE488">
            <v>0</v>
          </cell>
          <cell r="CF488">
            <v>0</v>
          </cell>
          <cell r="CG488">
            <v>0</v>
          </cell>
          <cell r="CH488">
            <v>-604105.55515723256</v>
          </cell>
          <cell r="CI488">
            <v>1261238.6640456121</v>
          </cell>
          <cell r="CJ488">
            <v>-99339.215788268397</v>
          </cell>
          <cell r="CK488">
            <v>1916242.2490444963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0</v>
          </cell>
          <cell r="DR488">
            <v>0</v>
          </cell>
          <cell r="DS488">
            <v>0</v>
          </cell>
          <cell r="DT488">
            <v>0</v>
          </cell>
          <cell r="DU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C488">
            <v>0.1</v>
          </cell>
          <cell r="ED488">
            <v>0</v>
          </cell>
          <cell r="EE488">
            <v>0.09</v>
          </cell>
          <cell r="EF488">
            <v>12.618969620460705</v>
          </cell>
          <cell r="EG488">
            <v>14.406365308664874</v>
          </cell>
          <cell r="EH488">
            <v>0</v>
          </cell>
          <cell r="EI488">
            <v>0</v>
          </cell>
          <cell r="EJ488">
            <v>0</v>
          </cell>
          <cell r="EK488">
            <v>0</v>
          </cell>
          <cell r="EL488">
            <v>395252.68909769016</v>
          </cell>
          <cell r="EM488">
            <v>362137.96826675866</v>
          </cell>
          <cell r="EN488">
            <v>28751.885218234711</v>
          </cell>
          <cell r="EO488">
            <v>45600.051883386528</v>
          </cell>
          <cell r="EP488">
            <v>0</v>
          </cell>
          <cell r="EQ488">
            <v>0</v>
          </cell>
          <cell r="ER488">
            <v>0</v>
          </cell>
          <cell r="ES488">
            <v>69656.932191173706</v>
          </cell>
          <cell r="ET488">
            <v>0</v>
          </cell>
          <cell r="EU488">
            <v>0</v>
          </cell>
          <cell r="EV488">
            <v>464909.62128886388</v>
          </cell>
          <cell r="EX488">
            <v>0.1</v>
          </cell>
          <cell r="EY488">
            <v>0</v>
          </cell>
          <cell r="EZ488">
            <v>0.09</v>
          </cell>
          <cell r="FA488">
            <v>12.618969620460705</v>
          </cell>
          <cell r="FB488">
            <v>14.406365308664874</v>
          </cell>
          <cell r="FC488">
            <v>0</v>
          </cell>
          <cell r="FD488">
            <v>0</v>
          </cell>
          <cell r="FE488">
            <v>0</v>
          </cell>
          <cell r="FF488">
            <v>0</v>
          </cell>
          <cell r="FG488">
            <v>1218689.737846124</v>
          </cell>
          <cell r="FH488">
            <v>663185.98635565292</v>
          </cell>
          <cell r="FI488">
            <v>35474.824296063409</v>
          </cell>
          <cell r="FJ488">
            <v>71129.857500000013</v>
          </cell>
          <cell r="FK488">
            <v>0</v>
          </cell>
          <cell r="FL488">
            <v>0</v>
          </cell>
          <cell r="FM488">
            <v>0</v>
          </cell>
          <cell r="FN488">
            <v>-75668.480269814972</v>
          </cell>
          <cell r="FO488">
            <v>-964649.65598664677</v>
          </cell>
          <cell r="FP488">
            <v>80712.917000000001</v>
          </cell>
          <cell r="FQ488">
            <v>178371.6015896622</v>
          </cell>
          <cell r="FS488">
            <v>0.1</v>
          </cell>
          <cell r="FT488">
            <v>0</v>
          </cell>
          <cell r="FU488">
            <v>0.09</v>
          </cell>
          <cell r="FV488">
            <v>12.618969620460705</v>
          </cell>
          <cell r="FW488">
            <v>14.406365308664874</v>
          </cell>
          <cell r="FX488">
            <v>0</v>
          </cell>
          <cell r="FY488">
            <v>0</v>
          </cell>
          <cell r="FZ488">
            <v>0</v>
          </cell>
          <cell r="GA488">
            <v>0</v>
          </cell>
          <cell r="GB488">
            <v>1648902.0317025669</v>
          </cell>
          <cell r="GC488">
            <v>1215789.0083515486</v>
          </cell>
          <cell r="GD488">
            <v>84488.872074139857</v>
          </cell>
          <cell r="GE488">
            <v>106157.13959425225</v>
          </cell>
          <cell r="GF488">
            <v>0</v>
          </cell>
          <cell r="GG488">
            <v>0</v>
          </cell>
          <cell r="GH488">
            <v>0</v>
          </cell>
          <cell r="GI488">
            <v>-42385.95711507438</v>
          </cell>
          <cell r="GJ488">
            <v>0</v>
          </cell>
          <cell r="GK488">
            <v>0</v>
          </cell>
          <cell r="GL488">
            <v>1606516.0745874925</v>
          </cell>
          <cell r="GN488">
            <v>0.1</v>
          </cell>
          <cell r="GO488">
            <v>0</v>
          </cell>
          <cell r="GP488">
            <v>0.09</v>
          </cell>
          <cell r="GQ488">
            <v>12.618969620460705</v>
          </cell>
          <cell r="GR488">
            <v>14.406365308664874</v>
          </cell>
          <cell r="GS488">
            <v>0</v>
          </cell>
          <cell r="GT488">
            <v>0</v>
          </cell>
          <cell r="GU488">
            <v>0</v>
          </cell>
          <cell r="GV488">
            <v>0</v>
          </cell>
          <cell r="GW488">
            <v>992251.00898844784</v>
          </cell>
          <cell r="GX488">
            <v>1918348.6870635098</v>
          </cell>
          <cell r="GY488">
            <v>419345.40212555829</v>
          </cell>
          <cell r="GZ488">
            <v>486224.82822164992</v>
          </cell>
          <cell r="HA488">
            <v>0</v>
          </cell>
          <cell r="HB488">
            <v>0</v>
          </cell>
          <cell r="HC488">
            <v>0</v>
          </cell>
          <cell r="HD488">
            <v>0</v>
          </cell>
          <cell r="HE488">
            <v>0</v>
          </cell>
          <cell r="HF488">
            <v>0</v>
          </cell>
          <cell r="HG488">
            <v>992251.00898844784</v>
          </cell>
          <cell r="HI488">
            <v>0.1</v>
          </cell>
          <cell r="HJ488">
            <v>0</v>
          </cell>
          <cell r="HK488">
            <v>0.09</v>
          </cell>
          <cell r="HL488">
            <v>12.618969620460705</v>
          </cell>
          <cell r="HM488">
            <v>14.406365308664874</v>
          </cell>
          <cell r="HN488">
            <v>0</v>
          </cell>
          <cell r="HO488">
            <v>0</v>
          </cell>
          <cell r="HP488">
            <v>0</v>
          </cell>
          <cell r="HQ488">
            <v>0</v>
          </cell>
          <cell r="HR488">
            <v>1997936.349611494</v>
          </cell>
          <cell r="HS488">
            <v>1749057.3775814036</v>
          </cell>
          <cell r="HT488">
            <v>200354.78913580807</v>
          </cell>
          <cell r="HU488">
            <v>301640.55100000027</v>
          </cell>
          <cell r="HV488">
            <v>0</v>
          </cell>
          <cell r="HW488">
            <v>0</v>
          </cell>
          <cell r="HX488">
            <v>0</v>
          </cell>
          <cell r="HY488">
            <v>0</v>
          </cell>
          <cell r="HZ488">
            <v>0</v>
          </cell>
          <cell r="IA488">
            <v>0</v>
          </cell>
          <cell r="IB488">
            <v>1997936.349611494</v>
          </cell>
        </row>
        <row r="489">
          <cell r="C489" t="str">
            <v>A0037</v>
          </cell>
          <cell r="D489" t="str">
            <v>PT Century Batteries Indonesia</v>
          </cell>
          <cell r="E489" t="str">
            <v>PEB 2</v>
          </cell>
          <cell r="F489" t="str">
            <v>41PEB 2</v>
          </cell>
          <cell r="G489">
            <v>0.1</v>
          </cell>
          <cell r="I489">
            <v>0.09</v>
          </cell>
          <cell r="J489">
            <v>0</v>
          </cell>
          <cell r="P489">
            <v>0</v>
          </cell>
          <cell r="U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</row>
        <row r="490">
          <cell r="C490" t="str">
            <v>A0037</v>
          </cell>
          <cell r="D490" t="str">
            <v>PT Century Batteries Indonesia</v>
          </cell>
          <cell r="E490" t="str">
            <v>PEB 3</v>
          </cell>
          <cell r="F490" t="str">
            <v>41PEB 3</v>
          </cell>
          <cell r="G490">
            <v>0.1</v>
          </cell>
          <cell r="I490">
            <v>0.09</v>
          </cell>
          <cell r="J490">
            <v>12.618969620460705</v>
          </cell>
          <cell r="K490">
            <v>4.3464501132904525</v>
          </cell>
          <cell r="P490">
            <v>680032.08525757713</v>
          </cell>
          <cell r="Q490">
            <v>226381.76584761866</v>
          </cell>
          <cell r="R490">
            <v>10004.569083438626</v>
          </cell>
          <cell r="S490">
            <v>18120.130293333394</v>
          </cell>
          <cell r="U490">
            <v>0</v>
          </cell>
          <cell r="W490">
            <v>-472818.15145830845</v>
          </cell>
          <cell r="X490">
            <v>2294329.6868895637</v>
          </cell>
          <cell r="Y490">
            <v>-180708.78918687359</v>
          </cell>
          <cell r="Z490">
            <v>2501543.6206888324</v>
          </cell>
        </row>
        <row r="491">
          <cell r="C491" t="str">
            <v>A0037</v>
          </cell>
          <cell r="D491" t="str">
            <v>PT Century Batteries Indonesia</v>
          </cell>
          <cell r="E491" t="str">
            <v>PEB 4</v>
          </cell>
          <cell r="F491" t="str">
            <v>41PEB 4</v>
          </cell>
          <cell r="G491">
            <v>0.1</v>
          </cell>
          <cell r="I491">
            <v>0.09</v>
          </cell>
          <cell r="J491">
            <v>12.618969620460705</v>
          </cell>
          <cell r="K491">
            <v>17.241785421646853</v>
          </cell>
          <cell r="P491">
            <v>1259109.1401561168</v>
          </cell>
          <cell r="Q491">
            <v>1740914.5900800177</v>
          </cell>
          <cell r="R491">
            <v>157638.34686371844</v>
          </cell>
          <cell r="S491">
            <v>271634.21068558242</v>
          </cell>
          <cell r="U491">
            <v>0</v>
          </cell>
          <cell r="W491">
            <v>-604105.55515723256</v>
          </cell>
          <cell r="X491">
            <v>1261238.6640456121</v>
          </cell>
          <cell r="Y491">
            <v>-99339.215788268397</v>
          </cell>
          <cell r="Z491">
            <v>1916242.2490444963</v>
          </cell>
        </row>
        <row r="492">
          <cell r="C492" t="str">
            <v>A0037</v>
          </cell>
          <cell r="D492" t="str">
            <v>PT Century Batteries Indonesia</v>
          </cell>
          <cell r="E492" t="str">
            <v>PEB 5</v>
          </cell>
          <cell r="F492" t="str">
            <v>41PEB 5</v>
          </cell>
          <cell r="J492">
            <v>0</v>
          </cell>
          <cell r="P492">
            <v>0</v>
          </cell>
          <cell r="U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</row>
        <row r="493">
          <cell r="C493" t="str">
            <v>A0037</v>
          </cell>
          <cell r="D493" t="str">
            <v>PT Century Batteries Indonesia</v>
          </cell>
          <cell r="E493" t="str">
            <v>PEB 6</v>
          </cell>
          <cell r="F493" t="str">
            <v>41PEB 6</v>
          </cell>
          <cell r="J493">
            <v>0</v>
          </cell>
          <cell r="P493">
            <v>0</v>
          </cell>
          <cell r="U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</row>
        <row r="494">
          <cell r="C494" t="str">
            <v>A0037</v>
          </cell>
          <cell r="D494" t="str">
            <v>PT Century Batteries Indonesia</v>
          </cell>
          <cell r="E494" t="str">
            <v>PEB 7</v>
          </cell>
          <cell r="F494" t="str">
            <v>41PEB 7</v>
          </cell>
          <cell r="G494">
            <v>0.1</v>
          </cell>
          <cell r="I494">
            <v>0.09</v>
          </cell>
          <cell r="J494">
            <v>12.618969620460705</v>
          </cell>
          <cell r="K494">
            <v>14.406365308664874</v>
          </cell>
          <cell r="P494">
            <v>395252.68909769016</v>
          </cell>
          <cell r="Q494">
            <v>362137.96826675866</v>
          </cell>
          <cell r="R494">
            <v>28751.885218234711</v>
          </cell>
          <cell r="S494">
            <v>45600.051883386528</v>
          </cell>
          <cell r="U494">
            <v>0</v>
          </cell>
          <cell r="W494">
            <v>69656.932191173706</v>
          </cell>
          <cell r="X494">
            <v>0</v>
          </cell>
          <cell r="Y494">
            <v>0</v>
          </cell>
          <cell r="Z494">
            <v>464909.62128886388</v>
          </cell>
        </row>
        <row r="495">
          <cell r="C495" t="str">
            <v>A0037</v>
          </cell>
          <cell r="D495" t="str">
            <v>PT Century Batteries Indonesia</v>
          </cell>
          <cell r="E495" t="str">
            <v>MPP</v>
          </cell>
          <cell r="F495" t="str">
            <v>41MPP</v>
          </cell>
          <cell r="G495">
            <v>0.1</v>
          </cell>
          <cell r="I495">
            <v>0.09</v>
          </cell>
          <cell r="J495">
            <v>12.618969620460705</v>
          </cell>
          <cell r="K495">
            <v>14.406365308664874</v>
          </cell>
          <cell r="P495">
            <v>1218689.737846124</v>
          </cell>
          <cell r="Q495">
            <v>663185.98635565292</v>
          </cell>
          <cell r="R495">
            <v>35474.824296063409</v>
          </cell>
          <cell r="S495">
            <v>71129.857500000013</v>
          </cell>
          <cell r="U495">
            <v>0</v>
          </cell>
          <cell r="W495">
            <v>-75668.480269814972</v>
          </cell>
          <cell r="X495">
            <v>-964649.65598664677</v>
          </cell>
          <cell r="Y495">
            <v>80712.917000000001</v>
          </cell>
          <cell r="Z495">
            <v>178371.6015896622</v>
          </cell>
        </row>
        <row r="496">
          <cell r="C496" t="str">
            <v>A0037</v>
          </cell>
          <cell r="D496" t="str">
            <v>PT Century Batteries Indonesia</v>
          </cell>
          <cell r="E496" t="str">
            <v>ID</v>
          </cell>
          <cell r="F496" t="str">
            <v>41ID</v>
          </cell>
          <cell r="G496">
            <v>0.1</v>
          </cell>
          <cell r="I496">
            <v>0.09</v>
          </cell>
          <cell r="J496">
            <v>12.618969620460705</v>
          </cell>
          <cell r="K496">
            <v>14.406365308664874</v>
          </cell>
          <cell r="P496">
            <v>1648902.0317025669</v>
          </cell>
          <cell r="Q496">
            <v>1215789.0083515486</v>
          </cell>
          <cell r="R496">
            <v>84488.872074139857</v>
          </cell>
          <cell r="S496">
            <v>106157.13959425225</v>
          </cell>
          <cell r="U496">
            <v>0</v>
          </cell>
          <cell r="W496">
            <v>-42385.95711507438</v>
          </cell>
          <cell r="X496">
            <v>0</v>
          </cell>
          <cell r="Y496">
            <v>0</v>
          </cell>
          <cell r="Z496">
            <v>1606516.0745874925</v>
          </cell>
        </row>
        <row r="497">
          <cell r="C497" t="str">
            <v>A0037</v>
          </cell>
          <cell r="D497" t="str">
            <v>PT Century Batteries Indonesia</v>
          </cell>
          <cell r="E497" t="str">
            <v>LL</v>
          </cell>
          <cell r="F497" t="str">
            <v>41LL</v>
          </cell>
          <cell r="G497">
            <v>0.1</v>
          </cell>
          <cell r="I497">
            <v>0.09</v>
          </cell>
          <cell r="J497">
            <v>12.618969620460705</v>
          </cell>
          <cell r="K497">
            <v>14.406365308664874</v>
          </cell>
          <cell r="P497">
            <v>992251.00898844784</v>
          </cell>
          <cell r="Q497">
            <v>1918348.6870635098</v>
          </cell>
          <cell r="R497">
            <v>419345.40212555829</v>
          </cell>
          <cell r="S497">
            <v>486224.82822164992</v>
          </cell>
          <cell r="U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992251.00898844784</v>
          </cell>
        </row>
        <row r="498">
          <cell r="C498" t="str">
            <v>A0037</v>
          </cell>
          <cell r="D498" t="str">
            <v>PT Century Batteries Indonesia</v>
          </cell>
          <cell r="E498" t="str">
            <v>PMK</v>
          </cell>
          <cell r="F498" t="str">
            <v>41PMK</v>
          </cell>
          <cell r="G498">
            <v>0.1</v>
          </cell>
          <cell r="I498">
            <v>0.09</v>
          </cell>
          <cell r="J498">
            <v>12.618969620460705</v>
          </cell>
          <cell r="K498">
            <v>14.406365308664874</v>
          </cell>
          <cell r="P498">
            <v>1997936.349611494</v>
          </cell>
          <cell r="Q498">
            <v>1749057.3775814036</v>
          </cell>
          <cell r="R498">
            <v>200354.78913580807</v>
          </cell>
          <cell r="S498">
            <v>301640.55100000027</v>
          </cell>
          <cell r="U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1997936.349611494</v>
          </cell>
        </row>
        <row r="500">
          <cell r="C500" t="str">
            <v>A0445</v>
          </cell>
          <cell r="D500" t="str">
            <v>PT Citra Agro Nusantara</v>
          </cell>
          <cell r="E500" t="str">
            <v>PEB 1</v>
          </cell>
          <cell r="F500" t="str">
            <v>42PEB 1</v>
          </cell>
          <cell r="J500">
            <v>0</v>
          </cell>
          <cell r="N500">
            <v>0</v>
          </cell>
          <cell r="O500">
            <v>0</v>
          </cell>
          <cell r="P500">
            <v>0</v>
          </cell>
          <cell r="Q500" t="str">
            <v xml:space="preserve"> </v>
          </cell>
          <cell r="R500" t="str">
            <v xml:space="preserve"> </v>
          </cell>
          <cell r="S500" t="str">
            <v xml:space="preserve"> 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10.193512983219655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133879</v>
          </cell>
          <cell r="AL500">
            <v>223561.86116131351</v>
          </cell>
          <cell r="AM500">
            <v>45116.47937605968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-34360</v>
          </cell>
          <cell r="AS500">
            <v>0</v>
          </cell>
          <cell r="AT500">
            <v>0</v>
          </cell>
          <cell r="AU500">
            <v>99519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 t="str">
            <v xml:space="preserve"> </v>
          </cell>
          <cell r="BH500" t="str">
            <v xml:space="preserve"> </v>
          </cell>
          <cell r="BI500" t="str">
            <v xml:space="preserve"> 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10.225228817338731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222285</v>
          </cell>
          <cell r="CB500">
            <v>751796.17394271854</v>
          </cell>
          <cell r="CC500">
            <v>161107.78991364487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-116378</v>
          </cell>
          <cell r="CI500">
            <v>0</v>
          </cell>
          <cell r="CJ500">
            <v>0</v>
          </cell>
          <cell r="CK500">
            <v>105907</v>
          </cell>
          <cell r="CM500">
            <v>0</v>
          </cell>
          <cell r="CN500">
            <v>0</v>
          </cell>
          <cell r="CO500">
            <v>0</v>
          </cell>
          <cell r="CP500">
            <v>10.536341034330093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894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42502</v>
          </cell>
          <cell r="DD500">
            <v>0</v>
          </cell>
          <cell r="DE500">
            <v>0</v>
          </cell>
          <cell r="DF500">
            <v>43396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  <cell r="DP500">
            <v>0</v>
          </cell>
          <cell r="DQ500">
            <v>0</v>
          </cell>
          <cell r="DR500">
            <v>0</v>
          </cell>
          <cell r="DS500">
            <v>0</v>
          </cell>
          <cell r="DT500">
            <v>0</v>
          </cell>
          <cell r="DU500">
            <v>0</v>
          </cell>
          <cell r="DV500">
            <v>0</v>
          </cell>
          <cell r="DW500">
            <v>0</v>
          </cell>
          <cell r="DX500">
            <v>0</v>
          </cell>
          <cell r="DY500">
            <v>0</v>
          </cell>
          <cell r="DZ500">
            <v>0</v>
          </cell>
          <cell r="EA500">
            <v>0</v>
          </cell>
          <cell r="EC500">
            <v>0</v>
          </cell>
          <cell r="ED500">
            <v>0</v>
          </cell>
          <cell r="EE500">
            <v>0</v>
          </cell>
          <cell r="EF500">
            <v>10.193512983219655</v>
          </cell>
          <cell r="EG500">
            <v>0</v>
          </cell>
          <cell r="EH500">
            <v>0</v>
          </cell>
          <cell r="EI500">
            <v>0</v>
          </cell>
          <cell r="EJ500">
            <v>0</v>
          </cell>
          <cell r="EK500">
            <v>0</v>
          </cell>
          <cell r="EL500">
            <v>18383</v>
          </cell>
          <cell r="EM500">
            <v>37855.236702717149</v>
          </cell>
          <cell r="EN500">
            <v>10697.189416007515</v>
          </cell>
          <cell r="EO500">
            <v>2809.4738803369869</v>
          </cell>
          <cell r="EP500">
            <v>0</v>
          </cell>
          <cell r="EQ500">
            <v>0</v>
          </cell>
          <cell r="ER500">
            <v>0</v>
          </cell>
          <cell r="ES500">
            <v>-13481</v>
          </cell>
          <cell r="ET500">
            <v>0</v>
          </cell>
          <cell r="EU500">
            <v>0</v>
          </cell>
          <cell r="EV500">
            <v>4902</v>
          </cell>
          <cell r="EX500">
            <v>0</v>
          </cell>
          <cell r="EY500">
            <v>0</v>
          </cell>
          <cell r="EZ500">
            <v>0</v>
          </cell>
          <cell r="FA500">
            <v>0</v>
          </cell>
          <cell r="FB500">
            <v>0</v>
          </cell>
          <cell r="FC500">
            <v>0</v>
          </cell>
          <cell r="FD500">
            <v>0</v>
          </cell>
          <cell r="FE500">
            <v>0</v>
          </cell>
          <cell r="FF500">
            <v>0</v>
          </cell>
          <cell r="FG500">
            <v>0</v>
          </cell>
          <cell r="FH500">
            <v>35847.82852226145</v>
          </cell>
          <cell r="FI500">
            <v>7914.7709153026281</v>
          </cell>
          <cell r="FJ500">
            <v>0</v>
          </cell>
          <cell r="FK500">
            <v>0</v>
          </cell>
          <cell r="FL500">
            <v>0</v>
          </cell>
          <cell r="FM500">
            <v>0</v>
          </cell>
          <cell r="FN500">
            <v>0</v>
          </cell>
          <cell r="FO500">
            <v>0</v>
          </cell>
          <cell r="FP500">
            <v>0</v>
          </cell>
          <cell r="FQ500">
            <v>0</v>
          </cell>
          <cell r="FS500">
            <v>0</v>
          </cell>
          <cell r="FT500">
            <v>0</v>
          </cell>
          <cell r="FU500">
            <v>0</v>
          </cell>
          <cell r="FV500">
            <v>10.193512983219655</v>
          </cell>
          <cell r="FW500">
            <v>0</v>
          </cell>
          <cell r="FX500">
            <v>0</v>
          </cell>
          <cell r="FY500">
            <v>0</v>
          </cell>
          <cell r="FZ500">
            <v>0</v>
          </cell>
          <cell r="GA500">
            <v>0</v>
          </cell>
          <cell r="GB500">
            <v>1496</v>
          </cell>
          <cell r="GC500">
            <v>92540.688636353778</v>
          </cell>
          <cell r="GD500">
            <v>23575.830056369196</v>
          </cell>
          <cell r="GE500">
            <v>4552.8936515690875</v>
          </cell>
          <cell r="GF500">
            <v>0</v>
          </cell>
          <cell r="GG500">
            <v>0</v>
          </cell>
          <cell r="GH500">
            <v>0</v>
          </cell>
          <cell r="GI500">
            <v>0</v>
          </cell>
          <cell r="GJ500">
            <v>0</v>
          </cell>
          <cell r="GK500">
            <v>0</v>
          </cell>
          <cell r="GL500">
            <v>1496</v>
          </cell>
          <cell r="GN500">
            <v>0</v>
          </cell>
          <cell r="GO500">
            <v>0</v>
          </cell>
          <cell r="GP500">
            <v>0</v>
          </cell>
          <cell r="GQ500">
            <v>10.193512983219655</v>
          </cell>
          <cell r="GR500">
            <v>0</v>
          </cell>
          <cell r="GS500">
            <v>0</v>
          </cell>
          <cell r="GT500">
            <v>0</v>
          </cell>
          <cell r="GU500">
            <v>0</v>
          </cell>
          <cell r="GV500">
            <v>0</v>
          </cell>
          <cell r="GW500">
            <v>89323</v>
          </cell>
          <cell r="GX500">
            <v>154720.82918197662</v>
          </cell>
          <cell r="GY500">
            <v>77593.296136967008</v>
          </cell>
          <cell r="GZ500">
            <v>46389.741333027894</v>
          </cell>
          <cell r="HA500">
            <v>0</v>
          </cell>
          <cell r="HB500">
            <v>0</v>
          </cell>
          <cell r="HC500">
            <v>0</v>
          </cell>
          <cell r="HD500">
            <v>0</v>
          </cell>
          <cell r="HE500">
            <v>0</v>
          </cell>
          <cell r="HF500">
            <v>0</v>
          </cell>
          <cell r="HG500">
            <v>89323</v>
          </cell>
          <cell r="HI500">
            <v>0</v>
          </cell>
          <cell r="HJ500">
            <v>0</v>
          </cell>
          <cell r="HK500">
            <v>0</v>
          </cell>
          <cell r="HL500">
            <v>10.193512983219655</v>
          </cell>
          <cell r="HM500">
            <v>0</v>
          </cell>
          <cell r="HN500">
            <v>0</v>
          </cell>
          <cell r="HO500">
            <v>0</v>
          </cell>
          <cell r="HP500">
            <v>0</v>
          </cell>
          <cell r="HQ500">
            <v>0</v>
          </cell>
          <cell r="HR500">
            <v>27787</v>
          </cell>
          <cell r="HS500">
            <v>90700.617531900061</v>
          </cell>
          <cell r="HT500">
            <v>30797.978878503465</v>
          </cell>
          <cell r="HU500">
            <v>6300</v>
          </cell>
          <cell r="HV500">
            <v>0</v>
          </cell>
          <cell r="HW500">
            <v>0</v>
          </cell>
          <cell r="HX500">
            <v>0</v>
          </cell>
          <cell r="HY500">
            <v>0</v>
          </cell>
          <cell r="HZ500">
            <v>0</v>
          </cell>
          <cell r="IA500">
            <v>0</v>
          </cell>
          <cell r="IB500">
            <v>27787</v>
          </cell>
        </row>
        <row r="501">
          <cell r="C501" t="str">
            <v>A0445</v>
          </cell>
          <cell r="D501" t="str">
            <v>PT Citra Agro Nusantara</v>
          </cell>
          <cell r="E501" t="str">
            <v>PEB 2</v>
          </cell>
          <cell r="F501" t="str">
            <v>42PEB 2</v>
          </cell>
          <cell r="J501">
            <v>10.193512983219655</v>
          </cell>
          <cell r="P501">
            <v>133879</v>
          </cell>
          <cell r="Q501">
            <v>223561.86116131351</v>
          </cell>
          <cell r="R501">
            <v>45116.47937605968</v>
          </cell>
          <cell r="S501">
            <v>0</v>
          </cell>
          <cell r="U501">
            <v>0</v>
          </cell>
          <cell r="W501">
            <v>-34360</v>
          </cell>
          <cell r="X501">
            <v>0</v>
          </cell>
          <cell r="Y501">
            <v>0</v>
          </cell>
          <cell r="Z501">
            <v>99519</v>
          </cell>
        </row>
        <row r="502">
          <cell r="C502" t="str">
            <v>A0445</v>
          </cell>
          <cell r="D502" t="str">
            <v>PT Citra Agro Nusantara</v>
          </cell>
          <cell r="E502" t="str">
            <v>PEB 3</v>
          </cell>
          <cell r="F502" t="str">
            <v>42PEB 3</v>
          </cell>
          <cell r="J502">
            <v>0</v>
          </cell>
          <cell r="P502">
            <v>0</v>
          </cell>
          <cell r="Q502" t="str">
            <v xml:space="preserve"> </v>
          </cell>
          <cell r="R502" t="str">
            <v xml:space="preserve"> </v>
          </cell>
          <cell r="S502" t="str">
            <v xml:space="preserve"> </v>
          </cell>
          <cell r="U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</row>
        <row r="503">
          <cell r="C503" t="str">
            <v>A0445</v>
          </cell>
          <cell r="D503" t="str">
            <v>PT Citra Agro Nusantara</v>
          </cell>
          <cell r="E503" t="str">
            <v>PEB 4</v>
          </cell>
          <cell r="F503" t="str">
            <v>42PEB 4</v>
          </cell>
          <cell r="J503">
            <v>10.225228817338731</v>
          </cell>
          <cell r="P503">
            <v>222285</v>
          </cell>
          <cell r="Q503">
            <v>751796.17394271854</v>
          </cell>
          <cell r="R503">
            <v>161107.78991364487</v>
          </cell>
          <cell r="S503">
            <v>0</v>
          </cell>
          <cell r="U503">
            <v>0</v>
          </cell>
          <cell r="W503">
            <v>-116378</v>
          </cell>
          <cell r="X503">
            <v>0</v>
          </cell>
          <cell r="Y503">
            <v>0</v>
          </cell>
          <cell r="Z503">
            <v>105907</v>
          </cell>
        </row>
        <row r="504">
          <cell r="C504" t="str">
            <v>A0445</v>
          </cell>
          <cell r="D504" t="str">
            <v>PT Citra Agro Nusantara</v>
          </cell>
          <cell r="E504" t="str">
            <v>PEB 5</v>
          </cell>
          <cell r="F504" t="str">
            <v>42PEB 5</v>
          </cell>
          <cell r="J504">
            <v>10.536341034330093</v>
          </cell>
          <cell r="P504">
            <v>894</v>
          </cell>
          <cell r="U504">
            <v>0</v>
          </cell>
          <cell r="W504">
            <v>42502</v>
          </cell>
          <cell r="X504">
            <v>0</v>
          </cell>
          <cell r="Y504">
            <v>0</v>
          </cell>
          <cell r="Z504">
            <v>43396</v>
          </cell>
        </row>
        <row r="505">
          <cell r="C505" t="str">
            <v>A0445</v>
          </cell>
          <cell r="D505" t="str">
            <v>PT Citra Agro Nusantara</v>
          </cell>
          <cell r="E505" t="str">
            <v>PEB 6</v>
          </cell>
          <cell r="F505" t="str">
            <v>42PEB 6</v>
          </cell>
          <cell r="J505">
            <v>0</v>
          </cell>
          <cell r="P505">
            <v>0</v>
          </cell>
          <cell r="U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</row>
        <row r="506">
          <cell r="C506" t="str">
            <v>A0445</v>
          </cell>
          <cell r="D506" t="str">
            <v>PT Citra Agro Nusantara</v>
          </cell>
          <cell r="E506" t="str">
            <v>PEB 7</v>
          </cell>
          <cell r="F506" t="str">
            <v>42PEB 7</v>
          </cell>
          <cell r="J506">
            <v>10.193512983219655</v>
          </cell>
          <cell r="P506">
            <v>18383</v>
          </cell>
          <cell r="Q506">
            <v>37855.236702717149</v>
          </cell>
          <cell r="R506">
            <v>10697.189416007515</v>
          </cell>
          <cell r="S506">
            <v>2809.4738803369869</v>
          </cell>
          <cell r="U506">
            <v>0</v>
          </cell>
          <cell r="W506">
            <v>-13481</v>
          </cell>
          <cell r="X506">
            <v>0</v>
          </cell>
          <cell r="Y506">
            <v>0</v>
          </cell>
          <cell r="Z506">
            <v>4902</v>
          </cell>
        </row>
        <row r="507">
          <cell r="C507" t="str">
            <v>A0445</v>
          </cell>
          <cell r="D507" t="str">
            <v>PT Citra Agro Nusantara</v>
          </cell>
          <cell r="E507" t="str">
            <v>MPP</v>
          </cell>
          <cell r="F507" t="str">
            <v>42MPP</v>
          </cell>
          <cell r="J507">
            <v>0</v>
          </cell>
          <cell r="P507">
            <v>0</v>
          </cell>
          <cell r="Q507">
            <v>35847.82852226145</v>
          </cell>
          <cell r="R507">
            <v>7914.7709153026281</v>
          </cell>
          <cell r="S507">
            <v>0</v>
          </cell>
          <cell r="U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</row>
        <row r="508">
          <cell r="C508" t="str">
            <v>A0445</v>
          </cell>
          <cell r="D508" t="str">
            <v>PT Citra Agro Nusantara</v>
          </cell>
          <cell r="E508" t="str">
            <v>ID</v>
          </cell>
          <cell r="F508" t="str">
            <v>42ID</v>
          </cell>
          <cell r="J508">
            <v>10.193512983219655</v>
          </cell>
          <cell r="P508">
            <v>1496</v>
          </cell>
          <cell r="Q508">
            <v>92540.688636353778</v>
          </cell>
          <cell r="R508">
            <v>23575.830056369196</v>
          </cell>
          <cell r="S508">
            <v>4552.8936515690875</v>
          </cell>
          <cell r="U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1496</v>
          </cell>
        </row>
        <row r="509">
          <cell r="C509" t="str">
            <v>A0445</v>
          </cell>
          <cell r="D509" t="str">
            <v>PT Citra Agro Nusantara</v>
          </cell>
          <cell r="E509" t="str">
            <v>LL</v>
          </cell>
          <cell r="F509" t="str">
            <v>42LL</v>
          </cell>
          <cell r="J509">
            <v>10.193512983219655</v>
          </cell>
          <cell r="P509">
            <v>89323</v>
          </cell>
          <cell r="Q509">
            <v>154720.82918197662</v>
          </cell>
          <cell r="R509">
            <v>77593.296136967008</v>
          </cell>
          <cell r="S509">
            <v>46389.741333027894</v>
          </cell>
          <cell r="U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89323</v>
          </cell>
        </row>
        <row r="510">
          <cell r="C510" t="str">
            <v>A0445</v>
          </cell>
          <cell r="D510" t="str">
            <v>PT Citra Agro Nusantara</v>
          </cell>
          <cell r="E510" t="str">
            <v>PMK</v>
          </cell>
          <cell r="F510" t="str">
            <v>42PMK</v>
          </cell>
          <cell r="J510">
            <v>10.193512983219655</v>
          </cell>
          <cell r="P510">
            <v>27787</v>
          </cell>
          <cell r="Q510">
            <v>90700.617531900061</v>
          </cell>
          <cell r="R510">
            <v>30797.978878503465</v>
          </cell>
          <cell r="S510">
            <v>6300</v>
          </cell>
          <cell r="U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27787</v>
          </cell>
        </row>
        <row r="512">
          <cell r="C512" t="str">
            <v>A0008</v>
          </cell>
          <cell r="D512" t="str">
            <v>PT Daya Mitra Serasi</v>
          </cell>
          <cell r="E512" t="str">
            <v>PEB 1</v>
          </cell>
          <cell r="F512" t="str">
            <v>43PEB 1</v>
          </cell>
          <cell r="N512">
            <v>0</v>
          </cell>
          <cell r="O512">
            <v>0</v>
          </cell>
          <cell r="P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R512">
            <v>0.1</v>
          </cell>
          <cell r="BS512">
            <v>0</v>
          </cell>
          <cell r="BT512">
            <v>0.09</v>
          </cell>
          <cell r="BU512">
            <v>8.712440494705751</v>
          </cell>
          <cell r="BV512">
            <v>14.503103779198726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1246452</v>
          </cell>
          <cell r="CB512">
            <v>419796.24469250749</v>
          </cell>
          <cell r="CC512">
            <v>59727.333892599207</v>
          </cell>
          <cell r="CD512">
            <v>10847.469024936107</v>
          </cell>
          <cell r="CE512">
            <v>0</v>
          </cell>
          <cell r="CF512">
            <v>0</v>
          </cell>
          <cell r="CG512">
            <v>0</v>
          </cell>
          <cell r="CH512">
            <v>-234611</v>
          </cell>
          <cell r="CI512">
            <v>0</v>
          </cell>
          <cell r="CJ512">
            <v>0</v>
          </cell>
          <cell r="CK512">
            <v>1011841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  <cell r="DP512">
            <v>0</v>
          </cell>
          <cell r="DQ512">
            <v>0</v>
          </cell>
          <cell r="DR512">
            <v>0</v>
          </cell>
          <cell r="DS512">
            <v>0</v>
          </cell>
          <cell r="DT512">
            <v>0</v>
          </cell>
          <cell r="DU512">
            <v>0</v>
          </cell>
          <cell r="DV512">
            <v>0</v>
          </cell>
          <cell r="DW512">
            <v>0</v>
          </cell>
          <cell r="DX512">
            <v>0</v>
          </cell>
          <cell r="DY512">
            <v>0</v>
          </cell>
          <cell r="DZ512">
            <v>0</v>
          </cell>
          <cell r="EA512">
            <v>0</v>
          </cell>
          <cell r="EC512">
            <v>0.1</v>
          </cell>
          <cell r="ED512">
            <v>0</v>
          </cell>
          <cell r="EE512">
            <v>0.09</v>
          </cell>
          <cell r="EF512">
            <v>8.712440494705751</v>
          </cell>
          <cell r="EG512">
            <v>14.503103779198726</v>
          </cell>
          <cell r="EH512">
            <v>0</v>
          </cell>
          <cell r="EI512">
            <v>0</v>
          </cell>
          <cell r="EJ512">
            <v>0</v>
          </cell>
          <cell r="EK512">
            <v>0</v>
          </cell>
          <cell r="EL512">
            <v>32077</v>
          </cell>
          <cell r="EM512">
            <v>43292.581291420967</v>
          </cell>
          <cell r="EN512">
            <v>5818.4204972576244</v>
          </cell>
          <cell r="EO512">
            <v>5049.4996657232705</v>
          </cell>
          <cell r="EP512">
            <v>0</v>
          </cell>
          <cell r="EQ512">
            <v>0</v>
          </cell>
          <cell r="ER512">
            <v>0</v>
          </cell>
          <cell r="ES512">
            <v>-21357</v>
          </cell>
          <cell r="ET512">
            <v>0</v>
          </cell>
          <cell r="EU512">
            <v>0</v>
          </cell>
          <cell r="EV512">
            <v>10720</v>
          </cell>
          <cell r="EX512">
            <v>0</v>
          </cell>
          <cell r="EY512">
            <v>0</v>
          </cell>
          <cell r="EZ512">
            <v>0</v>
          </cell>
          <cell r="FA512">
            <v>0</v>
          </cell>
          <cell r="FB512">
            <v>0</v>
          </cell>
          <cell r="FC512">
            <v>0</v>
          </cell>
          <cell r="FD512">
            <v>0</v>
          </cell>
          <cell r="FE512">
            <v>0</v>
          </cell>
          <cell r="FF512">
            <v>0</v>
          </cell>
          <cell r="FG512">
            <v>0</v>
          </cell>
          <cell r="FH512">
            <v>0</v>
          </cell>
          <cell r="FI512">
            <v>0</v>
          </cell>
          <cell r="FJ512">
            <v>0</v>
          </cell>
          <cell r="FK512">
            <v>0</v>
          </cell>
          <cell r="FL512">
            <v>0</v>
          </cell>
          <cell r="FM512">
            <v>0</v>
          </cell>
          <cell r="FN512">
            <v>0</v>
          </cell>
          <cell r="FO512">
            <v>0</v>
          </cell>
          <cell r="FP512">
            <v>0</v>
          </cell>
          <cell r="FQ512">
            <v>0</v>
          </cell>
          <cell r="FS512">
            <v>0.1</v>
          </cell>
          <cell r="FT512">
            <v>0</v>
          </cell>
          <cell r="FU512">
            <v>0.09</v>
          </cell>
          <cell r="FV512">
            <v>8.712440494705751</v>
          </cell>
          <cell r="FW512">
            <v>14.503103779198726</v>
          </cell>
          <cell r="FX512">
            <v>0</v>
          </cell>
          <cell r="FY512">
            <v>0</v>
          </cell>
          <cell r="FZ512">
            <v>0</v>
          </cell>
          <cell r="GA512">
            <v>0</v>
          </cell>
          <cell r="GB512">
            <v>13830</v>
          </cell>
          <cell r="GC512">
            <v>144539.06197697212</v>
          </cell>
          <cell r="GD512">
            <v>16687.383364771049</v>
          </cell>
          <cell r="GE512">
            <v>12661.305973745313</v>
          </cell>
          <cell r="GF512">
            <v>0</v>
          </cell>
          <cell r="GG512">
            <v>0</v>
          </cell>
          <cell r="GH512">
            <v>0</v>
          </cell>
          <cell r="GI512">
            <v>0</v>
          </cell>
          <cell r="GJ512">
            <v>0</v>
          </cell>
          <cell r="GK512">
            <v>0</v>
          </cell>
          <cell r="GL512">
            <v>13830</v>
          </cell>
          <cell r="GN512">
            <v>0.1</v>
          </cell>
          <cell r="GO512">
            <v>0</v>
          </cell>
          <cell r="GP512">
            <v>0.09</v>
          </cell>
          <cell r="GQ512">
            <v>8.712440494705751</v>
          </cell>
          <cell r="GR512">
            <v>14.503103779198726</v>
          </cell>
          <cell r="GS512">
            <v>0</v>
          </cell>
          <cell r="GT512">
            <v>0</v>
          </cell>
          <cell r="GU512">
            <v>0</v>
          </cell>
          <cell r="GV512">
            <v>0</v>
          </cell>
          <cell r="GW512">
            <v>457138</v>
          </cell>
          <cell r="GX512">
            <v>217825</v>
          </cell>
          <cell r="GY512">
            <v>67762</v>
          </cell>
          <cell r="GZ512">
            <v>122590.33561518697</v>
          </cell>
          <cell r="HA512">
            <v>0</v>
          </cell>
          <cell r="HB512">
            <v>0</v>
          </cell>
          <cell r="HC512">
            <v>0</v>
          </cell>
          <cell r="HD512">
            <v>0</v>
          </cell>
          <cell r="HE512">
            <v>0</v>
          </cell>
          <cell r="HF512">
            <v>0</v>
          </cell>
          <cell r="HG512">
            <v>457138</v>
          </cell>
          <cell r="HI512">
            <v>0.1</v>
          </cell>
          <cell r="HJ512">
            <v>0</v>
          </cell>
          <cell r="HK512">
            <v>0.09</v>
          </cell>
          <cell r="HL512">
            <v>8.712440494705751</v>
          </cell>
          <cell r="HM512">
            <v>14.503103779198726</v>
          </cell>
          <cell r="HN512">
            <v>0</v>
          </cell>
          <cell r="HO512">
            <v>0</v>
          </cell>
          <cell r="HP512">
            <v>0</v>
          </cell>
          <cell r="HQ512">
            <v>0</v>
          </cell>
          <cell r="HR512">
            <v>365372</v>
          </cell>
          <cell r="HS512">
            <v>603142.49005338596</v>
          </cell>
          <cell r="HT512">
            <v>77337.116496674964</v>
          </cell>
          <cell r="HU512">
            <v>34650</v>
          </cell>
          <cell r="HV512">
            <v>0</v>
          </cell>
          <cell r="HW512">
            <v>0</v>
          </cell>
          <cell r="HX512">
            <v>0</v>
          </cell>
          <cell r="HY512">
            <v>0</v>
          </cell>
          <cell r="HZ512">
            <v>0</v>
          </cell>
          <cell r="IA512">
            <v>0</v>
          </cell>
          <cell r="IB512">
            <v>365372</v>
          </cell>
        </row>
        <row r="513">
          <cell r="C513" t="str">
            <v>A0008</v>
          </cell>
          <cell r="D513" t="str">
            <v>PT Daya Mitra Serasi</v>
          </cell>
          <cell r="E513" t="str">
            <v>PEB 2</v>
          </cell>
          <cell r="F513" t="str">
            <v>43PEB 2</v>
          </cell>
          <cell r="P513">
            <v>0</v>
          </cell>
          <cell r="U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</row>
        <row r="514">
          <cell r="C514" t="str">
            <v>A0008</v>
          </cell>
          <cell r="D514" t="str">
            <v>PT Daya Mitra Serasi</v>
          </cell>
          <cell r="E514" t="str">
            <v>PEB 3</v>
          </cell>
          <cell r="F514" t="str">
            <v>43PEB 3</v>
          </cell>
          <cell r="P514">
            <v>0</v>
          </cell>
          <cell r="U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</row>
        <row r="515">
          <cell r="C515" t="str">
            <v>A0008</v>
          </cell>
          <cell r="D515" t="str">
            <v>PT Daya Mitra Serasi</v>
          </cell>
          <cell r="E515" t="str">
            <v>PEB 4</v>
          </cell>
          <cell r="F515" t="str">
            <v>43PEB 4</v>
          </cell>
          <cell r="G515">
            <v>0.1</v>
          </cell>
          <cell r="I515">
            <v>0.09</v>
          </cell>
          <cell r="J515">
            <v>8.712440494705751</v>
          </cell>
          <cell r="K515">
            <v>14.503103779198726</v>
          </cell>
          <cell r="P515">
            <v>1246452</v>
          </cell>
          <cell r="Q515">
            <v>419796.24469250749</v>
          </cell>
          <cell r="R515">
            <v>59727.333892599207</v>
          </cell>
          <cell r="S515">
            <v>10847.469024936107</v>
          </cell>
          <cell r="U515">
            <v>0</v>
          </cell>
          <cell r="W515">
            <v>-234611</v>
          </cell>
          <cell r="X515">
            <v>0</v>
          </cell>
          <cell r="Y515">
            <v>0</v>
          </cell>
          <cell r="Z515">
            <v>1011841</v>
          </cell>
        </row>
        <row r="516">
          <cell r="C516" t="str">
            <v>A0008</v>
          </cell>
          <cell r="D516" t="str">
            <v>PT Daya Mitra Serasi</v>
          </cell>
          <cell r="E516" t="str">
            <v>PEB 5</v>
          </cell>
          <cell r="F516" t="str">
            <v>43PEB 5</v>
          </cell>
          <cell r="P516">
            <v>0</v>
          </cell>
          <cell r="U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</row>
        <row r="517">
          <cell r="C517" t="str">
            <v>A0008</v>
          </cell>
          <cell r="D517" t="str">
            <v>PT Daya Mitra Serasi</v>
          </cell>
          <cell r="E517" t="str">
            <v>PEB 6</v>
          </cell>
          <cell r="F517" t="str">
            <v>43PEB 6</v>
          </cell>
          <cell r="P517">
            <v>0</v>
          </cell>
          <cell r="U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</row>
        <row r="518">
          <cell r="C518" t="str">
            <v>A0008</v>
          </cell>
          <cell r="D518" t="str">
            <v>PT Daya Mitra Serasi</v>
          </cell>
          <cell r="E518" t="str">
            <v>PEB 7</v>
          </cell>
          <cell r="F518" t="str">
            <v>43PEB 7</v>
          </cell>
          <cell r="G518">
            <v>0.1</v>
          </cell>
          <cell r="I518">
            <v>0.09</v>
          </cell>
          <cell r="J518">
            <v>8.712440494705751</v>
          </cell>
          <cell r="K518">
            <v>14.503103779198726</v>
          </cell>
          <cell r="P518">
            <v>32077</v>
          </cell>
          <cell r="Q518">
            <v>43292.581291420967</v>
          </cell>
          <cell r="R518">
            <v>5818.4204972576244</v>
          </cell>
          <cell r="S518">
            <v>5049.4996657232705</v>
          </cell>
          <cell r="U518">
            <v>0</v>
          </cell>
          <cell r="W518">
            <v>-21357</v>
          </cell>
          <cell r="X518">
            <v>0</v>
          </cell>
          <cell r="Y518">
            <v>0</v>
          </cell>
          <cell r="Z518">
            <v>10720</v>
          </cell>
        </row>
        <row r="519">
          <cell r="C519" t="str">
            <v>A0008</v>
          </cell>
          <cell r="D519" t="str">
            <v>PT Daya Mitra Serasi</v>
          </cell>
          <cell r="E519" t="str">
            <v>MPP</v>
          </cell>
          <cell r="F519" t="str">
            <v>43MPP</v>
          </cell>
          <cell r="P519">
            <v>0</v>
          </cell>
          <cell r="U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</row>
        <row r="520">
          <cell r="C520" t="str">
            <v>A0008</v>
          </cell>
          <cell r="D520" t="str">
            <v>PT Daya Mitra Serasi</v>
          </cell>
          <cell r="E520" t="str">
            <v>ID</v>
          </cell>
          <cell r="F520" t="str">
            <v>43ID</v>
          </cell>
          <cell r="G520">
            <v>0.1</v>
          </cell>
          <cell r="I520">
            <v>0.09</v>
          </cell>
          <cell r="J520">
            <v>8.712440494705751</v>
          </cell>
          <cell r="K520">
            <v>14.503103779198726</v>
          </cell>
          <cell r="P520">
            <v>13830</v>
          </cell>
          <cell r="Q520">
            <v>144539.06197697212</v>
          </cell>
          <cell r="R520">
            <v>16687.383364771049</v>
          </cell>
          <cell r="S520">
            <v>12661.305973745313</v>
          </cell>
          <cell r="U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13830</v>
          </cell>
        </row>
        <row r="521">
          <cell r="C521" t="str">
            <v>A0008</v>
          </cell>
          <cell r="D521" t="str">
            <v>PT Daya Mitra Serasi</v>
          </cell>
          <cell r="E521" t="str">
            <v>LL</v>
          </cell>
          <cell r="F521" t="str">
            <v>43LL</v>
          </cell>
          <cell r="G521">
            <v>0.1</v>
          </cell>
          <cell r="I521">
            <v>0.09</v>
          </cell>
          <cell r="J521">
            <v>8.712440494705751</v>
          </cell>
          <cell r="K521">
            <v>14.503103779198726</v>
          </cell>
          <cell r="P521">
            <v>457138</v>
          </cell>
          <cell r="Q521">
            <v>217825</v>
          </cell>
          <cell r="R521">
            <v>67762</v>
          </cell>
          <cell r="S521">
            <v>122590.33561518697</v>
          </cell>
          <cell r="U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457138</v>
          </cell>
        </row>
        <row r="522">
          <cell r="C522" t="str">
            <v>A0008</v>
          </cell>
          <cell r="D522" t="str">
            <v>PT Daya Mitra Serasi</v>
          </cell>
          <cell r="E522" t="str">
            <v>PMK</v>
          </cell>
          <cell r="F522" t="str">
            <v>43PMK</v>
          </cell>
          <cell r="G522">
            <v>0.1</v>
          </cell>
          <cell r="I522">
            <v>0.09</v>
          </cell>
          <cell r="J522">
            <v>8.712440494705751</v>
          </cell>
          <cell r="K522">
            <v>14.503103779198726</v>
          </cell>
          <cell r="P522">
            <v>365372</v>
          </cell>
          <cell r="Q522">
            <v>603142.49005338596</v>
          </cell>
          <cell r="R522">
            <v>77337.116496674964</v>
          </cell>
          <cell r="S522">
            <v>34650</v>
          </cell>
          <cell r="U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365372</v>
          </cell>
        </row>
        <row r="524">
          <cell r="C524" t="str">
            <v>A0051</v>
          </cell>
          <cell r="D524" t="str">
            <v>PT DIC Astra Chemicals</v>
          </cell>
          <cell r="E524" t="str">
            <v>PEB 1</v>
          </cell>
          <cell r="F524" t="str">
            <v>44PEB 1</v>
          </cell>
          <cell r="G524">
            <v>0.1</v>
          </cell>
          <cell r="H524">
            <v>0.1</v>
          </cell>
          <cell r="I524">
            <v>0.09</v>
          </cell>
          <cell r="J524">
            <v>10.632095339629041</v>
          </cell>
          <cell r="K524">
            <v>10.804471015179768</v>
          </cell>
          <cell r="L524">
            <v>1715</v>
          </cell>
          <cell r="N524">
            <v>395926.3124</v>
          </cell>
          <cell r="O524">
            <v>65139.528000000006</v>
          </cell>
          <cell r="P524">
            <v>3602136.8661353355</v>
          </cell>
          <cell r="Q524">
            <v>5395247.292537801</v>
          </cell>
          <cell r="R524">
            <v>259369.09144802659</v>
          </cell>
          <cell r="S524">
            <v>35231.616414462493</v>
          </cell>
          <cell r="U524">
            <v>-2491787.8372460026</v>
          </cell>
          <cell r="V524">
            <v>4582663.780133334</v>
          </cell>
          <cell r="W524">
            <v>-246544.71602749074</v>
          </cell>
          <cell r="X524">
            <v>0</v>
          </cell>
          <cell r="Y524">
            <v>0</v>
          </cell>
          <cell r="Z524">
            <v>863804.31286184199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W524">
            <v>0.1</v>
          </cell>
          <cell r="AX524">
            <v>0</v>
          </cell>
          <cell r="AY524">
            <v>0.09</v>
          </cell>
          <cell r="AZ524">
            <v>14.217872479946784</v>
          </cell>
          <cell r="BA524">
            <v>10.804471015179768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798909.94836942665</v>
          </cell>
          <cell r="BG524">
            <v>180905.41447488058</v>
          </cell>
          <cell r="BH524">
            <v>9166.217079467533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109518.83997214655</v>
          </cell>
          <cell r="BN524">
            <v>-201153.61914344848</v>
          </cell>
          <cell r="BO524">
            <v>50768.676757095796</v>
          </cell>
          <cell r="BP524">
            <v>707275.16919812467</v>
          </cell>
          <cell r="BR524">
            <v>0.1</v>
          </cell>
          <cell r="BS524">
            <v>0</v>
          </cell>
          <cell r="BT524">
            <v>0.09</v>
          </cell>
          <cell r="BU524">
            <v>14.217872479946784</v>
          </cell>
          <cell r="BV524">
            <v>17.025397087640016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1124507.3439167924</v>
          </cell>
          <cell r="CB524">
            <v>393392.24532127386</v>
          </cell>
          <cell r="CC524">
            <v>41932.862649790259</v>
          </cell>
          <cell r="CD524">
            <v>85727.146303939735</v>
          </cell>
          <cell r="CE524">
            <v>0</v>
          </cell>
          <cell r="CF524">
            <v>0</v>
          </cell>
          <cell r="CG524">
            <v>0</v>
          </cell>
          <cell r="CH524">
            <v>-143113.34803376099</v>
          </cell>
          <cell r="CI524">
            <v>-192345.90295169735</v>
          </cell>
          <cell r="CJ524">
            <v>48545.718511495608</v>
          </cell>
          <cell r="CK524">
            <v>789048.09293133405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O524">
            <v>0</v>
          </cell>
          <cell r="DP524">
            <v>0</v>
          </cell>
          <cell r="DQ524">
            <v>0</v>
          </cell>
          <cell r="DR524">
            <v>0</v>
          </cell>
          <cell r="DS524">
            <v>0</v>
          </cell>
          <cell r="DT524">
            <v>0</v>
          </cell>
          <cell r="DU524">
            <v>0</v>
          </cell>
          <cell r="DV524">
            <v>0</v>
          </cell>
          <cell r="DW524">
            <v>0</v>
          </cell>
          <cell r="DX524">
            <v>0</v>
          </cell>
          <cell r="DY524">
            <v>0</v>
          </cell>
          <cell r="DZ524">
            <v>0</v>
          </cell>
          <cell r="EA524">
            <v>0</v>
          </cell>
          <cell r="EC524">
            <v>0.1</v>
          </cell>
          <cell r="ED524">
            <v>0</v>
          </cell>
          <cell r="EE524">
            <v>0.09</v>
          </cell>
          <cell r="EF524">
            <v>14.217872479946784</v>
          </cell>
          <cell r="EG524">
            <v>15.942151254127035</v>
          </cell>
          <cell r="EH524">
            <v>0</v>
          </cell>
          <cell r="EI524">
            <v>0</v>
          </cell>
          <cell r="EJ524">
            <v>0</v>
          </cell>
          <cell r="EK524">
            <v>0</v>
          </cell>
          <cell r="EL524">
            <v>294746.87920577131</v>
          </cell>
          <cell r="EM524">
            <v>239870.66193208448</v>
          </cell>
          <cell r="EN524">
            <v>18572.834509385393</v>
          </cell>
          <cell r="EO524">
            <v>27324.249950673249</v>
          </cell>
          <cell r="EP524">
            <v>0</v>
          </cell>
          <cell r="EQ524">
            <v>0</v>
          </cell>
          <cell r="ER524">
            <v>0</v>
          </cell>
          <cell r="ES524">
            <v>-124841.22239259993</v>
          </cell>
          <cell r="ET524">
            <v>0</v>
          </cell>
          <cell r="EU524">
            <v>0</v>
          </cell>
          <cell r="EV524">
            <v>169905.6568131714</v>
          </cell>
          <cell r="EX524">
            <v>0.1</v>
          </cell>
          <cell r="EY524">
            <v>0</v>
          </cell>
          <cell r="EZ524">
            <v>0.09</v>
          </cell>
          <cell r="FA524">
            <v>14.217872479946784</v>
          </cell>
          <cell r="FB524">
            <v>15.942151254127035</v>
          </cell>
          <cell r="FC524">
            <v>0</v>
          </cell>
          <cell r="FD524">
            <v>0</v>
          </cell>
          <cell r="FE524">
            <v>0</v>
          </cell>
          <cell r="FF524">
            <v>0</v>
          </cell>
          <cell r="FG524">
            <v>417108.56539183867</v>
          </cell>
          <cell r="FH524">
            <v>343572.15855285613</v>
          </cell>
          <cell r="FI524">
            <v>21501.188148677797</v>
          </cell>
          <cell r="FJ524">
            <v>2430.5909999999999</v>
          </cell>
          <cell r="FK524">
            <v>0</v>
          </cell>
          <cell r="FL524">
            <v>0</v>
          </cell>
          <cell r="FM524">
            <v>0</v>
          </cell>
          <cell r="FN524">
            <v>-4676.8564806257182</v>
          </cell>
          <cell r="FO524">
            <v>-165304.57569900688</v>
          </cell>
          <cell r="FP524">
            <v>13775.381308250575</v>
          </cell>
          <cell r="FQ524">
            <v>247127.1332122061</v>
          </cell>
          <cell r="FS524">
            <v>0.1</v>
          </cell>
          <cell r="FT524">
            <v>0</v>
          </cell>
          <cell r="FU524">
            <v>0.09</v>
          </cell>
          <cell r="FV524">
            <v>14.217872479946784</v>
          </cell>
          <cell r="FW524">
            <v>15.942151254127035</v>
          </cell>
          <cell r="FX524">
            <v>0</v>
          </cell>
          <cell r="FY524">
            <v>0</v>
          </cell>
          <cell r="FZ524">
            <v>0</v>
          </cell>
          <cell r="GA524">
            <v>0</v>
          </cell>
          <cell r="GB524">
            <v>850210.05956360989</v>
          </cell>
          <cell r="GC524">
            <v>658676.65671563661</v>
          </cell>
          <cell r="GD524">
            <v>45853.999602813499</v>
          </cell>
          <cell r="GE524">
            <v>46474.539328947962</v>
          </cell>
          <cell r="GF524">
            <v>0</v>
          </cell>
          <cell r="GG524">
            <v>0</v>
          </cell>
          <cell r="GH524">
            <v>0</v>
          </cell>
          <cell r="GI524">
            <v>-155299.291269081</v>
          </cell>
          <cell r="GJ524">
            <v>0</v>
          </cell>
          <cell r="GK524">
            <v>0</v>
          </cell>
          <cell r="GL524">
            <v>694910.76829452883</v>
          </cell>
          <cell r="GN524">
            <v>0.1</v>
          </cell>
          <cell r="GO524">
            <v>0</v>
          </cell>
          <cell r="GP524">
            <v>0.09</v>
          </cell>
          <cell r="GQ524">
            <v>14.217872479946784</v>
          </cell>
          <cell r="GR524">
            <v>15.942151254127035</v>
          </cell>
          <cell r="GS524">
            <v>0</v>
          </cell>
          <cell r="GT524">
            <v>0</v>
          </cell>
          <cell r="GU524">
            <v>0</v>
          </cell>
          <cell r="GV524">
            <v>0</v>
          </cell>
          <cell r="GW524">
            <v>477599.64242748503</v>
          </cell>
          <cell r="GX524">
            <v>642715.4800890371</v>
          </cell>
          <cell r="GY524">
            <v>217905.11126763342</v>
          </cell>
          <cell r="GZ524">
            <v>208354.09089503926</v>
          </cell>
          <cell r="HA524">
            <v>0</v>
          </cell>
          <cell r="HB524">
            <v>0</v>
          </cell>
          <cell r="HC524">
            <v>0</v>
          </cell>
          <cell r="HD524">
            <v>0</v>
          </cell>
          <cell r="HE524">
            <v>0</v>
          </cell>
          <cell r="HF524">
            <v>0</v>
          </cell>
          <cell r="HG524">
            <v>477599.64242748503</v>
          </cell>
          <cell r="HI524">
            <v>0.1</v>
          </cell>
          <cell r="HJ524">
            <v>0</v>
          </cell>
          <cell r="HK524">
            <v>0.09</v>
          </cell>
          <cell r="HL524">
            <v>14.217872479946784</v>
          </cell>
          <cell r="HM524">
            <v>15.942151254127035</v>
          </cell>
          <cell r="HN524">
            <v>0</v>
          </cell>
          <cell r="HO524">
            <v>0</v>
          </cell>
          <cell r="HP524">
            <v>0</v>
          </cell>
          <cell r="HQ524">
            <v>0</v>
          </cell>
          <cell r="HR524">
            <v>1778700.7670888938</v>
          </cell>
          <cell r="HS524">
            <v>607308.13362024445</v>
          </cell>
          <cell r="HT524">
            <v>60982.98308132161</v>
          </cell>
          <cell r="HU524">
            <v>52000</v>
          </cell>
          <cell r="HV524">
            <v>0</v>
          </cell>
          <cell r="HW524">
            <v>0</v>
          </cell>
          <cell r="HX524">
            <v>0</v>
          </cell>
          <cell r="HY524">
            <v>0</v>
          </cell>
          <cell r="HZ524">
            <v>0</v>
          </cell>
          <cell r="IA524">
            <v>0</v>
          </cell>
          <cell r="IB524">
            <v>1778700.7670888938</v>
          </cell>
        </row>
        <row r="525">
          <cell r="C525" t="str">
            <v>A0051</v>
          </cell>
          <cell r="D525" t="str">
            <v>PT DIC Astra Chemicals</v>
          </cell>
          <cell r="E525" t="str">
            <v>PEB 2</v>
          </cell>
          <cell r="F525" t="str">
            <v>44PEB 2</v>
          </cell>
          <cell r="P525">
            <v>0</v>
          </cell>
          <cell r="U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</row>
        <row r="526">
          <cell r="C526" t="str">
            <v>A0051</v>
          </cell>
          <cell r="D526" t="str">
            <v>PT DIC Astra Chemicals</v>
          </cell>
          <cell r="E526" t="str">
            <v>PEB 3</v>
          </cell>
          <cell r="F526" t="str">
            <v>44PEB 3</v>
          </cell>
          <cell r="G526">
            <v>0.1</v>
          </cell>
          <cell r="I526">
            <v>0.09</v>
          </cell>
          <cell r="J526">
            <v>14.217872479946784</v>
          </cell>
          <cell r="K526">
            <v>10.804471015179768</v>
          </cell>
          <cell r="P526">
            <v>798909.94836942665</v>
          </cell>
          <cell r="Q526">
            <v>180905.41447488058</v>
          </cell>
          <cell r="R526">
            <v>9166.217079467533</v>
          </cell>
          <cell r="S526">
            <v>0</v>
          </cell>
          <cell r="U526">
            <v>0</v>
          </cell>
          <cell r="W526">
            <v>109518.83997214655</v>
          </cell>
          <cell r="X526">
            <v>-201153.61914344848</v>
          </cell>
          <cell r="Y526">
            <v>50768.676757095796</v>
          </cell>
          <cell r="Z526">
            <v>707275.16919812467</v>
          </cell>
        </row>
        <row r="527">
          <cell r="C527" t="str">
            <v>A0051</v>
          </cell>
          <cell r="D527" t="str">
            <v>PT DIC Astra Chemicals</v>
          </cell>
          <cell r="E527" t="str">
            <v>PEB 4</v>
          </cell>
          <cell r="F527" t="str">
            <v>44PEB 4</v>
          </cell>
          <cell r="G527">
            <v>0.1</v>
          </cell>
          <cell r="I527">
            <v>0.09</v>
          </cell>
          <cell r="J527">
            <v>14.217872479946784</v>
          </cell>
          <cell r="K527">
            <v>17.025397087640016</v>
          </cell>
          <cell r="P527">
            <v>1124507.3439167924</v>
          </cell>
          <cell r="Q527">
            <v>393392.24532127386</v>
          </cell>
          <cell r="R527">
            <v>41932.862649790259</v>
          </cell>
          <cell r="S527">
            <v>85727.146303939735</v>
          </cell>
          <cell r="U527">
            <v>0</v>
          </cell>
          <cell r="W527">
            <v>-143113.34803376099</v>
          </cell>
          <cell r="X527">
            <v>-192345.90295169735</v>
          </cell>
          <cell r="Y527">
            <v>48545.718511495608</v>
          </cell>
          <cell r="Z527">
            <v>789048.09293133405</v>
          </cell>
        </row>
        <row r="528">
          <cell r="C528" t="str">
            <v>A0051</v>
          </cell>
          <cell r="D528" t="str">
            <v>PT DIC Astra Chemicals</v>
          </cell>
          <cell r="E528" t="str">
            <v>PEB 5</v>
          </cell>
          <cell r="F528" t="str">
            <v>44PEB 5</v>
          </cell>
          <cell r="P528">
            <v>0</v>
          </cell>
          <cell r="U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</row>
        <row r="529">
          <cell r="C529" t="str">
            <v>A0051</v>
          </cell>
          <cell r="D529" t="str">
            <v>PT DIC Astra Chemicals</v>
          </cell>
          <cell r="E529" t="str">
            <v>PEB 6</v>
          </cell>
          <cell r="F529" t="str">
            <v>44PEB 6</v>
          </cell>
          <cell r="P529">
            <v>0</v>
          </cell>
          <cell r="U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</row>
        <row r="530">
          <cell r="C530" t="str">
            <v>A0051</v>
          </cell>
          <cell r="D530" t="str">
            <v>PT DIC Astra Chemicals</v>
          </cell>
          <cell r="E530" t="str">
            <v>PEB 7</v>
          </cell>
          <cell r="F530" t="str">
            <v>44PEB 7</v>
          </cell>
          <cell r="G530">
            <v>0.1</v>
          </cell>
          <cell r="I530">
            <v>0.09</v>
          </cell>
          <cell r="J530">
            <v>14.217872479946784</v>
          </cell>
          <cell r="K530">
            <v>15.942151254127035</v>
          </cell>
          <cell r="P530">
            <v>294746.87920577131</v>
          </cell>
          <cell r="Q530">
            <v>239870.66193208448</v>
          </cell>
          <cell r="R530">
            <v>18572.834509385393</v>
          </cell>
          <cell r="S530">
            <v>27324.249950673249</v>
          </cell>
          <cell r="U530">
            <v>0</v>
          </cell>
          <cell r="W530">
            <v>-124841.22239259993</v>
          </cell>
          <cell r="X530">
            <v>0</v>
          </cell>
          <cell r="Y530">
            <v>0</v>
          </cell>
          <cell r="Z530">
            <v>169905.6568131714</v>
          </cell>
        </row>
        <row r="531">
          <cell r="C531" t="str">
            <v>A0051</v>
          </cell>
          <cell r="D531" t="str">
            <v>PT DIC Astra Chemicals</v>
          </cell>
          <cell r="E531" t="str">
            <v>MPP</v>
          </cell>
          <cell r="F531" t="str">
            <v>44MPP</v>
          </cell>
          <cell r="G531">
            <v>0.1</v>
          </cell>
          <cell r="I531">
            <v>0.09</v>
          </cell>
          <cell r="J531">
            <v>14.217872479946784</v>
          </cell>
          <cell r="K531">
            <v>15.942151254127035</v>
          </cell>
          <cell r="P531">
            <v>417108.56539183867</v>
          </cell>
          <cell r="Q531">
            <v>343572.15855285613</v>
          </cell>
          <cell r="R531">
            <v>21501.188148677797</v>
          </cell>
          <cell r="S531">
            <v>2430.5909999999999</v>
          </cell>
          <cell r="U531">
            <v>0</v>
          </cell>
          <cell r="W531">
            <v>-4676.8564806257182</v>
          </cell>
          <cell r="X531">
            <v>-165304.57569900688</v>
          </cell>
          <cell r="Y531">
            <v>13775.381308250575</v>
          </cell>
          <cell r="Z531">
            <v>247127.1332122061</v>
          </cell>
        </row>
        <row r="532">
          <cell r="C532" t="str">
            <v>A0051</v>
          </cell>
          <cell r="D532" t="str">
            <v>PT DIC Astra Chemicals</v>
          </cell>
          <cell r="E532" t="str">
            <v>ID</v>
          </cell>
          <cell r="F532" t="str">
            <v>44ID</v>
          </cell>
          <cell r="G532">
            <v>0.1</v>
          </cell>
          <cell r="I532">
            <v>0.09</v>
          </cell>
          <cell r="J532">
            <v>14.217872479946784</v>
          </cell>
          <cell r="K532">
            <v>15.942151254127035</v>
          </cell>
          <cell r="P532">
            <v>850210.05956360989</v>
          </cell>
          <cell r="Q532">
            <v>658676.65671563661</v>
          </cell>
          <cell r="R532">
            <v>45853.999602813499</v>
          </cell>
          <cell r="S532">
            <v>46474.539328947962</v>
          </cell>
          <cell r="U532">
            <v>0</v>
          </cell>
          <cell r="W532">
            <v>-155299.291269081</v>
          </cell>
          <cell r="X532">
            <v>0</v>
          </cell>
          <cell r="Y532">
            <v>0</v>
          </cell>
          <cell r="Z532">
            <v>694910.76829452883</v>
          </cell>
        </row>
        <row r="533">
          <cell r="C533" t="str">
            <v>A0051</v>
          </cell>
          <cell r="D533" t="str">
            <v>PT DIC Astra Chemicals</v>
          </cell>
          <cell r="E533" t="str">
            <v>LL</v>
          </cell>
          <cell r="F533" t="str">
            <v>44LL</v>
          </cell>
          <cell r="G533">
            <v>0.1</v>
          </cell>
          <cell r="I533">
            <v>0.09</v>
          </cell>
          <cell r="J533">
            <v>14.217872479946784</v>
          </cell>
          <cell r="K533">
            <v>15.942151254127035</v>
          </cell>
          <cell r="P533">
            <v>477599.64242748503</v>
          </cell>
          <cell r="Q533">
            <v>642715.4800890371</v>
          </cell>
          <cell r="R533">
            <v>217905.11126763342</v>
          </cell>
          <cell r="S533">
            <v>208354.09089503926</v>
          </cell>
          <cell r="U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477599.64242748503</v>
          </cell>
        </row>
        <row r="534">
          <cell r="C534" t="str">
            <v>A0051</v>
          </cell>
          <cell r="D534" t="str">
            <v>PT DIC Astra Chemicals</v>
          </cell>
          <cell r="E534" t="str">
            <v>PMK</v>
          </cell>
          <cell r="F534" t="str">
            <v>44PMK</v>
          </cell>
          <cell r="G534">
            <v>0.1</v>
          </cell>
          <cell r="I534">
            <v>0.09</v>
          </cell>
          <cell r="J534">
            <v>14.217872479946784</v>
          </cell>
          <cell r="K534">
            <v>15.942151254127035</v>
          </cell>
          <cell r="P534">
            <v>1778700.7670888938</v>
          </cell>
          <cell r="Q534">
            <v>607308.13362024445</v>
          </cell>
          <cell r="R534">
            <v>60982.98308132161</v>
          </cell>
          <cell r="S534">
            <v>52000</v>
          </cell>
          <cell r="U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1778700.7670888938</v>
          </cell>
        </row>
        <row r="536">
          <cell r="C536" t="str">
            <v>A0239</v>
          </cell>
          <cell r="D536" t="str">
            <v>PT Astra Daido Steel Indonesia (d/h PT Dirgamenara Nusadwipa)</v>
          </cell>
          <cell r="E536" t="str">
            <v>PEB 1</v>
          </cell>
          <cell r="F536" t="str">
            <v>45PEB 1</v>
          </cell>
          <cell r="G536">
            <v>0.1</v>
          </cell>
          <cell r="H536">
            <v>0.1</v>
          </cell>
          <cell r="I536">
            <v>0.09</v>
          </cell>
          <cell r="J536">
            <v>4.1903702728370593</v>
          </cell>
          <cell r="K536">
            <v>0</v>
          </cell>
          <cell r="L536">
            <v>0</v>
          </cell>
          <cell r="N536">
            <v>125359.24</v>
          </cell>
          <cell r="O536">
            <v>14076.48</v>
          </cell>
          <cell r="P536">
            <v>1312931.789976693</v>
          </cell>
          <cell r="Q536">
            <v>134707.3774999998</v>
          </cell>
          <cell r="R536">
            <v>44933.21427568487</v>
          </cell>
          <cell r="S536">
            <v>134707.3774999998</v>
          </cell>
          <cell r="U536">
            <v>-944184.74930650287</v>
          </cell>
          <cell r="V536">
            <v>1319326.1733333333</v>
          </cell>
          <cell r="W536">
            <v>136259.49538609278</v>
          </cell>
          <cell r="X536">
            <v>0</v>
          </cell>
          <cell r="Y536">
            <v>0</v>
          </cell>
          <cell r="Z536">
            <v>505006.53605628287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W536">
            <v>0.1</v>
          </cell>
          <cell r="AX536">
            <v>0</v>
          </cell>
          <cell r="AY536">
            <v>0.09</v>
          </cell>
          <cell r="AZ536">
            <v>13.266239959514657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198023.53131462139</v>
          </cell>
          <cell r="BG536">
            <v>168935.6221440002</v>
          </cell>
          <cell r="BH536">
            <v>56350.443824745278</v>
          </cell>
          <cell r="BI536">
            <v>168935.6221440002</v>
          </cell>
          <cell r="BJ536">
            <v>0</v>
          </cell>
          <cell r="BK536">
            <v>0</v>
          </cell>
          <cell r="BL536">
            <v>0</v>
          </cell>
          <cell r="BM536">
            <v>12437.271331365548</v>
          </cell>
          <cell r="BN536">
            <v>-11697.840054327677</v>
          </cell>
          <cell r="BO536">
            <v>2844.9588378104563</v>
          </cell>
          <cell r="BP536">
            <v>198762.96259165928</v>
          </cell>
          <cell r="BR536">
            <v>0.1</v>
          </cell>
          <cell r="BS536">
            <v>0</v>
          </cell>
          <cell r="BT536">
            <v>0.09</v>
          </cell>
          <cell r="BU536">
            <v>13.266239959514657</v>
          </cell>
          <cell r="BV536">
            <v>18.453971683432634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179582.44404915709</v>
          </cell>
          <cell r="CB536">
            <v>435019.70528538618</v>
          </cell>
          <cell r="CC536">
            <v>42477.784675231509</v>
          </cell>
          <cell r="CD536">
            <v>62293.519956142518</v>
          </cell>
          <cell r="CE536">
            <v>0</v>
          </cell>
          <cell r="CF536">
            <v>0</v>
          </cell>
          <cell r="CG536">
            <v>0</v>
          </cell>
          <cell r="CH536">
            <v>129055.3469897497</v>
          </cell>
          <cell r="CI536">
            <v>-17529.840066829802</v>
          </cell>
          <cell r="CJ536">
            <v>4263.3232453098035</v>
          </cell>
          <cell r="CK536">
            <v>291107.95097207703</v>
          </cell>
          <cell r="CM536">
            <v>0.1</v>
          </cell>
          <cell r="CN536">
            <v>0</v>
          </cell>
          <cell r="CO536">
            <v>0.09</v>
          </cell>
          <cell r="CP536">
            <v>24.51</v>
          </cell>
          <cell r="CQ536">
            <v>24.51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2612.7876354884816</v>
          </cell>
          <cell r="CX536">
            <v>1995.088291112178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O536">
            <v>0</v>
          </cell>
          <cell r="DP536">
            <v>0</v>
          </cell>
          <cell r="DQ536">
            <v>0</v>
          </cell>
          <cell r="DR536">
            <v>0</v>
          </cell>
          <cell r="DS536">
            <v>0</v>
          </cell>
          <cell r="DT536">
            <v>0</v>
          </cell>
          <cell r="DU536">
            <v>0</v>
          </cell>
          <cell r="DV536">
            <v>0</v>
          </cell>
          <cell r="DW536">
            <v>0</v>
          </cell>
          <cell r="DX536">
            <v>0</v>
          </cell>
          <cell r="DY536">
            <v>0</v>
          </cell>
          <cell r="DZ536">
            <v>0</v>
          </cell>
          <cell r="EA536">
            <v>0</v>
          </cell>
          <cell r="EC536">
            <v>0.1</v>
          </cell>
          <cell r="ED536">
            <v>0</v>
          </cell>
          <cell r="EE536">
            <v>0.09</v>
          </cell>
          <cell r="EF536">
            <v>13.266239959514657</v>
          </cell>
          <cell r="EG536">
            <v>18.299894755771327</v>
          </cell>
          <cell r="EH536">
            <v>0</v>
          </cell>
          <cell r="EI536">
            <v>0</v>
          </cell>
          <cell r="EJ536">
            <v>0</v>
          </cell>
          <cell r="EK536">
            <v>0</v>
          </cell>
          <cell r="EL536">
            <v>184723.1267005018</v>
          </cell>
          <cell r="EM536">
            <v>68289.608928766946</v>
          </cell>
          <cell r="EN536">
            <v>9033.7611426724525</v>
          </cell>
          <cell r="EO536">
            <v>6916.1304658024328</v>
          </cell>
          <cell r="EP536">
            <v>0</v>
          </cell>
          <cell r="EQ536">
            <v>0</v>
          </cell>
          <cell r="ER536">
            <v>0</v>
          </cell>
          <cell r="ES536">
            <v>-30797.376024501515</v>
          </cell>
          <cell r="ET536">
            <v>0</v>
          </cell>
          <cell r="EU536">
            <v>0</v>
          </cell>
          <cell r="EV536">
            <v>153925.75067600029</v>
          </cell>
          <cell r="EX536">
            <v>0</v>
          </cell>
          <cell r="EY536">
            <v>0</v>
          </cell>
          <cell r="EZ536">
            <v>0</v>
          </cell>
          <cell r="FA536">
            <v>0</v>
          </cell>
          <cell r="FB536">
            <v>0</v>
          </cell>
          <cell r="FC536">
            <v>0</v>
          </cell>
          <cell r="FD536">
            <v>0</v>
          </cell>
          <cell r="FE536">
            <v>0</v>
          </cell>
          <cell r="FF536">
            <v>0</v>
          </cell>
          <cell r="FG536">
            <v>0</v>
          </cell>
          <cell r="FH536">
            <v>0</v>
          </cell>
          <cell r="FI536">
            <v>0</v>
          </cell>
          <cell r="FJ536">
            <v>0</v>
          </cell>
          <cell r="FK536">
            <v>0</v>
          </cell>
          <cell r="FL536">
            <v>0</v>
          </cell>
          <cell r="FM536">
            <v>0</v>
          </cell>
          <cell r="FN536">
            <v>0</v>
          </cell>
          <cell r="FO536">
            <v>0</v>
          </cell>
          <cell r="FP536">
            <v>0</v>
          </cell>
          <cell r="FQ536">
            <v>0</v>
          </cell>
          <cell r="FS536">
            <v>0.1</v>
          </cell>
          <cell r="FT536">
            <v>0</v>
          </cell>
          <cell r="FU536">
            <v>0.09</v>
          </cell>
          <cell r="FV536">
            <v>13.266239959514657</v>
          </cell>
          <cell r="FW536">
            <v>18.299894755771327</v>
          </cell>
          <cell r="FX536">
            <v>0</v>
          </cell>
          <cell r="FY536">
            <v>0</v>
          </cell>
          <cell r="FZ536">
            <v>0</v>
          </cell>
          <cell r="GA536">
            <v>0</v>
          </cell>
          <cell r="GB536">
            <v>340976.25777520885</v>
          </cell>
          <cell r="GC536">
            <v>175743.78238750203</v>
          </cell>
          <cell r="GD536">
            <v>21723.708305727734</v>
          </cell>
          <cell r="GE536">
            <v>9229.7881156224721</v>
          </cell>
          <cell r="GF536">
            <v>0</v>
          </cell>
          <cell r="GG536">
            <v>0</v>
          </cell>
          <cell r="GH536">
            <v>0</v>
          </cell>
          <cell r="GI536">
            <v>-2578.2329492617532</v>
          </cell>
          <cell r="GJ536">
            <v>0</v>
          </cell>
          <cell r="GK536">
            <v>0</v>
          </cell>
          <cell r="GL536">
            <v>338398.02482594713</v>
          </cell>
          <cell r="GN536">
            <v>0.1</v>
          </cell>
          <cell r="GO536">
            <v>0</v>
          </cell>
          <cell r="GP536">
            <v>0.09</v>
          </cell>
          <cell r="GQ536">
            <v>13.266239959514657</v>
          </cell>
          <cell r="GR536">
            <v>18.299894755771327</v>
          </cell>
          <cell r="GS536">
            <v>0</v>
          </cell>
          <cell r="GT536">
            <v>0</v>
          </cell>
          <cell r="GU536">
            <v>0</v>
          </cell>
          <cell r="GV536">
            <v>0</v>
          </cell>
          <cell r="GW536">
            <v>345874.66364441253</v>
          </cell>
          <cell r="GX536">
            <v>175626.41512543522</v>
          </cell>
          <cell r="GY536">
            <v>75991.202104336233</v>
          </cell>
          <cell r="GZ536">
            <v>73326.689149705635</v>
          </cell>
          <cell r="HA536">
            <v>0</v>
          </cell>
          <cell r="HB536">
            <v>0</v>
          </cell>
          <cell r="HC536">
            <v>0</v>
          </cell>
          <cell r="HD536">
            <v>0</v>
          </cell>
          <cell r="HE536">
            <v>0</v>
          </cell>
          <cell r="HF536">
            <v>0</v>
          </cell>
          <cell r="HG536">
            <v>345874.66364441253</v>
          </cell>
          <cell r="HI536">
            <v>0.1</v>
          </cell>
          <cell r="HJ536">
            <v>0</v>
          </cell>
          <cell r="HK536">
            <v>0.09</v>
          </cell>
          <cell r="HL536">
            <v>13.266239959514657</v>
          </cell>
          <cell r="HM536">
            <v>18.299894755771327</v>
          </cell>
          <cell r="HN536">
            <v>0</v>
          </cell>
          <cell r="HO536">
            <v>0</v>
          </cell>
          <cell r="HP536">
            <v>0</v>
          </cell>
          <cell r="HQ536">
            <v>0</v>
          </cell>
          <cell r="HR536">
            <v>556721.84357212298</v>
          </cell>
          <cell r="HS536">
            <v>451515.57974596584</v>
          </cell>
          <cell r="HT536">
            <v>62531.491436364369</v>
          </cell>
          <cell r="HU536">
            <v>54250</v>
          </cell>
          <cell r="HV536">
            <v>0</v>
          </cell>
          <cell r="HW536">
            <v>0</v>
          </cell>
          <cell r="HX536">
            <v>0</v>
          </cell>
          <cell r="HY536">
            <v>0</v>
          </cell>
          <cell r="HZ536">
            <v>0</v>
          </cell>
          <cell r="IA536">
            <v>0</v>
          </cell>
          <cell r="IB536">
            <v>556721.84357212298</v>
          </cell>
        </row>
        <row r="537">
          <cell r="C537" t="str">
            <v>A0239</v>
          </cell>
          <cell r="D537" t="str">
            <v>PT Astra Daido Steel Indonesia (d/h PT Dirgamenara Nusadwipa)</v>
          </cell>
          <cell r="E537" t="str">
            <v>PEB 2</v>
          </cell>
          <cell r="F537" t="str">
            <v>45PEB 2</v>
          </cell>
          <cell r="J537">
            <v>0</v>
          </cell>
          <cell r="P537">
            <v>0</v>
          </cell>
          <cell r="U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</row>
        <row r="538">
          <cell r="C538" t="str">
            <v>A0239</v>
          </cell>
          <cell r="D538" t="str">
            <v>PT Astra Daido Steel Indonesia (d/h PT Dirgamenara Nusadwipa)</v>
          </cell>
          <cell r="E538" t="str">
            <v>PEB 3</v>
          </cell>
          <cell r="F538" t="str">
            <v>45PEB 3</v>
          </cell>
          <cell r="G538">
            <v>0.1</v>
          </cell>
          <cell r="I538">
            <v>0.09</v>
          </cell>
          <cell r="J538">
            <v>13.266239959514657</v>
          </cell>
          <cell r="K538">
            <v>0</v>
          </cell>
          <cell r="P538">
            <v>198023.53131462139</v>
          </cell>
          <cell r="Q538">
            <v>168935.6221440002</v>
          </cell>
          <cell r="R538">
            <v>56350.443824745278</v>
          </cell>
          <cell r="S538">
            <v>168935.6221440002</v>
          </cell>
          <cell r="U538">
            <v>0</v>
          </cell>
          <cell r="W538">
            <v>12437.271331365548</v>
          </cell>
          <cell r="X538">
            <v>-11697.840054327677</v>
          </cell>
          <cell r="Y538">
            <v>2844.9588378104563</v>
          </cell>
          <cell r="Z538">
            <v>198762.96259165928</v>
          </cell>
        </row>
        <row r="539">
          <cell r="C539" t="str">
            <v>A0239</v>
          </cell>
          <cell r="D539" t="str">
            <v>PT Astra Daido Steel Indonesia (d/h PT Dirgamenara Nusadwipa)</v>
          </cell>
          <cell r="E539" t="str">
            <v>PEB 4</v>
          </cell>
          <cell r="F539" t="str">
            <v>45PEB 4</v>
          </cell>
          <cell r="G539">
            <v>0.1</v>
          </cell>
          <cell r="I539">
            <v>0.09</v>
          </cell>
          <cell r="J539">
            <v>13.266239959514657</v>
          </cell>
          <cell r="K539">
            <v>18.453971683432634</v>
          </cell>
          <cell r="P539">
            <v>179582.44404915709</v>
          </cell>
          <cell r="Q539">
            <v>435019.70528538618</v>
          </cell>
          <cell r="R539">
            <v>42477.784675231509</v>
          </cell>
          <cell r="S539">
            <v>62293.519956142518</v>
          </cell>
          <cell r="U539">
            <v>0</v>
          </cell>
          <cell r="W539">
            <v>129055.3469897497</v>
          </cell>
          <cell r="X539">
            <v>-17529.840066829802</v>
          </cell>
          <cell r="Y539">
            <v>4263.3232453098035</v>
          </cell>
          <cell r="Z539">
            <v>291107.95097207703</v>
          </cell>
        </row>
        <row r="540">
          <cell r="C540" t="str">
            <v>A0239</v>
          </cell>
          <cell r="D540" t="str">
            <v>PT Astra Daido Steel Indonesia (d/h PT Dirgamenara Nusadwipa)</v>
          </cell>
          <cell r="E540" t="str">
            <v>PEB 5</v>
          </cell>
          <cell r="F540" t="str">
            <v>45PEB 5</v>
          </cell>
          <cell r="G540">
            <v>0.1</v>
          </cell>
          <cell r="I540">
            <v>0.09</v>
          </cell>
          <cell r="J540">
            <v>24.51</v>
          </cell>
          <cell r="K540">
            <v>24.51</v>
          </cell>
          <cell r="P540">
            <v>0</v>
          </cell>
          <cell r="Q540">
            <v>2612.7876354884816</v>
          </cell>
          <cell r="R540">
            <v>1995.088291112178</v>
          </cell>
          <cell r="S540">
            <v>0</v>
          </cell>
          <cell r="U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</row>
        <row r="541">
          <cell r="C541" t="str">
            <v>A0239</v>
          </cell>
          <cell r="D541" t="str">
            <v>PT Astra Daido Steel Indonesia (d/h PT Dirgamenara Nusadwipa)</v>
          </cell>
          <cell r="E541" t="str">
            <v>PEB 6</v>
          </cell>
          <cell r="F541" t="str">
            <v>45PEB 6</v>
          </cell>
          <cell r="J541">
            <v>0</v>
          </cell>
          <cell r="P541">
            <v>0</v>
          </cell>
          <cell r="U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</row>
        <row r="542">
          <cell r="C542" t="str">
            <v>A0239</v>
          </cell>
          <cell r="D542" t="str">
            <v>PT Astra Daido Steel Indonesia (d/h PT Dirgamenara Nusadwipa)</v>
          </cell>
          <cell r="E542" t="str">
            <v>PEB 7</v>
          </cell>
          <cell r="F542" t="str">
            <v>45PEB 7</v>
          </cell>
          <cell r="G542">
            <v>0.1</v>
          </cell>
          <cell r="I542">
            <v>0.09</v>
          </cell>
          <cell r="J542">
            <v>13.266239959514657</v>
          </cell>
          <cell r="K542">
            <v>18.299894755771327</v>
          </cell>
          <cell r="P542">
            <v>184723.1267005018</v>
          </cell>
          <cell r="Q542">
            <v>68289.608928766946</v>
          </cell>
          <cell r="R542">
            <v>9033.7611426724525</v>
          </cell>
          <cell r="S542">
            <v>6916.1304658024328</v>
          </cell>
          <cell r="U542">
            <v>0</v>
          </cell>
          <cell r="W542">
            <v>-30797.376024501515</v>
          </cell>
          <cell r="X542">
            <v>0</v>
          </cell>
          <cell r="Y542">
            <v>0</v>
          </cell>
          <cell r="Z542">
            <v>153925.75067600029</v>
          </cell>
        </row>
        <row r="543">
          <cell r="C543" t="str">
            <v>A0239</v>
          </cell>
          <cell r="D543" t="str">
            <v>PT Astra Daido Steel Indonesia (d/h PT Dirgamenara Nusadwipa)</v>
          </cell>
          <cell r="E543" t="str">
            <v>MPP</v>
          </cell>
          <cell r="F543" t="str">
            <v>45MPP</v>
          </cell>
          <cell r="P543">
            <v>0</v>
          </cell>
          <cell r="U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</row>
        <row r="544">
          <cell r="C544" t="str">
            <v>A0239</v>
          </cell>
          <cell r="D544" t="str">
            <v>PT Astra Daido Steel Indonesia (d/h PT Dirgamenara Nusadwipa)</v>
          </cell>
          <cell r="E544" t="str">
            <v>ID</v>
          </cell>
          <cell r="F544" t="str">
            <v>45ID</v>
          </cell>
          <cell r="G544">
            <v>0.1</v>
          </cell>
          <cell r="I544">
            <v>0.09</v>
          </cell>
          <cell r="J544">
            <v>13.266239959514657</v>
          </cell>
          <cell r="K544">
            <v>18.299894755771327</v>
          </cell>
          <cell r="P544">
            <v>340976.25777520885</v>
          </cell>
          <cell r="Q544">
            <v>175743.78238750203</v>
          </cell>
          <cell r="R544">
            <v>21723.708305727734</v>
          </cell>
          <cell r="S544">
            <v>9229.7881156224721</v>
          </cell>
          <cell r="U544">
            <v>0</v>
          </cell>
          <cell r="W544">
            <v>-2578.2329492617532</v>
          </cell>
          <cell r="X544">
            <v>0</v>
          </cell>
          <cell r="Y544">
            <v>0</v>
          </cell>
          <cell r="Z544">
            <v>338398.02482594713</v>
          </cell>
        </row>
        <row r="545">
          <cell r="C545" t="str">
            <v>A0239</v>
          </cell>
          <cell r="D545" t="str">
            <v>PT Astra Daido Steel Indonesia (d/h PT Dirgamenara Nusadwipa)</v>
          </cell>
          <cell r="E545" t="str">
            <v>LL</v>
          </cell>
          <cell r="F545" t="str">
            <v>45LL</v>
          </cell>
          <cell r="G545">
            <v>0.1</v>
          </cell>
          <cell r="I545">
            <v>0.09</v>
          </cell>
          <cell r="J545">
            <v>13.266239959514657</v>
          </cell>
          <cell r="K545">
            <v>18.299894755771327</v>
          </cell>
          <cell r="P545">
            <v>345874.66364441253</v>
          </cell>
          <cell r="Q545">
            <v>175626.41512543522</v>
          </cell>
          <cell r="R545">
            <v>75991.202104336233</v>
          </cell>
          <cell r="S545">
            <v>73326.689149705635</v>
          </cell>
          <cell r="U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345874.66364441253</v>
          </cell>
        </row>
        <row r="546">
          <cell r="C546" t="str">
            <v>A0239</v>
          </cell>
          <cell r="D546" t="str">
            <v>PT Astra Daido Steel Indonesia (d/h PT Dirgamenara Nusadwipa)</v>
          </cell>
          <cell r="E546" t="str">
            <v>PMK</v>
          </cell>
          <cell r="F546" t="str">
            <v>45PMK</v>
          </cell>
          <cell r="G546">
            <v>0.1</v>
          </cell>
          <cell r="I546">
            <v>0.09</v>
          </cell>
          <cell r="J546">
            <v>13.266239959514657</v>
          </cell>
          <cell r="K546">
            <v>18.299894755771327</v>
          </cell>
          <cell r="P546">
            <v>556721.84357212298</v>
          </cell>
          <cell r="Q546">
            <v>451515.57974596584</v>
          </cell>
          <cell r="R546">
            <v>62531.491436364369</v>
          </cell>
          <cell r="S546">
            <v>54250</v>
          </cell>
          <cell r="U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556721.84357212298</v>
          </cell>
        </row>
        <row r="548">
          <cell r="C548" t="str">
            <v xml:space="preserve">A0054 </v>
          </cell>
          <cell r="D548" t="str">
            <v>PT Ekadura Indonesia &amp; Ekadura Dumai</v>
          </cell>
          <cell r="E548" t="str">
            <v>PEB 1</v>
          </cell>
          <cell r="F548" t="str">
            <v>46PEB 1</v>
          </cell>
          <cell r="J548">
            <v>0</v>
          </cell>
          <cell r="N548">
            <v>0</v>
          </cell>
          <cell r="O548">
            <v>0</v>
          </cell>
          <cell r="P548">
            <v>0</v>
          </cell>
          <cell r="Q548" t="str">
            <v xml:space="preserve"> </v>
          </cell>
          <cell r="R548" t="str">
            <v xml:space="preserve"> </v>
          </cell>
          <cell r="S548" t="str">
            <v xml:space="preserve"> 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10.317768694539614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3204146</v>
          </cell>
          <cell r="AL548">
            <v>4450186.6094647897</v>
          </cell>
          <cell r="AM548">
            <v>484810.5193481255</v>
          </cell>
          <cell r="AN548">
            <v>111476.5403424</v>
          </cell>
          <cell r="AO548">
            <v>0</v>
          </cell>
          <cell r="AP548">
            <v>0</v>
          </cell>
          <cell r="AQ548">
            <v>0</v>
          </cell>
          <cell r="AR548">
            <v>-1764459</v>
          </cell>
          <cell r="AS548">
            <v>0</v>
          </cell>
          <cell r="AT548">
            <v>0</v>
          </cell>
          <cell r="AU548">
            <v>1439687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 t="str">
            <v xml:space="preserve"> </v>
          </cell>
          <cell r="BH548" t="str">
            <v xml:space="preserve"> </v>
          </cell>
          <cell r="BI548" t="str">
            <v xml:space="preserve"> 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10.309142124568854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5708764</v>
          </cell>
          <cell r="CB548">
            <v>7791302.2604172658</v>
          </cell>
          <cell r="CC548">
            <v>932722.81406857818</v>
          </cell>
          <cell r="CD548">
            <v>574582.85154009005</v>
          </cell>
          <cell r="CE548">
            <v>0</v>
          </cell>
          <cell r="CF548">
            <v>0</v>
          </cell>
          <cell r="CG548">
            <v>0</v>
          </cell>
          <cell r="CH548">
            <v>-4123725</v>
          </cell>
          <cell r="CI548">
            <v>-750972</v>
          </cell>
          <cell r="CJ548">
            <v>59754</v>
          </cell>
          <cell r="CK548">
            <v>834067</v>
          </cell>
          <cell r="CM548">
            <v>0</v>
          </cell>
          <cell r="CN548">
            <v>0</v>
          </cell>
          <cell r="CO548">
            <v>0</v>
          </cell>
          <cell r="CP548">
            <v>10.3395535159309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133349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2959977</v>
          </cell>
          <cell r="DD548">
            <v>0</v>
          </cell>
          <cell r="DE548">
            <v>0</v>
          </cell>
          <cell r="DF548">
            <v>3093326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0</v>
          </cell>
          <cell r="DW548">
            <v>0</v>
          </cell>
          <cell r="DX548">
            <v>0</v>
          </cell>
          <cell r="DY548">
            <v>0</v>
          </cell>
          <cell r="DZ548">
            <v>0</v>
          </cell>
          <cell r="EA548">
            <v>0</v>
          </cell>
          <cell r="EC548">
            <v>0</v>
          </cell>
          <cell r="ED548">
            <v>0</v>
          </cell>
          <cell r="EE548">
            <v>0</v>
          </cell>
          <cell r="EF548">
            <v>10.317768694539614</v>
          </cell>
          <cell r="EG548">
            <v>0</v>
          </cell>
          <cell r="EH548">
            <v>0</v>
          </cell>
          <cell r="EI548">
            <v>0</v>
          </cell>
          <cell r="EJ548">
            <v>0</v>
          </cell>
          <cell r="EK548">
            <v>0</v>
          </cell>
          <cell r="EL548">
            <v>347477</v>
          </cell>
          <cell r="EM548">
            <v>564749.29954065441</v>
          </cell>
          <cell r="EN548">
            <v>90879.591411735106</v>
          </cell>
          <cell r="EO548">
            <v>57511.85100838841</v>
          </cell>
          <cell r="EP548">
            <v>0</v>
          </cell>
          <cell r="EQ548">
            <v>0</v>
          </cell>
          <cell r="ER548">
            <v>0</v>
          </cell>
          <cell r="ES548">
            <v>-341751</v>
          </cell>
          <cell r="ET548">
            <v>0</v>
          </cell>
          <cell r="EU548">
            <v>0</v>
          </cell>
          <cell r="EV548">
            <v>5726</v>
          </cell>
          <cell r="EX548">
            <v>0</v>
          </cell>
          <cell r="EY548">
            <v>0</v>
          </cell>
          <cell r="EZ548">
            <v>0</v>
          </cell>
          <cell r="FA548">
            <v>0</v>
          </cell>
          <cell r="FB548">
            <v>0</v>
          </cell>
          <cell r="FC548">
            <v>0</v>
          </cell>
          <cell r="FD548">
            <v>0</v>
          </cell>
          <cell r="FE548">
            <v>0</v>
          </cell>
          <cell r="FF548">
            <v>0</v>
          </cell>
          <cell r="FG548">
            <v>0</v>
          </cell>
          <cell r="FH548">
            <v>750664.6965348376</v>
          </cell>
          <cell r="FI548">
            <v>87083.984894866488</v>
          </cell>
          <cell r="FJ548">
            <v>26019.7462992</v>
          </cell>
          <cell r="FK548">
            <v>0</v>
          </cell>
          <cell r="FL548">
            <v>0</v>
          </cell>
          <cell r="FM548">
            <v>0</v>
          </cell>
          <cell r="FN548">
            <v>0</v>
          </cell>
          <cell r="FO548">
            <v>0</v>
          </cell>
          <cell r="FP548">
            <v>0</v>
          </cell>
          <cell r="FQ548">
            <v>0</v>
          </cell>
          <cell r="FS548">
            <v>0</v>
          </cell>
          <cell r="FT548">
            <v>0</v>
          </cell>
          <cell r="FU548">
            <v>0</v>
          </cell>
          <cell r="FV548">
            <v>10.317768694539614</v>
          </cell>
          <cell r="FW548">
            <v>0</v>
          </cell>
          <cell r="FX548">
            <v>0</v>
          </cell>
          <cell r="FY548">
            <v>0</v>
          </cell>
          <cell r="FZ548">
            <v>0</v>
          </cell>
          <cell r="GA548">
            <v>0</v>
          </cell>
          <cell r="GB548">
            <v>64363</v>
          </cell>
          <cell r="GC548">
            <v>1498266.2694528666</v>
          </cell>
          <cell r="GD548">
            <v>206968.54583689017</v>
          </cell>
          <cell r="GE548">
            <v>99983.229386520194</v>
          </cell>
          <cell r="GF548">
            <v>0</v>
          </cell>
          <cell r="GG548">
            <v>0</v>
          </cell>
          <cell r="GH548">
            <v>0</v>
          </cell>
          <cell r="GI548">
            <v>0</v>
          </cell>
          <cell r="GJ548">
            <v>0</v>
          </cell>
          <cell r="GK548">
            <v>0</v>
          </cell>
          <cell r="GL548">
            <v>64363</v>
          </cell>
          <cell r="GN548">
            <v>0</v>
          </cell>
          <cell r="GO548">
            <v>0</v>
          </cell>
          <cell r="GP548">
            <v>0</v>
          </cell>
          <cell r="GQ548">
            <v>10.317768694539614</v>
          </cell>
          <cell r="GR548">
            <v>0</v>
          </cell>
          <cell r="GS548">
            <v>0</v>
          </cell>
          <cell r="GT548">
            <v>0</v>
          </cell>
          <cell r="GU548">
            <v>0</v>
          </cell>
          <cell r="GV548">
            <v>0</v>
          </cell>
          <cell r="GW548">
            <v>1692872</v>
          </cell>
          <cell r="GX548">
            <v>1946670.4477442047</v>
          </cell>
          <cell r="GY548">
            <v>780629.88501762541</v>
          </cell>
          <cell r="GZ548">
            <v>714622.02165128803</v>
          </cell>
          <cell r="HA548">
            <v>0</v>
          </cell>
          <cell r="HB548">
            <v>0</v>
          </cell>
          <cell r="HC548">
            <v>0</v>
          </cell>
          <cell r="HD548">
            <v>0</v>
          </cell>
          <cell r="HE548">
            <v>0</v>
          </cell>
          <cell r="HF548">
            <v>0</v>
          </cell>
          <cell r="HG548">
            <v>1692872</v>
          </cell>
          <cell r="HI548">
            <v>0</v>
          </cell>
          <cell r="HJ548">
            <v>0</v>
          </cell>
          <cell r="HK548">
            <v>0</v>
          </cell>
          <cell r="HL548">
            <v>10.317768694539614</v>
          </cell>
          <cell r="HM548">
            <v>0</v>
          </cell>
          <cell r="HN548">
            <v>0</v>
          </cell>
          <cell r="HO548">
            <v>0</v>
          </cell>
          <cell r="HP548">
            <v>0</v>
          </cell>
          <cell r="HQ548">
            <v>0</v>
          </cell>
          <cell r="HR548">
            <v>1213018</v>
          </cell>
          <cell r="HS548">
            <v>2096101.959476216</v>
          </cell>
          <cell r="HT548">
            <v>343136.61812628165</v>
          </cell>
          <cell r="HU548">
            <v>185850</v>
          </cell>
          <cell r="HV548">
            <v>0</v>
          </cell>
          <cell r="HW548">
            <v>0</v>
          </cell>
          <cell r="HX548">
            <v>0</v>
          </cell>
          <cell r="HY548">
            <v>0</v>
          </cell>
          <cell r="HZ548">
            <v>0</v>
          </cell>
          <cell r="IA548">
            <v>0</v>
          </cell>
          <cell r="IB548">
            <v>1213018</v>
          </cell>
        </row>
        <row r="549">
          <cell r="C549" t="str">
            <v xml:space="preserve">A0054 </v>
          </cell>
          <cell r="D549" t="str">
            <v>PT Ekadura Indonesia &amp; Ekadura Dumai</v>
          </cell>
          <cell r="E549" t="str">
            <v>PEB 2</v>
          </cell>
          <cell r="F549" t="str">
            <v>46PEB 2</v>
          </cell>
          <cell r="J549">
            <v>10.317768694539614</v>
          </cell>
          <cell r="P549">
            <v>3204146</v>
          </cell>
          <cell r="Q549">
            <v>4450186.6094647897</v>
          </cell>
          <cell r="R549">
            <v>484810.5193481255</v>
          </cell>
          <cell r="S549">
            <v>111476.5403424</v>
          </cell>
          <cell r="U549">
            <v>0</v>
          </cell>
          <cell r="W549">
            <v>-1764459</v>
          </cell>
          <cell r="X549">
            <v>0</v>
          </cell>
          <cell r="Y549">
            <v>0</v>
          </cell>
          <cell r="Z549">
            <v>1439687</v>
          </cell>
        </row>
        <row r="550">
          <cell r="C550" t="str">
            <v xml:space="preserve">A0054 </v>
          </cell>
          <cell r="D550" t="str">
            <v>PT Ekadura Indonesia &amp; Ekadura Dumai</v>
          </cell>
          <cell r="E550" t="str">
            <v>PEB 3</v>
          </cell>
          <cell r="F550" t="str">
            <v>46PEB 3</v>
          </cell>
          <cell r="J550">
            <v>0</v>
          </cell>
          <cell r="P550">
            <v>0</v>
          </cell>
          <cell r="Q550" t="str">
            <v xml:space="preserve"> </v>
          </cell>
          <cell r="R550" t="str">
            <v xml:space="preserve"> </v>
          </cell>
          <cell r="S550" t="str">
            <v xml:space="preserve"> </v>
          </cell>
          <cell r="U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</row>
        <row r="551">
          <cell r="C551" t="str">
            <v xml:space="preserve">A0054 </v>
          </cell>
          <cell r="D551" t="str">
            <v>PT Ekadura Indonesia &amp; Ekadura Dumai</v>
          </cell>
          <cell r="E551" t="str">
            <v>PEB 4</v>
          </cell>
          <cell r="F551" t="str">
            <v>46PEB 4</v>
          </cell>
          <cell r="J551">
            <v>10.309142124568854</v>
          </cell>
          <cell r="P551">
            <v>5708764</v>
          </cell>
          <cell r="Q551">
            <v>7791302.2604172658</v>
          </cell>
          <cell r="R551">
            <v>932722.81406857818</v>
          </cell>
          <cell r="S551">
            <v>574582.85154009005</v>
          </cell>
          <cell r="U551">
            <v>0</v>
          </cell>
          <cell r="W551">
            <v>-4123725</v>
          </cell>
          <cell r="X551">
            <v>-750972</v>
          </cell>
          <cell r="Y551">
            <v>59754</v>
          </cell>
          <cell r="Z551">
            <v>834067</v>
          </cell>
        </row>
        <row r="552">
          <cell r="C552" t="str">
            <v xml:space="preserve">A0054 </v>
          </cell>
          <cell r="D552" t="str">
            <v>PT Ekadura Indonesia &amp; Ekadura Dumai</v>
          </cell>
          <cell r="E552" t="str">
            <v>PEB 5</v>
          </cell>
          <cell r="F552" t="str">
            <v>46PEB 5</v>
          </cell>
          <cell r="J552">
            <v>10.3395535159309</v>
          </cell>
          <cell r="P552">
            <v>133349</v>
          </cell>
          <cell r="U552">
            <v>0</v>
          </cell>
          <cell r="W552">
            <v>2959977</v>
          </cell>
          <cell r="X552">
            <v>0</v>
          </cell>
          <cell r="Y552">
            <v>0</v>
          </cell>
          <cell r="Z552">
            <v>3093326</v>
          </cell>
        </row>
        <row r="553">
          <cell r="C553" t="str">
            <v xml:space="preserve">A0054 </v>
          </cell>
          <cell r="D553" t="str">
            <v>PT Ekadura Indonesia &amp; Ekadura Dumai</v>
          </cell>
          <cell r="E553" t="str">
            <v>PEB 6</v>
          </cell>
          <cell r="F553" t="str">
            <v>46PEB 6</v>
          </cell>
          <cell r="J553">
            <v>0</v>
          </cell>
          <cell r="P553">
            <v>0</v>
          </cell>
          <cell r="U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</row>
        <row r="554">
          <cell r="C554" t="str">
            <v xml:space="preserve">A0054 </v>
          </cell>
          <cell r="D554" t="str">
            <v>PT Ekadura Indonesia &amp; Ekadura Dumai</v>
          </cell>
          <cell r="E554" t="str">
            <v>PEB 7</v>
          </cell>
          <cell r="F554" t="str">
            <v>46PEB 7</v>
          </cell>
          <cell r="J554">
            <v>10.317768694539614</v>
          </cell>
          <cell r="P554">
            <v>347477</v>
          </cell>
          <cell r="Q554">
            <v>564749.29954065441</v>
          </cell>
          <cell r="R554">
            <v>90879.591411735106</v>
          </cell>
          <cell r="S554">
            <v>57511.85100838841</v>
          </cell>
          <cell r="U554">
            <v>0</v>
          </cell>
          <cell r="W554">
            <v>-341751</v>
          </cell>
          <cell r="X554">
            <v>0</v>
          </cell>
          <cell r="Y554">
            <v>0</v>
          </cell>
          <cell r="Z554">
            <v>5726</v>
          </cell>
        </row>
        <row r="555">
          <cell r="C555" t="str">
            <v xml:space="preserve">A0054 </v>
          </cell>
          <cell r="D555" t="str">
            <v>PT Ekadura Indonesia &amp; Ekadura Dumai</v>
          </cell>
          <cell r="E555" t="str">
            <v>MPP</v>
          </cell>
          <cell r="F555" t="str">
            <v>46MPP</v>
          </cell>
          <cell r="J555">
            <v>0</v>
          </cell>
          <cell r="P555">
            <v>0</v>
          </cell>
          <cell r="Q555">
            <v>750664.6965348376</v>
          </cell>
          <cell r="R555">
            <v>87083.984894866488</v>
          </cell>
          <cell r="S555">
            <v>26019.7462992</v>
          </cell>
          <cell r="U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</row>
        <row r="556">
          <cell r="C556" t="str">
            <v xml:space="preserve">A0054 </v>
          </cell>
          <cell r="D556" t="str">
            <v>PT Ekadura Indonesia &amp; Ekadura Dumai</v>
          </cell>
          <cell r="E556" t="str">
            <v>ID</v>
          </cell>
          <cell r="F556" t="str">
            <v>46ID</v>
          </cell>
          <cell r="J556">
            <v>10.317768694539614</v>
          </cell>
          <cell r="P556">
            <v>64363</v>
          </cell>
          <cell r="Q556">
            <v>1498266.2694528666</v>
          </cell>
          <cell r="R556">
            <v>206968.54583689017</v>
          </cell>
          <cell r="S556">
            <v>99983.229386520194</v>
          </cell>
          <cell r="U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64363</v>
          </cell>
        </row>
        <row r="557">
          <cell r="C557" t="str">
            <v xml:space="preserve">A0054 </v>
          </cell>
          <cell r="D557" t="str">
            <v>PT Ekadura Indonesia &amp; Ekadura Dumai</v>
          </cell>
          <cell r="E557" t="str">
            <v>LL</v>
          </cell>
          <cell r="F557" t="str">
            <v>46LL</v>
          </cell>
          <cell r="J557">
            <v>10.317768694539614</v>
          </cell>
          <cell r="P557">
            <v>1692872</v>
          </cell>
          <cell r="Q557">
            <v>1946670.4477442047</v>
          </cell>
          <cell r="R557">
            <v>780629.88501762541</v>
          </cell>
          <cell r="S557">
            <v>714622.02165128803</v>
          </cell>
          <cell r="U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1692872</v>
          </cell>
        </row>
        <row r="558">
          <cell r="C558" t="str">
            <v xml:space="preserve">A0054 </v>
          </cell>
          <cell r="D558" t="str">
            <v>PT Ekadura Indonesia &amp; Ekadura Dumai</v>
          </cell>
          <cell r="E558" t="str">
            <v>PMK</v>
          </cell>
          <cell r="F558" t="str">
            <v>46PMK</v>
          </cell>
          <cell r="J558">
            <v>10.317768694539614</v>
          </cell>
          <cell r="P558">
            <v>1213018</v>
          </cell>
          <cell r="Q558">
            <v>2096101.959476216</v>
          </cell>
          <cell r="R558">
            <v>343136.61812628165</v>
          </cell>
          <cell r="S558">
            <v>185850</v>
          </cell>
          <cell r="U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1213018</v>
          </cell>
        </row>
        <row r="560">
          <cell r="C560" t="str">
            <v>A0266</v>
          </cell>
          <cell r="D560" t="str">
            <v>PT Ekadura Perdana</v>
          </cell>
          <cell r="E560" t="str">
            <v>PEB 1</v>
          </cell>
          <cell r="F560" t="str">
            <v>47PEB 1</v>
          </cell>
          <cell r="J560">
            <v>0</v>
          </cell>
          <cell r="N560">
            <v>0</v>
          </cell>
          <cell r="O560">
            <v>0</v>
          </cell>
          <cell r="P560">
            <v>0</v>
          </cell>
          <cell r="Q560" t="str">
            <v xml:space="preserve"> </v>
          </cell>
          <cell r="R560" t="str">
            <v xml:space="preserve"> </v>
          </cell>
          <cell r="S560" t="str">
            <v xml:space="preserve"> 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10.184406074467162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198396</v>
          </cell>
          <cell r="AL560">
            <v>87516.256775971269</v>
          </cell>
          <cell r="AM560">
            <v>8396.3169598204713</v>
          </cell>
          <cell r="AN560">
            <v>68568.368400000007</v>
          </cell>
          <cell r="AO560">
            <v>0</v>
          </cell>
          <cell r="AP560">
            <v>0</v>
          </cell>
          <cell r="AQ560">
            <v>0</v>
          </cell>
          <cell r="AR560">
            <v>-54450</v>
          </cell>
          <cell r="AS560">
            <v>0</v>
          </cell>
          <cell r="AT560">
            <v>0</v>
          </cell>
          <cell r="AU560">
            <v>143946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 t="str">
            <v xml:space="preserve"> </v>
          </cell>
          <cell r="BH560" t="str">
            <v xml:space="preserve"> </v>
          </cell>
          <cell r="BI560" t="str">
            <v xml:space="preserve"> 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10.111085579792913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202919</v>
          </cell>
          <cell r="CB560">
            <v>29705.502281705445</v>
          </cell>
          <cell r="CC560">
            <v>7048.2611828029521</v>
          </cell>
          <cell r="CD560">
            <v>303612.8963208581</v>
          </cell>
          <cell r="CE560">
            <v>0</v>
          </cell>
          <cell r="CF560">
            <v>0</v>
          </cell>
          <cell r="CG560">
            <v>0</v>
          </cell>
          <cell r="CH560">
            <v>-82596</v>
          </cell>
          <cell r="CI560">
            <v>0</v>
          </cell>
          <cell r="CJ560">
            <v>0</v>
          </cell>
          <cell r="CK560">
            <v>120323</v>
          </cell>
          <cell r="CM560">
            <v>0</v>
          </cell>
          <cell r="CN560">
            <v>0</v>
          </cell>
          <cell r="CO560">
            <v>0</v>
          </cell>
          <cell r="CP560">
            <v>9.0424868500590811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10308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182368</v>
          </cell>
          <cell r="DD560">
            <v>0</v>
          </cell>
          <cell r="DE560">
            <v>0</v>
          </cell>
          <cell r="DF560">
            <v>192676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  <cell r="DZ560">
            <v>0</v>
          </cell>
          <cell r="EA560">
            <v>0</v>
          </cell>
          <cell r="EC560">
            <v>0</v>
          </cell>
          <cell r="ED560">
            <v>0</v>
          </cell>
          <cell r="EE560">
            <v>0</v>
          </cell>
          <cell r="EF560">
            <v>10.184406074467162</v>
          </cell>
          <cell r="EG560">
            <v>0</v>
          </cell>
          <cell r="EH560">
            <v>0</v>
          </cell>
          <cell r="EI560">
            <v>0</v>
          </cell>
          <cell r="EJ560">
            <v>0</v>
          </cell>
          <cell r="EK560">
            <v>0</v>
          </cell>
          <cell r="EL560">
            <v>17759</v>
          </cell>
          <cell r="EM560">
            <v>3354.9844837333162</v>
          </cell>
          <cell r="EN560">
            <v>930.22755290799705</v>
          </cell>
          <cell r="EO560">
            <v>269.7701188017694</v>
          </cell>
          <cell r="EP560">
            <v>0</v>
          </cell>
          <cell r="EQ560">
            <v>0</v>
          </cell>
          <cell r="ER560">
            <v>0</v>
          </cell>
          <cell r="ES560">
            <v>4965</v>
          </cell>
          <cell r="ET560">
            <v>0</v>
          </cell>
          <cell r="EU560">
            <v>0</v>
          </cell>
          <cell r="EV560">
            <v>22724</v>
          </cell>
          <cell r="EX560">
            <v>0</v>
          </cell>
          <cell r="EY560">
            <v>0</v>
          </cell>
          <cell r="EZ560">
            <v>0</v>
          </cell>
          <cell r="FA560">
            <v>10.184406074467162</v>
          </cell>
          <cell r="FB560">
            <v>0</v>
          </cell>
          <cell r="FC560">
            <v>0</v>
          </cell>
          <cell r="FD560">
            <v>0</v>
          </cell>
          <cell r="FE560">
            <v>0</v>
          </cell>
          <cell r="FF560">
            <v>0</v>
          </cell>
          <cell r="FG560">
            <v>0</v>
          </cell>
          <cell r="FH560">
            <v>14099.69622723178</v>
          </cell>
          <cell r="FI560">
            <v>1602.2246954044235</v>
          </cell>
          <cell r="FJ560">
            <v>10285.255260000002</v>
          </cell>
          <cell r="FK560">
            <v>0</v>
          </cell>
          <cell r="FL560">
            <v>0</v>
          </cell>
          <cell r="FM560">
            <v>0</v>
          </cell>
          <cell r="FN560">
            <v>0</v>
          </cell>
          <cell r="FO560">
            <v>0</v>
          </cell>
          <cell r="FP560">
            <v>0</v>
          </cell>
          <cell r="FQ560">
            <v>0</v>
          </cell>
          <cell r="FS560">
            <v>0</v>
          </cell>
          <cell r="FT560">
            <v>0</v>
          </cell>
          <cell r="FU560">
            <v>0</v>
          </cell>
          <cell r="FV560">
            <v>10.184406074467162</v>
          </cell>
          <cell r="FW560">
            <v>0</v>
          </cell>
          <cell r="FX560">
            <v>0</v>
          </cell>
          <cell r="FY560">
            <v>0</v>
          </cell>
          <cell r="FZ560">
            <v>0</v>
          </cell>
          <cell r="GA560">
            <v>0</v>
          </cell>
          <cell r="GB560">
            <v>4748</v>
          </cell>
          <cell r="GC560">
            <v>9586.4535575629725</v>
          </cell>
          <cell r="GD560">
            <v>2881.6531611768332</v>
          </cell>
          <cell r="GE560">
            <v>417.06853504386743</v>
          </cell>
          <cell r="GF560">
            <v>0</v>
          </cell>
          <cell r="GG560">
            <v>0</v>
          </cell>
          <cell r="GH560">
            <v>0</v>
          </cell>
          <cell r="GI560">
            <v>0</v>
          </cell>
          <cell r="GJ560">
            <v>0</v>
          </cell>
          <cell r="GK560">
            <v>0</v>
          </cell>
          <cell r="GL560">
            <v>4748</v>
          </cell>
          <cell r="GN560">
            <v>0</v>
          </cell>
          <cell r="GO560">
            <v>0</v>
          </cell>
          <cell r="GP560">
            <v>0</v>
          </cell>
          <cell r="GQ560">
            <v>10.184406074467162</v>
          </cell>
          <cell r="GR560">
            <v>0</v>
          </cell>
          <cell r="GS560">
            <v>0</v>
          </cell>
          <cell r="GT560">
            <v>0</v>
          </cell>
          <cell r="GU560">
            <v>0</v>
          </cell>
          <cell r="GV560">
            <v>0</v>
          </cell>
          <cell r="GW560">
            <v>69548</v>
          </cell>
          <cell r="GX560">
            <v>32961.237726421161</v>
          </cell>
          <cell r="GY560">
            <v>11174.179224062465</v>
          </cell>
          <cell r="GZ560">
            <v>0</v>
          </cell>
          <cell r="HA560">
            <v>0</v>
          </cell>
          <cell r="HB560">
            <v>0</v>
          </cell>
          <cell r="HC560">
            <v>0</v>
          </cell>
          <cell r="HD560">
            <v>0</v>
          </cell>
          <cell r="HE560">
            <v>0</v>
          </cell>
          <cell r="HF560">
            <v>0</v>
          </cell>
          <cell r="HG560">
            <v>69548</v>
          </cell>
          <cell r="HI560">
            <v>0</v>
          </cell>
          <cell r="HJ560">
            <v>0</v>
          </cell>
          <cell r="HK560">
            <v>0</v>
          </cell>
          <cell r="HL560">
            <v>10.184406074467162</v>
          </cell>
          <cell r="HM560">
            <v>0</v>
          </cell>
          <cell r="HN560">
            <v>0</v>
          </cell>
          <cell r="HO560">
            <v>0</v>
          </cell>
          <cell r="HP560">
            <v>0</v>
          </cell>
          <cell r="HQ560">
            <v>0</v>
          </cell>
          <cell r="HR560">
            <v>61748</v>
          </cell>
          <cell r="HS560">
            <v>6688.978035776021</v>
          </cell>
          <cell r="HT560">
            <v>1092.6513712889666</v>
          </cell>
          <cell r="HU560">
            <v>3937.5</v>
          </cell>
          <cell r="HV560">
            <v>0</v>
          </cell>
          <cell r="HW560">
            <v>0</v>
          </cell>
          <cell r="HX560">
            <v>0</v>
          </cell>
          <cell r="HY560">
            <v>0</v>
          </cell>
          <cell r="HZ560">
            <v>0</v>
          </cell>
          <cell r="IA560">
            <v>0</v>
          </cell>
          <cell r="IB560">
            <v>61748</v>
          </cell>
        </row>
        <row r="561">
          <cell r="C561" t="str">
            <v>A0266</v>
          </cell>
          <cell r="D561" t="str">
            <v>PT Ekadura Perdana</v>
          </cell>
          <cell r="E561" t="str">
            <v>PEB 2</v>
          </cell>
          <cell r="F561" t="str">
            <v>47PEB 2</v>
          </cell>
          <cell r="J561">
            <v>10.184406074467162</v>
          </cell>
          <cell r="P561">
            <v>198396</v>
          </cell>
          <cell r="Q561">
            <v>87516.256775971269</v>
          </cell>
          <cell r="R561">
            <v>8396.3169598204713</v>
          </cell>
          <cell r="S561">
            <v>68568.368400000007</v>
          </cell>
          <cell r="U561">
            <v>0</v>
          </cell>
          <cell r="W561">
            <v>-54450</v>
          </cell>
          <cell r="X561">
            <v>0</v>
          </cell>
          <cell r="Y561">
            <v>0</v>
          </cell>
          <cell r="Z561">
            <v>143946</v>
          </cell>
        </row>
        <row r="562">
          <cell r="C562" t="str">
            <v>A0266</v>
          </cell>
          <cell r="D562" t="str">
            <v>PT Ekadura Perdana</v>
          </cell>
          <cell r="E562" t="str">
            <v>PEB 3</v>
          </cell>
          <cell r="F562" t="str">
            <v>47PEB 3</v>
          </cell>
          <cell r="J562">
            <v>0</v>
          </cell>
          <cell r="P562">
            <v>0</v>
          </cell>
          <cell r="Q562" t="str">
            <v xml:space="preserve"> </v>
          </cell>
          <cell r="R562" t="str">
            <v xml:space="preserve"> </v>
          </cell>
          <cell r="S562" t="str">
            <v xml:space="preserve"> </v>
          </cell>
          <cell r="U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</row>
        <row r="563">
          <cell r="C563" t="str">
            <v>A0266</v>
          </cell>
          <cell r="D563" t="str">
            <v>PT Ekadura Perdana</v>
          </cell>
          <cell r="E563" t="str">
            <v>PEB 4</v>
          </cell>
          <cell r="F563" t="str">
            <v>47PEB 4</v>
          </cell>
          <cell r="J563">
            <v>10.111085579792913</v>
          </cell>
          <cell r="P563">
            <v>202919</v>
          </cell>
          <cell r="Q563">
            <v>29705.502281705445</v>
          </cell>
          <cell r="R563">
            <v>7048.2611828029521</v>
          </cell>
          <cell r="S563">
            <v>303612.8963208581</v>
          </cell>
          <cell r="U563">
            <v>0</v>
          </cell>
          <cell r="W563">
            <v>-82596</v>
          </cell>
          <cell r="X563">
            <v>0</v>
          </cell>
          <cell r="Y563">
            <v>0</v>
          </cell>
          <cell r="Z563">
            <v>120323</v>
          </cell>
        </row>
        <row r="564">
          <cell r="C564" t="str">
            <v>A0266</v>
          </cell>
          <cell r="D564" t="str">
            <v>PT Ekadura Perdana</v>
          </cell>
          <cell r="E564" t="str">
            <v>PEB 5</v>
          </cell>
          <cell r="F564" t="str">
            <v>47PEB 5</v>
          </cell>
          <cell r="J564">
            <v>9.0424868500590811</v>
          </cell>
          <cell r="P564">
            <v>10308</v>
          </cell>
          <cell r="U564">
            <v>0</v>
          </cell>
          <cell r="W564">
            <v>182368</v>
          </cell>
          <cell r="X564">
            <v>0</v>
          </cell>
          <cell r="Y564">
            <v>0</v>
          </cell>
          <cell r="Z564">
            <v>192676</v>
          </cell>
        </row>
        <row r="565">
          <cell r="C565" t="str">
            <v>A0266</v>
          </cell>
          <cell r="D565" t="str">
            <v>PT Ekadura Perdana</v>
          </cell>
          <cell r="E565" t="str">
            <v>PEB 6</v>
          </cell>
          <cell r="F565" t="str">
            <v>47PEB 6</v>
          </cell>
          <cell r="J565">
            <v>0</v>
          </cell>
          <cell r="P565">
            <v>0</v>
          </cell>
          <cell r="U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</row>
        <row r="566">
          <cell r="C566" t="str">
            <v>A0266</v>
          </cell>
          <cell r="D566" t="str">
            <v>PT Ekadura Perdana</v>
          </cell>
          <cell r="E566" t="str">
            <v>PEB 7</v>
          </cell>
          <cell r="F566" t="str">
            <v>47PEB 7</v>
          </cell>
          <cell r="J566">
            <v>10.184406074467162</v>
          </cell>
          <cell r="P566">
            <v>17759</v>
          </cell>
          <cell r="Q566">
            <v>3354.9844837333162</v>
          </cell>
          <cell r="R566">
            <v>930.22755290799705</v>
          </cell>
          <cell r="S566">
            <v>269.7701188017694</v>
          </cell>
          <cell r="U566">
            <v>0</v>
          </cell>
          <cell r="W566">
            <v>4965</v>
          </cell>
          <cell r="X566">
            <v>0</v>
          </cell>
          <cell r="Y566">
            <v>0</v>
          </cell>
          <cell r="Z566">
            <v>22724</v>
          </cell>
        </row>
        <row r="567">
          <cell r="C567" t="str">
            <v>A0266</v>
          </cell>
          <cell r="D567" t="str">
            <v>PT Ekadura Perdana</v>
          </cell>
          <cell r="E567" t="str">
            <v>MPP</v>
          </cell>
          <cell r="F567" t="str">
            <v>47MPP</v>
          </cell>
          <cell r="J567">
            <v>10.184406074467162</v>
          </cell>
          <cell r="P567">
            <v>0</v>
          </cell>
          <cell r="Q567">
            <v>14099.69622723178</v>
          </cell>
          <cell r="R567">
            <v>1602.2246954044235</v>
          </cell>
          <cell r="S567">
            <v>10285.255260000002</v>
          </cell>
          <cell r="U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</row>
        <row r="568">
          <cell r="C568" t="str">
            <v>A0266</v>
          </cell>
          <cell r="D568" t="str">
            <v>PT Ekadura Perdana</v>
          </cell>
          <cell r="E568" t="str">
            <v>ID</v>
          </cell>
          <cell r="F568" t="str">
            <v>47ID</v>
          </cell>
          <cell r="J568">
            <v>10.184406074467162</v>
          </cell>
          <cell r="P568">
            <v>4748</v>
          </cell>
          <cell r="Q568">
            <v>9586.4535575629725</v>
          </cell>
          <cell r="R568">
            <v>2881.6531611768332</v>
          </cell>
          <cell r="S568">
            <v>417.06853504386743</v>
          </cell>
          <cell r="U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4748</v>
          </cell>
        </row>
        <row r="569">
          <cell r="C569" t="str">
            <v>A0266</v>
          </cell>
          <cell r="D569" t="str">
            <v>PT Ekadura Perdana</v>
          </cell>
          <cell r="E569" t="str">
            <v>LL</v>
          </cell>
          <cell r="F569" t="str">
            <v>47LL</v>
          </cell>
          <cell r="J569">
            <v>10.184406074467162</v>
          </cell>
          <cell r="P569">
            <v>69548</v>
          </cell>
          <cell r="Q569">
            <v>32961.237726421161</v>
          </cell>
          <cell r="R569">
            <v>11174.179224062465</v>
          </cell>
          <cell r="S569">
            <v>0</v>
          </cell>
          <cell r="U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69548</v>
          </cell>
        </row>
        <row r="570">
          <cell r="C570" t="str">
            <v>A0266</v>
          </cell>
          <cell r="D570" t="str">
            <v>PT Ekadura Perdana</v>
          </cell>
          <cell r="E570" t="str">
            <v>PMK</v>
          </cell>
          <cell r="F570" t="str">
            <v>47PMK</v>
          </cell>
          <cell r="J570">
            <v>10.184406074467162</v>
          </cell>
          <cell r="P570">
            <v>61748</v>
          </cell>
          <cell r="Q570">
            <v>6688.978035776021</v>
          </cell>
          <cell r="R570">
            <v>1092.6513712889666</v>
          </cell>
          <cell r="S570">
            <v>3937.5</v>
          </cell>
          <cell r="U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61748</v>
          </cell>
        </row>
        <row r="572">
          <cell r="C572" t="str">
            <v>A0062</v>
          </cell>
          <cell r="D572" t="str">
            <v>PT FSCM Manufacturing Indonesia</v>
          </cell>
          <cell r="E572" t="str">
            <v>PEB 1</v>
          </cell>
          <cell r="F572" t="str">
            <v>48PEB 1</v>
          </cell>
          <cell r="G572">
            <v>0.1</v>
          </cell>
          <cell r="H572">
            <v>0.1</v>
          </cell>
          <cell r="I572">
            <v>0.09</v>
          </cell>
          <cell r="J572">
            <v>9.582485999186094</v>
          </cell>
          <cell r="K572">
            <v>8.9852814413948892</v>
          </cell>
          <cell r="L572">
            <v>456774</v>
          </cell>
          <cell r="N572">
            <v>441513.21919999999</v>
          </cell>
          <cell r="O572">
            <v>129529.89600000001</v>
          </cell>
          <cell r="P572">
            <v>7878932.4698502179</v>
          </cell>
          <cell r="Q572">
            <v>10798638.244271504</v>
          </cell>
          <cell r="R572">
            <v>487482.50951680681</v>
          </cell>
          <cell r="S572">
            <v>603606.65507572936</v>
          </cell>
          <cell r="U572">
            <v>-5959496.6647549197</v>
          </cell>
          <cell r="V572">
            <v>10404859.071733333</v>
          </cell>
          <cell r="W572">
            <v>-1614828.9753974085</v>
          </cell>
          <cell r="X572">
            <v>0</v>
          </cell>
          <cell r="Y572">
            <v>0</v>
          </cell>
          <cell r="Z572">
            <v>304606.82969788933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W572">
            <v>0.1</v>
          </cell>
          <cell r="AX572">
            <v>0</v>
          </cell>
          <cell r="AY572">
            <v>0.09</v>
          </cell>
          <cell r="AZ572">
            <v>16.718852620976143</v>
          </cell>
          <cell r="BA572">
            <v>8.9852814413948892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620566.86051995342</v>
          </cell>
          <cell r="BG572">
            <v>152713.14501686703</v>
          </cell>
          <cell r="BH572">
            <v>7660.4474400631289</v>
          </cell>
          <cell r="BI572">
            <v>21539.757777343351</v>
          </cell>
          <cell r="BJ572">
            <v>0</v>
          </cell>
          <cell r="BK572">
            <v>0</v>
          </cell>
          <cell r="BL572">
            <v>0</v>
          </cell>
          <cell r="BM572">
            <v>329112.02774790279</v>
          </cell>
          <cell r="BN572">
            <v>-90173.53555225319</v>
          </cell>
          <cell r="BO572">
            <v>29231.566433717118</v>
          </cell>
          <cell r="BP572">
            <v>859505.35271560284</v>
          </cell>
          <cell r="BR572">
            <v>0.1</v>
          </cell>
          <cell r="BS572">
            <v>0</v>
          </cell>
          <cell r="BT572">
            <v>0.09</v>
          </cell>
          <cell r="BU572">
            <v>16.718852620976143</v>
          </cell>
          <cell r="BV572">
            <v>18.806508760532161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1798010.2092822194</v>
          </cell>
          <cell r="CB572">
            <v>4558705.7492507165</v>
          </cell>
          <cell r="CC572">
            <v>418991.02935113077</v>
          </cell>
          <cell r="CD572">
            <v>75597.187781572575</v>
          </cell>
          <cell r="CE572">
            <v>0</v>
          </cell>
          <cell r="CF572">
            <v>0</v>
          </cell>
          <cell r="CG572">
            <v>0</v>
          </cell>
          <cell r="CH572">
            <v>688051.18352620129</v>
          </cell>
          <cell r="CI572">
            <v>-203660.08362625676</v>
          </cell>
          <cell r="CJ572">
            <v>66020.515087461841</v>
          </cell>
          <cell r="CK572">
            <v>2282401.3091821638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C572">
            <v>0.1</v>
          </cell>
          <cell r="ED572">
            <v>0</v>
          </cell>
          <cell r="EE572">
            <v>0.09</v>
          </cell>
          <cell r="EF572">
            <v>16.718852620976143</v>
          </cell>
          <cell r="EG572">
            <v>17.178207547062602</v>
          </cell>
          <cell r="EH572">
            <v>0</v>
          </cell>
          <cell r="EI572">
            <v>0</v>
          </cell>
          <cell r="EJ572">
            <v>0</v>
          </cell>
          <cell r="EK572">
            <v>0</v>
          </cell>
          <cell r="EL572">
            <v>111889.48934903144</v>
          </cell>
          <cell r="EM572">
            <v>594105.65349685145</v>
          </cell>
          <cell r="EN572">
            <v>58215.182831104503</v>
          </cell>
          <cell r="EO572">
            <v>67952.728320360591</v>
          </cell>
          <cell r="EP572">
            <v>0</v>
          </cell>
          <cell r="EQ572">
            <v>0</v>
          </cell>
          <cell r="ER572">
            <v>0</v>
          </cell>
          <cell r="ES572">
            <v>-28952.552319856786</v>
          </cell>
          <cell r="ET572">
            <v>0</v>
          </cell>
          <cell r="EU572">
            <v>0</v>
          </cell>
          <cell r="EV572">
            <v>82936.93702917466</v>
          </cell>
          <cell r="EX572">
            <v>0.1</v>
          </cell>
          <cell r="EY572">
            <v>0</v>
          </cell>
          <cell r="EZ572">
            <v>0.09</v>
          </cell>
          <cell r="FA572">
            <v>16.718852620976143</v>
          </cell>
          <cell r="FB572">
            <v>17.178207547062602</v>
          </cell>
          <cell r="FC572">
            <v>0</v>
          </cell>
          <cell r="FD572">
            <v>0</v>
          </cell>
          <cell r="FE572">
            <v>0</v>
          </cell>
          <cell r="FF572">
            <v>0</v>
          </cell>
          <cell r="FG572">
            <v>2210449.7785682855</v>
          </cell>
          <cell r="FH572">
            <v>796805.53666625288</v>
          </cell>
          <cell r="FI572">
            <v>59205.166577230244</v>
          </cell>
          <cell r="FJ572">
            <v>20496.502245000003</v>
          </cell>
          <cell r="FK572">
            <v>0</v>
          </cell>
          <cell r="FL572">
            <v>0</v>
          </cell>
          <cell r="FM572">
            <v>0</v>
          </cell>
          <cell r="FN572">
            <v>-5205.2703396214993</v>
          </cell>
          <cell r="FO572">
            <v>0</v>
          </cell>
          <cell r="FP572">
            <v>0</v>
          </cell>
          <cell r="FQ572">
            <v>2205244.5082286638</v>
          </cell>
          <cell r="FS572">
            <v>0.1</v>
          </cell>
          <cell r="FT572">
            <v>0</v>
          </cell>
          <cell r="FU572">
            <v>0.09</v>
          </cell>
          <cell r="FV572">
            <v>16.718852620976143</v>
          </cell>
          <cell r="FW572">
            <v>17.178207547062602</v>
          </cell>
          <cell r="FX572">
            <v>0</v>
          </cell>
          <cell r="FY572">
            <v>0</v>
          </cell>
          <cell r="FZ572">
            <v>0</v>
          </cell>
          <cell r="GA572">
            <v>0</v>
          </cell>
          <cell r="GB572">
            <v>2103078.7277465956</v>
          </cell>
          <cell r="GC572">
            <v>1505247.1484872757</v>
          </cell>
          <cell r="GD572">
            <v>132627.6222459886</v>
          </cell>
          <cell r="GE572">
            <v>113586.49891957265</v>
          </cell>
          <cell r="GF572">
            <v>0</v>
          </cell>
          <cell r="GG572">
            <v>0</v>
          </cell>
          <cell r="GH572">
            <v>0</v>
          </cell>
          <cell r="GI572">
            <v>983723.76897774311</v>
          </cell>
          <cell r="GJ572">
            <v>0</v>
          </cell>
          <cell r="GK572">
            <v>0</v>
          </cell>
          <cell r="GL572">
            <v>3086802.4967243392</v>
          </cell>
          <cell r="GN572">
            <v>0.1</v>
          </cell>
          <cell r="GO572">
            <v>0</v>
          </cell>
          <cell r="GP572">
            <v>0.09</v>
          </cell>
          <cell r="GQ572">
            <v>16.718852620976143</v>
          </cell>
          <cell r="GR572">
            <v>17.178207547062602</v>
          </cell>
          <cell r="GS572">
            <v>0</v>
          </cell>
          <cell r="GT572">
            <v>0</v>
          </cell>
          <cell r="GU572">
            <v>0</v>
          </cell>
          <cell r="GV572">
            <v>0</v>
          </cell>
          <cell r="GW572">
            <v>1358901.5574858172</v>
          </cell>
          <cell r="GX572">
            <v>2113391.2407746767</v>
          </cell>
          <cell r="GY572">
            <v>563044.82318042568</v>
          </cell>
          <cell r="GZ572">
            <v>765934.60898212623</v>
          </cell>
          <cell r="HA572">
            <v>0</v>
          </cell>
          <cell r="HB572">
            <v>0</v>
          </cell>
          <cell r="HC572">
            <v>0</v>
          </cell>
          <cell r="HD572">
            <v>0</v>
          </cell>
          <cell r="HE572">
            <v>0</v>
          </cell>
          <cell r="HF572">
            <v>0</v>
          </cell>
          <cell r="HG572">
            <v>1358901.5574858172</v>
          </cell>
          <cell r="HI572">
            <v>0.1</v>
          </cell>
          <cell r="HJ572">
            <v>0</v>
          </cell>
          <cell r="HK572">
            <v>0.09</v>
          </cell>
          <cell r="HL572">
            <v>16.718852620976143</v>
          </cell>
          <cell r="HM572">
            <v>17.178207547062602</v>
          </cell>
          <cell r="HN572">
            <v>0</v>
          </cell>
          <cell r="HO572">
            <v>0</v>
          </cell>
          <cell r="HP572">
            <v>0</v>
          </cell>
          <cell r="HQ572">
            <v>0</v>
          </cell>
          <cell r="HR572">
            <v>5739343.9288934479</v>
          </cell>
          <cell r="HS572">
            <v>4127209.8735996555</v>
          </cell>
          <cell r="HT572">
            <v>484903.34177181544</v>
          </cell>
          <cell r="HU572">
            <v>689900</v>
          </cell>
          <cell r="HV572">
            <v>0</v>
          </cell>
          <cell r="HW572">
            <v>0</v>
          </cell>
          <cell r="HX572">
            <v>0</v>
          </cell>
          <cell r="HY572">
            <v>0</v>
          </cell>
          <cell r="HZ572">
            <v>0</v>
          </cell>
          <cell r="IA572">
            <v>0</v>
          </cell>
          <cell r="IB572">
            <v>5739343.9288934479</v>
          </cell>
        </row>
        <row r="573">
          <cell r="C573" t="str">
            <v>A0062</v>
          </cell>
          <cell r="D573" t="str">
            <v>PT FSCM Manufacturing Indonesia</v>
          </cell>
          <cell r="E573" t="str">
            <v>PEB 2</v>
          </cell>
          <cell r="F573" t="str">
            <v>48PEB 2</v>
          </cell>
          <cell r="P573">
            <v>0</v>
          </cell>
          <cell r="U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</row>
        <row r="574">
          <cell r="C574" t="str">
            <v>A0062</v>
          </cell>
          <cell r="D574" t="str">
            <v>PT FSCM Manufacturing Indonesia</v>
          </cell>
          <cell r="E574" t="str">
            <v>PEB 3</v>
          </cell>
          <cell r="F574" t="str">
            <v>48PEB 3</v>
          </cell>
          <cell r="G574">
            <v>0.1</v>
          </cell>
          <cell r="I574">
            <v>0.09</v>
          </cell>
          <cell r="J574">
            <v>16.718852620976143</v>
          </cell>
          <cell r="K574">
            <v>8.9852814413948892</v>
          </cell>
          <cell r="P574">
            <v>620566.86051995342</v>
          </cell>
          <cell r="Q574">
            <v>152713.14501686703</v>
          </cell>
          <cell r="R574">
            <v>7660.4474400631289</v>
          </cell>
          <cell r="S574">
            <v>21539.757777343351</v>
          </cell>
          <cell r="U574">
            <v>0</v>
          </cell>
          <cell r="W574">
            <v>329112.02774790279</v>
          </cell>
          <cell r="X574">
            <v>-90173.53555225319</v>
          </cell>
          <cell r="Y574">
            <v>29231.566433717118</v>
          </cell>
          <cell r="Z574">
            <v>859505.35271560284</v>
          </cell>
        </row>
        <row r="575">
          <cell r="C575" t="str">
            <v>A0062</v>
          </cell>
          <cell r="D575" t="str">
            <v>PT FSCM Manufacturing Indonesia</v>
          </cell>
          <cell r="E575" t="str">
            <v>PEB 4</v>
          </cell>
          <cell r="F575" t="str">
            <v>48PEB 4</v>
          </cell>
          <cell r="G575">
            <v>0.1</v>
          </cell>
          <cell r="I575">
            <v>0.09</v>
          </cell>
          <cell r="J575">
            <v>16.718852620976143</v>
          </cell>
          <cell r="K575">
            <v>18.806508760532161</v>
          </cell>
          <cell r="P575">
            <v>1798010.2092822194</v>
          </cell>
          <cell r="Q575">
            <v>4558705.7492507165</v>
          </cell>
          <cell r="R575">
            <v>418991.02935113077</v>
          </cell>
          <cell r="S575">
            <v>75597.187781572575</v>
          </cell>
          <cell r="U575">
            <v>0</v>
          </cell>
          <cell r="W575">
            <v>688051.18352620129</v>
          </cell>
          <cell r="X575">
            <v>-203660.08362625676</v>
          </cell>
          <cell r="Y575">
            <v>66020.515087461841</v>
          </cell>
          <cell r="Z575">
            <v>2282401.3091821638</v>
          </cell>
        </row>
        <row r="576">
          <cell r="C576" t="str">
            <v>A0062</v>
          </cell>
          <cell r="D576" t="str">
            <v>PT FSCM Manufacturing Indonesia</v>
          </cell>
          <cell r="E576" t="str">
            <v>PEB 5</v>
          </cell>
          <cell r="F576" t="str">
            <v>48PEB 5</v>
          </cell>
          <cell r="P576">
            <v>0</v>
          </cell>
          <cell r="U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</row>
        <row r="577">
          <cell r="C577" t="str">
            <v>A0062</v>
          </cell>
          <cell r="D577" t="str">
            <v>PT FSCM Manufacturing Indonesia</v>
          </cell>
          <cell r="E577" t="str">
            <v>PEB 6</v>
          </cell>
          <cell r="F577" t="str">
            <v>48PEB 6</v>
          </cell>
          <cell r="P577">
            <v>0</v>
          </cell>
          <cell r="U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</row>
        <row r="578">
          <cell r="C578" t="str">
            <v>A0062</v>
          </cell>
          <cell r="D578" t="str">
            <v>PT FSCM Manufacturing Indonesia</v>
          </cell>
          <cell r="E578" t="str">
            <v>PEB 7</v>
          </cell>
          <cell r="F578" t="str">
            <v>48PEB 7</v>
          </cell>
          <cell r="G578">
            <v>0.1</v>
          </cell>
          <cell r="I578">
            <v>0.09</v>
          </cell>
          <cell r="J578">
            <v>16.718852620976143</v>
          </cell>
          <cell r="K578">
            <v>17.178207547062602</v>
          </cell>
          <cell r="P578">
            <v>111889.48934903144</v>
          </cell>
          <cell r="Q578">
            <v>594105.65349685145</v>
          </cell>
          <cell r="R578">
            <v>58215.182831104503</v>
          </cell>
          <cell r="S578">
            <v>67952.728320360591</v>
          </cell>
          <cell r="U578">
            <v>0</v>
          </cell>
          <cell r="W578">
            <v>-28952.552319856786</v>
          </cell>
          <cell r="X578">
            <v>0</v>
          </cell>
          <cell r="Y578">
            <v>0</v>
          </cell>
          <cell r="Z578">
            <v>82936.93702917466</v>
          </cell>
        </row>
        <row r="579">
          <cell r="C579" t="str">
            <v>A0062</v>
          </cell>
          <cell r="D579" t="str">
            <v>PT FSCM Manufacturing Indonesia</v>
          </cell>
          <cell r="E579" t="str">
            <v>MPP</v>
          </cell>
          <cell r="F579" t="str">
            <v>48MPP</v>
          </cell>
          <cell r="G579">
            <v>0.1</v>
          </cell>
          <cell r="I579">
            <v>0.09</v>
          </cell>
          <cell r="J579">
            <v>16.718852620976143</v>
          </cell>
          <cell r="K579">
            <v>17.178207547062602</v>
          </cell>
          <cell r="P579">
            <v>2210449.7785682855</v>
          </cell>
          <cell r="Q579">
            <v>796805.53666625288</v>
          </cell>
          <cell r="R579">
            <v>59205.166577230244</v>
          </cell>
          <cell r="S579">
            <v>20496.502245000003</v>
          </cell>
          <cell r="U579">
            <v>0</v>
          </cell>
          <cell r="W579">
            <v>-5205.2703396214993</v>
          </cell>
          <cell r="X579">
            <v>0</v>
          </cell>
          <cell r="Y579">
            <v>0</v>
          </cell>
          <cell r="Z579">
            <v>2205244.5082286638</v>
          </cell>
        </row>
        <row r="580">
          <cell r="C580" t="str">
            <v>A0062</v>
          </cell>
          <cell r="D580" t="str">
            <v>PT FSCM Manufacturing Indonesia</v>
          </cell>
          <cell r="E580" t="str">
            <v>ID</v>
          </cell>
          <cell r="F580" t="str">
            <v>48ID</v>
          </cell>
          <cell r="G580">
            <v>0.1</v>
          </cell>
          <cell r="I580">
            <v>0.09</v>
          </cell>
          <cell r="J580">
            <v>16.718852620976143</v>
          </cell>
          <cell r="K580">
            <v>17.178207547062602</v>
          </cell>
          <cell r="P580">
            <v>2103078.7277465956</v>
          </cell>
          <cell r="Q580">
            <v>1505247.1484872757</v>
          </cell>
          <cell r="R580">
            <v>132627.6222459886</v>
          </cell>
          <cell r="S580">
            <v>113586.49891957265</v>
          </cell>
          <cell r="U580">
            <v>0</v>
          </cell>
          <cell r="W580">
            <v>983723.76897774311</v>
          </cell>
          <cell r="X580">
            <v>0</v>
          </cell>
          <cell r="Y580">
            <v>0</v>
          </cell>
          <cell r="Z580">
            <v>3086802.4967243392</v>
          </cell>
        </row>
        <row r="581">
          <cell r="C581" t="str">
            <v>A0062</v>
          </cell>
          <cell r="D581" t="str">
            <v>PT FSCM Manufacturing Indonesia</v>
          </cell>
          <cell r="E581" t="str">
            <v>LL</v>
          </cell>
          <cell r="F581" t="str">
            <v>48LL</v>
          </cell>
          <cell r="G581">
            <v>0.1</v>
          </cell>
          <cell r="I581">
            <v>0.09</v>
          </cell>
          <cell r="J581">
            <v>16.718852620976143</v>
          </cell>
          <cell r="K581">
            <v>17.178207547062602</v>
          </cell>
          <cell r="P581">
            <v>1358901.5574858172</v>
          </cell>
          <cell r="Q581">
            <v>2113391.2407746767</v>
          </cell>
          <cell r="R581">
            <v>563044.82318042568</v>
          </cell>
          <cell r="S581">
            <v>765934.60898212623</v>
          </cell>
          <cell r="U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1358901.5574858172</v>
          </cell>
        </row>
        <row r="582">
          <cell r="C582" t="str">
            <v>A0062</v>
          </cell>
          <cell r="D582" t="str">
            <v>PT FSCM Manufacturing Indonesia</v>
          </cell>
          <cell r="E582" t="str">
            <v>PMK</v>
          </cell>
          <cell r="F582" t="str">
            <v>48PMK</v>
          </cell>
          <cell r="G582">
            <v>0.1</v>
          </cell>
          <cell r="I582">
            <v>0.09</v>
          </cell>
          <cell r="J582">
            <v>16.718852620976143</v>
          </cell>
          <cell r="K582">
            <v>17.178207547062602</v>
          </cell>
          <cell r="P582">
            <v>5739343.9288934479</v>
          </cell>
          <cell r="Q582">
            <v>4127209.8735996555</v>
          </cell>
          <cell r="R582">
            <v>484903.34177181544</v>
          </cell>
          <cell r="S582">
            <v>689900</v>
          </cell>
          <cell r="U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5739343.9288934479</v>
          </cell>
        </row>
        <row r="584">
          <cell r="C584" t="str">
            <v>A0098</v>
          </cell>
          <cell r="D584" t="str">
            <v>PT Federal International Finance</v>
          </cell>
          <cell r="E584" t="str">
            <v>PEB 1</v>
          </cell>
          <cell r="F584" t="str">
            <v>49PEB 1</v>
          </cell>
          <cell r="G584">
            <v>0.1</v>
          </cell>
          <cell r="H584">
            <v>0.1</v>
          </cell>
          <cell r="I584">
            <v>0.09</v>
          </cell>
          <cell r="J584">
            <v>7.9022272451365323</v>
          </cell>
          <cell r="K584">
            <v>8.3731027459657899</v>
          </cell>
          <cell r="L584">
            <v>159911</v>
          </cell>
          <cell r="N584">
            <v>2018576.0932</v>
          </cell>
          <cell r="O584">
            <v>276449.55200000003</v>
          </cell>
          <cell r="P584">
            <v>14015100</v>
          </cell>
          <cell r="Q584">
            <v>23458393.672488607</v>
          </cell>
          <cell r="R584">
            <v>1078656.1488930709</v>
          </cell>
          <cell r="S584">
            <v>238610.3181612574</v>
          </cell>
          <cell r="U584">
            <v>-12283640</v>
          </cell>
          <cell r="V584">
            <v>21294972.448400002</v>
          </cell>
          <cell r="W584">
            <v>2346895</v>
          </cell>
          <cell r="X584">
            <v>0</v>
          </cell>
          <cell r="Y584">
            <v>0</v>
          </cell>
          <cell r="Z584">
            <v>4078355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W584">
            <v>0.1</v>
          </cell>
          <cell r="AX584">
            <v>0</v>
          </cell>
          <cell r="AY584">
            <v>0.09</v>
          </cell>
          <cell r="AZ584">
            <v>7.9022272451365323</v>
          </cell>
          <cell r="BA584">
            <v>8.3731027459657899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1116024</v>
          </cell>
          <cell r="BG584">
            <v>354710.33898609591</v>
          </cell>
          <cell r="BH584">
            <v>17981.422528896779</v>
          </cell>
          <cell r="BI584">
            <v>18507.176751500003</v>
          </cell>
          <cell r="BJ584">
            <v>0</v>
          </cell>
          <cell r="BK584">
            <v>0</v>
          </cell>
          <cell r="BL584">
            <v>0</v>
          </cell>
          <cell r="BM584">
            <v>189246</v>
          </cell>
          <cell r="BN584">
            <v>-442035</v>
          </cell>
          <cell r="BO584">
            <v>152631</v>
          </cell>
          <cell r="BP584">
            <v>863235</v>
          </cell>
          <cell r="BR584">
            <v>0.1</v>
          </cell>
          <cell r="BS584">
            <v>0</v>
          </cell>
          <cell r="BT584">
            <v>0.09</v>
          </cell>
          <cell r="BU584">
            <v>9.0480282826803826</v>
          </cell>
          <cell r="BV584">
            <v>20.755254008053083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16090778</v>
          </cell>
          <cell r="CB584">
            <v>15436261.043359395</v>
          </cell>
          <cell r="CC584">
            <v>2182658.5193301267</v>
          </cell>
          <cell r="CD584">
            <v>993524.85546243633</v>
          </cell>
          <cell r="CE584">
            <v>0</v>
          </cell>
          <cell r="CF584">
            <v>0</v>
          </cell>
          <cell r="CG584">
            <v>0</v>
          </cell>
          <cell r="CH584">
            <v>-4102619</v>
          </cell>
          <cell r="CI584">
            <v>-2580872</v>
          </cell>
          <cell r="CJ584">
            <v>113933</v>
          </cell>
          <cell r="CK584">
            <v>9407287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V584">
            <v>0</v>
          </cell>
          <cell r="DW584">
            <v>0</v>
          </cell>
          <cell r="DX584">
            <v>0</v>
          </cell>
          <cell r="DY584">
            <v>0</v>
          </cell>
          <cell r="DZ584">
            <v>0</v>
          </cell>
          <cell r="EA584">
            <v>0</v>
          </cell>
          <cell r="EC584">
            <v>0.1</v>
          </cell>
          <cell r="ED584">
            <v>0</v>
          </cell>
          <cell r="EE584">
            <v>0.09</v>
          </cell>
          <cell r="EF584">
            <v>9.025746910668099</v>
          </cell>
          <cell r="EG584">
            <v>20.700511145330395</v>
          </cell>
          <cell r="EH584">
            <v>0</v>
          </cell>
          <cell r="EI584">
            <v>0</v>
          </cell>
          <cell r="EJ584">
            <v>0</v>
          </cell>
          <cell r="EK584">
            <v>0</v>
          </cell>
          <cell r="EL584">
            <v>2455971</v>
          </cell>
          <cell r="EM584">
            <v>1223687.299846502</v>
          </cell>
          <cell r="EN584">
            <v>291257.77330258978</v>
          </cell>
          <cell r="EO584">
            <v>238220.09171109746</v>
          </cell>
          <cell r="EP584">
            <v>0</v>
          </cell>
          <cell r="EQ584">
            <v>0</v>
          </cell>
          <cell r="ER584">
            <v>0</v>
          </cell>
          <cell r="ES584">
            <v>-2455260</v>
          </cell>
          <cell r="ET584">
            <v>0</v>
          </cell>
          <cell r="EU584">
            <v>0</v>
          </cell>
          <cell r="EV584">
            <v>711</v>
          </cell>
          <cell r="EX584">
            <v>0</v>
          </cell>
          <cell r="EY584">
            <v>0</v>
          </cell>
          <cell r="EZ584">
            <v>0</v>
          </cell>
          <cell r="FA584">
            <v>0</v>
          </cell>
          <cell r="FB584">
            <v>0</v>
          </cell>
          <cell r="FC584">
            <v>0</v>
          </cell>
          <cell r="FD584">
            <v>0</v>
          </cell>
          <cell r="FE584">
            <v>0</v>
          </cell>
          <cell r="FF584">
            <v>0</v>
          </cell>
          <cell r="FG584">
            <v>0</v>
          </cell>
          <cell r="FH584">
            <v>0</v>
          </cell>
          <cell r="FI584">
            <v>0</v>
          </cell>
          <cell r="FJ584">
            <v>0</v>
          </cell>
          <cell r="FK584">
            <v>0</v>
          </cell>
          <cell r="FL584">
            <v>0</v>
          </cell>
          <cell r="FM584">
            <v>0</v>
          </cell>
          <cell r="FN584">
            <v>0</v>
          </cell>
          <cell r="FO584">
            <v>0</v>
          </cell>
          <cell r="FP584">
            <v>0</v>
          </cell>
          <cell r="FQ584">
            <v>0</v>
          </cell>
          <cell r="FS584">
            <v>0.1</v>
          </cell>
          <cell r="FT584">
            <v>0</v>
          </cell>
          <cell r="FU584">
            <v>0.09</v>
          </cell>
          <cell r="FV584">
            <v>9.025746910668099</v>
          </cell>
          <cell r="FW584">
            <v>20.700511145330395</v>
          </cell>
          <cell r="FX584">
            <v>0</v>
          </cell>
          <cell r="FY584">
            <v>0</v>
          </cell>
          <cell r="FZ584">
            <v>0</v>
          </cell>
          <cell r="GA584">
            <v>0</v>
          </cell>
          <cell r="GB584">
            <v>222912</v>
          </cell>
          <cell r="GC584">
            <v>10475647.615425019</v>
          </cell>
          <cell r="GD584">
            <v>1688218.7742025033</v>
          </cell>
          <cell r="GE584">
            <v>601192.42244300188</v>
          </cell>
          <cell r="GF584">
            <v>0</v>
          </cell>
          <cell r="GG584">
            <v>0</v>
          </cell>
          <cell r="GH584">
            <v>0</v>
          </cell>
          <cell r="GI584">
            <v>0</v>
          </cell>
          <cell r="GJ584">
            <v>0</v>
          </cell>
          <cell r="GK584">
            <v>0</v>
          </cell>
          <cell r="GL584">
            <v>222912</v>
          </cell>
          <cell r="GN584">
            <v>0.1</v>
          </cell>
          <cell r="GO584">
            <v>0</v>
          </cell>
          <cell r="GP584">
            <v>0.09</v>
          </cell>
          <cell r="GQ584">
            <v>9.025746910668099</v>
          </cell>
          <cell r="GR584">
            <v>20.700511145330395</v>
          </cell>
          <cell r="GS584">
            <v>0</v>
          </cell>
          <cell r="GT584">
            <v>0</v>
          </cell>
          <cell r="GU584">
            <v>0</v>
          </cell>
          <cell r="GV584">
            <v>0</v>
          </cell>
          <cell r="GW584">
            <v>16747713</v>
          </cell>
          <cell r="GX584">
            <v>18007165.417453181</v>
          </cell>
          <cell r="GY584">
            <v>6243942.5355951339</v>
          </cell>
          <cell r="GZ584">
            <v>7127290.3314041961</v>
          </cell>
          <cell r="HA584">
            <v>0</v>
          </cell>
          <cell r="HB584">
            <v>0</v>
          </cell>
          <cell r="HC584">
            <v>0</v>
          </cell>
          <cell r="HD584">
            <v>0</v>
          </cell>
          <cell r="HE584">
            <v>0</v>
          </cell>
          <cell r="HF584">
            <v>0</v>
          </cell>
          <cell r="HG584">
            <v>16747713</v>
          </cell>
          <cell r="HI584">
            <v>0.1</v>
          </cell>
          <cell r="HJ584">
            <v>0</v>
          </cell>
          <cell r="HK584">
            <v>0.09</v>
          </cell>
          <cell r="HL584">
            <v>9.025746910668099</v>
          </cell>
          <cell r="HM584">
            <v>20.700511145330395</v>
          </cell>
          <cell r="HN584">
            <v>0</v>
          </cell>
          <cell r="HO584">
            <v>0</v>
          </cell>
          <cell r="HP584">
            <v>0</v>
          </cell>
          <cell r="HQ584">
            <v>0</v>
          </cell>
          <cell r="HR584">
            <v>17635403</v>
          </cell>
          <cell r="HS584">
            <v>19681141</v>
          </cell>
          <cell r="HT584">
            <v>3720566</v>
          </cell>
          <cell r="HU584">
            <v>574847</v>
          </cell>
          <cell r="HV584">
            <v>0</v>
          </cell>
          <cell r="HW584">
            <v>0</v>
          </cell>
          <cell r="HX584">
            <v>0</v>
          </cell>
          <cell r="HY584">
            <v>0</v>
          </cell>
          <cell r="HZ584">
            <v>0</v>
          </cell>
          <cell r="IA584">
            <v>0</v>
          </cell>
          <cell r="IB584">
            <v>17635403</v>
          </cell>
        </row>
        <row r="585">
          <cell r="C585" t="str">
            <v>A0098</v>
          </cell>
          <cell r="D585" t="str">
            <v>PT Federal International Finance</v>
          </cell>
          <cell r="E585" t="str">
            <v>PEB 2</v>
          </cell>
          <cell r="F585" t="str">
            <v>49PEB 2</v>
          </cell>
          <cell r="P585">
            <v>0</v>
          </cell>
          <cell r="U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</row>
        <row r="586">
          <cell r="C586" t="str">
            <v>A0098</v>
          </cell>
          <cell r="D586" t="str">
            <v>PT Federal International Finance</v>
          </cell>
          <cell r="E586" t="str">
            <v>PEB 3</v>
          </cell>
          <cell r="F586" t="str">
            <v>49PEB 3</v>
          </cell>
          <cell r="G586">
            <v>0.1</v>
          </cell>
          <cell r="I586">
            <v>0.09</v>
          </cell>
          <cell r="J586">
            <v>7.9022272451365323</v>
          </cell>
          <cell r="K586">
            <v>8.3731027459657899</v>
          </cell>
          <cell r="P586">
            <v>1116024</v>
          </cell>
          <cell r="Q586">
            <v>354710.33898609591</v>
          </cell>
          <cell r="R586">
            <v>17981.422528896779</v>
          </cell>
          <cell r="S586">
            <v>18507.176751500003</v>
          </cell>
          <cell r="U586">
            <v>0</v>
          </cell>
          <cell r="W586">
            <v>189246</v>
          </cell>
          <cell r="X586">
            <v>-442035</v>
          </cell>
          <cell r="Y586">
            <v>152631</v>
          </cell>
          <cell r="Z586">
            <v>863235</v>
          </cell>
        </row>
        <row r="587">
          <cell r="C587" t="str">
            <v>A0098</v>
          </cell>
          <cell r="D587" t="str">
            <v>PT Federal International Finance</v>
          </cell>
          <cell r="E587" t="str">
            <v>PEB 4</v>
          </cell>
          <cell r="F587" t="str">
            <v>49PEB 4</v>
          </cell>
          <cell r="G587">
            <v>0.1</v>
          </cell>
          <cell r="I587">
            <v>0.09</v>
          </cell>
          <cell r="J587">
            <v>9.0480282826803826</v>
          </cell>
          <cell r="K587">
            <v>20.755254008053083</v>
          </cell>
          <cell r="P587">
            <v>16090778</v>
          </cell>
          <cell r="Q587">
            <v>15436261.043359395</v>
          </cell>
          <cell r="R587">
            <v>2182658.5193301267</v>
          </cell>
          <cell r="S587">
            <v>993524.85546243633</v>
          </cell>
          <cell r="U587">
            <v>0</v>
          </cell>
          <cell r="W587">
            <v>-4102619</v>
          </cell>
          <cell r="X587">
            <v>-2580872</v>
          </cell>
          <cell r="Y587">
            <v>113933</v>
          </cell>
          <cell r="Z587">
            <v>9407287</v>
          </cell>
        </row>
        <row r="588">
          <cell r="C588" t="str">
            <v>A0098</v>
          </cell>
          <cell r="D588" t="str">
            <v>PT Federal International Finance</v>
          </cell>
          <cell r="E588" t="str">
            <v>PEB 5</v>
          </cell>
          <cell r="F588" t="str">
            <v>49PEB 5</v>
          </cell>
          <cell r="P588">
            <v>0</v>
          </cell>
          <cell r="U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</row>
        <row r="589">
          <cell r="C589" t="str">
            <v>A0098</v>
          </cell>
          <cell r="D589" t="str">
            <v>PT Federal International Finance</v>
          </cell>
          <cell r="E589" t="str">
            <v>PEB 6</v>
          </cell>
          <cell r="F589" t="str">
            <v>49PEB 6</v>
          </cell>
          <cell r="P589">
            <v>0</v>
          </cell>
          <cell r="U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</row>
        <row r="590">
          <cell r="C590" t="str">
            <v>A0098</v>
          </cell>
          <cell r="D590" t="str">
            <v>PT Federal International Finance</v>
          </cell>
          <cell r="E590" t="str">
            <v>PEB 7</v>
          </cell>
          <cell r="F590" t="str">
            <v>49PEB 7</v>
          </cell>
          <cell r="G590">
            <v>0.1</v>
          </cell>
          <cell r="I590">
            <v>0.09</v>
          </cell>
          <cell r="J590">
            <v>9.025746910668099</v>
          </cell>
          <cell r="K590">
            <v>20.700511145330395</v>
          </cell>
          <cell r="P590">
            <v>2455971</v>
          </cell>
          <cell r="Q590">
            <v>1223687.299846502</v>
          </cell>
          <cell r="R590">
            <v>291257.77330258978</v>
          </cell>
          <cell r="S590">
            <v>238220.09171109746</v>
          </cell>
          <cell r="U590">
            <v>0</v>
          </cell>
          <cell r="W590">
            <v>-2455260</v>
          </cell>
          <cell r="X590">
            <v>0</v>
          </cell>
          <cell r="Y590">
            <v>0</v>
          </cell>
          <cell r="Z590">
            <v>711</v>
          </cell>
        </row>
        <row r="591">
          <cell r="C591" t="str">
            <v>A0098</v>
          </cell>
          <cell r="D591" t="str">
            <v>PT Federal International Finance</v>
          </cell>
          <cell r="E591" t="str">
            <v>MPP</v>
          </cell>
          <cell r="F591" t="str">
            <v>49MPP</v>
          </cell>
          <cell r="P591">
            <v>0</v>
          </cell>
          <cell r="U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</row>
        <row r="592">
          <cell r="C592" t="str">
            <v>A0098</v>
          </cell>
          <cell r="D592" t="str">
            <v>PT Federal International Finance</v>
          </cell>
          <cell r="E592" t="str">
            <v>ID</v>
          </cell>
          <cell r="F592" t="str">
            <v>49ID</v>
          </cell>
          <cell r="G592">
            <v>0.1</v>
          </cell>
          <cell r="I592">
            <v>0.09</v>
          </cell>
          <cell r="J592">
            <v>9.025746910668099</v>
          </cell>
          <cell r="K592">
            <v>20.700511145330395</v>
          </cell>
          <cell r="P592">
            <v>222912</v>
          </cell>
          <cell r="Q592">
            <v>10475647.615425019</v>
          </cell>
          <cell r="R592">
            <v>1688218.7742025033</v>
          </cell>
          <cell r="S592">
            <v>601192.42244300188</v>
          </cell>
          <cell r="U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222912</v>
          </cell>
        </row>
        <row r="593">
          <cell r="C593" t="str">
            <v>A0098</v>
          </cell>
          <cell r="D593" t="str">
            <v>PT Federal International Finance</v>
          </cell>
          <cell r="E593" t="str">
            <v>LL</v>
          </cell>
          <cell r="F593" t="str">
            <v>49LL</v>
          </cell>
          <cell r="G593">
            <v>0.1</v>
          </cell>
          <cell r="I593">
            <v>0.09</v>
          </cell>
          <cell r="J593">
            <v>9.025746910668099</v>
          </cell>
          <cell r="K593">
            <v>20.700511145330395</v>
          </cell>
          <cell r="P593">
            <v>16747713</v>
          </cell>
          <cell r="Q593">
            <v>18007165.417453181</v>
          </cell>
          <cell r="R593">
            <v>6243942.5355951339</v>
          </cell>
          <cell r="S593">
            <v>7127290.3314041961</v>
          </cell>
          <cell r="U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16747713</v>
          </cell>
        </row>
        <row r="594">
          <cell r="C594" t="str">
            <v>A0098</v>
          </cell>
          <cell r="D594" t="str">
            <v>PT Federal International Finance</v>
          </cell>
          <cell r="E594" t="str">
            <v>PMK</v>
          </cell>
          <cell r="F594" t="str">
            <v>49PMK</v>
          </cell>
          <cell r="G594">
            <v>0.1</v>
          </cell>
          <cell r="I594">
            <v>0.09</v>
          </cell>
          <cell r="J594">
            <v>9.025746910668099</v>
          </cell>
          <cell r="K594">
            <v>20.700511145330395</v>
          </cell>
          <cell r="P594">
            <v>17635403</v>
          </cell>
          <cell r="Q594">
            <v>19681141</v>
          </cell>
          <cell r="R594">
            <v>3720566</v>
          </cell>
          <cell r="S594">
            <v>574847</v>
          </cell>
          <cell r="U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17635403</v>
          </cell>
        </row>
        <row r="596">
          <cell r="C596" t="str">
            <v>A0059</v>
          </cell>
          <cell r="D596" t="str">
            <v>PT Federal Izumi Manufacturing</v>
          </cell>
          <cell r="E596" t="str">
            <v>PEB 1</v>
          </cell>
          <cell r="F596" t="str">
            <v>50PEB 1</v>
          </cell>
          <cell r="G596">
            <v>0.1</v>
          </cell>
          <cell r="H596">
            <v>0.1</v>
          </cell>
          <cell r="I596">
            <v>0.09</v>
          </cell>
          <cell r="J596">
            <v>9.6786649286576978</v>
          </cell>
          <cell r="K596">
            <v>9.6654470015384124</v>
          </cell>
          <cell r="L596">
            <v>588657</v>
          </cell>
          <cell r="N596">
            <v>407501.91200000001</v>
          </cell>
          <cell r="O596">
            <v>54009.072</v>
          </cell>
          <cell r="P596">
            <v>3297181.4579840349</v>
          </cell>
          <cell r="Q596">
            <v>4438395.9762104172</v>
          </cell>
          <cell r="R596">
            <v>201080.14180439743</v>
          </cell>
          <cell r="S596">
            <v>30407.72584652773</v>
          </cell>
          <cell r="U596">
            <v>-2895063.5110882628</v>
          </cell>
          <cell r="V596">
            <v>4402930.5280000009</v>
          </cell>
          <cell r="W596">
            <v>-945075.06449177663</v>
          </cell>
          <cell r="X596">
            <v>0</v>
          </cell>
          <cell r="Y596">
            <v>0</v>
          </cell>
          <cell r="Z596">
            <v>-542957.11759600416</v>
          </cell>
          <cell r="AB596">
            <v>0.1</v>
          </cell>
          <cell r="AC596">
            <v>0</v>
          </cell>
          <cell r="AD596">
            <v>0.09</v>
          </cell>
          <cell r="AE596">
            <v>0</v>
          </cell>
          <cell r="AF596">
            <v>16.26422285596913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2278434.8044771622</v>
          </cell>
          <cell r="AM596">
            <v>162103.54129107227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W596">
            <v>0.1</v>
          </cell>
          <cell r="AX596">
            <v>0</v>
          </cell>
          <cell r="AY596">
            <v>0.09</v>
          </cell>
          <cell r="AZ596">
            <v>15.653208534021116</v>
          </cell>
          <cell r="BA596">
            <v>9.6654470015384124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248324.93524432773</v>
          </cell>
          <cell r="BG596">
            <v>66200.023673115968</v>
          </cell>
          <cell r="BH596">
            <v>3648.2360745596829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305171.18730679719</v>
          </cell>
          <cell r="BN596">
            <v>-69636.013244151924</v>
          </cell>
          <cell r="BO596">
            <v>17741.778990286984</v>
          </cell>
          <cell r="BP596">
            <v>483860.109306973</v>
          </cell>
          <cell r="BR596">
            <v>0.1</v>
          </cell>
          <cell r="BS596">
            <v>0</v>
          </cell>
          <cell r="BT596">
            <v>0.09</v>
          </cell>
          <cell r="BU596">
            <v>15.653208534021116</v>
          </cell>
          <cell r="BV596">
            <v>16.802544044093729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748370.23209489568</v>
          </cell>
          <cell r="CB596">
            <v>1622186.6400400389</v>
          </cell>
          <cell r="CC596">
            <v>116677.2409919733</v>
          </cell>
          <cell r="CD596">
            <v>106436.29487337833</v>
          </cell>
          <cell r="CE596">
            <v>0</v>
          </cell>
          <cell r="CF596">
            <v>0</v>
          </cell>
          <cell r="CG596">
            <v>0</v>
          </cell>
          <cell r="CH596">
            <v>82319.95912452905</v>
          </cell>
          <cell r="CI596">
            <v>-93909.471508257629</v>
          </cell>
          <cell r="CJ596">
            <v>23926.141244653754</v>
          </cell>
          <cell r="CK596">
            <v>736780.71971116704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V596">
            <v>0</v>
          </cell>
          <cell r="DW596">
            <v>0</v>
          </cell>
          <cell r="DX596">
            <v>0</v>
          </cell>
          <cell r="DY596">
            <v>0</v>
          </cell>
          <cell r="DZ596">
            <v>0</v>
          </cell>
          <cell r="EA596">
            <v>0</v>
          </cell>
          <cell r="EC596">
            <v>0.1</v>
          </cell>
          <cell r="ED596">
            <v>0</v>
          </cell>
          <cell r="EE596">
            <v>0.09</v>
          </cell>
          <cell r="EF596">
            <v>15.653208534021116</v>
          </cell>
          <cell r="EG596">
            <v>16.26422285596913</v>
          </cell>
          <cell r="EH596">
            <v>0</v>
          </cell>
          <cell r="EI596">
            <v>0</v>
          </cell>
          <cell r="EJ596">
            <v>0</v>
          </cell>
          <cell r="EK596">
            <v>0</v>
          </cell>
          <cell r="EL596">
            <v>193811.43153309039</v>
          </cell>
          <cell r="EM596">
            <v>526584.86474551191</v>
          </cell>
          <cell r="EN596">
            <v>40379.306498459358</v>
          </cell>
          <cell r="EO596">
            <v>58971.862697219622</v>
          </cell>
          <cell r="EP596">
            <v>0</v>
          </cell>
          <cell r="EQ596">
            <v>0</v>
          </cell>
          <cell r="ER596">
            <v>0</v>
          </cell>
          <cell r="ES596">
            <v>70011.266099512912</v>
          </cell>
          <cell r="ET596">
            <v>0</v>
          </cell>
          <cell r="EU596">
            <v>0</v>
          </cell>
          <cell r="EV596">
            <v>263822.69763260329</v>
          </cell>
          <cell r="EX596">
            <v>0</v>
          </cell>
          <cell r="EY596">
            <v>0</v>
          </cell>
          <cell r="EZ596">
            <v>0</v>
          </cell>
          <cell r="FA596">
            <v>0</v>
          </cell>
          <cell r="FB596">
            <v>0</v>
          </cell>
          <cell r="FC596">
            <v>0</v>
          </cell>
          <cell r="FD596">
            <v>0</v>
          </cell>
          <cell r="FE596">
            <v>0</v>
          </cell>
          <cell r="FF596">
            <v>0</v>
          </cell>
          <cell r="FG596">
            <v>0</v>
          </cell>
          <cell r="FH596">
            <v>0</v>
          </cell>
          <cell r="FI596">
            <v>0</v>
          </cell>
          <cell r="FJ596">
            <v>0</v>
          </cell>
          <cell r="FK596">
            <v>0</v>
          </cell>
          <cell r="FL596">
            <v>0</v>
          </cell>
          <cell r="FM596">
            <v>0</v>
          </cell>
          <cell r="FN596">
            <v>0</v>
          </cell>
          <cell r="FO596">
            <v>0</v>
          </cell>
          <cell r="FP596">
            <v>0</v>
          </cell>
          <cell r="FQ596">
            <v>0</v>
          </cell>
          <cell r="FS596">
            <v>0.1</v>
          </cell>
          <cell r="FT596">
            <v>0</v>
          </cell>
          <cell r="FU596">
            <v>0.09</v>
          </cell>
          <cell r="FV596">
            <v>15.653208534021116</v>
          </cell>
          <cell r="FW596">
            <v>16.26422285596913</v>
          </cell>
          <cell r="FX596">
            <v>0</v>
          </cell>
          <cell r="FY596">
            <v>0</v>
          </cell>
          <cell r="FZ596">
            <v>0</v>
          </cell>
          <cell r="GA596">
            <v>0</v>
          </cell>
          <cell r="GB596">
            <v>1744047.5189357724</v>
          </cell>
          <cell r="GC596">
            <v>1284465.2404451701</v>
          </cell>
          <cell r="GD596">
            <v>91923.156250715678</v>
          </cell>
          <cell r="GE596">
            <v>76449.590844796316</v>
          </cell>
          <cell r="GF596">
            <v>0</v>
          </cell>
          <cell r="GG596">
            <v>0</v>
          </cell>
          <cell r="GH596">
            <v>0</v>
          </cell>
          <cell r="GI596">
            <v>413708.14511547313</v>
          </cell>
          <cell r="GJ596">
            <v>0</v>
          </cell>
          <cell r="GK596">
            <v>0</v>
          </cell>
          <cell r="GL596">
            <v>2157755.6640512459</v>
          </cell>
          <cell r="GN596">
            <v>0.1</v>
          </cell>
          <cell r="GO596">
            <v>0</v>
          </cell>
          <cell r="GP596">
            <v>0.09</v>
          </cell>
          <cell r="GQ596">
            <v>15.653208534021116</v>
          </cell>
          <cell r="GR596">
            <v>16.26422285596913</v>
          </cell>
          <cell r="GS596">
            <v>0</v>
          </cell>
          <cell r="GT596">
            <v>0</v>
          </cell>
          <cell r="GU596">
            <v>0</v>
          </cell>
          <cell r="GV596">
            <v>0</v>
          </cell>
          <cell r="GW596">
            <v>1059703.1275864632</v>
          </cell>
          <cell r="GX596">
            <v>1399822.087531901</v>
          </cell>
          <cell r="GY596">
            <v>430294.33661128068</v>
          </cell>
          <cell r="GZ596">
            <v>459657.0690097395</v>
          </cell>
          <cell r="HA596">
            <v>0</v>
          </cell>
          <cell r="HB596">
            <v>0</v>
          </cell>
          <cell r="HC596">
            <v>0</v>
          </cell>
          <cell r="HD596">
            <v>0</v>
          </cell>
          <cell r="HE596">
            <v>0</v>
          </cell>
          <cell r="HF596">
            <v>0</v>
          </cell>
          <cell r="HG596">
            <v>1059703.1275864632</v>
          </cell>
          <cell r="HI596">
            <v>0.1</v>
          </cell>
          <cell r="HJ596">
            <v>0</v>
          </cell>
          <cell r="HK596">
            <v>0.09</v>
          </cell>
          <cell r="HL596">
            <v>15.653208534021116</v>
          </cell>
          <cell r="HM596">
            <v>16.26422285596913</v>
          </cell>
          <cell r="HN596">
            <v>0</v>
          </cell>
          <cell r="HO596">
            <v>0</v>
          </cell>
          <cell r="HP596">
            <v>0</v>
          </cell>
          <cell r="HQ596">
            <v>0</v>
          </cell>
          <cell r="HR596">
            <v>4778797.1686239243</v>
          </cell>
          <cell r="HS596">
            <v>3490823.0201183315</v>
          </cell>
          <cell r="HT596">
            <v>374617.69413658831</v>
          </cell>
          <cell r="HU596">
            <v>414350</v>
          </cell>
          <cell r="HV596">
            <v>0</v>
          </cell>
          <cell r="HW596">
            <v>0</v>
          </cell>
          <cell r="HX596">
            <v>0</v>
          </cell>
          <cell r="HY596">
            <v>0</v>
          </cell>
          <cell r="HZ596">
            <v>0</v>
          </cell>
          <cell r="IA596">
            <v>0</v>
          </cell>
          <cell r="IB596">
            <v>4778797.1686239243</v>
          </cell>
        </row>
        <row r="597">
          <cell r="C597" t="str">
            <v>A0059</v>
          </cell>
          <cell r="D597" t="str">
            <v>PT Federal Izumi Manufacturing</v>
          </cell>
          <cell r="E597" t="str">
            <v>PEB 2</v>
          </cell>
          <cell r="F597" t="str">
            <v>50PEB 2</v>
          </cell>
          <cell r="G597">
            <v>0.1</v>
          </cell>
          <cell r="I597">
            <v>0.09</v>
          </cell>
          <cell r="J597">
            <v>0</v>
          </cell>
          <cell r="K597">
            <v>16.26422285596913</v>
          </cell>
          <cell r="P597">
            <v>0</v>
          </cell>
          <cell r="Q597">
            <v>2278434.8044771622</v>
          </cell>
          <cell r="R597">
            <v>162103.54129107227</v>
          </cell>
          <cell r="S597">
            <v>0</v>
          </cell>
          <cell r="U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</row>
        <row r="598">
          <cell r="C598" t="str">
            <v>A0059</v>
          </cell>
          <cell r="D598" t="str">
            <v>PT Federal Izumi Manufacturing</v>
          </cell>
          <cell r="E598" t="str">
            <v>PEB 3</v>
          </cell>
          <cell r="F598" t="str">
            <v>50PEB 3</v>
          </cell>
          <cell r="G598">
            <v>0.1</v>
          </cell>
          <cell r="I598">
            <v>0.09</v>
          </cell>
          <cell r="J598">
            <v>15.653208534021116</v>
          </cell>
          <cell r="K598">
            <v>9.6654470015384124</v>
          </cell>
          <cell r="P598">
            <v>248324.93524432773</v>
          </cell>
          <cell r="Q598">
            <v>66200.023673115968</v>
          </cell>
          <cell r="R598">
            <v>3648.2360745596829</v>
          </cell>
          <cell r="S598">
            <v>0</v>
          </cell>
          <cell r="U598">
            <v>0</v>
          </cell>
          <cell r="W598">
            <v>305171.18730679719</v>
          </cell>
          <cell r="X598">
            <v>-69636.013244151924</v>
          </cell>
          <cell r="Y598">
            <v>17741.778990286984</v>
          </cell>
          <cell r="Z598">
            <v>483860.109306973</v>
          </cell>
        </row>
        <row r="599">
          <cell r="C599" t="str">
            <v>A0059</v>
          </cell>
          <cell r="D599" t="str">
            <v>PT Federal Izumi Manufacturing</v>
          </cell>
          <cell r="E599" t="str">
            <v>PEB 4</v>
          </cell>
          <cell r="F599" t="str">
            <v>50PEB 4</v>
          </cell>
          <cell r="G599">
            <v>0.1</v>
          </cell>
          <cell r="I599">
            <v>0.09</v>
          </cell>
          <cell r="J599">
            <v>15.653208534021116</v>
          </cell>
          <cell r="K599">
            <v>16.802544044093729</v>
          </cell>
          <cell r="P599">
            <v>748370.23209489568</v>
          </cell>
          <cell r="Q599">
            <v>1622186.6400400389</v>
          </cell>
          <cell r="R599">
            <v>116677.2409919733</v>
          </cell>
          <cell r="S599">
            <v>106436.29487337833</v>
          </cell>
          <cell r="U599">
            <v>0</v>
          </cell>
          <cell r="W599">
            <v>82319.95912452905</v>
          </cell>
          <cell r="X599">
            <v>-93909.471508257629</v>
          </cell>
          <cell r="Y599">
            <v>23926.141244653754</v>
          </cell>
          <cell r="Z599">
            <v>736780.71971116704</v>
          </cell>
        </row>
        <row r="600">
          <cell r="C600" t="str">
            <v>A0059</v>
          </cell>
          <cell r="D600" t="str">
            <v>PT Federal Izumi Manufacturing</v>
          </cell>
          <cell r="E600" t="str">
            <v>PEB 5</v>
          </cell>
          <cell r="F600" t="str">
            <v>50PEB 5</v>
          </cell>
          <cell r="P600">
            <v>0</v>
          </cell>
          <cell r="U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</row>
        <row r="601">
          <cell r="C601" t="str">
            <v>A0059</v>
          </cell>
          <cell r="D601" t="str">
            <v>PT Federal Izumi Manufacturing</v>
          </cell>
          <cell r="E601" t="str">
            <v>PEB 6</v>
          </cell>
          <cell r="F601" t="str">
            <v>50PEB 6</v>
          </cell>
          <cell r="P601">
            <v>0</v>
          </cell>
          <cell r="U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</row>
        <row r="602">
          <cell r="C602" t="str">
            <v>A0059</v>
          </cell>
          <cell r="D602" t="str">
            <v>PT Federal Izumi Manufacturing</v>
          </cell>
          <cell r="E602" t="str">
            <v>PEB 7</v>
          </cell>
          <cell r="F602" t="str">
            <v>50PEB 7</v>
          </cell>
          <cell r="G602">
            <v>0.1</v>
          </cell>
          <cell r="I602">
            <v>0.09</v>
          </cell>
          <cell r="J602">
            <v>15.653208534021116</v>
          </cell>
          <cell r="K602">
            <v>16.26422285596913</v>
          </cell>
          <cell r="P602">
            <v>193811.43153309039</v>
          </cell>
          <cell r="Q602">
            <v>526584.86474551191</v>
          </cell>
          <cell r="R602">
            <v>40379.306498459358</v>
          </cell>
          <cell r="S602">
            <v>58971.862697219622</v>
          </cell>
          <cell r="U602">
            <v>0</v>
          </cell>
          <cell r="W602">
            <v>70011.266099512912</v>
          </cell>
          <cell r="X602">
            <v>0</v>
          </cell>
          <cell r="Y602">
            <v>0</v>
          </cell>
          <cell r="Z602">
            <v>263822.69763260329</v>
          </cell>
        </row>
        <row r="603">
          <cell r="C603" t="str">
            <v>A0059</v>
          </cell>
          <cell r="D603" t="str">
            <v>PT Federal Izumi Manufacturing</v>
          </cell>
          <cell r="E603" t="str">
            <v>MPP</v>
          </cell>
          <cell r="F603" t="str">
            <v>50MPP</v>
          </cell>
          <cell r="P603">
            <v>0</v>
          </cell>
          <cell r="U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</row>
        <row r="604">
          <cell r="C604" t="str">
            <v>A0059</v>
          </cell>
          <cell r="D604" t="str">
            <v>PT Federal Izumi Manufacturing</v>
          </cell>
          <cell r="E604" t="str">
            <v>ID</v>
          </cell>
          <cell r="F604" t="str">
            <v>50ID</v>
          </cell>
          <cell r="G604">
            <v>0.1</v>
          </cell>
          <cell r="I604">
            <v>0.09</v>
          </cell>
          <cell r="J604">
            <v>15.653208534021116</v>
          </cell>
          <cell r="K604">
            <v>16.26422285596913</v>
          </cell>
          <cell r="P604">
            <v>1744047.5189357724</v>
          </cell>
          <cell r="Q604">
            <v>1284465.2404451701</v>
          </cell>
          <cell r="R604">
            <v>91923.156250715678</v>
          </cell>
          <cell r="S604">
            <v>76449.590844796316</v>
          </cell>
          <cell r="U604">
            <v>0</v>
          </cell>
          <cell r="W604">
            <v>413708.14511547313</v>
          </cell>
          <cell r="X604">
            <v>0</v>
          </cell>
          <cell r="Y604">
            <v>0</v>
          </cell>
          <cell r="Z604">
            <v>2157755.6640512459</v>
          </cell>
        </row>
        <row r="605">
          <cell r="C605" t="str">
            <v>A0059</v>
          </cell>
          <cell r="D605" t="str">
            <v>PT Federal Izumi Manufacturing</v>
          </cell>
          <cell r="E605" t="str">
            <v>LL</v>
          </cell>
          <cell r="F605" t="str">
            <v>50LL</v>
          </cell>
          <cell r="G605">
            <v>0.1</v>
          </cell>
          <cell r="I605">
            <v>0.09</v>
          </cell>
          <cell r="J605">
            <v>15.653208534021116</v>
          </cell>
          <cell r="K605">
            <v>16.26422285596913</v>
          </cell>
          <cell r="P605">
            <v>1059703.1275864632</v>
          </cell>
          <cell r="Q605">
            <v>1399822.087531901</v>
          </cell>
          <cell r="R605">
            <v>430294.33661128068</v>
          </cell>
          <cell r="S605">
            <v>459657.0690097395</v>
          </cell>
          <cell r="U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1059703.1275864632</v>
          </cell>
        </row>
        <row r="606">
          <cell r="C606" t="str">
            <v>A0059</v>
          </cell>
          <cell r="D606" t="str">
            <v>PT Federal Izumi Manufacturing</v>
          </cell>
          <cell r="E606" t="str">
            <v>PMK</v>
          </cell>
          <cell r="F606" t="str">
            <v>50PMK</v>
          </cell>
          <cell r="G606">
            <v>0.1</v>
          </cell>
          <cell r="I606">
            <v>0.09</v>
          </cell>
          <cell r="J606">
            <v>15.653208534021116</v>
          </cell>
          <cell r="K606">
            <v>16.26422285596913</v>
          </cell>
          <cell r="P606">
            <v>4778797.1686239243</v>
          </cell>
          <cell r="Q606">
            <v>3490823.0201183315</v>
          </cell>
          <cell r="R606">
            <v>374617.69413658831</v>
          </cell>
          <cell r="S606">
            <v>414350</v>
          </cell>
          <cell r="U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4778797.1686239243</v>
          </cell>
        </row>
        <row r="608">
          <cell r="C608" t="str">
            <v>A0274</v>
          </cell>
          <cell r="D608" t="str">
            <v>PT Federal Nittan Industries</v>
          </cell>
          <cell r="E608" t="str">
            <v>PEB 1</v>
          </cell>
          <cell r="F608" t="str">
            <v>51PEB 1</v>
          </cell>
          <cell r="G608">
            <v>0.1</v>
          </cell>
          <cell r="H608">
            <v>0.1</v>
          </cell>
          <cell r="I608">
            <v>0.09</v>
          </cell>
          <cell r="J608">
            <v>9.9951938564857823</v>
          </cell>
          <cell r="K608">
            <v>9.6842393258984085</v>
          </cell>
          <cell r="L608">
            <v>0</v>
          </cell>
          <cell r="N608">
            <v>302185.5796</v>
          </cell>
          <cell r="O608">
            <v>42743.472000000002</v>
          </cell>
          <cell r="P608">
            <v>2254574.0702937851</v>
          </cell>
          <cell r="Q608">
            <v>3108196.2282762914</v>
          </cell>
          <cell r="R608">
            <v>148420.82651120817</v>
          </cell>
          <cell r="S608">
            <v>19024.129751982236</v>
          </cell>
          <cell r="U608">
            <v>-1550468.0759909896</v>
          </cell>
          <cell r="V608">
            <v>2761207.6505333334</v>
          </cell>
          <cell r="W608">
            <v>-1100515.7580566294</v>
          </cell>
          <cell r="X608">
            <v>0</v>
          </cell>
          <cell r="Y608">
            <v>0</v>
          </cell>
          <cell r="Z608">
            <v>-396409.76375383401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W608">
            <v>0.1</v>
          </cell>
          <cell r="AX608">
            <v>0</v>
          </cell>
          <cell r="AY608">
            <v>0.09</v>
          </cell>
          <cell r="AZ608">
            <v>18.32812866656699</v>
          </cell>
          <cell r="BA608">
            <v>9.6842393258984085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259981.88993812495</v>
          </cell>
          <cell r="BG608">
            <v>111380.07306228857</v>
          </cell>
          <cell r="BH608">
            <v>5885.3958768624216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179628.34270035979</v>
          </cell>
          <cell r="BN608">
            <v>-6395.4953046153114</v>
          </cell>
          <cell r="BO608">
            <v>7872.3187637888768</v>
          </cell>
          <cell r="BP608">
            <v>433214.73733386939</v>
          </cell>
          <cell r="BR608">
            <v>0.1</v>
          </cell>
          <cell r="BS608">
            <v>0</v>
          </cell>
          <cell r="BT608">
            <v>0.09</v>
          </cell>
          <cell r="BU608">
            <v>18.483014010769111</v>
          </cell>
          <cell r="BV608">
            <v>21.303593346189821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440206.78229380562</v>
          </cell>
          <cell r="CB608">
            <v>817174.11267955019</v>
          </cell>
          <cell r="CC608">
            <v>87179.588967494812</v>
          </cell>
          <cell r="CD608">
            <v>52365.800111805096</v>
          </cell>
          <cell r="CE608">
            <v>0</v>
          </cell>
          <cell r="CF608">
            <v>0</v>
          </cell>
          <cell r="CG608">
            <v>0</v>
          </cell>
          <cell r="CH608">
            <v>50241.96862067825</v>
          </cell>
          <cell r="CI608">
            <v>-6596.0640350079593</v>
          </cell>
          <cell r="CJ608">
            <v>8119.2020628134123</v>
          </cell>
          <cell r="CK608">
            <v>483852.68687947589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V608">
            <v>0</v>
          </cell>
          <cell r="DW608">
            <v>0</v>
          </cell>
          <cell r="DX608">
            <v>0</v>
          </cell>
          <cell r="DY608">
            <v>0</v>
          </cell>
          <cell r="DZ608">
            <v>0</v>
          </cell>
          <cell r="EA608">
            <v>0</v>
          </cell>
          <cell r="EC608">
            <v>0.1</v>
          </cell>
          <cell r="ED608">
            <v>0</v>
          </cell>
          <cell r="EE608">
            <v>0.09</v>
          </cell>
          <cell r="EF608">
            <v>18.32812866656699</v>
          </cell>
          <cell r="EG608">
            <v>20.97903038472916</v>
          </cell>
          <cell r="EH608">
            <v>0</v>
          </cell>
          <cell r="EI608">
            <v>0</v>
          </cell>
          <cell r="EJ608">
            <v>0</v>
          </cell>
          <cell r="EK608">
            <v>0</v>
          </cell>
          <cell r="EL608">
            <v>333326.93148897495</v>
          </cell>
          <cell r="EM608">
            <v>346607.14936106669</v>
          </cell>
          <cell r="EN608">
            <v>46306.183242607898</v>
          </cell>
          <cell r="EO608">
            <v>34955.306410913487</v>
          </cell>
          <cell r="EP608">
            <v>0</v>
          </cell>
          <cell r="EQ608">
            <v>0</v>
          </cell>
          <cell r="ER608">
            <v>0</v>
          </cell>
          <cell r="ES608">
            <v>215884.69400349195</v>
          </cell>
          <cell r="ET608">
            <v>0</v>
          </cell>
          <cell r="EU608">
            <v>0</v>
          </cell>
          <cell r="EV608">
            <v>549211.62549246696</v>
          </cell>
          <cell r="EX608">
            <v>0.1</v>
          </cell>
          <cell r="EY608">
            <v>0</v>
          </cell>
          <cell r="EZ608">
            <v>0.09</v>
          </cell>
          <cell r="FA608">
            <v>18.483014010769111</v>
          </cell>
          <cell r="FB608">
            <v>20.97903038472916</v>
          </cell>
          <cell r="FC608">
            <v>0</v>
          </cell>
          <cell r="FD608">
            <v>0</v>
          </cell>
          <cell r="FE608">
            <v>0</v>
          </cell>
          <cell r="FF608">
            <v>0</v>
          </cell>
          <cell r="FG608">
            <v>804706.08143355756</v>
          </cell>
          <cell r="FH608">
            <v>290778.02623780852</v>
          </cell>
          <cell r="FI608">
            <v>25850.708733348536</v>
          </cell>
          <cell r="FJ608">
            <v>0</v>
          </cell>
          <cell r="FK608">
            <v>0</v>
          </cell>
          <cell r="FL608">
            <v>0</v>
          </cell>
          <cell r="FM608">
            <v>0</v>
          </cell>
          <cell r="FN608">
            <v>-29613.290000386954</v>
          </cell>
          <cell r="FO608">
            <v>-543897.51104179968</v>
          </cell>
          <cell r="FP608">
            <v>32572</v>
          </cell>
          <cell r="FQ608">
            <v>231195.28039137091</v>
          </cell>
          <cell r="FS608">
            <v>0.1</v>
          </cell>
          <cell r="FT608">
            <v>0</v>
          </cell>
          <cell r="FU608">
            <v>0.09</v>
          </cell>
          <cell r="FV608">
            <v>18.32812866656699</v>
          </cell>
          <cell r="FW608">
            <v>20.97903038472916</v>
          </cell>
          <cell r="FX608">
            <v>0</v>
          </cell>
          <cell r="FY608">
            <v>0</v>
          </cell>
          <cell r="FZ608">
            <v>0</v>
          </cell>
          <cell r="GA608">
            <v>0</v>
          </cell>
          <cell r="GB608">
            <v>888192.00072717236</v>
          </cell>
          <cell r="GC608">
            <v>711792.44394372008</v>
          </cell>
          <cell r="GD608">
            <v>76760.913182518474</v>
          </cell>
          <cell r="GE608">
            <v>40166.232913056359</v>
          </cell>
          <cell r="GF608">
            <v>0</v>
          </cell>
          <cell r="GG608">
            <v>0</v>
          </cell>
          <cell r="GH608">
            <v>0</v>
          </cell>
          <cell r="GI608">
            <v>566504.31851328455</v>
          </cell>
          <cell r="GJ608">
            <v>0</v>
          </cell>
          <cell r="GK608">
            <v>0</v>
          </cell>
          <cell r="GL608">
            <v>1454696.3192404571</v>
          </cell>
          <cell r="GN608">
            <v>0.1</v>
          </cell>
          <cell r="GO608">
            <v>0</v>
          </cell>
          <cell r="GP608">
            <v>0.09</v>
          </cell>
          <cell r="GQ608">
            <v>18.32812866656699</v>
          </cell>
          <cell r="GR608">
            <v>20.97903038472916</v>
          </cell>
          <cell r="GS608">
            <v>0</v>
          </cell>
          <cell r="GT608">
            <v>0</v>
          </cell>
          <cell r="GU608">
            <v>0</v>
          </cell>
          <cell r="GV608">
            <v>0</v>
          </cell>
          <cell r="GW608">
            <v>633638.38783962652</v>
          </cell>
          <cell r="GX608">
            <v>1318212.9534282498</v>
          </cell>
          <cell r="GY608">
            <v>318897.39870173414</v>
          </cell>
          <cell r="GZ608">
            <v>400504.74093421904</v>
          </cell>
          <cell r="HA608">
            <v>0</v>
          </cell>
          <cell r="HB608">
            <v>0</v>
          </cell>
          <cell r="HC608">
            <v>0</v>
          </cell>
          <cell r="HD608">
            <v>0</v>
          </cell>
          <cell r="HE608">
            <v>0</v>
          </cell>
          <cell r="HF608">
            <v>0</v>
          </cell>
          <cell r="HG608">
            <v>633638.38783962652</v>
          </cell>
          <cell r="HI608">
            <v>0.1</v>
          </cell>
          <cell r="HJ608">
            <v>0</v>
          </cell>
          <cell r="HK608">
            <v>0.09</v>
          </cell>
          <cell r="HL608">
            <v>18.32812866656699</v>
          </cell>
          <cell r="HM608">
            <v>20.97903038472916</v>
          </cell>
          <cell r="HN608">
            <v>0</v>
          </cell>
          <cell r="HO608">
            <v>0</v>
          </cell>
          <cell r="HP608">
            <v>0</v>
          </cell>
          <cell r="HQ608">
            <v>0</v>
          </cell>
          <cell r="HR608">
            <v>1449988.2236428512</v>
          </cell>
          <cell r="HS608">
            <v>1276374.4584527162</v>
          </cell>
          <cell r="HT608">
            <v>185330.30267409087</v>
          </cell>
          <cell r="HU608">
            <v>66918.75</v>
          </cell>
          <cell r="HV608">
            <v>0</v>
          </cell>
          <cell r="HW608">
            <v>0</v>
          </cell>
          <cell r="HX608">
            <v>0</v>
          </cell>
          <cell r="HY608">
            <v>0</v>
          </cell>
          <cell r="HZ608">
            <v>0</v>
          </cell>
          <cell r="IA608">
            <v>0</v>
          </cell>
          <cell r="IB608">
            <v>1449988.2236428512</v>
          </cell>
        </row>
        <row r="609">
          <cell r="C609" t="str">
            <v>A0274</v>
          </cell>
          <cell r="D609" t="str">
            <v>PT Federal Nittan Industries</v>
          </cell>
          <cell r="E609" t="str">
            <v>PEB 2</v>
          </cell>
          <cell r="F609" t="str">
            <v>51PEB 2</v>
          </cell>
          <cell r="P609">
            <v>0</v>
          </cell>
          <cell r="U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</row>
        <row r="610">
          <cell r="C610" t="str">
            <v>A0274</v>
          </cell>
          <cell r="D610" t="str">
            <v>PT Federal Nittan Industries</v>
          </cell>
          <cell r="E610" t="str">
            <v>PEB 3</v>
          </cell>
          <cell r="F610" t="str">
            <v>51PEB 3</v>
          </cell>
          <cell r="G610">
            <v>0.1</v>
          </cell>
          <cell r="I610">
            <v>0.09</v>
          </cell>
          <cell r="J610">
            <v>18.32812866656699</v>
          </cell>
          <cell r="K610">
            <v>9.6842393258984085</v>
          </cell>
          <cell r="P610">
            <v>259981.88993812495</v>
          </cell>
          <cell r="Q610">
            <v>111380.07306228857</v>
          </cell>
          <cell r="R610">
            <v>5885.3958768624216</v>
          </cell>
          <cell r="S610">
            <v>0</v>
          </cell>
          <cell r="U610">
            <v>0</v>
          </cell>
          <cell r="W610">
            <v>179628.34270035979</v>
          </cell>
          <cell r="X610">
            <v>-6395.4953046153114</v>
          </cell>
          <cell r="Y610">
            <v>7872.3187637888768</v>
          </cell>
          <cell r="Z610">
            <v>433214.73733386939</v>
          </cell>
        </row>
        <row r="611">
          <cell r="C611" t="str">
            <v>A0274</v>
          </cell>
          <cell r="D611" t="str">
            <v>PT Federal Nittan Industries</v>
          </cell>
          <cell r="E611" t="str">
            <v>PEB 4</v>
          </cell>
          <cell r="F611" t="str">
            <v>51PEB 4</v>
          </cell>
          <cell r="G611">
            <v>0.1</v>
          </cell>
          <cell r="I611">
            <v>0.09</v>
          </cell>
          <cell r="J611">
            <v>18.483014010769111</v>
          </cell>
          <cell r="K611">
            <v>21.303593346189821</v>
          </cell>
          <cell r="P611">
            <v>440206.78229380562</v>
          </cell>
          <cell r="Q611">
            <v>817174.11267955019</v>
          </cell>
          <cell r="R611">
            <v>87179.588967494812</v>
          </cell>
          <cell r="S611">
            <v>52365.800111805096</v>
          </cell>
          <cell r="U611">
            <v>0</v>
          </cell>
          <cell r="W611">
            <v>50241.96862067825</v>
          </cell>
          <cell r="X611">
            <v>-6596.0640350079593</v>
          </cell>
          <cell r="Y611">
            <v>8119.2020628134123</v>
          </cell>
          <cell r="Z611">
            <v>483852.68687947589</v>
          </cell>
        </row>
        <row r="612">
          <cell r="C612" t="str">
            <v>A0274</v>
          </cell>
          <cell r="D612" t="str">
            <v>PT Federal Nittan Industries</v>
          </cell>
          <cell r="E612" t="str">
            <v>PEB 5</v>
          </cell>
          <cell r="F612" t="str">
            <v>51PEB 5</v>
          </cell>
          <cell r="P612">
            <v>0</v>
          </cell>
          <cell r="U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</row>
        <row r="613">
          <cell r="C613" t="str">
            <v>A0274</v>
          </cell>
          <cell r="D613" t="str">
            <v>PT Federal Nittan Industries</v>
          </cell>
          <cell r="E613" t="str">
            <v>PEB 6</v>
          </cell>
          <cell r="F613" t="str">
            <v>51PEB 6</v>
          </cell>
          <cell r="P613">
            <v>0</v>
          </cell>
          <cell r="U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</row>
        <row r="614">
          <cell r="C614" t="str">
            <v>A0274</v>
          </cell>
          <cell r="D614" t="str">
            <v>PT Federal Nittan Industries</v>
          </cell>
          <cell r="E614" t="str">
            <v>PEB 7</v>
          </cell>
          <cell r="F614" t="str">
            <v>51PEB 7</v>
          </cell>
          <cell r="G614">
            <v>0.1</v>
          </cell>
          <cell r="I614">
            <v>0.09</v>
          </cell>
          <cell r="J614">
            <v>18.32812866656699</v>
          </cell>
          <cell r="K614">
            <v>20.97903038472916</v>
          </cell>
          <cell r="P614">
            <v>333326.93148897495</v>
          </cell>
          <cell r="Q614">
            <v>346607.14936106669</v>
          </cell>
          <cell r="R614">
            <v>46306.183242607898</v>
          </cell>
          <cell r="S614">
            <v>34955.306410913487</v>
          </cell>
          <cell r="U614">
            <v>0</v>
          </cell>
          <cell r="W614">
            <v>215884.69400349195</v>
          </cell>
          <cell r="X614">
            <v>0</v>
          </cell>
          <cell r="Y614">
            <v>0</v>
          </cell>
          <cell r="Z614">
            <v>549211.62549246696</v>
          </cell>
        </row>
        <row r="615">
          <cell r="C615" t="str">
            <v>A0274</v>
          </cell>
          <cell r="D615" t="str">
            <v>PT Federal Nittan Industries</v>
          </cell>
          <cell r="E615" t="str">
            <v>MPP</v>
          </cell>
          <cell r="F615" t="str">
            <v>51MPP</v>
          </cell>
          <cell r="G615">
            <v>0.1</v>
          </cell>
          <cell r="I615">
            <v>0.09</v>
          </cell>
          <cell r="J615">
            <v>18.483014010769111</v>
          </cell>
          <cell r="K615">
            <v>20.97903038472916</v>
          </cell>
          <cell r="P615">
            <v>804706.08143355756</v>
          </cell>
          <cell r="Q615">
            <v>290778.02623780852</v>
          </cell>
          <cell r="R615">
            <v>25850.708733348536</v>
          </cell>
          <cell r="S615">
            <v>0</v>
          </cell>
          <cell r="U615">
            <v>0</v>
          </cell>
          <cell r="W615">
            <v>-29613.290000386954</v>
          </cell>
          <cell r="X615">
            <v>-543897.51104179968</v>
          </cell>
          <cell r="Y615">
            <v>32572</v>
          </cell>
          <cell r="Z615">
            <v>231195.28039137091</v>
          </cell>
        </row>
        <row r="616">
          <cell r="C616" t="str">
            <v>A0274</v>
          </cell>
          <cell r="D616" t="str">
            <v>PT Federal Nittan Industries</v>
          </cell>
          <cell r="E616" t="str">
            <v>ID</v>
          </cell>
          <cell r="F616" t="str">
            <v>51ID</v>
          </cell>
          <cell r="G616">
            <v>0.1</v>
          </cell>
          <cell r="I616">
            <v>0.09</v>
          </cell>
          <cell r="J616">
            <v>18.32812866656699</v>
          </cell>
          <cell r="K616">
            <v>20.97903038472916</v>
          </cell>
          <cell r="P616">
            <v>888192.00072717236</v>
          </cell>
          <cell r="Q616">
            <v>711792.44394372008</v>
          </cell>
          <cell r="R616">
            <v>76760.913182518474</v>
          </cell>
          <cell r="S616">
            <v>40166.232913056359</v>
          </cell>
          <cell r="U616">
            <v>0</v>
          </cell>
          <cell r="W616">
            <v>566504.31851328455</v>
          </cell>
          <cell r="X616">
            <v>0</v>
          </cell>
          <cell r="Y616">
            <v>0</v>
          </cell>
          <cell r="Z616">
            <v>1454696.3192404571</v>
          </cell>
        </row>
        <row r="617">
          <cell r="C617" t="str">
            <v>A0274</v>
          </cell>
          <cell r="D617" t="str">
            <v>PT Federal Nittan Industries</v>
          </cell>
          <cell r="E617" t="str">
            <v>LL</v>
          </cell>
          <cell r="F617" t="str">
            <v>51LL</v>
          </cell>
          <cell r="G617">
            <v>0.1</v>
          </cell>
          <cell r="I617">
            <v>0.09</v>
          </cell>
          <cell r="J617">
            <v>18.32812866656699</v>
          </cell>
          <cell r="K617">
            <v>20.97903038472916</v>
          </cell>
          <cell r="P617">
            <v>633638.38783962652</v>
          </cell>
          <cell r="Q617">
            <v>1318212.9534282498</v>
          </cell>
          <cell r="R617">
            <v>318897.39870173414</v>
          </cell>
          <cell r="S617">
            <v>400504.74093421904</v>
          </cell>
          <cell r="U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633638.38783962652</v>
          </cell>
        </row>
        <row r="618">
          <cell r="C618" t="str">
            <v>A0274</v>
          </cell>
          <cell r="D618" t="str">
            <v>PT Federal Nittan Industries</v>
          </cell>
          <cell r="E618" t="str">
            <v>PMK</v>
          </cell>
          <cell r="F618" t="str">
            <v>51PMK</v>
          </cell>
          <cell r="G618">
            <v>0.1</v>
          </cell>
          <cell r="I618">
            <v>0.09</v>
          </cell>
          <cell r="J618">
            <v>18.32812866656699</v>
          </cell>
          <cell r="K618">
            <v>20.97903038472916</v>
          </cell>
          <cell r="P618">
            <v>1449988.2236428512</v>
          </cell>
          <cell r="Q618">
            <v>1276374.4584527162</v>
          </cell>
          <cell r="R618">
            <v>185330.30267409087</v>
          </cell>
          <cell r="S618">
            <v>66918.75</v>
          </cell>
          <cell r="U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1449988.2236428512</v>
          </cell>
        </row>
        <row r="620">
          <cell r="C620" t="str">
            <v>A0275</v>
          </cell>
          <cell r="D620" t="str">
            <v>PT Fuji Technica Indonesia</v>
          </cell>
          <cell r="E620" t="str">
            <v>PEB 1</v>
          </cell>
          <cell r="F620" t="str">
            <v>52PEB 1</v>
          </cell>
          <cell r="G620">
            <v>0.1</v>
          </cell>
          <cell r="H620">
            <v>0.1</v>
          </cell>
          <cell r="I620">
            <v>0.09</v>
          </cell>
          <cell r="J620">
            <v>6.8518465807837812</v>
          </cell>
          <cell r="K620">
            <v>6.5432032519524483</v>
          </cell>
          <cell r="L620">
            <v>0</v>
          </cell>
          <cell r="N620">
            <v>648304.64039999992</v>
          </cell>
          <cell r="O620">
            <v>63687.184000000001</v>
          </cell>
          <cell r="P620">
            <v>3794588</v>
          </cell>
          <cell r="Q620">
            <v>5161785.0807744972</v>
          </cell>
          <cell r="R620">
            <v>241061.38431643814</v>
          </cell>
          <cell r="S620">
            <v>43776.435634359048</v>
          </cell>
          <cell r="U620">
            <v>-2232514</v>
          </cell>
          <cell r="V620">
            <v>4450744.1748000011</v>
          </cell>
          <cell r="W620">
            <v>-771209</v>
          </cell>
          <cell r="X620">
            <v>0</v>
          </cell>
          <cell r="Y620">
            <v>0</v>
          </cell>
          <cell r="Z620">
            <v>790865</v>
          </cell>
          <cell r="AB620">
            <v>0.1</v>
          </cell>
          <cell r="AC620">
            <v>0</v>
          </cell>
          <cell r="AD620">
            <v>0.09</v>
          </cell>
          <cell r="AE620">
            <v>10.295378675983077</v>
          </cell>
          <cell r="AF620">
            <v>14.946060237919601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1723227</v>
          </cell>
          <cell r="AL620">
            <v>2426249.2747384976</v>
          </cell>
          <cell r="AM620">
            <v>149750.67051863804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-252245</v>
          </cell>
          <cell r="AS620">
            <v>-758000</v>
          </cell>
          <cell r="AT620">
            <v>50559</v>
          </cell>
          <cell r="AU620">
            <v>712982</v>
          </cell>
          <cell r="AW620">
            <v>0.1</v>
          </cell>
          <cell r="AX620">
            <v>0</v>
          </cell>
          <cell r="AY620">
            <v>0.09</v>
          </cell>
          <cell r="AZ620">
            <v>6.8518465807837812</v>
          </cell>
          <cell r="BA620">
            <v>6.5432032519524483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208325</v>
          </cell>
          <cell r="BG620">
            <v>247857.32592768557</v>
          </cell>
          <cell r="BH620">
            <v>12958.043409061733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179613</v>
          </cell>
          <cell r="BN620">
            <v>-190985</v>
          </cell>
          <cell r="BO620">
            <v>20809</v>
          </cell>
          <cell r="BP620">
            <v>196953</v>
          </cell>
          <cell r="BR620">
            <v>0.1</v>
          </cell>
          <cell r="BS620">
            <v>0</v>
          </cell>
          <cell r="BT620">
            <v>0.09</v>
          </cell>
          <cell r="BU620">
            <v>10.563010143429096</v>
          </cell>
          <cell r="BV620">
            <v>16.146468378772056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834531</v>
          </cell>
          <cell r="CB620">
            <v>330800.18230500713</v>
          </cell>
          <cell r="CC620">
            <v>30315.429245491425</v>
          </cell>
          <cell r="CD620">
            <v>44394.888370786342</v>
          </cell>
          <cell r="CE620">
            <v>0</v>
          </cell>
          <cell r="CF620">
            <v>0</v>
          </cell>
          <cell r="CG620">
            <v>0</v>
          </cell>
          <cell r="CH620">
            <v>-270002</v>
          </cell>
          <cell r="CI620">
            <v>-195832</v>
          </cell>
          <cell r="CJ620">
            <v>11731</v>
          </cell>
          <cell r="CK620">
            <v>368697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V620">
            <v>0</v>
          </cell>
          <cell r="DW620">
            <v>0</v>
          </cell>
          <cell r="DX620">
            <v>0</v>
          </cell>
          <cell r="DY620">
            <v>0</v>
          </cell>
          <cell r="DZ620">
            <v>0</v>
          </cell>
          <cell r="EA620">
            <v>0</v>
          </cell>
          <cell r="EC620">
            <v>0.1</v>
          </cell>
          <cell r="ED620">
            <v>0</v>
          </cell>
          <cell r="EE620">
            <v>0.09</v>
          </cell>
          <cell r="EF620">
            <v>10.295378675983077</v>
          </cell>
          <cell r="EG620">
            <v>14.946060237919601</v>
          </cell>
          <cell r="EH620">
            <v>0</v>
          </cell>
          <cell r="EI620">
            <v>0</v>
          </cell>
          <cell r="EJ620">
            <v>0</v>
          </cell>
          <cell r="EK620">
            <v>0</v>
          </cell>
          <cell r="EL620">
            <v>155414</v>
          </cell>
          <cell r="EM620">
            <v>209557.21366705225</v>
          </cell>
          <cell r="EN620">
            <v>16292.281645262239</v>
          </cell>
          <cell r="EO620">
            <v>25903.177219024499</v>
          </cell>
          <cell r="EP620">
            <v>0</v>
          </cell>
          <cell r="EQ620">
            <v>0</v>
          </cell>
          <cell r="ER620">
            <v>0</v>
          </cell>
          <cell r="ES620">
            <v>-152094</v>
          </cell>
          <cell r="ET620">
            <v>0</v>
          </cell>
          <cell r="EU620">
            <v>0</v>
          </cell>
          <cell r="EV620">
            <v>3320</v>
          </cell>
          <cell r="EX620">
            <v>0.1</v>
          </cell>
          <cell r="EY620">
            <v>0</v>
          </cell>
          <cell r="EZ620">
            <v>0.09</v>
          </cell>
          <cell r="FA620">
            <v>0</v>
          </cell>
          <cell r="FB620">
            <v>14.946060237919601</v>
          </cell>
          <cell r="FC620">
            <v>0</v>
          </cell>
          <cell r="FD620">
            <v>0</v>
          </cell>
          <cell r="FE620">
            <v>0</v>
          </cell>
          <cell r="FF620">
            <v>0</v>
          </cell>
          <cell r="FG620">
            <v>0</v>
          </cell>
          <cell r="FH620">
            <v>391312.28617518069</v>
          </cell>
          <cell r="FI620">
            <v>24272.693821782279</v>
          </cell>
          <cell r="FJ620">
            <v>0</v>
          </cell>
          <cell r="FK620">
            <v>0</v>
          </cell>
          <cell r="FL620">
            <v>0</v>
          </cell>
          <cell r="FM620">
            <v>0</v>
          </cell>
          <cell r="FN620">
            <v>0</v>
          </cell>
          <cell r="FO620">
            <v>0</v>
          </cell>
          <cell r="FP620">
            <v>0</v>
          </cell>
          <cell r="FQ620">
            <v>0</v>
          </cell>
          <cell r="FS620">
            <v>0.1</v>
          </cell>
          <cell r="FT620">
            <v>0</v>
          </cell>
          <cell r="FU620">
            <v>0.09</v>
          </cell>
          <cell r="FV620">
            <v>10.295378675983077</v>
          </cell>
          <cell r="FW620">
            <v>14.946060237919601</v>
          </cell>
          <cell r="FX620">
            <v>0</v>
          </cell>
          <cell r="FY620">
            <v>0</v>
          </cell>
          <cell r="FZ620">
            <v>0</v>
          </cell>
          <cell r="GA620">
            <v>0</v>
          </cell>
          <cell r="GB620">
            <v>39052</v>
          </cell>
          <cell r="GC620">
            <v>620338.63075772324</v>
          </cell>
          <cell r="GD620">
            <v>43027.993739979836</v>
          </cell>
          <cell r="GE620">
            <v>57254.327257948775</v>
          </cell>
          <cell r="GF620">
            <v>0</v>
          </cell>
          <cell r="GG620">
            <v>0</v>
          </cell>
          <cell r="GH620">
            <v>0</v>
          </cell>
          <cell r="GI620">
            <v>0</v>
          </cell>
          <cell r="GJ620">
            <v>0</v>
          </cell>
          <cell r="GK620">
            <v>0</v>
          </cell>
          <cell r="GL620">
            <v>39052</v>
          </cell>
          <cell r="GN620">
            <v>0.1</v>
          </cell>
          <cell r="GO620">
            <v>0</v>
          </cell>
          <cell r="GP620">
            <v>0.09</v>
          </cell>
          <cell r="GQ620">
            <v>10.295378675983077</v>
          </cell>
          <cell r="GR620">
            <v>14.946060237919601</v>
          </cell>
          <cell r="GS620">
            <v>0</v>
          </cell>
          <cell r="GT620">
            <v>0</v>
          </cell>
          <cell r="GU620">
            <v>0</v>
          </cell>
          <cell r="GV620">
            <v>0</v>
          </cell>
          <cell r="GW620">
            <v>735715</v>
          </cell>
          <cell r="GX620">
            <v>1053886.6982274179</v>
          </cell>
          <cell r="GY620">
            <v>225405.06902264958</v>
          </cell>
          <cell r="GZ620">
            <v>413718.2828680746</v>
          </cell>
          <cell r="HA620">
            <v>0</v>
          </cell>
          <cell r="HB620">
            <v>0</v>
          </cell>
          <cell r="HC620">
            <v>0</v>
          </cell>
          <cell r="HD620">
            <v>0</v>
          </cell>
          <cell r="HE620">
            <v>0</v>
          </cell>
          <cell r="HF620">
            <v>0</v>
          </cell>
          <cell r="HG620">
            <v>735715</v>
          </cell>
          <cell r="HI620">
            <v>0.1</v>
          </cell>
          <cell r="HJ620">
            <v>0</v>
          </cell>
          <cell r="HK620">
            <v>0.09</v>
          </cell>
          <cell r="HL620">
            <v>10.295378675983077</v>
          </cell>
          <cell r="HM620">
            <v>14.946060237919601</v>
          </cell>
          <cell r="HN620">
            <v>0</v>
          </cell>
          <cell r="HO620">
            <v>0</v>
          </cell>
          <cell r="HP620">
            <v>0</v>
          </cell>
          <cell r="HQ620">
            <v>0</v>
          </cell>
          <cell r="HR620">
            <v>871844</v>
          </cell>
          <cell r="HS620">
            <v>1172656.4333549752</v>
          </cell>
          <cell r="HT620">
            <v>126987.68101660459</v>
          </cell>
          <cell r="HU620">
            <v>123026</v>
          </cell>
          <cell r="HV620">
            <v>0</v>
          </cell>
          <cell r="HW620">
            <v>0</v>
          </cell>
          <cell r="HX620">
            <v>0</v>
          </cell>
          <cell r="HY620">
            <v>0</v>
          </cell>
          <cell r="HZ620">
            <v>0</v>
          </cell>
          <cell r="IA620">
            <v>0</v>
          </cell>
          <cell r="IB620">
            <v>871844</v>
          </cell>
        </row>
        <row r="621">
          <cell r="C621" t="str">
            <v>A0275</v>
          </cell>
          <cell r="D621" t="str">
            <v>PT Fuji Technica Indonesia</v>
          </cell>
          <cell r="E621" t="str">
            <v>PEB 2</v>
          </cell>
          <cell r="F621" t="str">
            <v>52PEB 2</v>
          </cell>
          <cell r="G621">
            <v>0.1</v>
          </cell>
          <cell r="I621">
            <v>0.09</v>
          </cell>
          <cell r="J621">
            <v>10.295378675983077</v>
          </cell>
          <cell r="K621">
            <v>14.946060237919601</v>
          </cell>
          <cell r="P621">
            <v>1723227</v>
          </cell>
          <cell r="Q621">
            <v>2426249.2747384976</v>
          </cell>
          <cell r="R621">
            <v>149750.67051863804</v>
          </cell>
          <cell r="S621">
            <v>0</v>
          </cell>
          <cell r="U621">
            <v>0</v>
          </cell>
          <cell r="W621">
            <v>-252245</v>
          </cell>
          <cell r="X621">
            <v>-758000</v>
          </cell>
          <cell r="Y621">
            <v>50559</v>
          </cell>
          <cell r="Z621">
            <v>712982</v>
          </cell>
        </row>
        <row r="622">
          <cell r="C622" t="str">
            <v>A0275</v>
          </cell>
          <cell r="D622" t="str">
            <v>PT Fuji Technica Indonesia</v>
          </cell>
          <cell r="E622" t="str">
            <v>PEB 3</v>
          </cell>
          <cell r="F622" t="str">
            <v>52PEB 3</v>
          </cell>
          <cell r="G622">
            <v>0.1</v>
          </cell>
          <cell r="I622">
            <v>0.09</v>
          </cell>
          <cell r="J622">
            <v>6.8518465807837812</v>
          </cell>
          <cell r="K622">
            <v>6.5432032519524483</v>
          </cell>
          <cell r="P622">
            <v>208325</v>
          </cell>
          <cell r="Q622">
            <v>247857.32592768557</v>
          </cell>
          <cell r="R622">
            <v>12958.043409061733</v>
          </cell>
          <cell r="S622">
            <v>0</v>
          </cell>
          <cell r="U622">
            <v>0</v>
          </cell>
          <cell r="W622">
            <v>179613</v>
          </cell>
          <cell r="X622">
            <v>-190985</v>
          </cell>
          <cell r="Y622">
            <v>20809</v>
          </cell>
          <cell r="Z622">
            <v>196953</v>
          </cell>
        </row>
        <row r="623">
          <cell r="C623" t="str">
            <v>A0275</v>
          </cell>
          <cell r="D623" t="str">
            <v>PT Fuji Technica Indonesia</v>
          </cell>
          <cell r="E623" t="str">
            <v>PEB 4</v>
          </cell>
          <cell r="F623" t="str">
            <v>52PEB 4</v>
          </cell>
          <cell r="G623">
            <v>0.1</v>
          </cell>
          <cell r="I623">
            <v>0.09</v>
          </cell>
          <cell r="J623">
            <v>10.563010143429096</v>
          </cell>
          <cell r="K623">
            <v>16.146468378772056</v>
          </cell>
          <cell r="P623">
            <v>834531</v>
          </cell>
          <cell r="Q623">
            <v>330800.18230500713</v>
          </cell>
          <cell r="R623">
            <v>30315.429245491425</v>
          </cell>
          <cell r="S623">
            <v>44394.888370786342</v>
          </cell>
          <cell r="U623">
            <v>0</v>
          </cell>
          <cell r="W623">
            <v>-270002</v>
          </cell>
          <cell r="X623">
            <v>-195832</v>
          </cell>
          <cell r="Y623">
            <v>11731</v>
          </cell>
          <cell r="Z623">
            <v>368697</v>
          </cell>
        </row>
        <row r="624">
          <cell r="C624" t="str">
            <v>A0275</v>
          </cell>
          <cell r="D624" t="str">
            <v>PT Fuji Technica Indonesia</v>
          </cell>
          <cell r="E624" t="str">
            <v>PEB 5</v>
          </cell>
          <cell r="F624" t="str">
            <v>52PEB 5</v>
          </cell>
          <cell r="P624">
            <v>0</v>
          </cell>
          <cell r="U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</row>
        <row r="625">
          <cell r="C625" t="str">
            <v>A0275</v>
          </cell>
          <cell r="D625" t="str">
            <v>PT Fuji Technica Indonesia</v>
          </cell>
          <cell r="E625" t="str">
            <v>PEB 6</v>
          </cell>
          <cell r="F625" t="str">
            <v>52PEB 6</v>
          </cell>
          <cell r="P625">
            <v>0</v>
          </cell>
          <cell r="U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</row>
        <row r="626">
          <cell r="C626" t="str">
            <v>A0275</v>
          </cell>
          <cell r="D626" t="str">
            <v>PT Fuji Technica Indonesia</v>
          </cell>
          <cell r="E626" t="str">
            <v>PEB 7</v>
          </cell>
          <cell r="F626" t="str">
            <v>52PEB 7</v>
          </cell>
          <cell r="G626">
            <v>0.1</v>
          </cell>
          <cell r="I626">
            <v>0.09</v>
          </cell>
          <cell r="J626">
            <v>10.295378675983077</v>
          </cell>
          <cell r="K626">
            <v>14.946060237919601</v>
          </cell>
          <cell r="P626">
            <v>155414</v>
          </cell>
          <cell r="Q626">
            <v>209557.21366705225</v>
          </cell>
          <cell r="R626">
            <v>16292.281645262239</v>
          </cell>
          <cell r="S626">
            <v>25903.177219024499</v>
          </cell>
          <cell r="U626">
            <v>0</v>
          </cell>
          <cell r="W626">
            <v>-152094</v>
          </cell>
          <cell r="X626">
            <v>0</v>
          </cell>
          <cell r="Y626">
            <v>0</v>
          </cell>
          <cell r="Z626">
            <v>3320</v>
          </cell>
        </row>
        <row r="627">
          <cell r="C627" t="str">
            <v>A0275</v>
          </cell>
          <cell r="D627" t="str">
            <v>PT Fuji Technica Indonesia</v>
          </cell>
          <cell r="E627" t="str">
            <v>MPP</v>
          </cell>
          <cell r="F627" t="str">
            <v>52MPP</v>
          </cell>
          <cell r="G627">
            <v>0.1</v>
          </cell>
          <cell r="I627">
            <v>0.09</v>
          </cell>
          <cell r="J627">
            <v>0</v>
          </cell>
          <cell r="K627">
            <v>14.946060237919601</v>
          </cell>
          <cell r="P627">
            <v>0</v>
          </cell>
          <cell r="Q627">
            <v>391312.28617518069</v>
          </cell>
          <cell r="R627">
            <v>24272.693821782279</v>
          </cell>
          <cell r="S627">
            <v>0</v>
          </cell>
          <cell r="U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</row>
        <row r="628">
          <cell r="C628" t="str">
            <v>A0275</v>
          </cell>
          <cell r="D628" t="str">
            <v>PT Fuji Technica Indonesia</v>
          </cell>
          <cell r="E628" t="str">
            <v>ID</v>
          </cell>
          <cell r="F628" t="str">
            <v>52ID</v>
          </cell>
          <cell r="G628">
            <v>0.1</v>
          </cell>
          <cell r="I628">
            <v>0.09</v>
          </cell>
          <cell r="J628">
            <v>10.295378675983077</v>
          </cell>
          <cell r="K628">
            <v>14.946060237919601</v>
          </cell>
          <cell r="P628">
            <v>39052</v>
          </cell>
          <cell r="Q628">
            <v>620338.63075772324</v>
          </cell>
          <cell r="R628">
            <v>43027.993739979836</v>
          </cell>
          <cell r="S628">
            <v>57254.327257948775</v>
          </cell>
          <cell r="U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39052</v>
          </cell>
        </row>
        <row r="629">
          <cell r="C629" t="str">
            <v>A0275</v>
          </cell>
          <cell r="D629" t="str">
            <v>PT Fuji Technica Indonesia</v>
          </cell>
          <cell r="E629" t="str">
            <v>LL</v>
          </cell>
          <cell r="F629" t="str">
            <v>52LL</v>
          </cell>
          <cell r="G629">
            <v>0.1</v>
          </cell>
          <cell r="I629">
            <v>0.09</v>
          </cell>
          <cell r="J629">
            <v>10.295378675983077</v>
          </cell>
          <cell r="K629">
            <v>14.946060237919601</v>
          </cell>
          <cell r="P629">
            <v>735715</v>
          </cell>
          <cell r="Q629">
            <v>1053886.6982274179</v>
          </cell>
          <cell r="R629">
            <v>225405.06902264958</v>
          </cell>
          <cell r="S629">
            <v>413718.2828680746</v>
          </cell>
          <cell r="U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735715</v>
          </cell>
        </row>
        <row r="630">
          <cell r="C630" t="str">
            <v>A0275</v>
          </cell>
          <cell r="D630" t="str">
            <v>PT Fuji Technica Indonesia</v>
          </cell>
          <cell r="E630" t="str">
            <v>PMK</v>
          </cell>
          <cell r="F630" t="str">
            <v>52PMK</v>
          </cell>
          <cell r="G630">
            <v>0.1</v>
          </cell>
          <cell r="I630">
            <v>0.09</v>
          </cell>
          <cell r="J630">
            <v>10.295378675983077</v>
          </cell>
          <cell r="K630">
            <v>14.946060237919601</v>
          </cell>
          <cell r="P630">
            <v>871844</v>
          </cell>
          <cell r="Q630">
            <v>1172656.4333549752</v>
          </cell>
          <cell r="R630">
            <v>126987.68101660459</v>
          </cell>
          <cell r="S630">
            <v>123026</v>
          </cell>
          <cell r="U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871844</v>
          </cell>
        </row>
        <row r="632">
          <cell r="C632" t="str">
            <v>A0065</v>
          </cell>
          <cell r="D632" t="str">
            <v>PT Gaya Motor</v>
          </cell>
          <cell r="E632" t="str">
            <v>PEB 1</v>
          </cell>
          <cell r="F632" t="str">
            <v>53PEB 1</v>
          </cell>
          <cell r="G632">
            <v>0.1</v>
          </cell>
          <cell r="H632">
            <v>0.1</v>
          </cell>
          <cell r="I632">
            <v>0.09</v>
          </cell>
          <cell r="J632">
            <v>6.469972338282437</v>
          </cell>
          <cell r="K632">
            <v>5.8333626929948368</v>
          </cell>
          <cell r="L632">
            <v>2681845</v>
          </cell>
          <cell r="N632">
            <v>2698735.2080000001</v>
          </cell>
          <cell r="O632">
            <v>229495.28</v>
          </cell>
          <cell r="P632">
            <v>19234922</v>
          </cell>
          <cell r="Q632">
            <v>22225687.42343219</v>
          </cell>
          <cell r="R632">
            <v>863008.89387596969</v>
          </cell>
          <cell r="S632">
            <v>3849146.0093225497</v>
          </cell>
          <cell r="U632">
            <v>-11082798</v>
          </cell>
          <cell r="V632">
            <v>18895118.429333337</v>
          </cell>
          <cell r="W632">
            <v>-5830643</v>
          </cell>
          <cell r="X632">
            <v>0</v>
          </cell>
          <cell r="Y632">
            <v>0</v>
          </cell>
          <cell r="Z632">
            <v>2321481</v>
          </cell>
          <cell r="AB632">
            <v>0.1</v>
          </cell>
          <cell r="AC632">
            <v>0</v>
          </cell>
          <cell r="AD632">
            <v>0.09</v>
          </cell>
          <cell r="AE632">
            <v>10.320250140235302</v>
          </cell>
          <cell r="AF632">
            <v>13.775729492417284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6427930</v>
          </cell>
          <cell r="AL632">
            <v>8335682.4647116261</v>
          </cell>
          <cell r="AM632">
            <v>461436.36122575426</v>
          </cell>
          <cell r="AN632">
            <v>810008.43</v>
          </cell>
          <cell r="AO632">
            <v>0</v>
          </cell>
          <cell r="AP632">
            <v>0</v>
          </cell>
          <cell r="AQ632">
            <v>0</v>
          </cell>
          <cell r="AR632">
            <v>-2129274</v>
          </cell>
          <cell r="AS632">
            <v>-325849</v>
          </cell>
          <cell r="AT632">
            <v>557979</v>
          </cell>
          <cell r="AU632">
            <v>3972807</v>
          </cell>
          <cell r="AW632">
            <v>0.1</v>
          </cell>
          <cell r="AX632">
            <v>0</v>
          </cell>
          <cell r="AY632">
            <v>0.09</v>
          </cell>
          <cell r="AZ632">
            <v>6.469972338282437</v>
          </cell>
          <cell r="BA632">
            <v>5.8333626929948368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531628</v>
          </cell>
          <cell r="BG632">
            <v>432408.71592301433</v>
          </cell>
          <cell r="BH632">
            <v>23773.180004680984</v>
          </cell>
          <cell r="BI632">
            <v>320505.32861999993</v>
          </cell>
          <cell r="BJ632">
            <v>0</v>
          </cell>
          <cell r="BK632">
            <v>0</v>
          </cell>
          <cell r="BL632">
            <v>0</v>
          </cell>
          <cell r="BM632">
            <v>673990</v>
          </cell>
          <cell r="BN632">
            <v>-118934</v>
          </cell>
          <cell r="BO632">
            <v>182985</v>
          </cell>
          <cell r="BP632">
            <v>1086684</v>
          </cell>
          <cell r="BR632">
            <v>0.1</v>
          </cell>
          <cell r="BS632">
            <v>0</v>
          </cell>
          <cell r="BT632">
            <v>0.09</v>
          </cell>
          <cell r="BU632">
            <v>10.298453674608215</v>
          </cell>
          <cell r="BV632">
            <v>15.951120398876768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1926472</v>
          </cell>
          <cell r="CB632">
            <v>349870.68299747113</v>
          </cell>
          <cell r="CC632">
            <v>40542.751234452298</v>
          </cell>
          <cell r="CD632">
            <v>270176.49843980261</v>
          </cell>
          <cell r="CE632">
            <v>0</v>
          </cell>
          <cell r="CF632">
            <v>0</v>
          </cell>
          <cell r="CG632">
            <v>0</v>
          </cell>
          <cell r="CH632">
            <v>-595706</v>
          </cell>
          <cell r="CI632">
            <v>-353493</v>
          </cell>
          <cell r="CJ632">
            <v>20790</v>
          </cell>
          <cell r="CK632">
            <v>977273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V632">
            <v>0</v>
          </cell>
          <cell r="DW632">
            <v>0</v>
          </cell>
          <cell r="DX632">
            <v>0</v>
          </cell>
          <cell r="DY632">
            <v>0</v>
          </cell>
          <cell r="DZ632">
            <v>0</v>
          </cell>
          <cell r="EA632">
            <v>0</v>
          </cell>
          <cell r="EC632">
            <v>0.1</v>
          </cell>
          <cell r="ED632">
            <v>0</v>
          </cell>
          <cell r="EE632">
            <v>0.09</v>
          </cell>
          <cell r="EF632">
            <v>10.320250140235302</v>
          </cell>
          <cell r="EG632">
            <v>13.775729492417284</v>
          </cell>
          <cell r="EH632">
            <v>0</v>
          </cell>
          <cell r="EI632">
            <v>0</v>
          </cell>
          <cell r="EJ632">
            <v>0</v>
          </cell>
          <cell r="EK632">
            <v>0</v>
          </cell>
          <cell r="EL632">
            <v>475476</v>
          </cell>
          <cell r="EM632">
            <v>673299.41856472136</v>
          </cell>
          <cell r="EN632">
            <v>50338.132918689145</v>
          </cell>
          <cell r="EO632">
            <v>84722.255295576018</v>
          </cell>
          <cell r="EP632">
            <v>0</v>
          </cell>
          <cell r="EQ632">
            <v>0</v>
          </cell>
          <cell r="ER632">
            <v>0</v>
          </cell>
          <cell r="ES632">
            <v>-513920</v>
          </cell>
          <cell r="ET632">
            <v>0</v>
          </cell>
          <cell r="EU632">
            <v>0</v>
          </cell>
          <cell r="EV632">
            <v>-38444</v>
          </cell>
          <cell r="EX632">
            <v>0.1</v>
          </cell>
          <cell r="EY632">
            <v>0</v>
          </cell>
          <cell r="EZ632">
            <v>0.09</v>
          </cell>
          <cell r="FA632">
            <v>0</v>
          </cell>
          <cell r="FB632">
            <v>13.775729492417284</v>
          </cell>
          <cell r="FC632">
            <v>0</v>
          </cell>
          <cell r="FD632">
            <v>0</v>
          </cell>
          <cell r="FE632">
            <v>0</v>
          </cell>
          <cell r="FF632">
            <v>0</v>
          </cell>
          <cell r="FG632">
            <v>0</v>
          </cell>
          <cell r="FH632">
            <v>1287962.8671599301</v>
          </cell>
          <cell r="FI632">
            <v>71684.773439008059</v>
          </cell>
          <cell r="FJ632">
            <v>148866.75</v>
          </cell>
          <cell r="FK632">
            <v>0</v>
          </cell>
          <cell r="FL632">
            <v>0</v>
          </cell>
          <cell r="FM632">
            <v>0</v>
          </cell>
          <cell r="FN632">
            <v>0</v>
          </cell>
          <cell r="FO632">
            <v>0</v>
          </cell>
          <cell r="FP632">
            <v>0</v>
          </cell>
          <cell r="FQ632">
            <v>0</v>
          </cell>
          <cell r="FS632">
            <v>0.1</v>
          </cell>
          <cell r="FT632">
            <v>0</v>
          </cell>
          <cell r="FU632">
            <v>0.09</v>
          </cell>
          <cell r="FV632">
            <v>10.320250140235302</v>
          </cell>
          <cell r="FW632">
            <v>13.775729492417284</v>
          </cell>
          <cell r="FX632">
            <v>0</v>
          </cell>
          <cell r="FY632">
            <v>0</v>
          </cell>
          <cell r="FZ632">
            <v>0</v>
          </cell>
          <cell r="GA632">
            <v>0</v>
          </cell>
          <cell r="GB632">
            <v>171687</v>
          </cell>
          <cell r="GC632">
            <v>1925761.7521942095</v>
          </cell>
          <cell r="GD632">
            <v>130525.19675691996</v>
          </cell>
          <cell r="GE632">
            <v>169420.16722180901</v>
          </cell>
          <cell r="GF632">
            <v>0</v>
          </cell>
          <cell r="GG632">
            <v>0</v>
          </cell>
          <cell r="GH632">
            <v>0</v>
          </cell>
          <cell r="GI632">
            <v>0</v>
          </cell>
          <cell r="GJ632">
            <v>0</v>
          </cell>
          <cell r="GK632">
            <v>0</v>
          </cell>
          <cell r="GL632">
            <v>171687</v>
          </cell>
          <cell r="GN632">
            <v>0.1</v>
          </cell>
          <cell r="GO632">
            <v>0</v>
          </cell>
          <cell r="GP632">
            <v>0.09</v>
          </cell>
          <cell r="GQ632">
            <v>10.320250140235302</v>
          </cell>
          <cell r="GR632">
            <v>13.775729492417284</v>
          </cell>
          <cell r="GS632">
            <v>0</v>
          </cell>
          <cell r="GT632">
            <v>0</v>
          </cell>
          <cell r="GU632">
            <v>0</v>
          </cell>
          <cell r="GV632">
            <v>0</v>
          </cell>
          <cell r="GW632">
            <v>1689455</v>
          </cell>
          <cell r="GX632">
            <v>1746599.2913181535</v>
          </cell>
          <cell r="GY632">
            <v>663479.05322984804</v>
          </cell>
          <cell r="GZ632">
            <v>852543.64739399077</v>
          </cell>
          <cell r="HA632">
            <v>0</v>
          </cell>
          <cell r="HB632">
            <v>0</v>
          </cell>
          <cell r="HC632">
            <v>0</v>
          </cell>
          <cell r="HD632">
            <v>0</v>
          </cell>
          <cell r="HE632">
            <v>0</v>
          </cell>
          <cell r="HF632">
            <v>0</v>
          </cell>
          <cell r="HG632">
            <v>1689455</v>
          </cell>
          <cell r="HI632">
            <v>0.1</v>
          </cell>
          <cell r="HJ632">
            <v>0</v>
          </cell>
          <cell r="HK632">
            <v>0.09</v>
          </cell>
          <cell r="HL632">
            <v>10.320250140235302</v>
          </cell>
          <cell r="HM632">
            <v>13.775729492417284</v>
          </cell>
          <cell r="HN632">
            <v>0</v>
          </cell>
          <cell r="HO632">
            <v>0</v>
          </cell>
          <cell r="HP632">
            <v>0</v>
          </cell>
          <cell r="HQ632">
            <v>0</v>
          </cell>
          <cell r="HR632">
            <v>5365488</v>
          </cell>
          <cell r="HS632">
            <v>5774577.9016350172</v>
          </cell>
          <cell r="HT632">
            <v>532075.99892761628</v>
          </cell>
          <cell r="HU632">
            <v>788376</v>
          </cell>
          <cell r="HV632">
            <v>0</v>
          </cell>
          <cell r="HW632">
            <v>0</v>
          </cell>
          <cell r="HX632">
            <v>0</v>
          </cell>
          <cell r="HY632">
            <v>0</v>
          </cell>
          <cell r="HZ632">
            <v>0</v>
          </cell>
          <cell r="IA632">
            <v>0</v>
          </cell>
          <cell r="IB632">
            <v>5365488</v>
          </cell>
        </row>
        <row r="633">
          <cell r="C633" t="str">
            <v>A0065</v>
          </cell>
          <cell r="D633" t="str">
            <v>PT Gaya Motor</v>
          </cell>
          <cell r="E633" t="str">
            <v>PEB 2</v>
          </cell>
          <cell r="F633" t="str">
            <v>53PEB 2</v>
          </cell>
          <cell r="G633">
            <v>0.1</v>
          </cell>
          <cell r="I633">
            <v>0.09</v>
          </cell>
          <cell r="J633">
            <v>10.320250140235302</v>
          </cell>
          <cell r="K633">
            <v>13.775729492417284</v>
          </cell>
          <cell r="P633">
            <v>6427930</v>
          </cell>
          <cell r="Q633">
            <v>8335682.4647116261</v>
          </cell>
          <cell r="R633">
            <v>461436.36122575426</v>
          </cell>
          <cell r="S633">
            <v>810008.43</v>
          </cell>
          <cell r="U633">
            <v>0</v>
          </cell>
          <cell r="W633">
            <v>-2129274</v>
          </cell>
          <cell r="X633">
            <v>-325849</v>
          </cell>
          <cell r="Y633">
            <v>557979</v>
          </cell>
          <cell r="Z633">
            <v>3972807</v>
          </cell>
        </row>
        <row r="634">
          <cell r="C634" t="str">
            <v>A0065</v>
          </cell>
          <cell r="D634" t="str">
            <v>PT Gaya Motor</v>
          </cell>
          <cell r="E634" t="str">
            <v>PEB 3</v>
          </cell>
          <cell r="F634" t="str">
            <v>53PEB 3</v>
          </cell>
          <cell r="G634">
            <v>0.1</v>
          </cell>
          <cell r="I634">
            <v>0.09</v>
          </cell>
          <cell r="J634">
            <v>6.469972338282437</v>
          </cell>
          <cell r="K634">
            <v>5.8333626929948368</v>
          </cell>
          <cell r="P634">
            <v>531628</v>
          </cell>
          <cell r="Q634">
            <v>432408.71592301433</v>
          </cell>
          <cell r="R634">
            <v>23773.180004680984</v>
          </cell>
          <cell r="S634">
            <v>320505.32861999993</v>
          </cell>
          <cell r="U634">
            <v>0</v>
          </cell>
          <cell r="W634">
            <v>673990</v>
          </cell>
          <cell r="X634">
            <v>-118934</v>
          </cell>
          <cell r="Y634">
            <v>182985</v>
          </cell>
          <cell r="Z634">
            <v>1086684</v>
          </cell>
        </row>
        <row r="635">
          <cell r="C635" t="str">
            <v>A0065</v>
          </cell>
          <cell r="D635" t="str">
            <v>PT Gaya Motor</v>
          </cell>
          <cell r="E635" t="str">
            <v>PEB 4</v>
          </cell>
          <cell r="F635" t="str">
            <v>53PEB 4</v>
          </cell>
          <cell r="G635">
            <v>0.1</v>
          </cell>
          <cell r="I635">
            <v>0.09</v>
          </cell>
          <cell r="J635">
            <v>10.298453674608215</v>
          </cell>
          <cell r="K635">
            <v>15.951120398876768</v>
          </cell>
          <cell r="P635">
            <v>1926472</v>
          </cell>
          <cell r="Q635">
            <v>349870.68299747113</v>
          </cell>
          <cell r="R635">
            <v>40542.751234452298</v>
          </cell>
          <cell r="S635">
            <v>270176.49843980261</v>
          </cell>
          <cell r="U635">
            <v>0</v>
          </cell>
          <cell r="W635">
            <v>-595706</v>
          </cell>
          <cell r="X635">
            <v>-353493</v>
          </cell>
          <cell r="Y635">
            <v>20790</v>
          </cell>
          <cell r="Z635">
            <v>977273</v>
          </cell>
        </row>
        <row r="636">
          <cell r="C636" t="str">
            <v>A0065</v>
          </cell>
          <cell r="D636" t="str">
            <v>PT Gaya Motor</v>
          </cell>
          <cell r="E636" t="str">
            <v>PEB 5</v>
          </cell>
          <cell r="F636" t="str">
            <v>53PEB 5</v>
          </cell>
          <cell r="J636">
            <v>0</v>
          </cell>
          <cell r="P636">
            <v>0</v>
          </cell>
          <cell r="U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</row>
        <row r="637">
          <cell r="C637" t="str">
            <v>A0065</v>
          </cell>
          <cell r="D637" t="str">
            <v>PT Gaya Motor</v>
          </cell>
          <cell r="E637" t="str">
            <v>PEB 6</v>
          </cell>
          <cell r="F637" t="str">
            <v>53PEB 6</v>
          </cell>
          <cell r="J637">
            <v>0</v>
          </cell>
          <cell r="P637">
            <v>0</v>
          </cell>
          <cell r="U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</row>
        <row r="638">
          <cell r="C638" t="str">
            <v>A0065</v>
          </cell>
          <cell r="D638" t="str">
            <v>PT Gaya Motor</v>
          </cell>
          <cell r="E638" t="str">
            <v>PEB 7</v>
          </cell>
          <cell r="F638" t="str">
            <v>53PEB 7</v>
          </cell>
          <cell r="G638">
            <v>0.1</v>
          </cell>
          <cell r="I638">
            <v>0.09</v>
          </cell>
          <cell r="J638">
            <v>10.320250140235302</v>
          </cell>
          <cell r="K638">
            <v>13.775729492417284</v>
          </cell>
          <cell r="P638">
            <v>475476</v>
          </cell>
          <cell r="Q638">
            <v>673299.41856472136</v>
          </cell>
          <cell r="R638">
            <v>50338.132918689145</v>
          </cell>
          <cell r="S638">
            <v>84722.255295576018</v>
          </cell>
          <cell r="U638">
            <v>0</v>
          </cell>
          <cell r="W638">
            <v>-513920</v>
          </cell>
          <cell r="X638">
            <v>0</v>
          </cell>
          <cell r="Y638">
            <v>0</v>
          </cell>
          <cell r="Z638">
            <v>-38444</v>
          </cell>
        </row>
        <row r="639">
          <cell r="C639" t="str">
            <v>A0065</v>
          </cell>
          <cell r="D639" t="str">
            <v>PT Gaya Motor</v>
          </cell>
          <cell r="E639" t="str">
            <v>MPP</v>
          </cell>
          <cell r="F639" t="str">
            <v>53MPP</v>
          </cell>
          <cell r="G639">
            <v>0.1</v>
          </cell>
          <cell r="I639">
            <v>0.09</v>
          </cell>
          <cell r="J639">
            <v>0</v>
          </cell>
          <cell r="K639">
            <v>13.775729492417284</v>
          </cell>
          <cell r="P639">
            <v>0</v>
          </cell>
          <cell r="Q639">
            <v>1287962.8671599301</v>
          </cell>
          <cell r="R639">
            <v>71684.773439008059</v>
          </cell>
          <cell r="S639">
            <v>148866.75</v>
          </cell>
          <cell r="U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</row>
        <row r="640">
          <cell r="C640" t="str">
            <v>A0065</v>
          </cell>
          <cell r="D640" t="str">
            <v>PT Gaya Motor</v>
          </cell>
          <cell r="E640" t="str">
            <v>ID</v>
          </cell>
          <cell r="F640" t="str">
            <v>53ID</v>
          </cell>
          <cell r="G640">
            <v>0.1</v>
          </cell>
          <cell r="I640">
            <v>0.09</v>
          </cell>
          <cell r="J640">
            <v>10.320250140235302</v>
          </cell>
          <cell r="K640">
            <v>13.775729492417284</v>
          </cell>
          <cell r="P640">
            <v>171687</v>
          </cell>
          <cell r="Q640">
            <v>1925761.7521942095</v>
          </cell>
          <cell r="R640">
            <v>130525.19675691996</v>
          </cell>
          <cell r="S640">
            <v>169420.16722180901</v>
          </cell>
          <cell r="U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171687</v>
          </cell>
        </row>
        <row r="641">
          <cell r="C641" t="str">
            <v>A0065</v>
          </cell>
          <cell r="D641" t="str">
            <v>PT Gaya Motor</v>
          </cell>
          <cell r="E641" t="str">
            <v>LL</v>
          </cell>
          <cell r="F641" t="str">
            <v>53LL</v>
          </cell>
          <cell r="G641">
            <v>0.1</v>
          </cell>
          <cell r="I641">
            <v>0.09</v>
          </cell>
          <cell r="J641">
            <v>10.320250140235302</v>
          </cell>
          <cell r="K641">
            <v>13.775729492417284</v>
          </cell>
          <cell r="P641">
            <v>1689455</v>
          </cell>
          <cell r="Q641">
            <v>1746599.2913181535</v>
          </cell>
          <cell r="R641">
            <v>663479.05322984804</v>
          </cell>
          <cell r="S641">
            <v>852543.64739399077</v>
          </cell>
          <cell r="U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1689455</v>
          </cell>
        </row>
        <row r="642">
          <cell r="C642" t="str">
            <v>A0065</v>
          </cell>
          <cell r="D642" t="str">
            <v>PT Gaya Motor</v>
          </cell>
          <cell r="E642" t="str">
            <v>PMK</v>
          </cell>
          <cell r="F642" t="str">
            <v>53PMK</v>
          </cell>
          <cell r="G642">
            <v>0.1</v>
          </cell>
          <cell r="I642">
            <v>0.09</v>
          </cell>
          <cell r="J642">
            <v>10.320250140235302</v>
          </cell>
          <cell r="K642">
            <v>13.775729492417284</v>
          </cell>
          <cell r="P642">
            <v>5365488</v>
          </cell>
          <cell r="Q642">
            <v>5774577.9016350172</v>
          </cell>
          <cell r="R642">
            <v>532075.99892761628</v>
          </cell>
          <cell r="S642">
            <v>788376</v>
          </cell>
          <cell r="U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5365488</v>
          </cell>
        </row>
        <row r="644">
          <cell r="C644" t="str">
            <v>A0070</v>
          </cell>
          <cell r="D644" t="str">
            <v>PT GS Battery</v>
          </cell>
          <cell r="E644" t="str">
            <v>PEB 1</v>
          </cell>
          <cell r="F644" t="str">
            <v>54PEB 1</v>
          </cell>
          <cell r="G644">
            <v>0.1</v>
          </cell>
          <cell r="H644">
            <v>0.1</v>
          </cell>
          <cell r="I644">
            <v>0.09</v>
          </cell>
          <cell r="J644">
            <v>6.51</v>
          </cell>
          <cell r="K644">
            <v>6.5541293552357205</v>
          </cell>
          <cell r="L644">
            <v>3692367</v>
          </cell>
          <cell r="N644">
            <v>3788583.4595999997</v>
          </cell>
          <cell r="O644">
            <v>439052.44799999997</v>
          </cell>
          <cell r="P644">
            <v>33825859.428000003</v>
          </cell>
          <cell r="Q644">
            <v>45023166.173922651</v>
          </cell>
          <cell r="R644">
            <v>1657955.9847588185</v>
          </cell>
          <cell r="S644">
            <v>8287125.4576545572</v>
          </cell>
          <cell r="U644">
            <v>-24186102.478</v>
          </cell>
          <cell r="V644">
            <v>40443268.069200002</v>
          </cell>
          <cell r="W644">
            <v>-499602.755</v>
          </cell>
          <cell r="X644">
            <v>0</v>
          </cell>
          <cell r="Y644">
            <v>0</v>
          </cell>
          <cell r="Z644">
            <v>9140154.1960000005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W644">
            <v>0.1</v>
          </cell>
          <cell r="AX644">
            <v>0</v>
          </cell>
          <cell r="AY644">
            <v>0.09</v>
          </cell>
          <cell r="AZ644">
            <v>15.295069978781877</v>
          </cell>
          <cell r="BA644">
            <v>6.5541293552357205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2303619.9225764927</v>
          </cell>
          <cell r="BG644">
            <v>736980.35866359714</v>
          </cell>
          <cell r="BH644">
            <v>30161.929992533798</v>
          </cell>
          <cell r="BI644">
            <v>379751.14439540077</v>
          </cell>
          <cell r="BJ644">
            <v>0</v>
          </cell>
          <cell r="BK644">
            <v>0</v>
          </cell>
          <cell r="BL644">
            <v>0</v>
          </cell>
          <cell r="BM644">
            <v>-2351013.0552137969</v>
          </cell>
          <cell r="BN644">
            <v>8946818.6920417529</v>
          </cell>
          <cell r="BO644">
            <v>-253020</v>
          </cell>
          <cell r="BP644">
            <v>8899425.5594044495</v>
          </cell>
          <cell r="BR644">
            <v>0.1</v>
          </cell>
          <cell r="BS644">
            <v>0</v>
          </cell>
          <cell r="BT644">
            <v>0.09</v>
          </cell>
          <cell r="BU644">
            <v>15.230988710059828</v>
          </cell>
          <cell r="BV644">
            <v>18.57006738453499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5797719.6107463893</v>
          </cell>
          <cell r="CB644">
            <v>5481099.6097099138</v>
          </cell>
          <cell r="CC644">
            <v>560537.07917844027</v>
          </cell>
          <cell r="CD644">
            <v>541637.03629342793</v>
          </cell>
          <cell r="CE644">
            <v>0</v>
          </cell>
          <cell r="CF644">
            <v>0</v>
          </cell>
          <cell r="CG644">
            <v>0</v>
          </cell>
          <cell r="CH644">
            <v>-2398555.7974279593</v>
          </cell>
          <cell r="CI644">
            <v>3961928.4632252622</v>
          </cell>
          <cell r="CJ644">
            <v>177845</v>
          </cell>
          <cell r="CK644">
            <v>7361092.2765436918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O644">
            <v>0</v>
          </cell>
          <cell r="DP644">
            <v>0</v>
          </cell>
          <cell r="DQ644">
            <v>0</v>
          </cell>
          <cell r="DR644">
            <v>0</v>
          </cell>
          <cell r="DS644">
            <v>0</v>
          </cell>
          <cell r="DT644">
            <v>0</v>
          </cell>
          <cell r="DU644">
            <v>0</v>
          </cell>
          <cell r="DV644">
            <v>0</v>
          </cell>
          <cell r="DW644">
            <v>0</v>
          </cell>
          <cell r="DX644">
            <v>0</v>
          </cell>
          <cell r="DY644">
            <v>0</v>
          </cell>
          <cell r="DZ644">
            <v>0</v>
          </cell>
          <cell r="EA644">
            <v>0</v>
          </cell>
          <cell r="EC644">
            <v>0.1</v>
          </cell>
          <cell r="ED644">
            <v>0</v>
          </cell>
          <cell r="EE644">
            <v>0.09</v>
          </cell>
          <cell r="EF644">
            <v>15.295069978781877</v>
          </cell>
          <cell r="EG644">
            <v>15.878213912974932</v>
          </cell>
          <cell r="EH644">
            <v>0</v>
          </cell>
          <cell r="EI644">
            <v>0</v>
          </cell>
          <cell r="EJ644">
            <v>0</v>
          </cell>
          <cell r="EK644">
            <v>0</v>
          </cell>
          <cell r="EL644">
            <v>564909.93240927078</v>
          </cell>
          <cell r="EM644">
            <v>1416510.301740916</v>
          </cell>
          <cell r="EN644">
            <v>123250.37665687094</v>
          </cell>
          <cell r="EO644">
            <v>168879.08887442717</v>
          </cell>
          <cell r="EP644">
            <v>0</v>
          </cell>
          <cell r="EQ644">
            <v>0</v>
          </cell>
          <cell r="ER644">
            <v>0</v>
          </cell>
          <cell r="ES644">
            <v>-10586.737191667537</v>
          </cell>
          <cell r="ET644">
            <v>0</v>
          </cell>
          <cell r="EU644">
            <v>0</v>
          </cell>
          <cell r="EV644">
            <v>554323.19521760324</v>
          </cell>
          <cell r="EX644">
            <v>0.1</v>
          </cell>
          <cell r="EY644">
            <v>0</v>
          </cell>
          <cell r="EZ644">
            <v>0.09</v>
          </cell>
          <cell r="FA644">
            <v>15.295069978781877</v>
          </cell>
          <cell r="FB644">
            <v>15.878213912974932</v>
          </cell>
          <cell r="FC644">
            <v>0</v>
          </cell>
          <cell r="FD644">
            <v>0</v>
          </cell>
          <cell r="FE644">
            <v>0</v>
          </cell>
          <cell r="FF644">
            <v>0</v>
          </cell>
          <cell r="FG644">
            <v>4403368.0558021963</v>
          </cell>
          <cell r="FH644">
            <v>2827403.0452306331</v>
          </cell>
          <cell r="FI644">
            <v>158351.52787536115</v>
          </cell>
          <cell r="FJ644">
            <v>346287.60450000002</v>
          </cell>
          <cell r="FK644">
            <v>0</v>
          </cell>
          <cell r="FL644">
            <v>0</v>
          </cell>
          <cell r="FM644">
            <v>0</v>
          </cell>
          <cell r="FN644">
            <v>0</v>
          </cell>
          <cell r="FO644">
            <v>0</v>
          </cell>
          <cell r="FP644">
            <v>0</v>
          </cell>
          <cell r="FQ644">
            <v>4403368.0558021963</v>
          </cell>
          <cell r="FS644">
            <v>0.1</v>
          </cell>
          <cell r="FT644">
            <v>0</v>
          </cell>
          <cell r="FU644">
            <v>0.09</v>
          </cell>
          <cell r="FV644">
            <v>15.295069978781877</v>
          </cell>
          <cell r="FW644">
            <v>15.878213912974932</v>
          </cell>
          <cell r="FX644">
            <v>0</v>
          </cell>
          <cell r="FY644">
            <v>0</v>
          </cell>
          <cell r="FZ644">
            <v>0</v>
          </cell>
          <cell r="GA644">
            <v>0</v>
          </cell>
          <cell r="GB644">
            <v>6182778.604332516</v>
          </cell>
          <cell r="GC644">
            <v>4427785.6139044138</v>
          </cell>
          <cell r="GD644">
            <v>325004.46786413866</v>
          </cell>
          <cell r="GE644">
            <v>369020.28628664883</v>
          </cell>
          <cell r="GF644">
            <v>0</v>
          </cell>
          <cell r="GG644">
            <v>0</v>
          </cell>
          <cell r="GH644">
            <v>0</v>
          </cell>
          <cell r="GI644">
            <v>-479551.71544621454</v>
          </cell>
          <cell r="GJ644">
            <v>0</v>
          </cell>
          <cell r="GK644">
            <v>0</v>
          </cell>
          <cell r="GL644">
            <v>5703226.8888863008</v>
          </cell>
          <cell r="GN644">
            <v>0.1</v>
          </cell>
          <cell r="GO644">
            <v>0</v>
          </cell>
          <cell r="GP644">
            <v>0.09</v>
          </cell>
          <cell r="GQ644">
            <v>15.295069978781877</v>
          </cell>
          <cell r="GR644">
            <v>15.878213912974932</v>
          </cell>
          <cell r="GS644">
            <v>0</v>
          </cell>
          <cell r="GT644">
            <v>0</v>
          </cell>
          <cell r="GU644">
            <v>0</v>
          </cell>
          <cell r="GV644">
            <v>0</v>
          </cell>
          <cell r="GW644">
            <v>3281429.1493571298</v>
          </cell>
          <cell r="GX644">
            <v>5138643.851699166</v>
          </cell>
          <cell r="GY644">
            <v>1456167.965797571</v>
          </cell>
          <cell r="GZ644">
            <v>1378375.4150453191</v>
          </cell>
          <cell r="HA644">
            <v>0</v>
          </cell>
          <cell r="HB644">
            <v>0</v>
          </cell>
          <cell r="HC644">
            <v>0</v>
          </cell>
          <cell r="HD644">
            <v>0</v>
          </cell>
          <cell r="HE644">
            <v>0</v>
          </cell>
          <cell r="HF644">
            <v>0</v>
          </cell>
          <cell r="HG644">
            <v>3281429.1493571298</v>
          </cell>
          <cell r="HI644">
            <v>0.1</v>
          </cell>
          <cell r="HJ644">
            <v>0</v>
          </cell>
          <cell r="HK644">
            <v>0.09</v>
          </cell>
          <cell r="HL644">
            <v>15.295069978781877</v>
          </cell>
          <cell r="HM644">
            <v>15.878213912974932</v>
          </cell>
          <cell r="HN644">
            <v>0</v>
          </cell>
          <cell r="HO644">
            <v>0</v>
          </cell>
          <cell r="HP644">
            <v>0</v>
          </cell>
          <cell r="HQ644">
            <v>0</v>
          </cell>
          <cell r="HR644">
            <v>8036854.8061943259</v>
          </cell>
          <cell r="HS644">
            <v>7149479.9874438001</v>
          </cell>
          <cell r="HT644">
            <v>814262.17093933327</v>
          </cell>
          <cell r="HU644">
            <v>707887.5</v>
          </cell>
          <cell r="HV644">
            <v>0</v>
          </cell>
          <cell r="HW644">
            <v>0</v>
          </cell>
          <cell r="HX644">
            <v>0</v>
          </cell>
          <cell r="HY644">
            <v>0</v>
          </cell>
          <cell r="HZ644">
            <v>0</v>
          </cell>
          <cell r="IA644">
            <v>0</v>
          </cell>
          <cell r="IB644">
            <v>8036854.8061943259</v>
          </cell>
        </row>
        <row r="645">
          <cell r="C645" t="str">
            <v>A0070</v>
          </cell>
          <cell r="D645" t="str">
            <v>PT GS Battery</v>
          </cell>
          <cell r="E645" t="str">
            <v>PEB 2</v>
          </cell>
          <cell r="F645" t="str">
            <v>54PEB 2</v>
          </cell>
          <cell r="P645">
            <v>0</v>
          </cell>
          <cell r="U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</row>
        <row r="646">
          <cell r="C646" t="str">
            <v>A0070</v>
          </cell>
          <cell r="D646" t="str">
            <v>PT GS Battery</v>
          </cell>
          <cell r="E646" t="str">
            <v>PEB 3</v>
          </cell>
          <cell r="F646" t="str">
            <v>54PEB 3</v>
          </cell>
          <cell r="G646">
            <v>0.1</v>
          </cell>
          <cell r="I646">
            <v>0.09</v>
          </cell>
          <cell r="J646">
            <v>15.295069978781877</v>
          </cell>
          <cell r="K646">
            <v>6.5541293552357205</v>
          </cell>
          <cell r="P646">
            <v>2303619.9225764927</v>
          </cell>
          <cell r="Q646">
            <v>736980.35866359714</v>
          </cell>
          <cell r="R646">
            <v>30161.929992533798</v>
          </cell>
          <cell r="S646">
            <v>379751.14439540077</v>
          </cell>
          <cell r="U646">
            <v>0</v>
          </cell>
          <cell r="W646">
            <v>-2351013.0552137969</v>
          </cell>
          <cell r="X646">
            <v>8946818.6920417529</v>
          </cell>
          <cell r="Y646">
            <v>-253020</v>
          </cell>
          <cell r="Z646">
            <v>8899425.5594044495</v>
          </cell>
        </row>
        <row r="647">
          <cell r="C647" t="str">
            <v>A0070</v>
          </cell>
          <cell r="D647" t="str">
            <v>PT GS Battery</v>
          </cell>
          <cell r="E647" t="str">
            <v>PEB 4</v>
          </cell>
          <cell r="F647" t="str">
            <v>54PEB 4</v>
          </cell>
          <cell r="G647">
            <v>0.1</v>
          </cell>
          <cell r="I647">
            <v>0.09</v>
          </cell>
          <cell r="J647">
            <v>15.230988710059828</v>
          </cell>
          <cell r="K647">
            <v>18.57006738453499</v>
          </cell>
          <cell r="P647">
            <v>5797719.6107463893</v>
          </cell>
          <cell r="Q647">
            <v>5481099.6097099138</v>
          </cell>
          <cell r="R647">
            <v>560537.07917844027</v>
          </cell>
          <cell r="S647">
            <v>541637.03629342793</v>
          </cell>
          <cell r="U647">
            <v>0</v>
          </cell>
          <cell r="W647">
            <v>-2398555.7974279593</v>
          </cell>
          <cell r="X647">
            <v>3961928.4632252622</v>
          </cell>
          <cell r="Y647">
            <v>177845</v>
          </cell>
          <cell r="Z647">
            <v>7361092.2765436918</v>
          </cell>
        </row>
        <row r="648">
          <cell r="C648" t="str">
            <v>A0070</v>
          </cell>
          <cell r="D648" t="str">
            <v>PT GS Battery</v>
          </cell>
          <cell r="E648" t="str">
            <v>PEB 5</v>
          </cell>
          <cell r="F648" t="str">
            <v>54PEB 5</v>
          </cell>
          <cell r="P648">
            <v>0</v>
          </cell>
          <cell r="U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</row>
        <row r="649">
          <cell r="C649" t="str">
            <v>A0070</v>
          </cell>
          <cell r="D649" t="str">
            <v>PT GS Battery</v>
          </cell>
          <cell r="E649" t="str">
            <v>PEB 6</v>
          </cell>
          <cell r="F649" t="str">
            <v>54PEB 6</v>
          </cell>
          <cell r="P649">
            <v>0</v>
          </cell>
          <cell r="U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</row>
        <row r="650">
          <cell r="C650" t="str">
            <v>A0070</v>
          </cell>
          <cell r="D650" t="str">
            <v>PT GS Battery</v>
          </cell>
          <cell r="E650" t="str">
            <v>PEB 7</v>
          </cell>
          <cell r="F650" t="str">
            <v>54PEB 7</v>
          </cell>
          <cell r="G650">
            <v>0.1</v>
          </cell>
          <cell r="I650">
            <v>0.09</v>
          </cell>
          <cell r="J650">
            <v>15.295069978781877</v>
          </cell>
          <cell r="K650">
            <v>15.878213912974932</v>
          </cell>
          <cell r="P650">
            <v>564909.93240927078</v>
          </cell>
          <cell r="Q650">
            <v>1416510.301740916</v>
          </cell>
          <cell r="R650">
            <v>123250.37665687094</v>
          </cell>
          <cell r="S650">
            <v>168879.08887442717</v>
          </cell>
          <cell r="U650">
            <v>0</v>
          </cell>
          <cell r="W650">
            <v>-10586.737191667537</v>
          </cell>
          <cell r="X650">
            <v>0</v>
          </cell>
          <cell r="Y650">
            <v>0</v>
          </cell>
          <cell r="Z650">
            <v>554323.19521760324</v>
          </cell>
        </row>
        <row r="651">
          <cell r="C651" t="str">
            <v>A0070</v>
          </cell>
          <cell r="D651" t="str">
            <v>PT GS Battery</v>
          </cell>
          <cell r="E651" t="str">
            <v>MPP</v>
          </cell>
          <cell r="F651" t="str">
            <v>54MPP</v>
          </cell>
          <cell r="G651">
            <v>0.1</v>
          </cell>
          <cell r="I651">
            <v>0.09</v>
          </cell>
          <cell r="J651">
            <v>15.295069978781877</v>
          </cell>
          <cell r="K651">
            <v>15.878213912974932</v>
          </cell>
          <cell r="P651">
            <v>4403368.0558021963</v>
          </cell>
          <cell r="Q651">
            <v>2827403.0452306331</v>
          </cell>
          <cell r="R651">
            <v>158351.52787536115</v>
          </cell>
          <cell r="S651">
            <v>346287.60450000002</v>
          </cell>
          <cell r="U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4403368.0558021963</v>
          </cell>
        </row>
        <row r="652">
          <cell r="C652" t="str">
            <v>A0070</v>
          </cell>
          <cell r="D652" t="str">
            <v>PT GS Battery</v>
          </cell>
          <cell r="E652" t="str">
            <v>ID</v>
          </cell>
          <cell r="F652" t="str">
            <v>54ID</v>
          </cell>
          <cell r="G652">
            <v>0.1</v>
          </cell>
          <cell r="I652">
            <v>0.09</v>
          </cell>
          <cell r="J652">
            <v>15.295069978781877</v>
          </cell>
          <cell r="K652">
            <v>15.878213912974932</v>
          </cell>
          <cell r="P652">
            <v>6182778.604332516</v>
          </cell>
          <cell r="Q652">
            <v>4427785.6139044138</v>
          </cell>
          <cell r="R652">
            <v>325004.46786413866</v>
          </cell>
          <cell r="S652">
            <v>369020.28628664883</v>
          </cell>
          <cell r="U652">
            <v>0</v>
          </cell>
          <cell r="W652">
            <v>-479551.71544621454</v>
          </cell>
          <cell r="X652">
            <v>0</v>
          </cell>
          <cell r="Y652">
            <v>0</v>
          </cell>
          <cell r="Z652">
            <v>5703226.8888863008</v>
          </cell>
        </row>
        <row r="653">
          <cell r="C653" t="str">
            <v>A0070</v>
          </cell>
          <cell r="D653" t="str">
            <v>PT GS Battery</v>
          </cell>
          <cell r="E653" t="str">
            <v>LL</v>
          </cell>
          <cell r="F653" t="str">
            <v>54LL</v>
          </cell>
          <cell r="G653">
            <v>0.1</v>
          </cell>
          <cell r="I653">
            <v>0.09</v>
          </cell>
          <cell r="J653">
            <v>15.295069978781877</v>
          </cell>
          <cell r="K653">
            <v>15.878213912974932</v>
          </cell>
          <cell r="P653">
            <v>3281429.1493571298</v>
          </cell>
          <cell r="Q653">
            <v>5138643.851699166</v>
          </cell>
          <cell r="R653">
            <v>1456167.965797571</v>
          </cell>
          <cell r="S653">
            <v>1378375.4150453191</v>
          </cell>
          <cell r="U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3281429.1493571298</v>
          </cell>
        </row>
        <row r="654">
          <cell r="C654" t="str">
            <v>A0070</v>
          </cell>
          <cell r="D654" t="str">
            <v>PT GS Battery</v>
          </cell>
          <cell r="E654" t="str">
            <v>PMK</v>
          </cell>
          <cell r="F654" t="str">
            <v>54PMK</v>
          </cell>
          <cell r="G654">
            <v>0.1</v>
          </cell>
          <cell r="I654">
            <v>0.09</v>
          </cell>
          <cell r="J654">
            <v>15.295069978781877</v>
          </cell>
          <cell r="K654">
            <v>15.878213912974932</v>
          </cell>
          <cell r="P654">
            <v>8036854.8061943259</v>
          </cell>
          <cell r="Q654">
            <v>7149479.9874438001</v>
          </cell>
          <cell r="R654">
            <v>814262.17093933327</v>
          </cell>
          <cell r="S654">
            <v>707887.5</v>
          </cell>
          <cell r="U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8036854.8061943259</v>
          </cell>
        </row>
        <row r="656">
          <cell r="C656" t="str">
            <v>A0254</v>
          </cell>
          <cell r="D656" t="str">
            <v>PT Gunung Sejahtera Dua Indah</v>
          </cell>
          <cell r="E656" t="str">
            <v>PEB 1</v>
          </cell>
          <cell r="F656" t="str">
            <v>55PEB 1</v>
          </cell>
          <cell r="J656">
            <v>0</v>
          </cell>
          <cell r="N656">
            <v>0</v>
          </cell>
          <cell r="O656">
            <v>0</v>
          </cell>
          <cell r="P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10.290539687355032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1277479</v>
          </cell>
          <cell r="AL656">
            <v>2067709.1237475025</v>
          </cell>
          <cell r="AM656">
            <v>322096.45731299376</v>
          </cell>
          <cell r="AN656">
            <v>6491.6040000000012</v>
          </cell>
          <cell r="AO656">
            <v>0</v>
          </cell>
          <cell r="AP656">
            <v>0</v>
          </cell>
          <cell r="AQ656">
            <v>0</v>
          </cell>
          <cell r="AR656">
            <v>-588415</v>
          </cell>
          <cell r="AS656">
            <v>0</v>
          </cell>
          <cell r="AT656">
            <v>0</v>
          </cell>
          <cell r="AU656">
            <v>689064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10.299952353576872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2289661</v>
          </cell>
          <cell r="CB656">
            <v>2595729.8856883915</v>
          </cell>
          <cell r="CC656">
            <v>490085.71546601097</v>
          </cell>
          <cell r="CD656">
            <v>112525.73362490971</v>
          </cell>
          <cell r="CE656">
            <v>0</v>
          </cell>
          <cell r="CF656">
            <v>0</v>
          </cell>
          <cell r="CG656">
            <v>0</v>
          </cell>
          <cell r="CH656">
            <v>-1178989</v>
          </cell>
          <cell r="CI656">
            <v>-427021</v>
          </cell>
          <cell r="CJ656">
            <v>29795</v>
          </cell>
          <cell r="CK656">
            <v>683651</v>
          </cell>
          <cell r="CM656">
            <v>0</v>
          </cell>
          <cell r="CN656">
            <v>0</v>
          </cell>
          <cell r="CO656">
            <v>0</v>
          </cell>
          <cell r="CP656">
            <v>10.028503205114808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28169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944338</v>
          </cell>
          <cell r="DD656">
            <v>0</v>
          </cell>
          <cell r="DE656">
            <v>0</v>
          </cell>
          <cell r="DF656">
            <v>972507</v>
          </cell>
          <cell r="DH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O656">
            <v>0</v>
          </cell>
          <cell r="DP656">
            <v>0</v>
          </cell>
          <cell r="DQ656">
            <v>0</v>
          </cell>
          <cell r="DR656">
            <v>0</v>
          </cell>
          <cell r="DS656">
            <v>0</v>
          </cell>
          <cell r="DT656">
            <v>0</v>
          </cell>
          <cell r="DU656">
            <v>0</v>
          </cell>
          <cell r="DV656">
            <v>0</v>
          </cell>
          <cell r="DW656">
            <v>0</v>
          </cell>
          <cell r="DX656">
            <v>0</v>
          </cell>
          <cell r="DY656">
            <v>0</v>
          </cell>
          <cell r="DZ656">
            <v>0</v>
          </cell>
          <cell r="EA656">
            <v>0</v>
          </cell>
          <cell r="EC656">
            <v>0</v>
          </cell>
          <cell r="ED656">
            <v>0</v>
          </cell>
          <cell r="EE656">
            <v>0</v>
          </cell>
          <cell r="EF656">
            <v>10.290539687355032</v>
          </cell>
          <cell r="EG656">
            <v>0</v>
          </cell>
          <cell r="EH656">
            <v>0</v>
          </cell>
          <cell r="EI656">
            <v>0</v>
          </cell>
          <cell r="EJ656">
            <v>0</v>
          </cell>
          <cell r="EK656">
            <v>0</v>
          </cell>
          <cell r="EL656">
            <v>152477</v>
          </cell>
          <cell r="EM656">
            <v>327646.30653333483</v>
          </cell>
          <cell r="EN656">
            <v>70105.629179670461</v>
          </cell>
          <cell r="EO656">
            <v>30732.260960926393</v>
          </cell>
          <cell r="EP656">
            <v>0</v>
          </cell>
          <cell r="EQ656">
            <v>0</v>
          </cell>
          <cell r="ER656">
            <v>0</v>
          </cell>
          <cell r="ES656">
            <v>-151708</v>
          </cell>
          <cell r="ET656">
            <v>0</v>
          </cell>
          <cell r="EU656">
            <v>0</v>
          </cell>
          <cell r="EV656">
            <v>769</v>
          </cell>
          <cell r="EX656">
            <v>0</v>
          </cell>
          <cell r="EY656">
            <v>0</v>
          </cell>
          <cell r="EZ656">
            <v>0</v>
          </cell>
          <cell r="FA656">
            <v>0</v>
          </cell>
          <cell r="FB656">
            <v>0</v>
          </cell>
          <cell r="FC656">
            <v>0</v>
          </cell>
          <cell r="FD656">
            <v>0</v>
          </cell>
          <cell r="FE656">
            <v>0</v>
          </cell>
          <cell r="FF656">
            <v>0</v>
          </cell>
          <cell r="FG656">
            <v>0</v>
          </cell>
          <cell r="FH656">
            <v>355058.83693218575</v>
          </cell>
          <cell r="FI656">
            <v>60058.514261704709</v>
          </cell>
          <cell r="FJ656">
            <v>3245.8020000000006</v>
          </cell>
          <cell r="FK656">
            <v>0</v>
          </cell>
          <cell r="FL656">
            <v>0</v>
          </cell>
          <cell r="FM656">
            <v>0</v>
          </cell>
          <cell r="FN656">
            <v>0</v>
          </cell>
          <cell r="FO656">
            <v>0</v>
          </cell>
          <cell r="FP656">
            <v>0</v>
          </cell>
          <cell r="FQ656">
            <v>0</v>
          </cell>
          <cell r="FS656">
            <v>0</v>
          </cell>
          <cell r="FT656">
            <v>0</v>
          </cell>
          <cell r="FU656">
            <v>0</v>
          </cell>
          <cell r="FV656">
            <v>10.290539687355032</v>
          </cell>
          <cell r="FW656">
            <v>0</v>
          </cell>
          <cell r="FX656">
            <v>0</v>
          </cell>
          <cell r="FY656">
            <v>0</v>
          </cell>
          <cell r="FZ656">
            <v>0</v>
          </cell>
          <cell r="GA656">
            <v>0</v>
          </cell>
          <cell r="GB656">
            <v>22527</v>
          </cell>
          <cell r="GC656">
            <v>813100.04227141966</v>
          </cell>
          <cell r="GD656">
            <v>157616.59138867771</v>
          </cell>
          <cell r="GE656">
            <v>47871.348867261375</v>
          </cell>
          <cell r="GF656">
            <v>0</v>
          </cell>
          <cell r="GG656">
            <v>0</v>
          </cell>
          <cell r="GH656">
            <v>0</v>
          </cell>
          <cell r="GI656">
            <v>0</v>
          </cell>
          <cell r="GJ656">
            <v>0</v>
          </cell>
          <cell r="GK656">
            <v>0</v>
          </cell>
          <cell r="GL656">
            <v>22527</v>
          </cell>
          <cell r="GN656">
            <v>0</v>
          </cell>
          <cell r="GO656">
            <v>0</v>
          </cell>
          <cell r="GP656">
            <v>0</v>
          </cell>
          <cell r="GQ656">
            <v>10.290539687355032</v>
          </cell>
          <cell r="GR656">
            <v>0</v>
          </cell>
          <cell r="GS656">
            <v>0</v>
          </cell>
          <cell r="GT656">
            <v>0</v>
          </cell>
          <cell r="GU656">
            <v>0</v>
          </cell>
          <cell r="GV656">
            <v>0</v>
          </cell>
          <cell r="GW656">
            <v>1079757</v>
          </cell>
          <cell r="GX656">
            <v>1338828.3727425924</v>
          </cell>
          <cell r="GY656">
            <v>541610.49612985726</v>
          </cell>
          <cell r="GZ656">
            <v>504998.3004176339</v>
          </cell>
          <cell r="HA656">
            <v>0</v>
          </cell>
          <cell r="HB656">
            <v>0</v>
          </cell>
          <cell r="HC656">
            <v>0</v>
          </cell>
          <cell r="HD656">
            <v>0</v>
          </cell>
          <cell r="HE656">
            <v>0</v>
          </cell>
          <cell r="HF656">
            <v>0</v>
          </cell>
          <cell r="HG656">
            <v>1079757</v>
          </cell>
          <cell r="HI656">
            <v>0</v>
          </cell>
          <cell r="HJ656">
            <v>0</v>
          </cell>
          <cell r="HK656">
            <v>0</v>
          </cell>
          <cell r="HL656">
            <v>10.290539687355032</v>
          </cell>
          <cell r="HM656">
            <v>0</v>
          </cell>
          <cell r="HN656">
            <v>0</v>
          </cell>
          <cell r="HO656">
            <v>0</v>
          </cell>
          <cell r="HP656">
            <v>0</v>
          </cell>
          <cell r="HQ656">
            <v>0</v>
          </cell>
          <cell r="HR656">
            <v>430164</v>
          </cell>
          <cell r="HS656">
            <v>913977.89625102759</v>
          </cell>
          <cell r="HT656">
            <v>210642.85774914129</v>
          </cell>
          <cell r="HU656">
            <v>35437.5</v>
          </cell>
          <cell r="HV656">
            <v>0</v>
          </cell>
          <cell r="HW656">
            <v>0</v>
          </cell>
          <cell r="HX656">
            <v>0</v>
          </cell>
          <cell r="HY656">
            <v>0</v>
          </cell>
          <cell r="HZ656">
            <v>0</v>
          </cell>
          <cell r="IA656">
            <v>0</v>
          </cell>
          <cell r="IB656">
            <v>430164</v>
          </cell>
        </row>
        <row r="657">
          <cell r="C657" t="str">
            <v>A0254</v>
          </cell>
          <cell r="D657" t="str">
            <v>PT Gunung Sejahtera Dua Indah</v>
          </cell>
          <cell r="E657" t="str">
            <v>PEB 2</v>
          </cell>
          <cell r="F657" t="str">
            <v>55PEB 2</v>
          </cell>
          <cell r="J657">
            <v>10.290539687355032</v>
          </cell>
          <cell r="P657">
            <v>1277479</v>
          </cell>
          <cell r="Q657">
            <v>2067709.1237475025</v>
          </cell>
          <cell r="R657">
            <v>322096.45731299376</v>
          </cell>
          <cell r="S657">
            <v>6491.6040000000012</v>
          </cell>
          <cell r="U657">
            <v>0</v>
          </cell>
          <cell r="W657">
            <v>-588415</v>
          </cell>
          <cell r="X657">
            <v>0</v>
          </cell>
          <cell r="Y657">
            <v>0</v>
          </cell>
          <cell r="Z657">
            <v>689064</v>
          </cell>
        </row>
        <row r="658">
          <cell r="C658" t="str">
            <v>A0254</v>
          </cell>
          <cell r="D658" t="str">
            <v>PT Gunung Sejahtera Dua Indah</v>
          </cell>
          <cell r="E658" t="str">
            <v>PEB 3</v>
          </cell>
          <cell r="F658" t="str">
            <v>55PEB 3</v>
          </cell>
          <cell r="J658">
            <v>0</v>
          </cell>
          <cell r="P658">
            <v>0</v>
          </cell>
          <cell r="U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</row>
        <row r="659">
          <cell r="C659" t="str">
            <v>A0254</v>
          </cell>
          <cell r="D659" t="str">
            <v>PT Gunung Sejahtera Dua Indah</v>
          </cell>
          <cell r="E659" t="str">
            <v>PEB 4</v>
          </cell>
          <cell r="F659" t="str">
            <v>55PEB 4</v>
          </cell>
          <cell r="J659">
            <v>10.299952353576872</v>
          </cell>
          <cell r="P659">
            <v>2289661</v>
          </cell>
          <cell r="Q659">
            <v>2595729.8856883915</v>
          </cell>
          <cell r="R659">
            <v>490085.71546601097</v>
          </cell>
          <cell r="S659">
            <v>112525.73362490971</v>
          </cell>
          <cell r="U659">
            <v>0</v>
          </cell>
          <cell r="W659">
            <v>-1178989</v>
          </cell>
          <cell r="X659">
            <v>-427021</v>
          </cell>
          <cell r="Y659">
            <v>29795</v>
          </cell>
          <cell r="Z659">
            <v>683651</v>
          </cell>
        </row>
        <row r="660">
          <cell r="C660" t="str">
            <v>A0254</v>
          </cell>
          <cell r="D660" t="str">
            <v>PT Gunung Sejahtera Dua Indah</v>
          </cell>
          <cell r="E660" t="str">
            <v>PEB 5</v>
          </cell>
          <cell r="F660" t="str">
            <v>55PEB 5</v>
          </cell>
          <cell r="J660">
            <v>10.028503205114808</v>
          </cell>
          <cell r="P660">
            <v>28169</v>
          </cell>
          <cell r="U660">
            <v>0</v>
          </cell>
          <cell r="W660">
            <v>944338</v>
          </cell>
          <cell r="X660">
            <v>0</v>
          </cell>
          <cell r="Y660">
            <v>0</v>
          </cell>
          <cell r="Z660">
            <v>972507</v>
          </cell>
        </row>
        <row r="661">
          <cell r="C661" t="str">
            <v>A0254</v>
          </cell>
          <cell r="D661" t="str">
            <v>PT Gunung Sejahtera Dua Indah</v>
          </cell>
          <cell r="E661" t="str">
            <v>PEB 6</v>
          </cell>
          <cell r="F661" t="str">
            <v>55PEB 6</v>
          </cell>
          <cell r="J661">
            <v>0</v>
          </cell>
          <cell r="P661">
            <v>0</v>
          </cell>
          <cell r="U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</row>
        <row r="662">
          <cell r="C662" t="str">
            <v>A0254</v>
          </cell>
          <cell r="D662" t="str">
            <v>PT Gunung Sejahtera Dua Indah</v>
          </cell>
          <cell r="E662" t="str">
            <v>PEB 7</v>
          </cell>
          <cell r="F662" t="str">
            <v>55PEB 7</v>
          </cell>
          <cell r="J662">
            <v>10.290539687355032</v>
          </cell>
          <cell r="P662">
            <v>152477</v>
          </cell>
          <cell r="Q662">
            <v>327646.30653333483</v>
          </cell>
          <cell r="R662">
            <v>70105.629179670461</v>
          </cell>
          <cell r="S662">
            <v>30732.260960926393</v>
          </cell>
          <cell r="U662">
            <v>0</v>
          </cell>
          <cell r="W662">
            <v>-151708</v>
          </cell>
          <cell r="X662">
            <v>0</v>
          </cell>
          <cell r="Y662">
            <v>0</v>
          </cell>
          <cell r="Z662">
            <v>769</v>
          </cell>
        </row>
        <row r="663">
          <cell r="C663" t="str">
            <v>A0254</v>
          </cell>
          <cell r="D663" t="str">
            <v>PT Gunung Sejahtera Dua Indah</v>
          </cell>
          <cell r="E663" t="str">
            <v>MPP</v>
          </cell>
          <cell r="F663" t="str">
            <v>55MPP</v>
          </cell>
          <cell r="J663">
            <v>0</v>
          </cell>
          <cell r="P663">
            <v>0</v>
          </cell>
          <cell r="Q663">
            <v>355058.83693218575</v>
          </cell>
          <cell r="R663">
            <v>60058.514261704709</v>
          </cell>
          <cell r="S663">
            <v>3245.8020000000006</v>
          </cell>
          <cell r="U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</row>
        <row r="664">
          <cell r="C664" t="str">
            <v>A0254</v>
          </cell>
          <cell r="D664" t="str">
            <v>PT Gunung Sejahtera Dua Indah</v>
          </cell>
          <cell r="E664" t="str">
            <v>ID</v>
          </cell>
          <cell r="F664" t="str">
            <v>55ID</v>
          </cell>
          <cell r="J664">
            <v>10.290539687355032</v>
          </cell>
          <cell r="P664">
            <v>22527</v>
          </cell>
          <cell r="Q664">
            <v>813100.04227141966</v>
          </cell>
          <cell r="R664">
            <v>157616.59138867771</v>
          </cell>
          <cell r="S664">
            <v>47871.348867261375</v>
          </cell>
          <cell r="U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22527</v>
          </cell>
        </row>
        <row r="665">
          <cell r="C665" t="str">
            <v>A0254</v>
          </cell>
          <cell r="D665" t="str">
            <v>PT Gunung Sejahtera Dua Indah</v>
          </cell>
          <cell r="E665" t="str">
            <v>LL</v>
          </cell>
          <cell r="F665" t="str">
            <v>55LL</v>
          </cell>
          <cell r="J665">
            <v>10.290539687355032</v>
          </cell>
          <cell r="P665">
            <v>1079757</v>
          </cell>
          <cell r="Q665">
            <v>1338828.3727425924</v>
          </cell>
          <cell r="R665">
            <v>541610.49612985726</v>
          </cell>
          <cell r="S665">
            <v>504998.3004176339</v>
          </cell>
          <cell r="U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1079757</v>
          </cell>
        </row>
        <row r="666">
          <cell r="C666" t="str">
            <v>A0254</v>
          </cell>
          <cell r="D666" t="str">
            <v>PT Gunung Sejahtera Dua Indah</v>
          </cell>
          <cell r="E666" t="str">
            <v>PMK</v>
          </cell>
          <cell r="F666" t="str">
            <v>55PMK</v>
          </cell>
          <cell r="J666">
            <v>10.290539687355032</v>
          </cell>
          <cell r="P666">
            <v>430164</v>
          </cell>
          <cell r="Q666">
            <v>913977.89625102759</v>
          </cell>
          <cell r="R666">
            <v>210642.85774914129</v>
          </cell>
          <cell r="S666">
            <v>35437.5</v>
          </cell>
          <cell r="U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430164</v>
          </cell>
        </row>
        <row r="668">
          <cell r="C668" t="str">
            <v>A0256</v>
          </cell>
          <cell r="D668" t="str">
            <v>PT Gunung Sejahtera Ibu Pertiwi</v>
          </cell>
          <cell r="E668" t="str">
            <v>PEB 1</v>
          </cell>
          <cell r="F668" t="str">
            <v>56PEB 1</v>
          </cell>
          <cell r="J668">
            <v>0</v>
          </cell>
          <cell r="N668">
            <v>0</v>
          </cell>
          <cell r="O668">
            <v>0</v>
          </cell>
          <cell r="P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10.070798504171218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1382981</v>
          </cell>
          <cell r="AL668">
            <v>2703119.5315966052</v>
          </cell>
          <cell r="AM668">
            <v>317890.57340459997</v>
          </cell>
          <cell r="AN668">
            <v>31412.971600000001</v>
          </cell>
          <cell r="AO668">
            <v>0</v>
          </cell>
          <cell r="AP668">
            <v>0</v>
          </cell>
          <cell r="AQ668">
            <v>0</v>
          </cell>
          <cell r="AR668">
            <v>-609001</v>
          </cell>
          <cell r="AS668">
            <v>0</v>
          </cell>
          <cell r="AT668">
            <v>0</v>
          </cell>
          <cell r="AU668">
            <v>773980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100777</v>
          </cell>
          <cell r="BP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10.054700483300055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2352265</v>
          </cell>
          <cell r="CB668">
            <v>3289777.4097869419</v>
          </cell>
          <cell r="CC668">
            <v>495654.10033727839</v>
          </cell>
          <cell r="CD668">
            <v>236101.96369698495</v>
          </cell>
          <cell r="CE668">
            <v>0</v>
          </cell>
          <cell r="CF668">
            <v>0</v>
          </cell>
          <cell r="CG668">
            <v>0</v>
          </cell>
          <cell r="CH668">
            <v>-648869</v>
          </cell>
          <cell r="CI668">
            <v>-1061878</v>
          </cell>
          <cell r="CJ668">
            <v>75557</v>
          </cell>
          <cell r="CK668">
            <v>641518</v>
          </cell>
          <cell r="CM668">
            <v>0</v>
          </cell>
          <cell r="CN668">
            <v>0</v>
          </cell>
          <cell r="CO668">
            <v>0</v>
          </cell>
          <cell r="CP668">
            <v>9.7798189655305965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82141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1357785</v>
          </cell>
          <cell r="DD668">
            <v>0</v>
          </cell>
          <cell r="DE668">
            <v>0</v>
          </cell>
          <cell r="DF668">
            <v>1439926</v>
          </cell>
          <cell r="DH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0</v>
          </cell>
          <cell r="DN668">
            <v>0</v>
          </cell>
          <cell r="DO668">
            <v>0</v>
          </cell>
          <cell r="DP668">
            <v>0</v>
          </cell>
          <cell r="DQ668">
            <v>0</v>
          </cell>
          <cell r="DR668">
            <v>0</v>
          </cell>
          <cell r="DS668">
            <v>0</v>
          </cell>
          <cell r="DT668">
            <v>0</v>
          </cell>
          <cell r="DU668">
            <v>0</v>
          </cell>
          <cell r="DV668">
            <v>0</v>
          </cell>
          <cell r="DW668">
            <v>0</v>
          </cell>
          <cell r="DX668">
            <v>0</v>
          </cell>
          <cell r="DY668">
            <v>0</v>
          </cell>
          <cell r="DZ668">
            <v>0</v>
          </cell>
          <cell r="EA668">
            <v>0</v>
          </cell>
          <cell r="EC668">
            <v>0</v>
          </cell>
          <cell r="ED668">
            <v>0</v>
          </cell>
          <cell r="EE668">
            <v>0</v>
          </cell>
          <cell r="EF668">
            <v>10.070798504171218</v>
          </cell>
          <cell r="EG668">
            <v>0</v>
          </cell>
          <cell r="EH668">
            <v>0</v>
          </cell>
          <cell r="EI668">
            <v>0</v>
          </cell>
          <cell r="EJ668">
            <v>0</v>
          </cell>
          <cell r="EK668">
            <v>0</v>
          </cell>
          <cell r="EL668">
            <v>165689</v>
          </cell>
          <cell r="EM668">
            <v>371254.97331464879</v>
          </cell>
          <cell r="EN668">
            <v>62121.691408626539</v>
          </cell>
          <cell r="EO668">
            <v>37291.211185321852</v>
          </cell>
          <cell r="EP668">
            <v>0</v>
          </cell>
          <cell r="EQ668">
            <v>0</v>
          </cell>
          <cell r="ER668">
            <v>0</v>
          </cell>
          <cell r="ES668">
            <v>-159477</v>
          </cell>
          <cell r="ET668">
            <v>0</v>
          </cell>
          <cell r="EU668">
            <v>0</v>
          </cell>
          <cell r="EV668">
            <v>6212</v>
          </cell>
          <cell r="EX668">
            <v>0</v>
          </cell>
          <cell r="EY668">
            <v>0</v>
          </cell>
          <cell r="EZ668">
            <v>0</v>
          </cell>
          <cell r="FA668">
            <v>0</v>
          </cell>
          <cell r="FB668">
            <v>0</v>
          </cell>
          <cell r="FC668">
            <v>0</v>
          </cell>
          <cell r="FD668">
            <v>0</v>
          </cell>
          <cell r="FE668">
            <v>0</v>
          </cell>
          <cell r="FF668">
            <v>0</v>
          </cell>
          <cell r="FG668">
            <v>0</v>
          </cell>
          <cell r="FH668">
            <v>459734.70629585435</v>
          </cell>
          <cell r="FI668">
            <v>57525.405178294444</v>
          </cell>
          <cell r="FJ668">
            <v>9581.5578000000005</v>
          </cell>
          <cell r="FK668">
            <v>0</v>
          </cell>
          <cell r="FL668">
            <v>0</v>
          </cell>
          <cell r="FM668">
            <v>0</v>
          </cell>
          <cell r="FN668">
            <v>0</v>
          </cell>
          <cell r="FO668">
            <v>0</v>
          </cell>
          <cell r="FP668">
            <v>0</v>
          </cell>
          <cell r="FQ668">
            <v>0</v>
          </cell>
          <cell r="FS668">
            <v>0</v>
          </cell>
          <cell r="FT668">
            <v>0</v>
          </cell>
          <cell r="FU668">
            <v>0</v>
          </cell>
          <cell r="FV668">
            <v>10.070798504171218</v>
          </cell>
          <cell r="FW668">
            <v>0</v>
          </cell>
          <cell r="FX668">
            <v>0</v>
          </cell>
          <cell r="FY668">
            <v>0</v>
          </cell>
          <cell r="FZ668">
            <v>0</v>
          </cell>
          <cell r="GA668">
            <v>0</v>
          </cell>
          <cell r="GB668">
            <v>25452</v>
          </cell>
          <cell r="GC668">
            <v>931739.26193916763</v>
          </cell>
          <cell r="GD668">
            <v>137946.85570307871</v>
          </cell>
          <cell r="GE668">
            <v>63923.920360962577</v>
          </cell>
          <cell r="GF668">
            <v>0</v>
          </cell>
          <cell r="GG668">
            <v>0</v>
          </cell>
          <cell r="GH668">
            <v>0</v>
          </cell>
          <cell r="GI668">
            <v>0</v>
          </cell>
          <cell r="GJ668">
            <v>0</v>
          </cell>
          <cell r="GK668">
            <v>0</v>
          </cell>
          <cell r="GL668">
            <v>25452</v>
          </cell>
          <cell r="GN668">
            <v>0</v>
          </cell>
          <cell r="GO668">
            <v>0</v>
          </cell>
          <cell r="GP668">
            <v>0</v>
          </cell>
          <cell r="GQ668">
            <v>10.070798504171218</v>
          </cell>
          <cell r="GR668">
            <v>0</v>
          </cell>
          <cell r="GS668">
            <v>0</v>
          </cell>
          <cell r="GT668">
            <v>0</v>
          </cell>
          <cell r="GU668">
            <v>0</v>
          </cell>
          <cell r="GV668">
            <v>0</v>
          </cell>
          <cell r="GW668">
            <v>930940</v>
          </cell>
          <cell r="GX668">
            <v>1333776.0250398617</v>
          </cell>
          <cell r="GY668">
            <v>515141.92840949958</v>
          </cell>
          <cell r="GZ668">
            <v>635608.12841264717</v>
          </cell>
          <cell r="HA668">
            <v>0</v>
          </cell>
          <cell r="HB668">
            <v>0</v>
          </cell>
          <cell r="HC668">
            <v>0</v>
          </cell>
          <cell r="HD668">
            <v>0</v>
          </cell>
          <cell r="HE668">
            <v>0</v>
          </cell>
          <cell r="HF668">
            <v>0</v>
          </cell>
          <cell r="HG668">
            <v>930940</v>
          </cell>
          <cell r="HI668">
            <v>0</v>
          </cell>
          <cell r="HJ668">
            <v>0</v>
          </cell>
          <cell r="HK668">
            <v>0</v>
          </cell>
          <cell r="HL668">
            <v>10.070798504171218</v>
          </cell>
          <cell r="HM668">
            <v>0</v>
          </cell>
          <cell r="HN668">
            <v>0</v>
          </cell>
          <cell r="HO668">
            <v>0</v>
          </cell>
          <cell r="HP668">
            <v>0</v>
          </cell>
          <cell r="HQ668">
            <v>0</v>
          </cell>
          <cell r="HR668">
            <v>627152</v>
          </cell>
          <cell r="HS668">
            <v>1120246.6278402626</v>
          </cell>
          <cell r="HT668">
            <v>200440.35281588684</v>
          </cell>
          <cell r="HU668">
            <v>103950</v>
          </cell>
          <cell r="HV668">
            <v>0</v>
          </cell>
          <cell r="HW668">
            <v>0</v>
          </cell>
          <cell r="HX668">
            <v>0</v>
          </cell>
          <cell r="HY668">
            <v>0</v>
          </cell>
          <cell r="HZ668">
            <v>0</v>
          </cell>
          <cell r="IA668">
            <v>0</v>
          </cell>
          <cell r="IB668">
            <v>627152</v>
          </cell>
        </row>
        <row r="669">
          <cell r="C669" t="str">
            <v>A0256</v>
          </cell>
          <cell r="D669" t="str">
            <v>PT Gunung Sejahtera Ibu Pertiwi</v>
          </cell>
          <cell r="E669" t="str">
            <v>PEB 2</v>
          </cell>
          <cell r="F669" t="str">
            <v>56PEB 2</v>
          </cell>
          <cell r="J669">
            <v>10.070798504171218</v>
          </cell>
          <cell r="P669">
            <v>1382981</v>
          </cell>
          <cell r="Q669">
            <v>2703119.5315966052</v>
          </cell>
          <cell r="R669">
            <v>317890.57340459997</v>
          </cell>
          <cell r="S669">
            <v>31412.971600000001</v>
          </cell>
          <cell r="U669">
            <v>0</v>
          </cell>
          <cell r="W669">
            <v>-609001</v>
          </cell>
          <cell r="X669">
            <v>0</v>
          </cell>
          <cell r="Y669">
            <v>0</v>
          </cell>
          <cell r="Z669">
            <v>773980</v>
          </cell>
        </row>
        <row r="670">
          <cell r="C670" t="str">
            <v>A0256</v>
          </cell>
          <cell r="D670" t="str">
            <v>PT Gunung Sejahtera Ibu Pertiwi</v>
          </cell>
          <cell r="E670" t="str">
            <v>PEB 3</v>
          </cell>
          <cell r="F670" t="str">
            <v>56PEB 3</v>
          </cell>
          <cell r="J670">
            <v>0</v>
          </cell>
          <cell r="P670">
            <v>0</v>
          </cell>
          <cell r="U670">
            <v>0</v>
          </cell>
          <cell r="W670">
            <v>0</v>
          </cell>
          <cell r="X670">
            <v>0</v>
          </cell>
          <cell r="Y670">
            <v>100777</v>
          </cell>
          <cell r="Z670">
            <v>0</v>
          </cell>
        </row>
        <row r="671">
          <cell r="C671" t="str">
            <v>A0256</v>
          </cell>
          <cell r="D671" t="str">
            <v>PT Gunung Sejahtera Ibu Pertiwi</v>
          </cell>
          <cell r="E671" t="str">
            <v>PEB 4</v>
          </cell>
          <cell r="F671" t="str">
            <v>56PEB 4</v>
          </cell>
          <cell r="J671">
            <v>10.054700483300055</v>
          </cell>
          <cell r="P671">
            <v>2352265</v>
          </cell>
          <cell r="Q671">
            <v>3289777.4097869419</v>
          </cell>
          <cell r="R671">
            <v>495654.10033727839</v>
          </cell>
          <cell r="S671">
            <v>236101.96369698495</v>
          </cell>
          <cell r="U671">
            <v>0</v>
          </cell>
          <cell r="W671">
            <v>-648869</v>
          </cell>
          <cell r="X671">
            <v>-1061878</v>
          </cell>
          <cell r="Y671">
            <v>75557</v>
          </cell>
          <cell r="Z671">
            <v>641518</v>
          </cell>
        </row>
        <row r="672">
          <cell r="C672" t="str">
            <v>A0256</v>
          </cell>
          <cell r="D672" t="str">
            <v>PT Gunung Sejahtera Ibu Pertiwi</v>
          </cell>
          <cell r="E672" t="str">
            <v>PEB 5</v>
          </cell>
          <cell r="F672" t="str">
            <v>56PEB 5</v>
          </cell>
          <cell r="J672">
            <v>9.7798189655305965</v>
          </cell>
          <cell r="P672">
            <v>82141</v>
          </cell>
          <cell r="U672">
            <v>0</v>
          </cell>
          <cell r="W672">
            <v>1357785</v>
          </cell>
          <cell r="X672">
            <v>0</v>
          </cell>
          <cell r="Y672">
            <v>0</v>
          </cell>
          <cell r="Z672">
            <v>1439926</v>
          </cell>
        </row>
        <row r="673">
          <cell r="C673" t="str">
            <v>A0256</v>
          </cell>
          <cell r="D673" t="str">
            <v>PT Gunung Sejahtera Ibu Pertiwi</v>
          </cell>
          <cell r="E673" t="str">
            <v>PEB 6</v>
          </cell>
          <cell r="F673" t="str">
            <v>56PEB 6</v>
          </cell>
          <cell r="J673">
            <v>0</v>
          </cell>
          <cell r="P673">
            <v>0</v>
          </cell>
          <cell r="U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</row>
        <row r="674">
          <cell r="C674" t="str">
            <v>A0256</v>
          </cell>
          <cell r="D674" t="str">
            <v>PT Gunung Sejahtera Ibu Pertiwi</v>
          </cell>
          <cell r="E674" t="str">
            <v>PEB 7</v>
          </cell>
          <cell r="F674" t="str">
            <v>56PEB 7</v>
          </cell>
          <cell r="J674">
            <v>10.070798504171218</v>
          </cell>
          <cell r="P674">
            <v>165689</v>
          </cell>
          <cell r="Q674">
            <v>371254.97331464879</v>
          </cell>
          <cell r="R674">
            <v>62121.691408626539</v>
          </cell>
          <cell r="S674">
            <v>37291.211185321852</v>
          </cell>
          <cell r="U674">
            <v>0</v>
          </cell>
          <cell r="W674">
            <v>-159477</v>
          </cell>
          <cell r="X674">
            <v>0</v>
          </cell>
          <cell r="Y674">
            <v>0</v>
          </cell>
          <cell r="Z674">
            <v>6212</v>
          </cell>
        </row>
        <row r="675">
          <cell r="C675" t="str">
            <v>A0256</v>
          </cell>
          <cell r="D675" t="str">
            <v>PT Gunung Sejahtera Ibu Pertiwi</v>
          </cell>
          <cell r="E675" t="str">
            <v>MPP</v>
          </cell>
          <cell r="F675" t="str">
            <v>56MPP</v>
          </cell>
          <cell r="J675">
            <v>0</v>
          </cell>
          <cell r="P675">
            <v>0</v>
          </cell>
          <cell r="Q675">
            <v>459734.70629585435</v>
          </cell>
          <cell r="R675">
            <v>57525.405178294444</v>
          </cell>
          <cell r="S675">
            <v>9581.5578000000005</v>
          </cell>
          <cell r="U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</row>
        <row r="676">
          <cell r="C676" t="str">
            <v>A0256</v>
          </cell>
          <cell r="D676" t="str">
            <v>PT Gunung Sejahtera Ibu Pertiwi</v>
          </cell>
          <cell r="E676" t="str">
            <v>ID</v>
          </cell>
          <cell r="F676" t="str">
            <v>56ID</v>
          </cell>
          <cell r="J676">
            <v>10.070798504171218</v>
          </cell>
          <cell r="P676">
            <v>25452</v>
          </cell>
          <cell r="Q676">
            <v>931739.26193916763</v>
          </cell>
          <cell r="R676">
            <v>137946.85570307871</v>
          </cell>
          <cell r="S676">
            <v>63923.920360962577</v>
          </cell>
          <cell r="U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25452</v>
          </cell>
        </row>
        <row r="677">
          <cell r="C677" t="str">
            <v>A0256</v>
          </cell>
          <cell r="D677" t="str">
            <v>PT Gunung Sejahtera Ibu Pertiwi</v>
          </cell>
          <cell r="E677" t="str">
            <v>LL</v>
          </cell>
          <cell r="F677" t="str">
            <v>56LL</v>
          </cell>
          <cell r="J677">
            <v>10.070798504171218</v>
          </cell>
          <cell r="P677">
            <v>930940</v>
          </cell>
          <cell r="Q677">
            <v>1333776.0250398617</v>
          </cell>
          <cell r="R677">
            <v>515141.92840949958</v>
          </cell>
          <cell r="S677">
            <v>635608.12841264717</v>
          </cell>
          <cell r="U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930940</v>
          </cell>
        </row>
        <row r="678">
          <cell r="C678" t="str">
            <v>A0256</v>
          </cell>
          <cell r="D678" t="str">
            <v>PT Gunung Sejahtera Ibu Pertiwi</v>
          </cell>
          <cell r="E678" t="str">
            <v>PMK</v>
          </cell>
          <cell r="F678" t="str">
            <v>56PMK</v>
          </cell>
          <cell r="J678">
            <v>10.070798504171218</v>
          </cell>
          <cell r="P678">
            <v>627152</v>
          </cell>
          <cell r="Q678">
            <v>1120246.6278402626</v>
          </cell>
          <cell r="R678">
            <v>200440.35281588684</v>
          </cell>
          <cell r="S678">
            <v>103950</v>
          </cell>
          <cell r="U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627152</v>
          </cell>
        </row>
        <row r="680">
          <cell r="C680" t="str">
            <v>A0250</v>
          </cell>
          <cell r="D680" t="str">
            <v>PT Gunung Sejahtera Puti Pesona</v>
          </cell>
          <cell r="E680" t="str">
            <v>PEB 1</v>
          </cell>
          <cell r="F680" t="str">
            <v>57PEB 1</v>
          </cell>
          <cell r="J680">
            <v>0</v>
          </cell>
          <cell r="N680">
            <v>0</v>
          </cell>
          <cell r="O680">
            <v>0</v>
          </cell>
          <cell r="P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10.589613646250569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1413218</v>
          </cell>
          <cell r="AL680">
            <v>2218095.0814368282</v>
          </cell>
          <cell r="AM680">
            <v>315754.80888638709</v>
          </cell>
          <cell r="AN680">
            <v>9928.5518880000018</v>
          </cell>
          <cell r="AO680">
            <v>0</v>
          </cell>
          <cell r="AP680">
            <v>0</v>
          </cell>
          <cell r="AQ680">
            <v>0</v>
          </cell>
          <cell r="AR680">
            <v>-627458</v>
          </cell>
          <cell r="AS680">
            <v>0</v>
          </cell>
          <cell r="AT680">
            <v>0</v>
          </cell>
          <cell r="AU680">
            <v>785760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10.600437192832388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2616269</v>
          </cell>
          <cell r="CB680">
            <v>3477834.0317151737</v>
          </cell>
          <cell r="CC680">
            <v>605019.91987391701</v>
          </cell>
          <cell r="CD680">
            <v>149811.44541438605</v>
          </cell>
          <cell r="CE680">
            <v>0</v>
          </cell>
          <cell r="CF680">
            <v>0</v>
          </cell>
          <cell r="CG680">
            <v>0</v>
          </cell>
          <cell r="CH680">
            <v>-1704123</v>
          </cell>
          <cell r="CI680">
            <v>-252093</v>
          </cell>
          <cell r="CJ680">
            <v>15289</v>
          </cell>
          <cell r="CK680">
            <v>660053</v>
          </cell>
          <cell r="CM680">
            <v>0</v>
          </cell>
          <cell r="CN680">
            <v>0</v>
          </cell>
          <cell r="CO680">
            <v>0</v>
          </cell>
          <cell r="CP680">
            <v>9.8996207580165461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55228</v>
          </cell>
          <cell r="CW680">
            <v>0</v>
          </cell>
          <cell r="CX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1228553</v>
          </cell>
          <cell r="DD680">
            <v>0</v>
          </cell>
          <cell r="DE680">
            <v>0</v>
          </cell>
          <cell r="DF680">
            <v>1283781</v>
          </cell>
          <cell r="DH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0</v>
          </cell>
          <cell r="DN680">
            <v>0</v>
          </cell>
          <cell r="DO680">
            <v>0</v>
          </cell>
          <cell r="DP680">
            <v>0</v>
          </cell>
          <cell r="DQ680">
            <v>0</v>
          </cell>
          <cell r="DR680">
            <v>0</v>
          </cell>
          <cell r="DS680">
            <v>0</v>
          </cell>
          <cell r="DT680">
            <v>0</v>
          </cell>
          <cell r="DU680">
            <v>0</v>
          </cell>
          <cell r="DV680">
            <v>0</v>
          </cell>
          <cell r="DW680">
            <v>0</v>
          </cell>
          <cell r="DX680">
            <v>0</v>
          </cell>
          <cell r="DY680">
            <v>0</v>
          </cell>
          <cell r="DZ680">
            <v>0</v>
          </cell>
          <cell r="EA680">
            <v>0</v>
          </cell>
          <cell r="EC680">
            <v>0</v>
          </cell>
          <cell r="ED680">
            <v>0</v>
          </cell>
          <cell r="EE680">
            <v>0</v>
          </cell>
          <cell r="EF680">
            <v>10.589613646250569</v>
          </cell>
          <cell r="EG680">
            <v>0</v>
          </cell>
          <cell r="EH680">
            <v>0</v>
          </cell>
          <cell r="EI680">
            <v>0</v>
          </cell>
          <cell r="EJ680">
            <v>0</v>
          </cell>
          <cell r="EK680">
            <v>0</v>
          </cell>
          <cell r="EL680">
            <v>180662</v>
          </cell>
          <cell r="EM680">
            <v>369324.92804009799</v>
          </cell>
          <cell r="EN680">
            <v>65875.183486055103</v>
          </cell>
          <cell r="EO680">
            <v>35593.400769891028</v>
          </cell>
          <cell r="EP680">
            <v>0</v>
          </cell>
          <cell r="EQ680">
            <v>0</v>
          </cell>
          <cell r="ER680">
            <v>0</v>
          </cell>
          <cell r="ES680">
            <v>-177059</v>
          </cell>
          <cell r="ET680">
            <v>0</v>
          </cell>
          <cell r="EU680">
            <v>0</v>
          </cell>
          <cell r="EV680">
            <v>3603</v>
          </cell>
          <cell r="EX680">
            <v>0</v>
          </cell>
          <cell r="EY680">
            <v>0</v>
          </cell>
          <cell r="EZ680">
            <v>0</v>
          </cell>
          <cell r="FA680">
            <v>0</v>
          </cell>
          <cell r="FB680">
            <v>0</v>
          </cell>
          <cell r="FC680">
            <v>0</v>
          </cell>
          <cell r="FD680">
            <v>0</v>
          </cell>
          <cell r="FE680">
            <v>0</v>
          </cell>
          <cell r="FF680">
            <v>0</v>
          </cell>
          <cell r="FG680">
            <v>0</v>
          </cell>
          <cell r="FH680">
            <v>395651.66689075541</v>
          </cell>
          <cell r="FI680">
            <v>66087.951126182088</v>
          </cell>
          <cell r="FJ680">
            <v>14183.913414000002</v>
          </cell>
          <cell r="FK680">
            <v>0</v>
          </cell>
          <cell r="FL680">
            <v>0</v>
          </cell>
          <cell r="FM680">
            <v>0</v>
          </cell>
          <cell r="FN680">
            <v>0</v>
          </cell>
          <cell r="FO680">
            <v>0</v>
          </cell>
          <cell r="FP680">
            <v>0</v>
          </cell>
          <cell r="FQ680">
            <v>0</v>
          </cell>
          <cell r="FS680">
            <v>0</v>
          </cell>
          <cell r="FT680">
            <v>0</v>
          </cell>
          <cell r="FU680">
            <v>0</v>
          </cell>
          <cell r="FV680">
            <v>10.589613646250569</v>
          </cell>
          <cell r="FW680">
            <v>0</v>
          </cell>
          <cell r="FX680">
            <v>0</v>
          </cell>
          <cell r="FY680">
            <v>0</v>
          </cell>
          <cell r="FZ680">
            <v>0</v>
          </cell>
          <cell r="GA680">
            <v>0</v>
          </cell>
          <cell r="GB680">
            <v>21790</v>
          </cell>
          <cell r="GC680">
            <v>897674.74338708608</v>
          </cell>
          <cell r="GD680">
            <v>148614.18570311743</v>
          </cell>
          <cell r="GE680">
            <v>51403.637658396576</v>
          </cell>
          <cell r="GF680">
            <v>0</v>
          </cell>
          <cell r="GG680">
            <v>0</v>
          </cell>
          <cell r="GH680">
            <v>0</v>
          </cell>
          <cell r="GI680">
            <v>0</v>
          </cell>
          <cell r="GJ680">
            <v>0</v>
          </cell>
          <cell r="GK680">
            <v>0</v>
          </cell>
          <cell r="GL680">
            <v>21790</v>
          </cell>
          <cell r="GN680">
            <v>0</v>
          </cell>
          <cell r="GO680">
            <v>0</v>
          </cell>
          <cell r="GP680">
            <v>0</v>
          </cell>
          <cell r="GQ680">
            <v>10.589613646250569</v>
          </cell>
          <cell r="GR680">
            <v>0</v>
          </cell>
          <cell r="GS680">
            <v>0</v>
          </cell>
          <cell r="GT680">
            <v>0</v>
          </cell>
          <cell r="GU680">
            <v>0</v>
          </cell>
          <cell r="GV680">
            <v>0</v>
          </cell>
          <cell r="GW680">
            <v>1031372</v>
          </cell>
          <cell r="GX680">
            <v>1308391.0831824639</v>
          </cell>
          <cell r="GY680">
            <v>526534.87772773113</v>
          </cell>
          <cell r="GZ680">
            <v>504988.0461998625</v>
          </cell>
          <cell r="HA680">
            <v>0</v>
          </cell>
          <cell r="HB680">
            <v>0</v>
          </cell>
          <cell r="HC680">
            <v>0</v>
          </cell>
          <cell r="HD680">
            <v>0</v>
          </cell>
          <cell r="HE680">
            <v>0</v>
          </cell>
          <cell r="HF680">
            <v>0</v>
          </cell>
          <cell r="HG680">
            <v>1031372</v>
          </cell>
          <cell r="HI680">
            <v>0</v>
          </cell>
          <cell r="HJ680">
            <v>0</v>
          </cell>
          <cell r="HK680">
            <v>0</v>
          </cell>
          <cell r="HL680">
            <v>10.589613646250569</v>
          </cell>
          <cell r="HM680">
            <v>0</v>
          </cell>
          <cell r="HN680">
            <v>0</v>
          </cell>
          <cell r="HO680">
            <v>0</v>
          </cell>
          <cell r="HP680">
            <v>0</v>
          </cell>
          <cell r="HQ680">
            <v>0</v>
          </cell>
          <cell r="HR680">
            <v>547783</v>
          </cell>
          <cell r="HS680">
            <v>1051807.7168902089</v>
          </cell>
          <cell r="HT680">
            <v>208115.87055846211</v>
          </cell>
          <cell r="HU680">
            <v>69300</v>
          </cell>
          <cell r="HV680">
            <v>0</v>
          </cell>
          <cell r="HW680">
            <v>0</v>
          </cell>
          <cell r="HX680">
            <v>0</v>
          </cell>
          <cell r="HY680">
            <v>0</v>
          </cell>
          <cell r="HZ680">
            <v>0</v>
          </cell>
          <cell r="IA680">
            <v>0</v>
          </cell>
          <cell r="IB680">
            <v>547783</v>
          </cell>
        </row>
        <row r="681">
          <cell r="C681" t="str">
            <v>A0250</v>
          </cell>
          <cell r="D681" t="str">
            <v>PT Gunung Sejahtera Puti Pesona</v>
          </cell>
          <cell r="E681" t="str">
            <v>PEB 2</v>
          </cell>
          <cell r="F681" t="str">
            <v>57PEB 2</v>
          </cell>
          <cell r="J681">
            <v>10.589613646250569</v>
          </cell>
          <cell r="P681">
            <v>1413218</v>
          </cell>
          <cell r="Q681">
            <v>2218095.0814368282</v>
          </cell>
          <cell r="R681">
            <v>315754.80888638709</v>
          </cell>
          <cell r="S681">
            <v>9928.5518880000018</v>
          </cell>
          <cell r="U681">
            <v>0</v>
          </cell>
          <cell r="W681">
            <v>-627458</v>
          </cell>
          <cell r="X681">
            <v>0</v>
          </cell>
          <cell r="Y681">
            <v>0</v>
          </cell>
          <cell r="Z681">
            <v>785760</v>
          </cell>
        </row>
        <row r="682">
          <cell r="C682" t="str">
            <v>A0250</v>
          </cell>
          <cell r="D682" t="str">
            <v>PT Gunung Sejahtera Puti Pesona</v>
          </cell>
          <cell r="E682" t="str">
            <v>PEB 3</v>
          </cell>
          <cell r="F682" t="str">
            <v>57PEB 3</v>
          </cell>
          <cell r="J682">
            <v>0</v>
          </cell>
          <cell r="P682">
            <v>0</v>
          </cell>
          <cell r="U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</row>
        <row r="683">
          <cell r="C683" t="str">
            <v>A0250</v>
          </cell>
          <cell r="D683" t="str">
            <v>PT Gunung Sejahtera Puti Pesona</v>
          </cell>
          <cell r="E683" t="str">
            <v>PEB 4</v>
          </cell>
          <cell r="F683" t="str">
            <v>57PEB 4</v>
          </cell>
          <cell r="J683">
            <v>10.600437192832388</v>
          </cell>
          <cell r="P683">
            <v>2616269</v>
          </cell>
          <cell r="Q683">
            <v>3477834.0317151737</v>
          </cell>
          <cell r="R683">
            <v>605019.91987391701</v>
          </cell>
          <cell r="S683">
            <v>149811.44541438605</v>
          </cell>
          <cell r="U683">
            <v>0</v>
          </cell>
          <cell r="W683">
            <v>-1704123</v>
          </cell>
          <cell r="X683">
            <v>-252093</v>
          </cell>
          <cell r="Y683">
            <v>15289</v>
          </cell>
          <cell r="Z683">
            <v>660053</v>
          </cell>
        </row>
        <row r="684">
          <cell r="C684" t="str">
            <v>A0250</v>
          </cell>
          <cell r="D684" t="str">
            <v>PT Gunung Sejahtera Puti Pesona</v>
          </cell>
          <cell r="E684" t="str">
            <v>PEB 5</v>
          </cell>
          <cell r="F684" t="str">
            <v>57PEB 5</v>
          </cell>
          <cell r="J684">
            <v>9.8996207580165461</v>
          </cell>
          <cell r="P684">
            <v>55228</v>
          </cell>
          <cell r="U684">
            <v>0</v>
          </cell>
          <cell r="W684">
            <v>1228553</v>
          </cell>
          <cell r="X684">
            <v>0</v>
          </cell>
          <cell r="Y684">
            <v>0</v>
          </cell>
          <cell r="Z684">
            <v>1283781</v>
          </cell>
        </row>
        <row r="685">
          <cell r="C685" t="str">
            <v>A0250</v>
          </cell>
          <cell r="D685" t="str">
            <v>PT Gunung Sejahtera Puti Pesona</v>
          </cell>
          <cell r="E685" t="str">
            <v>PEB 6</v>
          </cell>
          <cell r="F685" t="str">
            <v>57PEB 6</v>
          </cell>
          <cell r="J685">
            <v>0</v>
          </cell>
          <cell r="P685">
            <v>0</v>
          </cell>
          <cell r="U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</row>
        <row r="686">
          <cell r="C686" t="str">
            <v>A0250</v>
          </cell>
          <cell r="D686" t="str">
            <v>PT Gunung Sejahtera Puti Pesona</v>
          </cell>
          <cell r="E686" t="str">
            <v>PEB 7</v>
          </cell>
          <cell r="F686" t="str">
            <v>57PEB 7</v>
          </cell>
          <cell r="J686">
            <v>10.589613646250569</v>
          </cell>
          <cell r="P686">
            <v>180662</v>
          </cell>
          <cell r="Q686">
            <v>369324.92804009799</v>
          </cell>
          <cell r="R686">
            <v>65875.183486055103</v>
          </cell>
          <cell r="S686">
            <v>35593.400769891028</v>
          </cell>
          <cell r="U686">
            <v>0</v>
          </cell>
          <cell r="W686">
            <v>-177059</v>
          </cell>
          <cell r="X686">
            <v>0</v>
          </cell>
          <cell r="Y686">
            <v>0</v>
          </cell>
          <cell r="Z686">
            <v>3603</v>
          </cell>
        </row>
        <row r="687">
          <cell r="C687" t="str">
            <v>A0250</v>
          </cell>
          <cell r="D687" t="str">
            <v>PT Gunung Sejahtera Puti Pesona</v>
          </cell>
          <cell r="E687" t="str">
            <v>MPP</v>
          </cell>
          <cell r="F687" t="str">
            <v>57MPP</v>
          </cell>
          <cell r="J687">
            <v>0</v>
          </cell>
          <cell r="P687">
            <v>0</v>
          </cell>
          <cell r="Q687">
            <v>395651.66689075541</v>
          </cell>
          <cell r="R687">
            <v>66087.951126182088</v>
          </cell>
          <cell r="S687">
            <v>14183.913414000002</v>
          </cell>
          <cell r="U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</row>
        <row r="688">
          <cell r="C688" t="str">
            <v>A0250</v>
          </cell>
          <cell r="D688" t="str">
            <v>PT Gunung Sejahtera Puti Pesona</v>
          </cell>
          <cell r="E688" t="str">
            <v>ID</v>
          </cell>
          <cell r="F688" t="str">
            <v>57ID</v>
          </cell>
          <cell r="J688">
            <v>10.589613646250569</v>
          </cell>
          <cell r="P688">
            <v>21790</v>
          </cell>
          <cell r="Q688">
            <v>897674.74338708608</v>
          </cell>
          <cell r="R688">
            <v>148614.18570311743</v>
          </cell>
          <cell r="S688">
            <v>51403.637658396576</v>
          </cell>
          <cell r="U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21790</v>
          </cell>
        </row>
        <row r="689">
          <cell r="C689" t="str">
            <v>A0250</v>
          </cell>
          <cell r="D689" t="str">
            <v>PT Gunung Sejahtera Puti Pesona</v>
          </cell>
          <cell r="E689" t="str">
            <v>LL</v>
          </cell>
          <cell r="F689" t="str">
            <v>57LL</v>
          </cell>
          <cell r="J689">
            <v>10.589613646250569</v>
          </cell>
          <cell r="P689">
            <v>1031372</v>
          </cell>
          <cell r="Q689">
            <v>1308391.0831824639</v>
          </cell>
          <cell r="R689">
            <v>526534.87772773113</v>
          </cell>
          <cell r="S689">
            <v>504988.0461998625</v>
          </cell>
          <cell r="U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1031372</v>
          </cell>
        </row>
        <row r="690">
          <cell r="C690" t="str">
            <v>A0250</v>
          </cell>
          <cell r="D690" t="str">
            <v>PT Gunung Sejahtera Puti Pesona</v>
          </cell>
          <cell r="E690" t="str">
            <v>PMK</v>
          </cell>
          <cell r="F690" t="str">
            <v>57PMK</v>
          </cell>
          <cell r="J690">
            <v>10.589613646250569</v>
          </cell>
          <cell r="P690">
            <v>547783</v>
          </cell>
          <cell r="Q690">
            <v>1051807.7168902089</v>
          </cell>
          <cell r="R690">
            <v>208115.87055846211</v>
          </cell>
          <cell r="S690">
            <v>69300</v>
          </cell>
          <cell r="U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547783</v>
          </cell>
        </row>
        <row r="692">
          <cell r="C692" t="str">
            <v>A0252</v>
          </cell>
          <cell r="D692" t="str">
            <v>PT Gunung Sejahtera Yoli Makmur</v>
          </cell>
          <cell r="E692" t="str">
            <v>PEB 1</v>
          </cell>
          <cell r="F692" t="str">
            <v>58PEB 1</v>
          </cell>
          <cell r="J692">
            <v>0</v>
          </cell>
          <cell r="N692">
            <v>0</v>
          </cell>
          <cell r="O692">
            <v>0</v>
          </cell>
          <cell r="P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10.330948945712644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359951</v>
          </cell>
          <cell r="AL692">
            <v>635049.88753053546</v>
          </cell>
          <cell r="AM692">
            <v>112218.65961149185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-185075</v>
          </cell>
          <cell r="AS692">
            <v>0</v>
          </cell>
          <cell r="AT692">
            <v>0</v>
          </cell>
          <cell r="AU692">
            <v>174876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10.338087065392322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681424</v>
          </cell>
          <cell r="CB692">
            <v>800279.98195578821</v>
          </cell>
          <cell r="CC692">
            <v>163684.90175020145</v>
          </cell>
          <cell r="CD692">
            <v>20751.523516308695</v>
          </cell>
          <cell r="CE692">
            <v>0</v>
          </cell>
          <cell r="CF692">
            <v>0</v>
          </cell>
          <cell r="CG692">
            <v>0</v>
          </cell>
          <cell r="CH692">
            <v>-476158</v>
          </cell>
          <cell r="CI692">
            <v>-88054</v>
          </cell>
          <cell r="CJ692">
            <v>5793</v>
          </cell>
          <cell r="CK692">
            <v>117212</v>
          </cell>
          <cell r="CM692">
            <v>0</v>
          </cell>
          <cell r="CN692">
            <v>0</v>
          </cell>
          <cell r="CO692">
            <v>0</v>
          </cell>
          <cell r="CP692">
            <v>10.158464317046326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8337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365463</v>
          </cell>
          <cell r="DD692">
            <v>0</v>
          </cell>
          <cell r="DE692">
            <v>0</v>
          </cell>
          <cell r="DF692">
            <v>373800</v>
          </cell>
          <cell r="DH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O692">
            <v>0</v>
          </cell>
          <cell r="DP692">
            <v>0</v>
          </cell>
          <cell r="DQ692">
            <v>0</v>
          </cell>
          <cell r="DR692">
            <v>0</v>
          </cell>
          <cell r="DS692">
            <v>0</v>
          </cell>
          <cell r="DT692">
            <v>0</v>
          </cell>
          <cell r="DU692">
            <v>0</v>
          </cell>
          <cell r="DV692">
            <v>0</v>
          </cell>
          <cell r="DW692">
            <v>0</v>
          </cell>
          <cell r="DX692">
            <v>0</v>
          </cell>
          <cell r="DY692">
            <v>0</v>
          </cell>
          <cell r="DZ692">
            <v>0</v>
          </cell>
          <cell r="EA692">
            <v>0</v>
          </cell>
          <cell r="EC692">
            <v>0</v>
          </cell>
          <cell r="ED692">
            <v>0</v>
          </cell>
          <cell r="EE692">
            <v>0</v>
          </cell>
          <cell r="EF692">
            <v>10.330948945712644</v>
          </cell>
          <cell r="EG692">
            <v>0</v>
          </cell>
          <cell r="EH692">
            <v>0</v>
          </cell>
          <cell r="EI692">
            <v>0</v>
          </cell>
          <cell r="EJ692">
            <v>0</v>
          </cell>
          <cell r="EK692">
            <v>0</v>
          </cell>
          <cell r="EL692">
            <v>46872</v>
          </cell>
          <cell r="EM692">
            <v>102092.77907770293</v>
          </cell>
          <cell r="EN692">
            <v>23288.084886619479</v>
          </cell>
          <cell r="EO692">
            <v>9275.8444710647491</v>
          </cell>
          <cell r="EP692">
            <v>0</v>
          </cell>
          <cell r="EQ692">
            <v>0</v>
          </cell>
          <cell r="ER692">
            <v>0</v>
          </cell>
          <cell r="ES692">
            <v>-33463</v>
          </cell>
          <cell r="ET692">
            <v>0</v>
          </cell>
          <cell r="EU692">
            <v>0</v>
          </cell>
          <cell r="EV692">
            <v>13409</v>
          </cell>
          <cell r="EX692">
            <v>0</v>
          </cell>
          <cell r="EY692">
            <v>0</v>
          </cell>
          <cell r="EZ692">
            <v>0</v>
          </cell>
          <cell r="FA692">
            <v>0</v>
          </cell>
          <cell r="FB692">
            <v>0</v>
          </cell>
          <cell r="FC692">
            <v>0</v>
          </cell>
          <cell r="FD692">
            <v>0</v>
          </cell>
          <cell r="FE692">
            <v>0</v>
          </cell>
          <cell r="FF692">
            <v>0</v>
          </cell>
          <cell r="FG692">
            <v>0</v>
          </cell>
          <cell r="FH692">
            <v>115660.01520567674</v>
          </cell>
          <cell r="FI692">
            <v>22192.286614635566</v>
          </cell>
          <cell r="FJ692">
            <v>0</v>
          </cell>
          <cell r="FK692">
            <v>0</v>
          </cell>
          <cell r="FL692">
            <v>0</v>
          </cell>
          <cell r="FM692">
            <v>0</v>
          </cell>
          <cell r="FN692">
            <v>0</v>
          </cell>
          <cell r="FO692">
            <v>0</v>
          </cell>
          <cell r="FP692">
            <v>0</v>
          </cell>
          <cell r="FQ692">
            <v>0</v>
          </cell>
          <cell r="FS692">
            <v>0</v>
          </cell>
          <cell r="FT692">
            <v>0</v>
          </cell>
          <cell r="FU692">
            <v>0</v>
          </cell>
          <cell r="FV692">
            <v>10.330948945712644</v>
          </cell>
          <cell r="FW692">
            <v>0</v>
          </cell>
          <cell r="FX692">
            <v>0</v>
          </cell>
          <cell r="FY692">
            <v>0</v>
          </cell>
          <cell r="FZ692">
            <v>0</v>
          </cell>
          <cell r="GA692">
            <v>0</v>
          </cell>
          <cell r="GB692">
            <v>6176</v>
          </cell>
          <cell r="GC692">
            <v>252126.14352726142</v>
          </cell>
          <cell r="GD692">
            <v>55411.887808202984</v>
          </cell>
          <cell r="GE692">
            <v>16290.662468518225</v>
          </cell>
          <cell r="GF692">
            <v>0</v>
          </cell>
          <cell r="GG692">
            <v>0</v>
          </cell>
          <cell r="GH692">
            <v>0</v>
          </cell>
          <cell r="GI692">
            <v>0</v>
          </cell>
          <cell r="GJ692">
            <v>0</v>
          </cell>
          <cell r="GK692">
            <v>0</v>
          </cell>
          <cell r="GL692">
            <v>6176</v>
          </cell>
          <cell r="GN692">
            <v>0</v>
          </cell>
          <cell r="GO692">
            <v>0</v>
          </cell>
          <cell r="GP692">
            <v>0</v>
          </cell>
          <cell r="GQ692">
            <v>10.330948945712644</v>
          </cell>
          <cell r="GR692">
            <v>0</v>
          </cell>
          <cell r="GS692">
            <v>0</v>
          </cell>
          <cell r="GT692">
            <v>0</v>
          </cell>
          <cell r="GU692">
            <v>0</v>
          </cell>
          <cell r="GV692">
            <v>0</v>
          </cell>
          <cell r="GW692">
            <v>380586</v>
          </cell>
          <cell r="GX692">
            <v>432093.97403625184</v>
          </cell>
          <cell r="GY692">
            <v>181354.1888491775</v>
          </cell>
          <cell r="GZ692">
            <v>125870.38667586975</v>
          </cell>
          <cell r="HA692">
            <v>0</v>
          </cell>
          <cell r="HB692">
            <v>0</v>
          </cell>
          <cell r="HC692">
            <v>0</v>
          </cell>
          <cell r="HD692">
            <v>0</v>
          </cell>
          <cell r="HE692">
            <v>0</v>
          </cell>
          <cell r="HF692">
            <v>0</v>
          </cell>
          <cell r="HG692">
            <v>380586</v>
          </cell>
          <cell r="HI692">
            <v>0</v>
          </cell>
          <cell r="HJ692">
            <v>0</v>
          </cell>
          <cell r="HK692">
            <v>0</v>
          </cell>
          <cell r="HL692">
            <v>10.330948945712644</v>
          </cell>
          <cell r="HM692">
            <v>0</v>
          </cell>
          <cell r="HN692">
            <v>0</v>
          </cell>
          <cell r="HO692">
            <v>0</v>
          </cell>
          <cell r="HP692">
            <v>0</v>
          </cell>
          <cell r="HQ692">
            <v>0</v>
          </cell>
          <cell r="HR692">
            <v>163026</v>
          </cell>
          <cell r="HS692">
            <v>339181.59593194583</v>
          </cell>
          <cell r="HT692">
            <v>82058.000863784793</v>
          </cell>
          <cell r="HU692">
            <v>17325</v>
          </cell>
          <cell r="HV692">
            <v>0</v>
          </cell>
          <cell r="HW692">
            <v>0</v>
          </cell>
          <cell r="HX692">
            <v>0</v>
          </cell>
          <cell r="HY692">
            <v>0</v>
          </cell>
          <cell r="HZ692">
            <v>0</v>
          </cell>
          <cell r="IA692">
            <v>0</v>
          </cell>
          <cell r="IB692">
            <v>163026</v>
          </cell>
        </row>
        <row r="693">
          <cell r="C693" t="str">
            <v>A0252</v>
          </cell>
          <cell r="D693" t="str">
            <v>PT Gunung Sejahtera Yoli Makmur</v>
          </cell>
          <cell r="E693" t="str">
            <v>PEB 2</v>
          </cell>
          <cell r="F693" t="str">
            <v>58PEB 2</v>
          </cell>
          <cell r="J693">
            <v>10.330948945712644</v>
          </cell>
          <cell r="P693">
            <v>359951</v>
          </cell>
          <cell r="Q693">
            <v>635049.88753053546</v>
          </cell>
          <cell r="R693">
            <v>112218.65961149185</v>
          </cell>
          <cell r="S693">
            <v>0</v>
          </cell>
          <cell r="U693">
            <v>0</v>
          </cell>
          <cell r="W693">
            <v>-185075</v>
          </cell>
          <cell r="X693">
            <v>0</v>
          </cell>
          <cell r="Y693">
            <v>0</v>
          </cell>
          <cell r="Z693">
            <v>174876</v>
          </cell>
        </row>
        <row r="694">
          <cell r="C694" t="str">
            <v>A0252</v>
          </cell>
          <cell r="D694" t="str">
            <v>PT Gunung Sejahtera Yoli Makmur</v>
          </cell>
          <cell r="E694" t="str">
            <v>PEB 3</v>
          </cell>
          <cell r="F694" t="str">
            <v>58PEB 3</v>
          </cell>
          <cell r="J694">
            <v>0</v>
          </cell>
          <cell r="P694">
            <v>0</v>
          </cell>
          <cell r="U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</row>
        <row r="695">
          <cell r="C695" t="str">
            <v>A0252</v>
          </cell>
          <cell r="D695" t="str">
            <v>PT Gunung Sejahtera Yoli Makmur</v>
          </cell>
          <cell r="E695" t="str">
            <v>PEB 4</v>
          </cell>
          <cell r="F695" t="str">
            <v>58PEB 4</v>
          </cell>
          <cell r="J695">
            <v>10.338087065392322</v>
          </cell>
          <cell r="P695">
            <v>681424</v>
          </cell>
          <cell r="Q695">
            <v>800279.98195578821</v>
          </cell>
          <cell r="R695">
            <v>163684.90175020145</v>
          </cell>
          <cell r="S695">
            <v>20751.523516308695</v>
          </cell>
          <cell r="U695">
            <v>0</v>
          </cell>
          <cell r="W695">
            <v>-476158</v>
          </cell>
          <cell r="X695">
            <v>-88054</v>
          </cell>
          <cell r="Y695">
            <v>5793</v>
          </cell>
          <cell r="Z695">
            <v>117212</v>
          </cell>
        </row>
        <row r="696">
          <cell r="C696" t="str">
            <v>A0252</v>
          </cell>
          <cell r="D696" t="str">
            <v>PT Gunung Sejahtera Yoli Makmur</v>
          </cell>
          <cell r="E696" t="str">
            <v>PEB 5</v>
          </cell>
          <cell r="F696" t="str">
            <v>58PEB 5</v>
          </cell>
          <cell r="J696">
            <v>10.158464317046326</v>
          </cell>
          <cell r="P696">
            <v>8337</v>
          </cell>
          <cell r="U696">
            <v>0</v>
          </cell>
          <cell r="W696">
            <v>365463</v>
          </cell>
          <cell r="X696">
            <v>0</v>
          </cell>
          <cell r="Y696">
            <v>0</v>
          </cell>
          <cell r="Z696">
            <v>373800</v>
          </cell>
        </row>
        <row r="697">
          <cell r="C697" t="str">
            <v>A0252</v>
          </cell>
          <cell r="D697" t="str">
            <v>PT Gunung Sejahtera Yoli Makmur</v>
          </cell>
          <cell r="E697" t="str">
            <v>PEB 6</v>
          </cell>
          <cell r="F697" t="str">
            <v>58PEB 6</v>
          </cell>
          <cell r="J697">
            <v>0</v>
          </cell>
          <cell r="P697">
            <v>0</v>
          </cell>
          <cell r="U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</row>
        <row r="698">
          <cell r="C698" t="str">
            <v>A0252</v>
          </cell>
          <cell r="D698" t="str">
            <v>PT Gunung Sejahtera Yoli Makmur</v>
          </cell>
          <cell r="E698" t="str">
            <v>PEB 7</v>
          </cell>
          <cell r="F698" t="str">
            <v>58PEB 7</v>
          </cell>
          <cell r="J698">
            <v>10.330948945712644</v>
          </cell>
          <cell r="P698">
            <v>46872</v>
          </cell>
          <cell r="Q698">
            <v>102092.77907770293</v>
          </cell>
          <cell r="R698">
            <v>23288.084886619479</v>
          </cell>
          <cell r="S698">
            <v>9275.8444710647491</v>
          </cell>
          <cell r="U698">
            <v>0</v>
          </cell>
          <cell r="W698">
            <v>-33463</v>
          </cell>
          <cell r="X698">
            <v>0</v>
          </cell>
          <cell r="Y698">
            <v>0</v>
          </cell>
          <cell r="Z698">
            <v>13409</v>
          </cell>
        </row>
        <row r="699">
          <cell r="C699" t="str">
            <v>A0252</v>
          </cell>
          <cell r="D699" t="str">
            <v>PT Gunung Sejahtera Yoli Makmur</v>
          </cell>
          <cell r="E699" t="str">
            <v>MPP</v>
          </cell>
          <cell r="F699" t="str">
            <v>58MPP</v>
          </cell>
          <cell r="J699">
            <v>0</v>
          </cell>
          <cell r="P699">
            <v>0</v>
          </cell>
          <cell r="Q699">
            <v>115660.01520567674</v>
          </cell>
          <cell r="R699">
            <v>22192.286614635566</v>
          </cell>
          <cell r="S699">
            <v>0</v>
          </cell>
          <cell r="U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</row>
        <row r="700">
          <cell r="C700" t="str">
            <v>A0252</v>
          </cell>
          <cell r="D700" t="str">
            <v>PT Gunung Sejahtera Yoli Makmur</v>
          </cell>
          <cell r="E700" t="str">
            <v>ID</v>
          </cell>
          <cell r="F700" t="str">
            <v>58ID</v>
          </cell>
          <cell r="J700">
            <v>10.330948945712644</v>
          </cell>
          <cell r="P700">
            <v>6176</v>
          </cell>
          <cell r="Q700">
            <v>252126.14352726142</v>
          </cell>
          <cell r="R700">
            <v>55411.887808202984</v>
          </cell>
          <cell r="S700">
            <v>16290.662468518225</v>
          </cell>
          <cell r="U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6176</v>
          </cell>
        </row>
        <row r="701">
          <cell r="C701" t="str">
            <v>A0252</v>
          </cell>
          <cell r="D701" t="str">
            <v>PT Gunung Sejahtera Yoli Makmur</v>
          </cell>
          <cell r="E701" t="str">
            <v>LL</v>
          </cell>
          <cell r="F701" t="str">
            <v>58LL</v>
          </cell>
          <cell r="J701">
            <v>10.330948945712644</v>
          </cell>
          <cell r="P701">
            <v>380586</v>
          </cell>
          <cell r="Q701">
            <v>432093.97403625184</v>
          </cell>
          <cell r="R701">
            <v>181354.1888491775</v>
          </cell>
          <cell r="S701">
            <v>125870.38667586975</v>
          </cell>
          <cell r="U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380586</v>
          </cell>
        </row>
        <row r="702">
          <cell r="C702" t="str">
            <v>A0252</v>
          </cell>
          <cell r="D702" t="str">
            <v>PT Gunung Sejahtera Yoli Makmur</v>
          </cell>
          <cell r="E702" t="str">
            <v>PMK</v>
          </cell>
          <cell r="F702" t="str">
            <v>58PMK</v>
          </cell>
          <cell r="J702">
            <v>10.330948945712644</v>
          </cell>
          <cell r="P702">
            <v>163026</v>
          </cell>
          <cell r="Q702">
            <v>339181.59593194583</v>
          </cell>
          <cell r="R702">
            <v>82058.000863784793</v>
          </cell>
          <cell r="S702">
            <v>17325</v>
          </cell>
          <cell r="U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163026</v>
          </cell>
        </row>
        <row r="704">
          <cell r="C704" t="str">
            <v>A0077</v>
          </cell>
          <cell r="D704" t="str">
            <v>PT Indokarlo Perkasa</v>
          </cell>
          <cell r="E704" t="str">
            <v>PEB 1</v>
          </cell>
          <cell r="F704" t="str">
            <v>59PEB 1</v>
          </cell>
          <cell r="G704">
            <v>0.1</v>
          </cell>
          <cell r="H704">
            <v>0.1</v>
          </cell>
          <cell r="I704">
            <v>0.09</v>
          </cell>
          <cell r="J704">
            <v>11.369151914490509</v>
          </cell>
          <cell r="K704">
            <v>11.257827910271978</v>
          </cell>
          <cell r="L704">
            <v>0</v>
          </cell>
          <cell r="N704">
            <v>85916.376799999998</v>
          </cell>
          <cell r="O704">
            <v>6898.6480000000001</v>
          </cell>
          <cell r="P704">
            <v>342288.80957978946</v>
          </cell>
          <cell r="Q704">
            <v>65595.764929662138</v>
          </cell>
          <cell r="R704">
            <v>21880.231178592781</v>
          </cell>
          <cell r="S704">
            <v>831.00653198468808</v>
          </cell>
          <cell r="U704">
            <v>-163124.22203690041</v>
          </cell>
          <cell r="V704">
            <v>428817.14160000003</v>
          </cell>
          <cell r="W704">
            <v>-116048.77521517347</v>
          </cell>
          <cell r="X704">
            <v>0</v>
          </cell>
          <cell r="Y704">
            <v>0</v>
          </cell>
          <cell r="Z704">
            <v>63115.81232771559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W704">
            <v>0.1</v>
          </cell>
          <cell r="AX704">
            <v>0</v>
          </cell>
          <cell r="AY704">
            <v>0.09</v>
          </cell>
          <cell r="AZ704">
            <v>15.136165378379964</v>
          </cell>
          <cell r="BA704">
            <v>11.257827910271978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18078.232332989148</v>
          </cell>
          <cell r="BG704">
            <v>49844.877429953711</v>
          </cell>
          <cell r="BH704">
            <v>16626.339252320176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492.83827557444687</v>
          </cell>
          <cell r="BN704">
            <v>-1047.9189386560572</v>
          </cell>
          <cell r="BO704">
            <v>241.74078723415175</v>
          </cell>
          <cell r="BP704">
            <v>17523.151669907536</v>
          </cell>
          <cell r="BR704">
            <v>0.1</v>
          </cell>
          <cell r="BS704">
            <v>0</v>
          </cell>
          <cell r="BT704">
            <v>0.09</v>
          </cell>
          <cell r="BU704">
            <v>15.136165378379964</v>
          </cell>
          <cell r="BV704">
            <v>18.385563375923034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1139820.6524027297</v>
          </cell>
          <cell r="CB704">
            <v>705011.49386159028</v>
          </cell>
          <cell r="CC704">
            <v>112367.25500765067</v>
          </cell>
          <cell r="CD704">
            <v>164616.94516626289</v>
          </cell>
          <cell r="CE704">
            <v>0</v>
          </cell>
          <cell r="CF704">
            <v>0</v>
          </cell>
          <cell r="CG704">
            <v>0</v>
          </cell>
          <cell r="CH704">
            <v>979209.92691067001</v>
          </cell>
          <cell r="CI704">
            <v>-119111.76868034134</v>
          </cell>
          <cell r="CJ704">
            <v>27477.481003030691</v>
          </cell>
          <cell r="CK704">
            <v>1999918.8106330587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0</v>
          </cell>
          <cell r="DR704">
            <v>0</v>
          </cell>
          <cell r="DS704">
            <v>0</v>
          </cell>
          <cell r="DT704">
            <v>0</v>
          </cell>
          <cell r="DU704">
            <v>0</v>
          </cell>
          <cell r="DV704">
            <v>0</v>
          </cell>
          <cell r="DW704">
            <v>0</v>
          </cell>
          <cell r="DX704">
            <v>0</v>
          </cell>
          <cell r="DY704">
            <v>0</v>
          </cell>
          <cell r="DZ704">
            <v>0</v>
          </cell>
          <cell r="EA704">
            <v>0</v>
          </cell>
          <cell r="EC704">
            <v>0.1</v>
          </cell>
          <cell r="ED704">
            <v>0</v>
          </cell>
          <cell r="EE704">
            <v>0.09</v>
          </cell>
          <cell r="EF704">
            <v>15.136165378379964</v>
          </cell>
          <cell r="EG704">
            <v>18.369828860546324</v>
          </cell>
          <cell r="EH704">
            <v>0</v>
          </cell>
          <cell r="EI704">
            <v>0</v>
          </cell>
          <cell r="EJ704">
            <v>0</v>
          </cell>
          <cell r="EK704">
            <v>0</v>
          </cell>
          <cell r="EL704">
            <v>330252.93224823347</v>
          </cell>
          <cell r="EM704">
            <v>352586.23284404626</v>
          </cell>
          <cell r="EN704">
            <v>43568.362369431765</v>
          </cell>
          <cell r="EO704">
            <v>37117.891359347122</v>
          </cell>
          <cell r="EP704">
            <v>0</v>
          </cell>
          <cell r="EQ704">
            <v>0</v>
          </cell>
          <cell r="ER704">
            <v>0</v>
          </cell>
          <cell r="ES704">
            <v>5057.7982747873293</v>
          </cell>
          <cell r="ET704">
            <v>0</v>
          </cell>
          <cell r="EU704">
            <v>0</v>
          </cell>
          <cell r="EV704">
            <v>335310.73052302079</v>
          </cell>
          <cell r="EX704">
            <v>0</v>
          </cell>
          <cell r="EY704">
            <v>0</v>
          </cell>
          <cell r="EZ704">
            <v>0</v>
          </cell>
          <cell r="FA704">
            <v>0</v>
          </cell>
          <cell r="FB704">
            <v>0</v>
          </cell>
          <cell r="FC704">
            <v>0</v>
          </cell>
          <cell r="FD704">
            <v>0</v>
          </cell>
          <cell r="FE704">
            <v>0</v>
          </cell>
          <cell r="FF704">
            <v>0</v>
          </cell>
          <cell r="FG704">
            <v>0</v>
          </cell>
          <cell r="FH704">
            <v>0</v>
          </cell>
          <cell r="FI704">
            <v>0</v>
          </cell>
          <cell r="FJ704">
            <v>0</v>
          </cell>
          <cell r="FK704">
            <v>0</v>
          </cell>
          <cell r="FL704">
            <v>0</v>
          </cell>
          <cell r="FM704">
            <v>0</v>
          </cell>
          <cell r="FN704">
            <v>0</v>
          </cell>
          <cell r="FO704">
            <v>0</v>
          </cell>
          <cell r="FP704">
            <v>0</v>
          </cell>
          <cell r="FQ704">
            <v>0</v>
          </cell>
          <cell r="FS704">
            <v>0.1</v>
          </cell>
          <cell r="FT704">
            <v>0</v>
          </cell>
          <cell r="FU704">
            <v>0.09</v>
          </cell>
          <cell r="FV704">
            <v>15.136165378379964</v>
          </cell>
          <cell r="FW704">
            <v>18.369828860546324</v>
          </cell>
          <cell r="FX704">
            <v>0</v>
          </cell>
          <cell r="FY704">
            <v>0</v>
          </cell>
          <cell r="FZ704">
            <v>0</v>
          </cell>
          <cell r="GA704">
            <v>0</v>
          </cell>
          <cell r="GB704">
            <v>1140309.6842317434</v>
          </cell>
          <cell r="GC704">
            <v>896639.78256848955</v>
          </cell>
          <cell r="GD704">
            <v>93592.055141987948</v>
          </cell>
          <cell r="GE704">
            <v>54842.143567067913</v>
          </cell>
          <cell r="GF704">
            <v>0</v>
          </cell>
          <cell r="GG704">
            <v>0</v>
          </cell>
          <cell r="GH704">
            <v>0</v>
          </cell>
          <cell r="GI704">
            <v>110828.20167212152</v>
          </cell>
          <cell r="GJ704">
            <v>0</v>
          </cell>
          <cell r="GK704">
            <v>0</v>
          </cell>
          <cell r="GL704">
            <v>1251137.8859038649</v>
          </cell>
          <cell r="GN704">
            <v>0.1</v>
          </cell>
          <cell r="GO704">
            <v>0</v>
          </cell>
          <cell r="GP704">
            <v>0.09</v>
          </cell>
          <cell r="GQ704">
            <v>15.136165378379964</v>
          </cell>
          <cell r="GR704">
            <v>18.369828860546324</v>
          </cell>
          <cell r="GS704">
            <v>0</v>
          </cell>
          <cell r="GT704">
            <v>0</v>
          </cell>
          <cell r="GU704">
            <v>0</v>
          </cell>
          <cell r="GV704">
            <v>0</v>
          </cell>
          <cell r="GW704">
            <v>783693.44155619619</v>
          </cell>
          <cell r="GX704">
            <v>1206349.8545126203</v>
          </cell>
          <cell r="GY704">
            <v>377447.74709923239</v>
          </cell>
          <cell r="GZ704">
            <v>406200.82064997504</v>
          </cell>
          <cell r="HA704">
            <v>0</v>
          </cell>
          <cell r="HB704">
            <v>0</v>
          </cell>
          <cell r="HC704">
            <v>0</v>
          </cell>
          <cell r="HD704">
            <v>0</v>
          </cell>
          <cell r="HE704">
            <v>0</v>
          </cell>
          <cell r="HF704">
            <v>0</v>
          </cell>
          <cell r="HG704">
            <v>783693.44155619619</v>
          </cell>
          <cell r="HI704">
            <v>0.1</v>
          </cell>
          <cell r="HJ704">
            <v>0</v>
          </cell>
          <cell r="HK704">
            <v>0.09</v>
          </cell>
          <cell r="HL704">
            <v>15.136165378379964</v>
          </cell>
          <cell r="HM704">
            <v>18.369828860546324</v>
          </cell>
          <cell r="HN704">
            <v>0</v>
          </cell>
          <cell r="HO704">
            <v>0</v>
          </cell>
          <cell r="HP704">
            <v>0</v>
          </cell>
          <cell r="HQ704">
            <v>0</v>
          </cell>
          <cell r="HR704">
            <v>822149.59650784114</v>
          </cell>
          <cell r="HS704">
            <v>1475580.4346202149</v>
          </cell>
          <cell r="HT704">
            <v>212161.2019553076</v>
          </cell>
          <cell r="HU704">
            <v>176637.1</v>
          </cell>
          <cell r="HV704">
            <v>0</v>
          </cell>
          <cell r="HW704">
            <v>0</v>
          </cell>
          <cell r="HX704">
            <v>0</v>
          </cell>
          <cell r="HY704">
            <v>0</v>
          </cell>
          <cell r="HZ704">
            <v>0</v>
          </cell>
          <cell r="IA704">
            <v>0</v>
          </cell>
          <cell r="IB704">
            <v>822149.59650784114</v>
          </cell>
        </row>
        <row r="705">
          <cell r="C705" t="str">
            <v>A0077</v>
          </cell>
          <cell r="D705" t="str">
            <v>PT Indokarlo Perkasa</v>
          </cell>
          <cell r="E705" t="str">
            <v>PEB 2</v>
          </cell>
          <cell r="F705" t="str">
            <v>59PEB 2</v>
          </cell>
          <cell r="P705">
            <v>0</v>
          </cell>
          <cell r="U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</row>
        <row r="706">
          <cell r="C706" t="str">
            <v>A0077</v>
          </cell>
          <cell r="D706" t="str">
            <v>PT Indokarlo Perkasa</v>
          </cell>
          <cell r="E706" t="str">
            <v>PEB 3</v>
          </cell>
          <cell r="F706" t="str">
            <v>59PEB 3</v>
          </cell>
          <cell r="G706">
            <v>0.1</v>
          </cell>
          <cell r="I706">
            <v>0.09</v>
          </cell>
          <cell r="J706">
            <v>15.136165378379964</v>
          </cell>
          <cell r="K706">
            <v>11.257827910271978</v>
          </cell>
          <cell r="P706">
            <v>18078.232332989148</v>
          </cell>
          <cell r="Q706">
            <v>49844.877429953711</v>
          </cell>
          <cell r="R706">
            <v>16626.339252320176</v>
          </cell>
          <cell r="S706">
            <v>0</v>
          </cell>
          <cell r="U706">
            <v>0</v>
          </cell>
          <cell r="W706">
            <v>492.83827557444687</v>
          </cell>
          <cell r="X706">
            <v>-1047.9189386560572</v>
          </cell>
          <cell r="Y706">
            <v>241.74078723415175</v>
          </cell>
          <cell r="Z706">
            <v>17523.151669907536</v>
          </cell>
        </row>
        <row r="707">
          <cell r="C707" t="str">
            <v>A0077</v>
          </cell>
          <cell r="D707" t="str">
            <v>PT Indokarlo Perkasa</v>
          </cell>
          <cell r="E707" t="str">
            <v>PEB 4</v>
          </cell>
          <cell r="F707" t="str">
            <v>59PEB 4</v>
          </cell>
          <cell r="G707">
            <v>0.1</v>
          </cell>
          <cell r="I707">
            <v>0.09</v>
          </cell>
          <cell r="J707">
            <v>15.136165378379964</v>
          </cell>
          <cell r="K707">
            <v>18.385563375923034</v>
          </cell>
          <cell r="P707">
            <v>1139820.6524027297</v>
          </cell>
          <cell r="Q707">
            <v>705011.49386159028</v>
          </cell>
          <cell r="R707">
            <v>112367.25500765067</v>
          </cell>
          <cell r="S707">
            <v>164616.94516626289</v>
          </cell>
          <cell r="U707">
            <v>0</v>
          </cell>
          <cell r="W707">
            <v>979209.92691067001</v>
          </cell>
          <cell r="X707">
            <v>-119111.76868034134</v>
          </cell>
          <cell r="Y707">
            <v>27477.481003030691</v>
          </cell>
          <cell r="Z707">
            <v>1999918.8106330587</v>
          </cell>
        </row>
        <row r="708">
          <cell r="C708" t="str">
            <v>A0077</v>
          </cell>
          <cell r="D708" t="str">
            <v>PT Indokarlo Perkasa</v>
          </cell>
          <cell r="E708" t="str">
            <v>PEB 5</v>
          </cell>
          <cell r="F708" t="str">
            <v>59PEB 5</v>
          </cell>
          <cell r="P708">
            <v>0</v>
          </cell>
          <cell r="U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</row>
        <row r="709">
          <cell r="C709" t="str">
            <v>A0077</v>
          </cell>
          <cell r="D709" t="str">
            <v>PT Indokarlo Perkasa</v>
          </cell>
          <cell r="E709" t="str">
            <v>PEB 6</v>
          </cell>
          <cell r="F709" t="str">
            <v>59PEB 6</v>
          </cell>
          <cell r="P709">
            <v>0</v>
          </cell>
          <cell r="U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</row>
        <row r="710">
          <cell r="C710" t="str">
            <v>A0077</v>
          </cell>
          <cell r="D710" t="str">
            <v>PT Indokarlo Perkasa</v>
          </cell>
          <cell r="E710" t="str">
            <v>PEB 7</v>
          </cell>
          <cell r="F710" t="str">
            <v>59PEB 7</v>
          </cell>
          <cell r="G710">
            <v>0.1</v>
          </cell>
          <cell r="I710">
            <v>0.09</v>
          </cell>
          <cell r="J710">
            <v>15.136165378379964</v>
          </cell>
          <cell r="K710">
            <v>18.369828860546324</v>
          </cell>
          <cell r="P710">
            <v>330252.93224823347</v>
          </cell>
          <cell r="Q710">
            <v>352586.23284404626</v>
          </cell>
          <cell r="R710">
            <v>43568.362369431765</v>
          </cell>
          <cell r="S710">
            <v>37117.891359347122</v>
          </cell>
          <cell r="U710">
            <v>0</v>
          </cell>
          <cell r="W710">
            <v>5057.7982747873293</v>
          </cell>
          <cell r="X710">
            <v>0</v>
          </cell>
          <cell r="Y710">
            <v>0</v>
          </cell>
          <cell r="Z710">
            <v>335310.73052302079</v>
          </cell>
        </row>
        <row r="711">
          <cell r="C711" t="str">
            <v>A0077</v>
          </cell>
          <cell r="D711" t="str">
            <v>PT Indokarlo Perkasa</v>
          </cell>
          <cell r="E711" t="str">
            <v>MPP</v>
          </cell>
          <cell r="F711" t="str">
            <v>59MPP</v>
          </cell>
          <cell r="P711">
            <v>0</v>
          </cell>
          <cell r="U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</row>
        <row r="712">
          <cell r="C712" t="str">
            <v>A0077</v>
          </cell>
          <cell r="D712" t="str">
            <v>PT Indokarlo Perkasa</v>
          </cell>
          <cell r="E712" t="str">
            <v>ID</v>
          </cell>
          <cell r="F712" t="str">
            <v>59ID</v>
          </cell>
          <cell r="G712">
            <v>0.1</v>
          </cell>
          <cell r="I712">
            <v>0.09</v>
          </cell>
          <cell r="J712">
            <v>15.136165378379964</v>
          </cell>
          <cell r="K712">
            <v>18.369828860546324</v>
          </cell>
          <cell r="P712">
            <v>1140309.6842317434</v>
          </cell>
          <cell r="Q712">
            <v>896639.78256848955</v>
          </cell>
          <cell r="R712">
            <v>93592.055141987948</v>
          </cell>
          <cell r="S712">
            <v>54842.143567067913</v>
          </cell>
          <cell r="U712">
            <v>0</v>
          </cell>
          <cell r="W712">
            <v>110828.20167212152</v>
          </cell>
          <cell r="X712">
            <v>0</v>
          </cell>
          <cell r="Y712">
            <v>0</v>
          </cell>
          <cell r="Z712">
            <v>1251137.8859038649</v>
          </cell>
        </row>
        <row r="713">
          <cell r="C713" t="str">
            <v>A0077</v>
          </cell>
          <cell r="D713" t="str">
            <v>PT Indokarlo Perkasa</v>
          </cell>
          <cell r="E713" t="str">
            <v>LL</v>
          </cell>
          <cell r="F713" t="str">
            <v>59LL</v>
          </cell>
          <cell r="G713">
            <v>0.1</v>
          </cell>
          <cell r="I713">
            <v>0.09</v>
          </cell>
          <cell r="J713">
            <v>15.136165378379964</v>
          </cell>
          <cell r="K713">
            <v>18.369828860546324</v>
          </cell>
          <cell r="P713">
            <v>783693.44155619619</v>
          </cell>
          <cell r="Q713">
            <v>1206349.8545126203</v>
          </cell>
          <cell r="R713">
            <v>377447.74709923239</v>
          </cell>
          <cell r="S713">
            <v>406200.82064997504</v>
          </cell>
          <cell r="U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783693.44155619619</v>
          </cell>
        </row>
        <row r="714">
          <cell r="C714" t="str">
            <v>A0077</v>
          </cell>
          <cell r="D714" t="str">
            <v>PT Indokarlo Perkasa</v>
          </cell>
          <cell r="E714" t="str">
            <v>PMK</v>
          </cell>
          <cell r="F714" t="str">
            <v>59PMK</v>
          </cell>
          <cell r="G714">
            <v>0.1</v>
          </cell>
          <cell r="I714">
            <v>0.09</v>
          </cell>
          <cell r="J714">
            <v>15.136165378379964</v>
          </cell>
          <cell r="K714">
            <v>18.369828860546324</v>
          </cell>
          <cell r="P714">
            <v>822149.59650784114</v>
          </cell>
          <cell r="Q714">
            <v>1475580.4346202149</v>
          </cell>
          <cell r="R714">
            <v>212161.2019553076</v>
          </cell>
          <cell r="S714">
            <v>176637.1</v>
          </cell>
          <cell r="U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822149.59650784114</v>
          </cell>
        </row>
        <row r="716">
          <cell r="C716" t="str">
            <v>A0079</v>
          </cell>
          <cell r="D716" t="str">
            <v>PT Intertel Nusaperdana</v>
          </cell>
          <cell r="E716" t="str">
            <v>PEB 1</v>
          </cell>
          <cell r="F716" t="str">
            <v>60PEB 1</v>
          </cell>
          <cell r="G716">
            <v>0.1</v>
          </cell>
          <cell r="H716">
            <v>0.1</v>
          </cell>
          <cell r="I716">
            <v>0.09</v>
          </cell>
          <cell r="J716">
            <v>0</v>
          </cell>
          <cell r="L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36500.949704733299</v>
          </cell>
          <cell r="U716">
            <v>0</v>
          </cell>
          <cell r="V716">
            <v>416307.26666666672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B716">
            <v>0.1</v>
          </cell>
          <cell r="AC716">
            <v>0</v>
          </cell>
          <cell r="AD716">
            <v>0.09</v>
          </cell>
          <cell r="AE716">
            <v>9.9529904116056453</v>
          </cell>
          <cell r="AF716">
            <v>14.402177734051737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55724</v>
          </cell>
          <cell r="AL716">
            <v>92070.431810115464</v>
          </cell>
          <cell r="AM716">
            <v>6079.1684952059168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-15816</v>
          </cell>
          <cell r="AS716">
            <v>-10837</v>
          </cell>
          <cell r="AT716">
            <v>657</v>
          </cell>
          <cell r="AU716">
            <v>29071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 t="str">
            <v xml:space="preserve"> 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R716">
            <v>0.1</v>
          </cell>
          <cell r="BS716">
            <v>0</v>
          </cell>
          <cell r="BT716">
            <v>0.09</v>
          </cell>
          <cell r="BU716">
            <v>9.9529904116056453</v>
          </cell>
          <cell r="BV716">
            <v>14.402177734051737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35425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-14969</v>
          </cell>
          <cell r="CI716">
            <v>-4624</v>
          </cell>
          <cell r="CJ716">
            <v>289</v>
          </cell>
          <cell r="CK716">
            <v>15832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 t="str">
            <v xml:space="preserve"> 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O716">
            <v>0</v>
          </cell>
          <cell r="DP716">
            <v>0</v>
          </cell>
          <cell r="DQ716">
            <v>0</v>
          </cell>
          <cell r="DR716">
            <v>0</v>
          </cell>
          <cell r="DS716">
            <v>0</v>
          </cell>
          <cell r="DT716">
            <v>0</v>
          </cell>
          <cell r="DU716">
            <v>0</v>
          </cell>
          <cell r="DV716">
            <v>0</v>
          </cell>
          <cell r="DW716">
            <v>0</v>
          </cell>
          <cell r="DX716">
            <v>0</v>
          </cell>
          <cell r="DY716">
            <v>0</v>
          </cell>
          <cell r="DZ716">
            <v>0</v>
          </cell>
          <cell r="EA716">
            <v>0</v>
          </cell>
          <cell r="EC716">
            <v>0.1</v>
          </cell>
          <cell r="ED716">
            <v>0</v>
          </cell>
          <cell r="EE716">
            <v>0.09</v>
          </cell>
          <cell r="EF716">
            <v>9.9529904116056453</v>
          </cell>
          <cell r="EG716">
            <v>14.402177734051737</v>
          </cell>
          <cell r="EH716">
            <v>0</v>
          </cell>
          <cell r="EI716">
            <v>0</v>
          </cell>
          <cell r="EJ716">
            <v>0</v>
          </cell>
          <cell r="EK716">
            <v>0</v>
          </cell>
          <cell r="EL716">
            <v>8967</v>
          </cell>
          <cell r="EM716">
            <v>10883.034963001557</v>
          </cell>
          <cell r="EN716">
            <v>726.7089425570183</v>
          </cell>
          <cell r="EO716">
            <v>1175.0292312175145</v>
          </cell>
          <cell r="EP716">
            <v>0</v>
          </cell>
          <cell r="EQ716">
            <v>0</v>
          </cell>
          <cell r="ER716">
            <v>0</v>
          </cell>
          <cell r="ES716">
            <v>-6900</v>
          </cell>
          <cell r="ET716">
            <v>0</v>
          </cell>
          <cell r="EU716">
            <v>0</v>
          </cell>
          <cell r="EV716">
            <v>2067</v>
          </cell>
          <cell r="EX716">
            <v>0.1</v>
          </cell>
          <cell r="EY716">
            <v>0</v>
          </cell>
          <cell r="EZ716">
            <v>0.09</v>
          </cell>
          <cell r="FA716">
            <v>0</v>
          </cell>
          <cell r="FB716">
            <v>14.402177734051737</v>
          </cell>
          <cell r="FC716">
            <v>0</v>
          </cell>
          <cell r="FD716">
            <v>0</v>
          </cell>
          <cell r="FE716">
            <v>0</v>
          </cell>
          <cell r="FF716">
            <v>0</v>
          </cell>
          <cell r="FG716">
            <v>0</v>
          </cell>
          <cell r="FH716">
            <v>27621.12954303464</v>
          </cell>
          <cell r="FI716">
            <v>1823.7505485617748</v>
          </cell>
          <cell r="FJ716">
            <v>0</v>
          </cell>
          <cell r="FK716">
            <v>0</v>
          </cell>
          <cell r="FL716">
            <v>0</v>
          </cell>
          <cell r="FM716">
            <v>0</v>
          </cell>
          <cell r="FN716">
            <v>0</v>
          </cell>
          <cell r="FO716">
            <v>0</v>
          </cell>
          <cell r="FP716">
            <v>0</v>
          </cell>
          <cell r="FQ716">
            <v>0</v>
          </cell>
          <cell r="FS716">
            <v>0.1</v>
          </cell>
          <cell r="FT716">
            <v>0</v>
          </cell>
          <cell r="FU716">
            <v>0.09</v>
          </cell>
          <cell r="FV716">
            <v>9.9529904116056453</v>
          </cell>
          <cell r="FW716">
            <v>14.402177734051737</v>
          </cell>
          <cell r="FX716">
            <v>0</v>
          </cell>
          <cell r="FY716">
            <v>0</v>
          </cell>
          <cell r="FZ716">
            <v>0</v>
          </cell>
          <cell r="GA716">
            <v>0</v>
          </cell>
          <cell r="GB716">
            <v>613</v>
          </cell>
          <cell r="GC716">
            <v>31733.04346285692</v>
          </cell>
          <cell r="GD716">
            <v>2102.4047599054575</v>
          </cell>
          <cell r="GE716">
            <v>1585.9255987545414</v>
          </cell>
          <cell r="GF716">
            <v>0</v>
          </cell>
          <cell r="GG716">
            <v>0</v>
          </cell>
          <cell r="GH716">
            <v>0</v>
          </cell>
          <cell r="GI716">
            <v>0</v>
          </cell>
          <cell r="GJ716">
            <v>0</v>
          </cell>
          <cell r="GK716">
            <v>0</v>
          </cell>
          <cell r="GL716">
            <v>613</v>
          </cell>
          <cell r="GN716">
            <v>0.1</v>
          </cell>
          <cell r="GO716">
            <v>0</v>
          </cell>
          <cell r="GP716">
            <v>0.09</v>
          </cell>
          <cell r="GQ716">
            <v>9.9529904116056453</v>
          </cell>
          <cell r="GR716">
            <v>14.402177734051737</v>
          </cell>
          <cell r="GS716">
            <v>0</v>
          </cell>
          <cell r="GT716">
            <v>0</v>
          </cell>
          <cell r="GU716">
            <v>0</v>
          </cell>
          <cell r="GV716">
            <v>0</v>
          </cell>
          <cell r="GW716">
            <v>32577</v>
          </cell>
          <cell r="GX716">
            <v>36986.852680750482</v>
          </cell>
          <cell r="GY716">
            <v>9824.9444053051993</v>
          </cell>
          <cell r="GZ716">
            <v>35698.043795860889</v>
          </cell>
          <cell r="HA716">
            <v>0</v>
          </cell>
          <cell r="HB716">
            <v>0</v>
          </cell>
          <cell r="HC716">
            <v>0</v>
          </cell>
          <cell r="HD716">
            <v>0</v>
          </cell>
          <cell r="HE716">
            <v>0</v>
          </cell>
          <cell r="HF716">
            <v>0</v>
          </cell>
          <cell r="HG716">
            <v>32577</v>
          </cell>
          <cell r="HI716">
            <v>0.1</v>
          </cell>
          <cell r="HJ716">
            <v>0</v>
          </cell>
          <cell r="HK716">
            <v>0.09</v>
          </cell>
          <cell r="HL716">
            <v>9.9529904116056453</v>
          </cell>
          <cell r="HM716">
            <v>14.402177734051737</v>
          </cell>
          <cell r="HN716">
            <v>0</v>
          </cell>
          <cell r="HO716">
            <v>0</v>
          </cell>
          <cell r="HP716">
            <v>0</v>
          </cell>
          <cell r="HQ716">
            <v>0</v>
          </cell>
          <cell r="HR716">
            <v>23695</v>
          </cell>
          <cell r="HS716">
            <v>52070.751407603202</v>
          </cell>
          <cell r="HT716">
            <v>5834.7543023839471</v>
          </cell>
          <cell r="HU716">
            <v>0</v>
          </cell>
          <cell r="HV716">
            <v>0</v>
          </cell>
          <cell r="HW716">
            <v>0</v>
          </cell>
          <cell r="HX716">
            <v>0</v>
          </cell>
          <cell r="HY716">
            <v>0</v>
          </cell>
          <cell r="HZ716">
            <v>0</v>
          </cell>
          <cell r="IA716">
            <v>0</v>
          </cell>
          <cell r="IB716">
            <v>23695</v>
          </cell>
        </row>
        <row r="717">
          <cell r="C717" t="str">
            <v>A0079</v>
          </cell>
          <cell r="D717" t="str">
            <v>PT Intertel Nusaperdana</v>
          </cell>
          <cell r="E717" t="str">
            <v>PEB 2</v>
          </cell>
          <cell r="F717" t="str">
            <v>60PEB 2</v>
          </cell>
          <cell r="G717">
            <v>0.1</v>
          </cell>
          <cell r="I717">
            <v>0.09</v>
          </cell>
          <cell r="J717">
            <v>9.9529904116056453</v>
          </cell>
          <cell r="K717">
            <v>14.402177734051737</v>
          </cell>
          <cell r="P717">
            <v>55724</v>
          </cell>
          <cell r="Q717">
            <v>92070.431810115464</v>
          </cell>
          <cell r="R717">
            <v>6079.1684952059168</v>
          </cell>
          <cell r="S717">
            <v>0</v>
          </cell>
          <cell r="U717">
            <v>0</v>
          </cell>
          <cell r="W717">
            <v>-15816</v>
          </cell>
          <cell r="X717">
            <v>-10837</v>
          </cell>
          <cell r="Y717">
            <v>657</v>
          </cell>
          <cell r="Z717">
            <v>29071</v>
          </cell>
        </row>
        <row r="718">
          <cell r="C718" t="str">
            <v>A0079</v>
          </cell>
          <cell r="D718" t="str">
            <v>PT Intertel Nusaperdana</v>
          </cell>
          <cell r="E718" t="str">
            <v>PEB 3</v>
          </cell>
          <cell r="F718" t="str">
            <v>60PEB 3</v>
          </cell>
          <cell r="K718" t="str">
            <v xml:space="preserve"> </v>
          </cell>
          <cell r="P718">
            <v>0</v>
          </cell>
          <cell r="U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</row>
        <row r="719">
          <cell r="C719" t="str">
            <v>A0079</v>
          </cell>
          <cell r="D719" t="str">
            <v>PT Intertel Nusaperdana</v>
          </cell>
          <cell r="E719" t="str">
            <v>PEB 4</v>
          </cell>
          <cell r="F719" t="str">
            <v>60PEB 4</v>
          </cell>
          <cell r="G719">
            <v>0.1</v>
          </cell>
          <cell r="I719">
            <v>0.09</v>
          </cell>
          <cell r="J719">
            <v>9.9529904116056453</v>
          </cell>
          <cell r="K719">
            <v>14.402177734051737</v>
          </cell>
          <cell r="P719">
            <v>35425</v>
          </cell>
          <cell r="Q719">
            <v>0</v>
          </cell>
          <cell r="R719">
            <v>0</v>
          </cell>
          <cell r="S719">
            <v>0</v>
          </cell>
          <cell r="U719">
            <v>0</v>
          </cell>
          <cell r="W719">
            <v>-14969</v>
          </cell>
          <cell r="X719">
            <v>-4624</v>
          </cell>
          <cell r="Y719">
            <v>289</v>
          </cell>
          <cell r="Z719">
            <v>15832</v>
          </cell>
        </row>
        <row r="720">
          <cell r="C720" t="str">
            <v>A0079</v>
          </cell>
          <cell r="D720" t="str">
            <v>PT Intertel Nusaperdana</v>
          </cell>
          <cell r="E720" t="str">
            <v>PEB 5</v>
          </cell>
          <cell r="F720" t="str">
            <v>60PEB 5</v>
          </cell>
          <cell r="K720" t="str">
            <v xml:space="preserve"> </v>
          </cell>
          <cell r="P720">
            <v>0</v>
          </cell>
          <cell r="U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</row>
        <row r="721">
          <cell r="C721" t="str">
            <v>A0079</v>
          </cell>
          <cell r="D721" t="str">
            <v>PT Intertel Nusaperdana</v>
          </cell>
          <cell r="E721" t="str">
            <v>PEB 6</v>
          </cell>
          <cell r="F721" t="str">
            <v>60PEB 6</v>
          </cell>
          <cell r="P721">
            <v>0</v>
          </cell>
          <cell r="U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</row>
        <row r="722">
          <cell r="C722" t="str">
            <v>A0079</v>
          </cell>
          <cell r="D722" t="str">
            <v>PT Intertel Nusaperdana</v>
          </cell>
          <cell r="E722" t="str">
            <v>PEB 7</v>
          </cell>
          <cell r="F722" t="str">
            <v>60PEB 7</v>
          </cell>
          <cell r="G722">
            <v>0.1</v>
          </cell>
          <cell r="I722">
            <v>0.09</v>
          </cell>
          <cell r="J722">
            <v>9.9529904116056453</v>
          </cell>
          <cell r="K722">
            <v>14.402177734051737</v>
          </cell>
          <cell r="P722">
            <v>8967</v>
          </cell>
          <cell r="Q722">
            <v>10883.034963001557</v>
          </cell>
          <cell r="R722">
            <v>726.7089425570183</v>
          </cell>
          <cell r="S722">
            <v>1175.0292312175145</v>
          </cell>
          <cell r="U722">
            <v>0</v>
          </cell>
          <cell r="W722">
            <v>-6900</v>
          </cell>
          <cell r="X722">
            <v>0</v>
          </cell>
          <cell r="Y722">
            <v>0</v>
          </cell>
          <cell r="Z722">
            <v>2067</v>
          </cell>
        </row>
        <row r="723">
          <cell r="C723" t="str">
            <v>A0079</v>
          </cell>
          <cell r="D723" t="str">
            <v>PT Intertel Nusaperdana</v>
          </cell>
          <cell r="E723" t="str">
            <v>MPP</v>
          </cell>
          <cell r="F723" t="str">
            <v>60MPP</v>
          </cell>
          <cell r="G723">
            <v>0.1</v>
          </cell>
          <cell r="I723">
            <v>0.09</v>
          </cell>
          <cell r="J723">
            <v>0</v>
          </cell>
          <cell r="K723">
            <v>14.402177734051737</v>
          </cell>
          <cell r="P723">
            <v>0</v>
          </cell>
          <cell r="Q723">
            <v>27621.12954303464</v>
          </cell>
          <cell r="R723">
            <v>1823.7505485617748</v>
          </cell>
          <cell r="S723">
            <v>0</v>
          </cell>
          <cell r="U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</row>
        <row r="724">
          <cell r="C724" t="str">
            <v>A0079</v>
          </cell>
          <cell r="D724" t="str">
            <v>PT Intertel Nusaperdana</v>
          </cell>
          <cell r="E724" t="str">
            <v>ID</v>
          </cell>
          <cell r="F724" t="str">
            <v>60ID</v>
          </cell>
          <cell r="G724">
            <v>0.1</v>
          </cell>
          <cell r="I724">
            <v>0.09</v>
          </cell>
          <cell r="J724">
            <v>9.9529904116056453</v>
          </cell>
          <cell r="K724">
            <v>14.402177734051737</v>
          </cell>
          <cell r="P724">
            <v>613</v>
          </cell>
          <cell r="Q724">
            <v>31733.04346285692</v>
          </cell>
          <cell r="R724">
            <v>2102.4047599054575</v>
          </cell>
          <cell r="S724">
            <v>1585.9255987545414</v>
          </cell>
          <cell r="U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613</v>
          </cell>
        </row>
        <row r="725">
          <cell r="C725" t="str">
            <v>A0079</v>
          </cell>
          <cell r="D725" t="str">
            <v>PT Intertel Nusaperdana</v>
          </cell>
          <cell r="E725" t="str">
            <v>LL</v>
          </cell>
          <cell r="F725" t="str">
            <v>60LL</v>
          </cell>
          <cell r="G725">
            <v>0.1</v>
          </cell>
          <cell r="I725">
            <v>0.09</v>
          </cell>
          <cell r="J725">
            <v>9.9529904116056453</v>
          </cell>
          <cell r="K725">
            <v>14.402177734051737</v>
          </cell>
          <cell r="P725">
            <v>32577</v>
          </cell>
          <cell r="Q725">
            <v>36986.852680750482</v>
          </cell>
          <cell r="R725">
            <v>9824.9444053051993</v>
          </cell>
          <cell r="S725">
            <v>35698.043795860889</v>
          </cell>
          <cell r="U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32577</v>
          </cell>
        </row>
        <row r="726">
          <cell r="C726" t="str">
            <v>A0079</v>
          </cell>
          <cell r="D726" t="str">
            <v>PT Intertel Nusaperdana</v>
          </cell>
          <cell r="E726" t="str">
            <v>PMK</v>
          </cell>
          <cell r="F726" t="str">
            <v>60PMK</v>
          </cell>
          <cell r="G726">
            <v>0.1</v>
          </cell>
          <cell r="I726">
            <v>0.09</v>
          </cell>
          <cell r="J726">
            <v>9.9529904116056453</v>
          </cell>
          <cell r="K726">
            <v>14.402177734051737</v>
          </cell>
          <cell r="P726">
            <v>23695</v>
          </cell>
          <cell r="Q726">
            <v>52070.751407603202</v>
          </cell>
          <cell r="R726">
            <v>5834.7543023839471</v>
          </cell>
          <cell r="S726">
            <v>0</v>
          </cell>
          <cell r="U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23695</v>
          </cell>
        </row>
        <row r="728">
          <cell r="C728" t="str">
            <v>A0081</v>
          </cell>
          <cell r="D728" t="str">
            <v>PT Inti Pantja Press Industry</v>
          </cell>
          <cell r="E728" t="str">
            <v>PEB 1</v>
          </cell>
          <cell r="F728" t="str">
            <v>61PEB 1</v>
          </cell>
          <cell r="G728">
            <v>0.1</v>
          </cell>
          <cell r="H728">
            <v>0.1</v>
          </cell>
          <cell r="I728">
            <v>0.09</v>
          </cell>
          <cell r="J728">
            <v>8.0736676052496197</v>
          </cell>
          <cell r="K728">
            <v>8.449967540363394</v>
          </cell>
          <cell r="L728">
            <v>0</v>
          </cell>
          <cell r="N728">
            <v>585153.24479999999</v>
          </cell>
          <cell r="O728">
            <v>95488.504000000001</v>
          </cell>
          <cell r="P728">
            <v>5040803</v>
          </cell>
          <cell r="Q728">
            <v>7146013.8878401611</v>
          </cell>
          <cell r="R728">
            <v>347873.17093121342</v>
          </cell>
          <cell r="S728">
            <v>348813.0564921358</v>
          </cell>
          <cell r="U728">
            <v>-3774124</v>
          </cell>
          <cell r="V728">
            <v>6564018.3829333344</v>
          </cell>
          <cell r="W728">
            <v>-1357894</v>
          </cell>
          <cell r="X728">
            <v>0</v>
          </cell>
          <cell r="Y728">
            <v>0</v>
          </cell>
          <cell r="Z728">
            <v>-182430</v>
          </cell>
          <cell r="AB728">
            <v>0.1</v>
          </cell>
          <cell r="AC728">
            <v>0</v>
          </cell>
          <cell r="AD728">
            <v>0.09</v>
          </cell>
          <cell r="AE728">
            <v>9.6460171158971537</v>
          </cell>
          <cell r="AF728">
            <v>12.714154661613016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2116331</v>
          </cell>
          <cell r="AL728">
            <v>2902139.116244033</v>
          </cell>
          <cell r="AM728">
            <v>174020.09504285856</v>
          </cell>
          <cell r="AN728">
            <v>83087.429999999993</v>
          </cell>
          <cell r="AO728">
            <v>0</v>
          </cell>
          <cell r="AP728">
            <v>0</v>
          </cell>
          <cell r="AQ728">
            <v>0</v>
          </cell>
          <cell r="AR728">
            <v>-405311</v>
          </cell>
          <cell r="AS728">
            <v>-654669</v>
          </cell>
          <cell r="AT728">
            <v>46797</v>
          </cell>
          <cell r="AU728">
            <v>1056351</v>
          </cell>
          <cell r="AW728">
            <v>0.1</v>
          </cell>
          <cell r="AX728">
            <v>0</v>
          </cell>
          <cell r="AY728">
            <v>0.09</v>
          </cell>
          <cell r="AZ728">
            <v>8.0736676052496197</v>
          </cell>
          <cell r="BA728">
            <v>8.449967540363394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295663</v>
          </cell>
          <cell r="BG728">
            <v>413892.46136861056</v>
          </cell>
          <cell r="BH728">
            <v>21648.789239210604</v>
          </cell>
          <cell r="BI728">
            <v>68548.779099999985</v>
          </cell>
          <cell r="BJ728">
            <v>0</v>
          </cell>
          <cell r="BK728">
            <v>0</v>
          </cell>
          <cell r="BL728">
            <v>0</v>
          </cell>
          <cell r="BM728">
            <v>79765</v>
          </cell>
          <cell r="BN728">
            <v>-241451</v>
          </cell>
          <cell r="BO728">
            <v>22332</v>
          </cell>
          <cell r="BP728">
            <v>133977</v>
          </cell>
          <cell r="BR728">
            <v>0.1</v>
          </cell>
          <cell r="BS728">
            <v>0</v>
          </cell>
          <cell r="BT728">
            <v>0.09</v>
          </cell>
          <cell r="BU728">
            <v>9.9136469277994657</v>
          </cell>
          <cell r="BV728">
            <v>15.099208475193311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1142529</v>
          </cell>
          <cell r="CB728">
            <v>504856.11038136622</v>
          </cell>
          <cell r="CC728">
            <v>42130.2881030235</v>
          </cell>
          <cell r="CD728">
            <v>40909.645754418998</v>
          </cell>
          <cell r="CE728">
            <v>0</v>
          </cell>
          <cell r="CF728">
            <v>0</v>
          </cell>
          <cell r="CG728">
            <v>0</v>
          </cell>
          <cell r="CH728">
            <v>-345811</v>
          </cell>
          <cell r="CI728">
            <v>-156855</v>
          </cell>
          <cell r="CJ728">
            <v>9366</v>
          </cell>
          <cell r="CK728">
            <v>639863</v>
          </cell>
          <cell r="CM728">
            <v>0</v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O728">
            <v>0</v>
          </cell>
          <cell r="DP728">
            <v>0</v>
          </cell>
          <cell r="DQ728">
            <v>0</v>
          </cell>
          <cell r="DR728">
            <v>0</v>
          </cell>
          <cell r="DS728">
            <v>0</v>
          </cell>
          <cell r="DT728">
            <v>0</v>
          </cell>
          <cell r="DU728">
            <v>0</v>
          </cell>
          <cell r="DV728">
            <v>0</v>
          </cell>
          <cell r="DW728">
            <v>0</v>
          </cell>
          <cell r="DX728">
            <v>0</v>
          </cell>
          <cell r="DY728">
            <v>0</v>
          </cell>
          <cell r="DZ728">
            <v>0</v>
          </cell>
          <cell r="EA728">
            <v>0</v>
          </cell>
          <cell r="EC728">
            <v>0.1</v>
          </cell>
          <cell r="ED728">
            <v>0</v>
          </cell>
          <cell r="EE728">
            <v>0.09</v>
          </cell>
          <cell r="EF728">
            <v>9.6460171158971537</v>
          </cell>
          <cell r="EG728">
            <v>12.714154661613016</v>
          </cell>
          <cell r="EH728">
            <v>0</v>
          </cell>
          <cell r="EI728">
            <v>0</v>
          </cell>
          <cell r="EJ728">
            <v>0</v>
          </cell>
          <cell r="EK728">
            <v>0</v>
          </cell>
          <cell r="EL728">
            <v>180096</v>
          </cell>
          <cell r="EM728">
            <v>209837.44156053651</v>
          </cell>
          <cell r="EN728">
            <v>14881.047909110035</v>
          </cell>
          <cell r="EO728">
            <v>26713.47325429054</v>
          </cell>
          <cell r="EP728">
            <v>0</v>
          </cell>
          <cell r="EQ728">
            <v>0</v>
          </cell>
          <cell r="ER728">
            <v>0</v>
          </cell>
          <cell r="ES728">
            <v>-171921</v>
          </cell>
          <cell r="ET728">
            <v>0</v>
          </cell>
          <cell r="EU728">
            <v>0</v>
          </cell>
          <cell r="EV728">
            <v>8175</v>
          </cell>
          <cell r="EX728">
            <v>0.1</v>
          </cell>
          <cell r="EY728">
            <v>0</v>
          </cell>
          <cell r="EZ728">
            <v>0.09</v>
          </cell>
          <cell r="FA728">
            <v>0</v>
          </cell>
          <cell r="FB728">
            <v>12.714154661613016</v>
          </cell>
          <cell r="FC728">
            <v>0</v>
          </cell>
          <cell r="FD728">
            <v>0</v>
          </cell>
          <cell r="FE728">
            <v>0</v>
          </cell>
          <cell r="FF728">
            <v>0</v>
          </cell>
          <cell r="FG728">
            <v>0</v>
          </cell>
          <cell r="FH728">
            <v>472788.63434181141</v>
          </cell>
          <cell r="FI728">
            <v>28369.362339311967</v>
          </cell>
          <cell r="FJ728">
            <v>16786.544999999998</v>
          </cell>
          <cell r="FK728">
            <v>0</v>
          </cell>
          <cell r="FL728">
            <v>0</v>
          </cell>
          <cell r="FM728">
            <v>0</v>
          </cell>
          <cell r="FN728">
            <v>0</v>
          </cell>
          <cell r="FO728">
            <v>0</v>
          </cell>
          <cell r="FP728">
            <v>0</v>
          </cell>
          <cell r="FQ728">
            <v>0</v>
          </cell>
          <cell r="FS728">
            <v>0.1</v>
          </cell>
          <cell r="FT728">
            <v>0</v>
          </cell>
          <cell r="FU728">
            <v>0.09</v>
          </cell>
          <cell r="FV728">
            <v>9.6460171158971537</v>
          </cell>
          <cell r="FW728">
            <v>12.714154661613016</v>
          </cell>
          <cell r="FX728">
            <v>0</v>
          </cell>
          <cell r="FY728">
            <v>0</v>
          </cell>
          <cell r="FZ728">
            <v>0</v>
          </cell>
          <cell r="GA728">
            <v>0</v>
          </cell>
          <cell r="GB728">
            <v>50047</v>
          </cell>
          <cell r="GC728">
            <v>707170.11005124322</v>
          </cell>
          <cell r="GD728">
            <v>46005.548648159958</v>
          </cell>
          <cell r="GE728">
            <v>66195.928801373608</v>
          </cell>
          <cell r="GF728">
            <v>0</v>
          </cell>
          <cell r="GG728">
            <v>0</v>
          </cell>
          <cell r="GH728">
            <v>0</v>
          </cell>
          <cell r="GI728">
            <v>0</v>
          </cell>
          <cell r="GJ728">
            <v>0</v>
          </cell>
          <cell r="GK728">
            <v>0</v>
          </cell>
          <cell r="GL728">
            <v>50047</v>
          </cell>
          <cell r="GN728">
            <v>0.1</v>
          </cell>
          <cell r="GO728">
            <v>0</v>
          </cell>
          <cell r="GP728">
            <v>0.09</v>
          </cell>
          <cell r="GQ728">
            <v>9.6460171158971537</v>
          </cell>
          <cell r="GR728">
            <v>12.714154661613016</v>
          </cell>
          <cell r="GS728">
            <v>0</v>
          </cell>
          <cell r="GT728">
            <v>0</v>
          </cell>
          <cell r="GU728">
            <v>0</v>
          </cell>
          <cell r="GV728">
            <v>0</v>
          </cell>
          <cell r="GW728">
            <v>813115</v>
          </cell>
          <cell r="GX728">
            <v>956055.03966803744</v>
          </cell>
          <cell r="GY728">
            <v>247736.90428331614</v>
          </cell>
          <cell r="GZ728">
            <v>578182.09097020444</v>
          </cell>
          <cell r="HA728">
            <v>0</v>
          </cell>
          <cell r="HB728">
            <v>0</v>
          </cell>
          <cell r="HC728">
            <v>0</v>
          </cell>
          <cell r="HD728">
            <v>0</v>
          </cell>
          <cell r="HE728">
            <v>0</v>
          </cell>
          <cell r="HF728">
            <v>0</v>
          </cell>
          <cell r="HG728">
            <v>813115</v>
          </cell>
          <cell r="HI728">
            <v>0.1</v>
          </cell>
          <cell r="HJ728">
            <v>0</v>
          </cell>
          <cell r="HK728">
            <v>0.09</v>
          </cell>
          <cell r="HL728">
            <v>9.6460171158971537</v>
          </cell>
          <cell r="HM728">
            <v>12.714154661613016</v>
          </cell>
          <cell r="HN728">
            <v>0</v>
          </cell>
          <cell r="HO728">
            <v>0</v>
          </cell>
          <cell r="HP728">
            <v>0</v>
          </cell>
          <cell r="HQ728">
            <v>0</v>
          </cell>
          <cell r="HR728">
            <v>1392237</v>
          </cell>
          <cell r="HS728">
            <v>1622560.2362892902</v>
          </cell>
          <cell r="HT728">
            <v>148492.28175927716</v>
          </cell>
          <cell r="HU728">
            <v>289386</v>
          </cell>
          <cell r="HV728">
            <v>0</v>
          </cell>
          <cell r="HW728">
            <v>0</v>
          </cell>
          <cell r="HX728">
            <v>0</v>
          </cell>
          <cell r="HY728">
            <v>0</v>
          </cell>
          <cell r="HZ728">
            <v>0</v>
          </cell>
          <cell r="IA728">
            <v>0</v>
          </cell>
          <cell r="IB728">
            <v>1392237</v>
          </cell>
        </row>
        <row r="729">
          <cell r="C729" t="str">
            <v>A0081</v>
          </cell>
          <cell r="D729" t="str">
            <v>PT Inti Pantja Press Industry</v>
          </cell>
          <cell r="E729" t="str">
            <v>PEB 2</v>
          </cell>
          <cell r="F729" t="str">
            <v>61PEB 2</v>
          </cell>
          <cell r="G729">
            <v>0.1</v>
          </cell>
          <cell r="I729">
            <v>0.09</v>
          </cell>
          <cell r="J729">
            <v>9.6460171158971537</v>
          </cell>
          <cell r="K729">
            <v>12.714154661613016</v>
          </cell>
          <cell r="P729">
            <v>2116331</v>
          </cell>
          <cell r="Q729">
            <v>2902139.116244033</v>
          </cell>
          <cell r="R729">
            <v>174020.09504285856</v>
          </cell>
          <cell r="S729">
            <v>83087.429999999993</v>
          </cell>
          <cell r="U729">
            <v>0</v>
          </cell>
          <cell r="W729">
            <v>-405311</v>
          </cell>
          <cell r="X729">
            <v>-654669</v>
          </cell>
          <cell r="Y729">
            <v>46797</v>
          </cell>
          <cell r="Z729">
            <v>1056351</v>
          </cell>
        </row>
        <row r="730">
          <cell r="C730" t="str">
            <v>A0081</v>
          </cell>
          <cell r="D730" t="str">
            <v>PT Inti Pantja Press Industry</v>
          </cell>
          <cell r="E730" t="str">
            <v>PEB 3</v>
          </cell>
          <cell r="F730" t="str">
            <v>61PEB 3</v>
          </cell>
          <cell r="G730">
            <v>0.1</v>
          </cell>
          <cell r="I730">
            <v>0.09</v>
          </cell>
          <cell r="J730">
            <v>8.0736676052496197</v>
          </cell>
          <cell r="K730">
            <v>8.449967540363394</v>
          </cell>
          <cell r="P730">
            <v>295663</v>
          </cell>
          <cell r="Q730">
            <v>413892.46136861056</v>
          </cell>
          <cell r="R730">
            <v>21648.789239210604</v>
          </cell>
          <cell r="S730">
            <v>68548.779099999985</v>
          </cell>
          <cell r="U730">
            <v>0</v>
          </cell>
          <cell r="W730">
            <v>79765</v>
          </cell>
          <cell r="X730">
            <v>-241451</v>
          </cell>
          <cell r="Y730">
            <v>22332</v>
          </cell>
          <cell r="Z730">
            <v>133977</v>
          </cell>
        </row>
        <row r="731">
          <cell r="C731" t="str">
            <v>A0081</v>
          </cell>
          <cell r="D731" t="str">
            <v>PT Inti Pantja Press Industry</v>
          </cell>
          <cell r="E731" t="str">
            <v>PEB 4</v>
          </cell>
          <cell r="F731" t="str">
            <v>61PEB 4</v>
          </cell>
          <cell r="G731">
            <v>0.1</v>
          </cell>
          <cell r="I731">
            <v>0.09</v>
          </cell>
          <cell r="J731">
            <v>9.9136469277994657</v>
          </cell>
          <cell r="K731">
            <v>15.099208475193311</v>
          </cell>
          <cell r="P731">
            <v>1142529</v>
          </cell>
          <cell r="Q731">
            <v>504856.11038136622</v>
          </cell>
          <cell r="R731">
            <v>42130.2881030235</v>
          </cell>
          <cell r="S731">
            <v>40909.645754418998</v>
          </cell>
          <cell r="U731">
            <v>0</v>
          </cell>
          <cell r="W731">
            <v>-345811</v>
          </cell>
          <cell r="X731">
            <v>-156855</v>
          </cell>
          <cell r="Y731">
            <v>9366</v>
          </cell>
          <cell r="Z731">
            <v>639863</v>
          </cell>
        </row>
        <row r="732">
          <cell r="C732" t="str">
            <v>A0081</v>
          </cell>
          <cell r="D732" t="str">
            <v>PT Inti Pantja Press Industry</v>
          </cell>
          <cell r="E732" t="str">
            <v>PEB 5</v>
          </cell>
          <cell r="F732" t="str">
            <v>61PEB 5</v>
          </cell>
          <cell r="P732">
            <v>0</v>
          </cell>
          <cell r="U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</row>
        <row r="733">
          <cell r="C733" t="str">
            <v>A0081</v>
          </cell>
          <cell r="D733" t="str">
            <v>PT Inti Pantja Press Industry</v>
          </cell>
          <cell r="E733" t="str">
            <v>PEB 6</v>
          </cell>
          <cell r="F733" t="str">
            <v>61PEB 6</v>
          </cell>
          <cell r="P733">
            <v>0</v>
          </cell>
          <cell r="U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</row>
        <row r="734">
          <cell r="C734" t="str">
            <v>A0081</v>
          </cell>
          <cell r="D734" t="str">
            <v>PT Inti Pantja Press Industry</v>
          </cell>
          <cell r="E734" t="str">
            <v>PEB 7</v>
          </cell>
          <cell r="F734" t="str">
            <v>61PEB 7</v>
          </cell>
          <cell r="G734">
            <v>0.1</v>
          </cell>
          <cell r="I734">
            <v>0.09</v>
          </cell>
          <cell r="J734">
            <v>9.6460171158971537</v>
          </cell>
          <cell r="K734">
            <v>12.714154661613016</v>
          </cell>
          <cell r="P734">
            <v>180096</v>
          </cell>
          <cell r="Q734">
            <v>209837.44156053651</v>
          </cell>
          <cell r="R734">
            <v>14881.047909110035</v>
          </cell>
          <cell r="S734">
            <v>26713.47325429054</v>
          </cell>
          <cell r="U734">
            <v>0</v>
          </cell>
          <cell r="W734">
            <v>-171921</v>
          </cell>
          <cell r="X734">
            <v>0</v>
          </cell>
          <cell r="Y734">
            <v>0</v>
          </cell>
          <cell r="Z734">
            <v>8175</v>
          </cell>
        </row>
        <row r="735">
          <cell r="C735" t="str">
            <v>A0081</v>
          </cell>
          <cell r="D735" t="str">
            <v>PT Inti Pantja Press Industry</v>
          </cell>
          <cell r="E735" t="str">
            <v>MPP</v>
          </cell>
          <cell r="F735" t="str">
            <v>61MPP</v>
          </cell>
          <cell r="G735">
            <v>0.1</v>
          </cell>
          <cell r="I735">
            <v>0.09</v>
          </cell>
          <cell r="J735">
            <v>0</v>
          </cell>
          <cell r="K735">
            <v>12.714154661613016</v>
          </cell>
          <cell r="P735">
            <v>0</v>
          </cell>
          <cell r="Q735">
            <v>472788.63434181141</v>
          </cell>
          <cell r="R735">
            <v>28369.362339311967</v>
          </cell>
          <cell r="S735">
            <v>16786.544999999998</v>
          </cell>
          <cell r="U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</row>
        <row r="736">
          <cell r="C736" t="str">
            <v>A0081</v>
          </cell>
          <cell r="D736" t="str">
            <v>PT Inti Pantja Press Industry</v>
          </cell>
          <cell r="E736" t="str">
            <v>ID</v>
          </cell>
          <cell r="F736" t="str">
            <v>61ID</v>
          </cell>
          <cell r="G736">
            <v>0.1</v>
          </cell>
          <cell r="I736">
            <v>0.09</v>
          </cell>
          <cell r="J736">
            <v>9.6460171158971537</v>
          </cell>
          <cell r="K736">
            <v>12.714154661613016</v>
          </cell>
          <cell r="P736">
            <v>50047</v>
          </cell>
          <cell r="Q736">
            <v>707170.11005124322</v>
          </cell>
          <cell r="R736">
            <v>46005.548648159958</v>
          </cell>
          <cell r="S736">
            <v>66195.928801373608</v>
          </cell>
          <cell r="U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50047</v>
          </cell>
        </row>
        <row r="737">
          <cell r="C737" t="str">
            <v>A0081</v>
          </cell>
          <cell r="D737" t="str">
            <v>PT Inti Pantja Press Industry</v>
          </cell>
          <cell r="E737" t="str">
            <v>LL</v>
          </cell>
          <cell r="F737" t="str">
            <v>61LL</v>
          </cell>
          <cell r="G737">
            <v>0.1</v>
          </cell>
          <cell r="I737">
            <v>0.09</v>
          </cell>
          <cell r="J737">
            <v>9.6460171158971537</v>
          </cell>
          <cell r="K737">
            <v>12.714154661613016</v>
          </cell>
          <cell r="P737">
            <v>813115</v>
          </cell>
          <cell r="Q737">
            <v>956055.03966803744</v>
          </cell>
          <cell r="R737">
            <v>247736.90428331614</v>
          </cell>
          <cell r="S737">
            <v>578182.09097020444</v>
          </cell>
          <cell r="U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813115</v>
          </cell>
        </row>
        <row r="738">
          <cell r="C738" t="str">
            <v>A0081</v>
          </cell>
          <cell r="D738" t="str">
            <v>PT Inti Pantja Press Industry</v>
          </cell>
          <cell r="E738" t="str">
            <v>PMK</v>
          </cell>
          <cell r="F738" t="str">
            <v>61PMK</v>
          </cell>
          <cell r="G738">
            <v>0.1</v>
          </cell>
          <cell r="I738">
            <v>0.09</v>
          </cell>
          <cell r="J738">
            <v>9.6460171158971537</v>
          </cell>
          <cell r="K738">
            <v>12.714154661613016</v>
          </cell>
          <cell r="P738">
            <v>1392237</v>
          </cell>
          <cell r="Q738">
            <v>1622560.2362892902</v>
          </cell>
          <cell r="R738">
            <v>148492.28175927716</v>
          </cell>
          <cell r="S738">
            <v>289386</v>
          </cell>
          <cell r="U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1392237</v>
          </cell>
        </row>
        <row r="740">
          <cell r="C740" t="str">
            <v>A0115</v>
          </cell>
          <cell r="D740" t="str">
            <v>PT Isuzu Astra Motor Indonesia (d/h Pantja Motor)</v>
          </cell>
          <cell r="E740" t="str">
            <v>PEB 1</v>
          </cell>
          <cell r="F740" t="str">
            <v>62PEB 1</v>
          </cell>
          <cell r="G740">
            <v>0.1</v>
          </cell>
          <cell r="H740">
            <v>0.1</v>
          </cell>
          <cell r="I740">
            <v>0.09</v>
          </cell>
          <cell r="J740">
            <v>7.7583911994883481</v>
          </cell>
          <cell r="K740">
            <v>7.6730858347812374</v>
          </cell>
          <cell r="L740">
            <v>1782755</v>
          </cell>
          <cell r="N740">
            <v>1682235.92</v>
          </cell>
          <cell r="O740">
            <v>228602.992</v>
          </cell>
          <cell r="P740">
            <v>15202170</v>
          </cell>
          <cell r="Q740">
            <v>18276675.007180456</v>
          </cell>
          <cell r="R740">
            <v>848278.07786888268</v>
          </cell>
          <cell r="S740">
            <v>1936883.2242340816</v>
          </cell>
          <cell r="U740">
            <v>-11175730</v>
          </cell>
          <cell r="V740">
            <v>16858376.237333335</v>
          </cell>
          <cell r="W740">
            <v>1944664</v>
          </cell>
          <cell r="X740">
            <v>0</v>
          </cell>
          <cell r="Y740">
            <v>0</v>
          </cell>
          <cell r="Z740">
            <v>5971104</v>
          </cell>
          <cell r="AB740">
            <v>0.1</v>
          </cell>
          <cell r="AC740">
            <v>0</v>
          </cell>
          <cell r="AD740">
            <v>0.09</v>
          </cell>
          <cell r="AE740">
            <v>9.8492141316099335</v>
          </cell>
          <cell r="AF740">
            <v>13.114252502460994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6713264</v>
          </cell>
          <cell r="AL740">
            <v>7915815.7476816904</v>
          </cell>
          <cell r="AM740">
            <v>506235.50073602877</v>
          </cell>
          <cell r="AN740">
            <v>586007.98</v>
          </cell>
          <cell r="AO740">
            <v>0</v>
          </cell>
          <cell r="AP740">
            <v>0</v>
          </cell>
          <cell r="AQ740">
            <v>0</v>
          </cell>
          <cell r="AR740">
            <v>-453298</v>
          </cell>
          <cell r="AS740">
            <v>-2527387</v>
          </cell>
          <cell r="AT740">
            <v>181188</v>
          </cell>
          <cell r="AU740">
            <v>3732579</v>
          </cell>
          <cell r="AW740">
            <v>0.1</v>
          </cell>
          <cell r="AX740">
            <v>0</v>
          </cell>
          <cell r="AY740">
            <v>0.09</v>
          </cell>
          <cell r="AZ740">
            <v>7.7583911994883481</v>
          </cell>
          <cell r="BA740">
            <v>7.6730858347812374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953049</v>
          </cell>
          <cell r="BG740">
            <v>666060.42885156616</v>
          </cell>
          <cell r="BH740">
            <v>33505.333158634749</v>
          </cell>
          <cell r="BI740">
            <v>176684.50411999994</v>
          </cell>
          <cell r="BJ740">
            <v>0</v>
          </cell>
          <cell r="BK740">
            <v>0</v>
          </cell>
          <cell r="BL740">
            <v>0</v>
          </cell>
          <cell r="BM740">
            <v>-114981</v>
          </cell>
          <cell r="BN740">
            <v>-201040</v>
          </cell>
          <cell r="BO740">
            <v>155685</v>
          </cell>
          <cell r="BP740">
            <v>637028</v>
          </cell>
          <cell r="BR740">
            <v>0.1</v>
          </cell>
          <cell r="BS740">
            <v>0</v>
          </cell>
          <cell r="BT740">
            <v>0.09</v>
          </cell>
          <cell r="BU740">
            <v>10.277428102781679</v>
          </cell>
          <cell r="BV740">
            <v>15.091079241438148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4943669</v>
          </cell>
          <cell r="CB740">
            <v>3315178.0358436322</v>
          </cell>
          <cell r="CC740">
            <v>260597.87663879231</v>
          </cell>
          <cell r="CD740">
            <v>660473.15848358418</v>
          </cell>
          <cell r="CE740">
            <v>0</v>
          </cell>
          <cell r="CF740">
            <v>0</v>
          </cell>
          <cell r="CG740">
            <v>0</v>
          </cell>
          <cell r="CH740">
            <v>-219995</v>
          </cell>
          <cell r="CI740">
            <v>-1607719</v>
          </cell>
          <cell r="CJ740">
            <v>98958</v>
          </cell>
          <cell r="CK740">
            <v>3115955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O740">
            <v>0</v>
          </cell>
          <cell r="DP740">
            <v>0</v>
          </cell>
          <cell r="DQ740">
            <v>0</v>
          </cell>
          <cell r="DR740">
            <v>0</v>
          </cell>
          <cell r="DS740">
            <v>0</v>
          </cell>
          <cell r="DT740">
            <v>0</v>
          </cell>
          <cell r="DU740">
            <v>0</v>
          </cell>
          <cell r="DV740">
            <v>0</v>
          </cell>
          <cell r="DW740">
            <v>0</v>
          </cell>
          <cell r="DX740">
            <v>0</v>
          </cell>
          <cell r="DY740">
            <v>0</v>
          </cell>
          <cell r="DZ740">
            <v>0</v>
          </cell>
          <cell r="EA740">
            <v>0</v>
          </cell>
          <cell r="EC740">
            <v>0.1</v>
          </cell>
          <cell r="ED740">
            <v>0</v>
          </cell>
          <cell r="EE740">
            <v>0.09</v>
          </cell>
          <cell r="EF740">
            <v>9.8492141316099335</v>
          </cell>
          <cell r="EG740">
            <v>13.114252502460994</v>
          </cell>
          <cell r="EH740">
            <v>0</v>
          </cell>
          <cell r="EI740">
            <v>0</v>
          </cell>
          <cell r="EJ740">
            <v>0</v>
          </cell>
          <cell r="EK740">
            <v>0</v>
          </cell>
          <cell r="EL740">
            <v>486361</v>
          </cell>
          <cell r="EM740">
            <v>536183.74605497497</v>
          </cell>
          <cell r="EN740">
            <v>45799.846051113826</v>
          </cell>
          <cell r="EO740">
            <v>69395.570762024756</v>
          </cell>
          <cell r="EP740">
            <v>0</v>
          </cell>
          <cell r="EQ740">
            <v>0</v>
          </cell>
          <cell r="ER740">
            <v>0</v>
          </cell>
          <cell r="ES740">
            <v>-480837</v>
          </cell>
          <cell r="ET740">
            <v>0</v>
          </cell>
          <cell r="EU740">
            <v>0</v>
          </cell>
          <cell r="EV740">
            <v>5524</v>
          </cell>
          <cell r="EX740">
            <v>0.1</v>
          </cell>
          <cell r="EY740">
            <v>0</v>
          </cell>
          <cell r="EZ740">
            <v>0.09</v>
          </cell>
          <cell r="FA740">
            <v>0</v>
          </cell>
          <cell r="FB740">
            <v>13.114252502460994</v>
          </cell>
          <cell r="FC740">
            <v>0</v>
          </cell>
          <cell r="FD740">
            <v>0</v>
          </cell>
          <cell r="FE740">
            <v>0</v>
          </cell>
          <cell r="FF740">
            <v>0</v>
          </cell>
          <cell r="FG740">
            <v>0</v>
          </cell>
          <cell r="FH740">
            <v>1341620.5466304051</v>
          </cell>
          <cell r="FI740">
            <v>86597.297885912441</v>
          </cell>
          <cell r="FJ740">
            <v>110766.345</v>
          </cell>
          <cell r="FK740">
            <v>0</v>
          </cell>
          <cell r="FL740">
            <v>0</v>
          </cell>
          <cell r="FM740">
            <v>0</v>
          </cell>
          <cell r="FN740">
            <v>0</v>
          </cell>
          <cell r="FO740">
            <v>0</v>
          </cell>
          <cell r="FP740">
            <v>0</v>
          </cell>
          <cell r="FQ740">
            <v>0</v>
          </cell>
          <cell r="FS740">
            <v>0.1</v>
          </cell>
          <cell r="FT740">
            <v>0</v>
          </cell>
          <cell r="FU740">
            <v>0.09</v>
          </cell>
          <cell r="FV740">
            <v>9.8492141316099335</v>
          </cell>
          <cell r="FW740">
            <v>13.114252502460994</v>
          </cell>
          <cell r="FX740">
            <v>0</v>
          </cell>
          <cell r="FY740">
            <v>0</v>
          </cell>
          <cell r="FZ740">
            <v>0</v>
          </cell>
          <cell r="GA740">
            <v>0</v>
          </cell>
          <cell r="GB740">
            <v>189082</v>
          </cell>
          <cell r="GC740">
            <v>1797495.3748139907</v>
          </cell>
          <cell r="GD740">
            <v>135113.73028736163</v>
          </cell>
          <cell r="GE740">
            <v>186552.99868370855</v>
          </cell>
          <cell r="GF740">
            <v>0</v>
          </cell>
          <cell r="GG740">
            <v>0</v>
          </cell>
          <cell r="GH740">
            <v>0</v>
          </cell>
          <cell r="GI740">
            <v>0</v>
          </cell>
          <cell r="GJ740">
            <v>0</v>
          </cell>
          <cell r="GK740">
            <v>0</v>
          </cell>
          <cell r="GL740">
            <v>189082</v>
          </cell>
          <cell r="GN740">
            <v>0.1</v>
          </cell>
          <cell r="GO740">
            <v>0</v>
          </cell>
          <cell r="GP740">
            <v>0.09</v>
          </cell>
          <cell r="GQ740">
            <v>9.8492141316099335</v>
          </cell>
          <cell r="GR740">
            <v>13.114252502460994</v>
          </cell>
          <cell r="GS740">
            <v>0</v>
          </cell>
          <cell r="GT740">
            <v>0</v>
          </cell>
          <cell r="GU740">
            <v>0</v>
          </cell>
          <cell r="GV740">
            <v>0</v>
          </cell>
          <cell r="GW740">
            <v>1946142</v>
          </cell>
          <cell r="GX740">
            <v>3087326.3344061724</v>
          </cell>
          <cell r="GY740">
            <v>631821.85070028878</v>
          </cell>
          <cell r="GZ740">
            <v>1135287.585254286</v>
          </cell>
          <cell r="HA740">
            <v>0</v>
          </cell>
          <cell r="HB740">
            <v>0</v>
          </cell>
          <cell r="HC740">
            <v>0</v>
          </cell>
          <cell r="HD740">
            <v>0</v>
          </cell>
          <cell r="HE740">
            <v>0</v>
          </cell>
          <cell r="HF740">
            <v>0</v>
          </cell>
          <cell r="HG740">
            <v>1946142</v>
          </cell>
          <cell r="HI740">
            <v>0.1</v>
          </cell>
          <cell r="HJ740">
            <v>0</v>
          </cell>
          <cell r="HK740">
            <v>0.09</v>
          </cell>
          <cell r="HL740">
            <v>9.8492141316099335</v>
          </cell>
          <cell r="HM740">
            <v>13.114252502460994</v>
          </cell>
          <cell r="HN740">
            <v>0</v>
          </cell>
          <cell r="HO740">
            <v>0</v>
          </cell>
          <cell r="HP740">
            <v>0</v>
          </cell>
          <cell r="HQ740">
            <v>0</v>
          </cell>
          <cell r="HR740">
            <v>2286422</v>
          </cell>
          <cell r="HS740">
            <v>2640161.7861939161</v>
          </cell>
          <cell r="HT740">
            <v>263345.84608178138</v>
          </cell>
          <cell r="HU740">
            <v>592135</v>
          </cell>
          <cell r="HV740">
            <v>0</v>
          </cell>
          <cell r="HW740">
            <v>0</v>
          </cell>
          <cell r="HX740">
            <v>0</v>
          </cell>
          <cell r="HY740">
            <v>0</v>
          </cell>
          <cell r="HZ740">
            <v>0</v>
          </cell>
          <cell r="IA740">
            <v>0</v>
          </cell>
          <cell r="IB740">
            <v>2286422</v>
          </cell>
        </row>
        <row r="741">
          <cell r="C741" t="str">
            <v>A0115</v>
          </cell>
          <cell r="D741" t="str">
            <v>PT Isuzu Astra Motor Indonesia (d/h Pantja Motor)</v>
          </cell>
          <cell r="E741" t="str">
            <v>PEB 2</v>
          </cell>
          <cell r="F741" t="str">
            <v>62PEB 2</v>
          </cell>
          <cell r="G741">
            <v>0.1</v>
          </cell>
          <cell r="I741">
            <v>0.09</v>
          </cell>
          <cell r="J741">
            <v>9.8492141316099335</v>
          </cell>
          <cell r="K741">
            <v>13.114252502460994</v>
          </cell>
          <cell r="P741">
            <v>6713264</v>
          </cell>
          <cell r="Q741">
            <v>7915815.7476816904</v>
          </cell>
          <cell r="R741">
            <v>506235.50073602877</v>
          </cell>
          <cell r="S741">
            <v>586007.98</v>
          </cell>
          <cell r="U741">
            <v>0</v>
          </cell>
          <cell r="W741">
            <v>-453298</v>
          </cell>
          <cell r="X741">
            <v>-2527387</v>
          </cell>
          <cell r="Y741">
            <v>181188</v>
          </cell>
          <cell r="Z741">
            <v>3732579</v>
          </cell>
        </row>
        <row r="742">
          <cell r="C742" t="str">
            <v>A0115</v>
          </cell>
          <cell r="D742" t="str">
            <v>PT Isuzu Astra Motor Indonesia (d/h Pantja Motor)</v>
          </cell>
          <cell r="E742" t="str">
            <v>PEB 3</v>
          </cell>
          <cell r="F742" t="str">
            <v>62PEB 3</v>
          </cell>
          <cell r="G742">
            <v>0.1</v>
          </cell>
          <cell r="I742">
            <v>0.09</v>
          </cell>
          <cell r="J742">
            <v>7.7583911994883481</v>
          </cell>
          <cell r="K742">
            <v>7.6730858347812374</v>
          </cell>
          <cell r="P742">
            <v>953049</v>
          </cell>
          <cell r="Q742">
            <v>666060.42885156616</v>
          </cell>
          <cell r="R742">
            <v>33505.333158634749</v>
          </cell>
          <cell r="S742">
            <v>176684.50411999994</v>
          </cell>
          <cell r="U742">
            <v>0</v>
          </cell>
          <cell r="W742">
            <v>-114981</v>
          </cell>
          <cell r="X742">
            <v>-201040</v>
          </cell>
          <cell r="Y742">
            <v>155685</v>
          </cell>
          <cell r="Z742">
            <v>637028</v>
          </cell>
        </row>
        <row r="743">
          <cell r="C743" t="str">
            <v>A0115</v>
          </cell>
          <cell r="D743" t="str">
            <v>PT Isuzu Astra Motor Indonesia (d/h Pantja Motor)</v>
          </cell>
          <cell r="E743" t="str">
            <v>PEB 4</v>
          </cell>
          <cell r="F743" t="str">
            <v>62PEB 4</v>
          </cell>
          <cell r="G743">
            <v>0.1</v>
          </cell>
          <cell r="I743">
            <v>0.09</v>
          </cell>
          <cell r="J743">
            <v>10.277428102781679</v>
          </cell>
          <cell r="K743">
            <v>15.091079241438148</v>
          </cell>
          <cell r="P743">
            <v>4943669</v>
          </cell>
          <cell r="Q743">
            <v>3315178.0358436322</v>
          </cell>
          <cell r="R743">
            <v>260597.87663879231</v>
          </cell>
          <cell r="S743">
            <v>660473.15848358418</v>
          </cell>
          <cell r="U743">
            <v>0</v>
          </cell>
          <cell r="W743">
            <v>-219995</v>
          </cell>
          <cell r="X743">
            <v>-1607719</v>
          </cell>
          <cell r="Y743">
            <v>98958</v>
          </cell>
          <cell r="Z743">
            <v>3115955</v>
          </cell>
        </row>
        <row r="744">
          <cell r="C744" t="str">
            <v>A0115</v>
          </cell>
          <cell r="D744" t="str">
            <v>PT Isuzu Astra Motor Indonesia (d/h Pantja Motor)</v>
          </cell>
          <cell r="E744" t="str">
            <v>PEB 5</v>
          </cell>
          <cell r="F744" t="str">
            <v>62PEB 5</v>
          </cell>
          <cell r="P744">
            <v>0</v>
          </cell>
          <cell r="U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</row>
        <row r="745">
          <cell r="C745" t="str">
            <v>A0115</v>
          </cell>
          <cell r="D745" t="str">
            <v>PT Isuzu Astra Motor Indonesia (d/h Pantja Motor)</v>
          </cell>
          <cell r="E745" t="str">
            <v>PEB 6</v>
          </cell>
          <cell r="F745" t="str">
            <v>62PEB 6</v>
          </cell>
          <cell r="P745">
            <v>0</v>
          </cell>
          <cell r="U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</row>
        <row r="746">
          <cell r="C746" t="str">
            <v>A0115</v>
          </cell>
          <cell r="D746" t="str">
            <v>PT Isuzu Astra Motor Indonesia (d/h Pantja Motor)</v>
          </cell>
          <cell r="E746" t="str">
            <v>PEB 7</v>
          </cell>
          <cell r="F746" t="str">
            <v>62PEB 7</v>
          </cell>
          <cell r="G746">
            <v>0.1</v>
          </cell>
          <cell r="I746">
            <v>0.09</v>
          </cell>
          <cell r="J746">
            <v>9.8492141316099335</v>
          </cell>
          <cell r="K746">
            <v>13.114252502460994</v>
          </cell>
          <cell r="P746">
            <v>486361</v>
          </cell>
          <cell r="Q746">
            <v>536183.74605497497</v>
          </cell>
          <cell r="R746">
            <v>45799.846051113826</v>
          </cell>
          <cell r="S746">
            <v>69395.570762024756</v>
          </cell>
          <cell r="U746">
            <v>0</v>
          </cell>
          <cell r="W746">
            <v>-480837</v>
          </cell>
          <cell r="X746">
            <v>0</v>
          </cell>
          <cell r="Y746">
            <v>0</v>
          </cell>
          <cell r="Z746">
            <v>5524</v>
          </cell>
        </row>
        <row r="747">
          <cell r="C747" t="str">
            <v>A0115</v>
          </cell>
          <cell r="D747" t="str">
            <v>PT Isuzu Astra Motor Indonesia (d/h Pantja Motor)</v>
          </cell>
          <cell r="E747" t="str">
            <v>MPP</v>
          </cell>
          <cell r="F747" t="str">
            <v>62MPP</v>
          </cell>
          <cell r="G747">
            <v>0.1</v>
          </cell>
          <cell r="I747">
            <v>0.09</v>
          </cell>
          <cell r="J747">
            <v>0</v>
          </cell>
          <cell r="K747">
            <v>13.114252502460994</v>
          </cell>
          <cell r="P747">
            <v>0</v>
          </cell>
          <cell r="Q747">
            <v>1341620.5466304051</v>
          </cell>
          <cell r="R747">
            <v>86597.297885912441</v>
          </cell>
          <cell r="S747">
            <v>110766.345</v>
          </cell>
          <cell r="U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</row>
        <row r="748">
          <cell r="C748" t="str">
            <v>A0115</v>
          </cell>
          <cell r="D748" t="str">
            <v>PT Isuzu Astra Motor Indonesia (d/h Pantja Motor)</v>
          </cell>
          <cell r="E748" t="str">
            <v>ID</v>
          </cell>
          <cell r="F748" t="str">
            <v>62ID</v>
          </cell>
          <cell r="G748">
            <v>0.1</v>
          </cell>
          <cell r="I748">
            <v>0.09</v>
          </cell>
          <cell r="J748">
            <v>9.8492141316099335</v>
          </cell>
          <cell r="K748">
            <v>13.114252502460994</v>
          </cell>
          <cell r="P748">
            <v>189082</v>
          </cell>
          <cell r="Q748">
            <v>1797495.3748139907</v>
          </cell>
          <cell r="R748">
            <v>135113.73028736163</v>
          </cell>
          <cell r="S748">
            <v>186552.99868370855</v>
          </cell>
          <cell r="U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189082</v>
          </cell>
        </row>
        <row r="749">
          <cell r="C749" t="str">
            <v>A0115</v>
          </cell>
          <cell r="D749" t="str">
            <v>PT Isuzu Astra Motor Indonesia (d/h Pantja Motor)</v>
          </cell>
          <cell r="E749" t="str">
            <v>LL</v>
          </cell>
          <cell r="F749" t="str">
            <v>62LL</v>
          </cell>
          <cell r="G749">
            <v>0.1</v>
          </cell>
          <cell r="I749">
            <v>0.09</v>
          </cell>
          <cell r="J749">
            <v>9.8492141316099335</v>
          </cell>
          <cell r="K749">
            <v>13.114252502460994</v>
          </cell>
          <cell r="P749">
            <v>1946142</v>
          </cell>
          <cell r="Q749">
            <v>3087326.3344061724</v>
          </cell>
          <cell r="R749">
            <v>631821.85070028878</v>
          </cell>
          <cell r="S749">
            <v>1135287.585254286</v>
          </cell>
          <cell r="U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1946142</v>
          </cell>
        </row>
        <row r="750">
          <cell r="C750" t="str">
            <v>A0115</v>
          </cell>
          <cell r="D750" t="str">
            <v>PT Isuzu Astra Motor Indonesia (d/h Pantja Motor)</v>
          </cell>
          <cell r="E750" t="str">
            <v>PMK</v>
          </cell>
          <cell r="F750" t="str">
            <v>62PMK</v>
          </cell>
          <cell r="G750">
            <v>0.1</v>
          </cell>
          <cell r="I750">
            <v>0.09</v>
          </cell>
          <cell r="J750">
            <v>9.8492141316099335</v>
          </cell>
          <cell r="K750">
            <v>13.114252502460994</v>
          </cell>
          <cell r="P750">
            <v>2286422</v>
          </cell>
          <cell r="Q750">
            <v>2640161.7861939161</v>
          </cell>
          <cell r="R750">
            <v>263345.84608178138</v>
          </cell>
          <cell r="S750">
            <v>592135</v>
          </cell>
          <cell r="U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2286422</v>
          </cell>
        </row>
        <row r="752">
          <cell r="C752" t="str">
            <v>A0360</v>
          </cell>
          <cell r="D752" t="str">
            <v>PT Kalimantan Prima Persada</v>
          </cell>
          <cell r="E752" t="str">
            <v>PEB 1</v>
          </cell>
          <cell r="F752" t="str">
            <v>63PEB 1</v>
          </cell>
          <cell r="G752">
            <v>0.1</v>
          </cell>
          <cell r="H752">
            <v>0.1</v>
          </cell>
          <cell r="I752">
            <v>0.09</v>
          </cell>
          <cell r="J752">
            <v>6.1720436623302151</v>
          </cell>
          <cell r="K752">
            <v>6.9735726152255362</v>
          </cell>
          <cell r="L752">
            <v>0</v>
          </cell>
          <cell r="N752">
            <v>968943.80319999997</v>
          </cell>
          <cell r="O752">
            <v>104117.408</v>
          </cell>
          <cell r="P752">
            <v>4698569</v>
          </cell>
          <cell r="Q752">
            <v>8523820.5967418533</v>
          </cell>
          <cell r="R752">
            <v>350929.94536599779</v>
          </cell>
          <cell r="S752">
            <v>1475109.0399619897</v>
          </cell>
          <cell r="U752">
            <v>-2997809</v>
          </cell>
          <cell r="V752">
            <v>6229125.3037333339</v>
          </cell>
          <cell r="W752">
            <v>-2178268</v>
          </cell>
          <cell r="X752">
            <v>0</v>
          </cell>
          <cell r="Y752">
            <v>0</v>
          </cell>
          <cell r="Z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W752">
            <v>0.1</v>
          </cell>
          <cell r="AX752">
            <v>0</v>
          </cell>
          <cell r="AY752">
            <v>0.09</v>
          </cell>
          <cell r="AZ752">
            <v>6.1720436623302151</v>
          </cell>
          <cell r="BA752">
            <v>6.9735726152255362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233622</v>
          </cell>
          <cell r="BG752">
            <v>862503.27280825994</v>
          </cell>
          <cell r="BH752">
            <v>39157.745725546294</v>
          </cell>
          <cell r="BI752">
            <v>13454.249239999976</v>
          </cell>
          <cell r="BJ752">
            <v>0</v>
          </cell>
          <cell r="BK752">
            <v>0</v>
          </cell>
          <cell r="BL752">
            <v>0</v>
          </cell>
          <cell r="BM752">
            <v>-224518</v>
          </cell>
          <cell r="BN752">
            <v>0</v>
          </cell>
          <cell r="BO752">
            <v>0</v>
          </cell>
          <cell r="BP752">
            <v>9104</v>
          </cell>
          <cell r="BR752">
            <v>0.1</v>
          </cell>
          <cell r="BS752">
            <v>0</v>
          </cell>
          <cell r="BT752">
            <v>0.09</v>
          </cell>
          <cell r="BU752">
            <v>10.02818726136741</v>
          </cell>
          <cell r="BV752">
            <v>22.04878517259484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1690567</v>
          </cell>
          <cell r="CB752">
            <v>5185180.3036047518</v>
          </cell>
          <cell r="CC752">
            <v>1057615.2784984803</v>
          </cell>
          <cell r="CD752">
            <v>36983.388164353484</v>
          </cell>
          <cell r="CE752">
            <v>0</v>
          </cell>
          <cell r="CF752">
            <v>0</v>
          </cell>
          <cell r="CG752">
            <v>0</v>
          </cell>
          <cell r="CH752">
            <v>-526706</v>
          </cell>
          <cell r="CI752">
            <v>0</v>
          </cell>
          <cell r="CJ752">
            <v>0</v>
          </cell>
          <cell r="CK752">
            <v>1163861</v>
          </cell>
          <cell r="CM752">
            <v>0.1</v>
          </cell>
          <cell r="CN752">
            <v>0</v>
          </cell>
          <cell r="CO752">
            <v>0.09</v>
          </cell>
          <cell r="CP752">
            <v>9.1768364721740276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1063572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-324189</v>
          </cell>
          <cell r="DD752">
            <v>0</v>
          </cell>
          <cell r="DE752">
            <v>0</v>
          </cell>
          <cell r="DF752">
            <v>739383</v>
          </cell>
          <cell r="DH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O752">
            <v>0</v>
          </cell>
          <cell r="DP752">
            <v>0</v>
          </cell>
          <cell r="DQ752">
            <v>0</v>
          </cell>
          <cell r="DR752">
            <v>0</v>
          </cell>
          <cell r="DS752">
            <v>0</v>
          </cell>
          <cell r="DT752">
            <v>0</v>
          </cell>
          <cell r="DU752">
            <v>0</v>
          </cell>
          <cell r="DV752">
            <v>0</v>
          </cell>
          <cell r="DW752">
            <v>0</v>
          </cell>
          <cell r="DX752">
            <v>0</v>
          </cell>
          <cell r="DY752">
            <v>0</v>
          </cell>
          <cell r="DZ752">
            <v>0</v>
          </cell>
          <cell r="EA752">
            <v>0</v>
          </cell>
          <cell r="EC752">
            <v>0.1</v>
          </cell>
          <cell r="ED752">
            <v>0</v>
          </cell>
          <cell r="EE752">
            <v>0.09</v>
          </cell>
          <cell r="EF752">
            <v>9.3747776463804904</v>
          </cell>
          <cell r="EG752">
            <v>21.707851161956203</v>
          </cell>
          <cell r="EH752">
            <v>0</v>
          </cell>
          <cell r="EI752">
            <v>0</v>
          </cell>
          <cell r="EJ752">
            <v>0</v>
          </cell>
          <cell r="EK752">
            <v>0</v>
          </cell>
          <cell r="EL752">
            <v>195298</v>
          </cell>
          <cell r="EM752">
            <v>542357.68145998137</v>
          </cell>
          <cell r="EN752">
            <v>139189.83847265103</v>
          </cell>
          <cell r="EO752">
            <v>50228.399105775039</v>
          </cell>
          <cell r="EP752">
            <v>0</v>
          </cell>
          <cell r="EQ752">
            <v>0</v>
          </cell>
          <cell r="ER752">
            <v>0</v>
          </cell>
          <cell r="ES752">
            <v>-132476</v>
          </cell>
          <cell r="ET752">
            <v>0</v>
          </cell>
          <cell r="EU752">
            <v>0</v>
          </cell>
          <cell r="EV752">
            <v>62822</v>
          </cell>
          <cell r="EX752">
            <v>0.1</v>
          </cell>
          <cell r="EY752">
            <v>0</v>
          </cell>
          <cell r="EZ752">
            <v>0.09</v>
          </cell>
          <cell r="FA752">
            <v>9.3747776463804904</v>
          </cell>
          <cell r="FB752">
            <v>21.707851161956203</v>
          </cell>
          <cell r="FC752">
            <v>0</v>
          </cell>
          <cell r="FD752">
            <v>0</v>
          </cell>
          <cell r="FE752">
            <v>0</v>
          </cell>
          <cell r="FF752">
            <v>0</v>
          </cell>
          <cell r="FG752">
            <v>1617192</v>
          </cell>
          <cell r="FH752">
            <v>1522538.9880973652</v>
          </cell>
          <cell r="FI752">
            <v>188313.50004760985</v>
          </cell>
          <cell r="FJ752">
            <v>113707.71</v>
          </cell>
          <cell r="FK752">
            <v>0</v>
          </cell>
          <cell r="FL752">
            <v>0</v>
          </cell>
          <cell r="FM752">
            <v>0</v>
          </cell>
          <cell r="FN752">
            <v>0</v>
          </cell>
          <cell r="FO752">
            <v>-1413174</v>
          </cell>
          <cell r="FP752">
            <v>58826</v>
          </cell>
          <cell r="FQ752">
            <v>204018</v>
          </cell>
          <cell r="FS752">
            <v>0.1</v>
          </cell>
          <cell r="FT752">
            <v>0</v>
          </cell>
          <cell r="FU752">
            <v>0.09</v>
          </cell>
          <cell r="FV752">
            <v>9.3747776463804904</v>
          </cell>
          <cell r="FW752">
            <v>21.707851161956203</v>
          </cell>
          <cell r="FX752">
            <v>0</v>
          </cell>
          <cell r="FY752">
            <v>0</v>
          </cell>
          <cell r="FZ752">
            <v>0</v>
          </cell>
          <cell r="GA752">
            <v>0</v>
          </cell>
          <cell r="GB752">
            <v>64265</v>
          </cell>
          <cell r="GC752">
            <v>1305605.2646734803</v>
          </cell>
          <cell r="GD752">
            <v>249956.0209808673</v>
          </cell>
          <cell r="GE752">
            <v>107619.53939426929</v>
          </cell>
          <cell r="GF752">
            <v>0</v>
          </cell>
          <cell r="GG752">
            <v>0</v>
          </cell>
          <cell r="GH752">
            <v>0</v>
          </cell>
          <cell r="GI752">
            <v>0</v>
          </cell>
          <cell r="GJ752">
            <v>0</v>
          </cell>
          <cell r="GK752">
            <v>0</v>
          </cell>
          <cell r="GL752">
            <v>64265</v>
          </cell>
          <cell r="GN752">
            <v>0.1</v>
          </cell>
          <cell r="GO752">
            <v>0</v>
          </cell>
          <cell r="GP752">
            <v>0.09</v>
          </cell>
          <cell r="GQ752">
            <v>9.3747776463804904</v>
          </cell>
          <cell r="GR752">
            <v>21.707851161956203</v>
          </cell>
          <cell r="GS752">
            <v>0</v>
          </cell>
          <cell r="GT752">
            <v>0</v>
          </cell>
          <cell r="GU752">
            <v>0</v>
          </cell>
          <cell r="GV752">
            <v>0</v>
          </cell>
          <cell r="GW752">
            <v>0</v>
          </cell>
          <cell r="GX752">
            <v>2187225</v>
          </cell>
          <cell r="GY752">
            <v>878998</v>
          </cell>
          <cell r="GZ752">
            <v>826677.81076764956</v>
          </cell>
          <cell r="HA752">
            <v>0</v>
          </cell>
          <cell r="HB752">
            <v>0</v>
          </cell>
          <cell r="HC752">
            <v>0</v>
          </cell>
          <cell r="HD752">
            <v>0</v>
          </cell>
          <cell r="HE752">
            <v>0</v>
          </cell>
          <cell r="HF752">
            <v>0</v>
          </cell>
          <cell r="HG752">
            <v>0</v>
          </cell>
          <cell r="HI752">
            <v>0.1</v>
          </cell>
          <cell r="HJ752">
            <v>0</v>
          </cell>
          <cell r="HK752">
            <v>0.09</v>
          </cell>
          <cell r="HL752">
            <v>9.3747776463804904</v>
          </cell>
          <cell r="HM752">
            <v>21.707851161956203</v>
          </cell>
          <cell r="HN752">
            <v>0</v>
          </cell>
          <cell r="HO752">
            <v>0</v>
          </cell>
          <cell r="HP752">
            <v>0</v>
          </cell>
          <cell r="HQ752">
            <v>0</v>
          </cell>
          <cell r="HR752">
            <v>0</v>
          </cell>
          <cell r="HS752">
            <v>2432256.4873338016</v>
          </cell>
          <cell r="HT752">
            <v>667925.49961612106</v>
          </cell>
          <cell r="HU752">
            <v>136156.9</v>
          </cell>
          <cell r="HV752">
            <v>0</v>
          </cell>
          <cell r="HW752">
            <v>0</v>
          </cell>
          <cell r="HX752">
            <v>0</v>
          </cell>
          <cell r="HY752">
            <v>0</v>
          </cell>
          <cell r="HZ752">
            <v>0</v>
          </cell>
          <cell r="IA752">
            <v>0</v>
          </cell>
          <cell r="IB752">
            <v>0</v>
          </cell>
        </row>
        <row r="753">
          <cell r="C753" t="str">
            <v>A0360</v>
          </cell>
          <cell r="D753" t="str">
            <v>PT Kalimantan Prima Persada</v>
          </cell>
          <cell r="E753" t="str">
            <v>PEB 2</v>
          </cell>
          <cell r="F753" t="str">
            <v>63PEB 2</v>
          </cell>
          <cell r="P753">
            <v>0</v>
          </cell>
          <cell r="U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</row>
        <row r="754">
          <cell r="C754" t="str">
            <v>A0360</v>
          </cell>
          <cell r="D754" t="str">
            <v>PT Kalimantan Prima Persada</v>
          </cell>
          <cell r="E754" t="str">
            <v>PEB 3</v>
          </cell>
          <cell r="F754" t="str">
            <v>63PEB 3</v>
          </cell>
          <cell r="G754">
            <v>0.1</v>
          </cell>
          <cell r="I754">
            <v>0.09</v>
          </cell>
          <cell r="J754">
            <v>6.1720436623302151</v>
          </cell>
          <cell r="K754">
            <v>6.9735726152255362</v>
          </cell>
          <cell r="P754">
            <v>233622</v>
          </cell>
          <cell r="Q754">
            <v>862503.27280825994</v>
          </cell>
          <cell r="R754">
            <v>39157.745725546294</v>
          </cell>
          <cell r="S754">
            <v>13454.249239999976</v>
          </cell>
          <cell r="U754">
            <v>0</v>
          </cell>
          <cell r="W754">
            <v>-224518</v>
          </cell>
          <cell r="X754">
            <v>0</v>
          </cell>
          <cell r="Y754">
            <v>0</v>
          </cell>
          <cell r="Z754">
            <v>9104</v>
          </cell>
        </row>
        <row r="755">
          <cell r="C755" t="str">
            <v>A0360</v>
          </cell>
          <cell r="D755" t="str">
            <v>PT Kalimantan Prima Persada</v>
          </cell>
          <cell r="E755" t="str">
            <v>PEB 4</v>
          </cell>
          <cell r="F755" t="str">
            <v>63PEB 4</v>
          </cell>
          <cell r="G755">
            <v>0.1</v>
          </cell>
          <cell r="I755">
            <v>0.09</v>
          </cell>
          <cell r="J755">
            <v>10.02818726136741</v>
          </cell>
          <cell r="K755">
            <v>22.04878517259484</v>
          </cell>
          <cell r="P755">
            <v>1690567</v>
          </cell>
          <cell r="Q755">
            <v>5185180.3036047518</v>
          </cell>
          <cell r="R755">
            <v>1057615.2784984803</v>
          </cell>
          <cell r="S755">
            <v>36983.388164353484</v>
          </cell>
          <cell r="U755">
            <v>0</v>
          </cell>
          <cell r="W755">
            <v>-526706</v>
          </cell>
          <cell r="X755">
            <v>0</v>
          </cell>
          <cell r="Y755">
            <v>0</v>
          </cell>
          <cell r="Z755">
            <v>1163861</v>
          </cell>
        </row>
        <row r="756">
          <cell r="C756" t="str">
            <v>A0360</v>
          </cell>
          <cell r="D756" t="str">
            <v>PT Kalimantan Prima Persada</v>
          </cell>
          <cell r="E756" t="str">
            <v>PEB 5</v>
          </cell>
          <cell r="F756" t="str">
            <v>63PEB 5</v>
          </cell>
          <cell r="G756">
            <v>0.1</v>
          </cell>
          <cell r="I756">
            <v>0.09</v>
          </cell>
          <cell r="J756">
            <v>9.1768364721740276</v>
          </cell>
          <cell r="P756">
            <v>1063572</v>
          </cell>
          <cell r="U756">
            <v>0</v>
          </cell>
          <cell r="W756">
            <v>-324189</v>
          </cell>
          <cell r="X756">
            <v>0</v>
          </cell>
          <cell r="Y756">
            <v>0</v>
          </cell>
          <cell r="Z756">
            <v>739383</v>
          </cell>
        </row>
        <row r="757">
          <cell r="C757" t="str">
            <v>A0360</v>
          </cell>
          <cell r="D757" t="str">
            <v>PT Kalimantan Prima Persada</v>
          </cell>
          <cell r="E757" t="str">
            <v>PEB 6</v>
          </cell>
          <cell r="F757" t="str">
            <v>63PEB 6</v>
          </cell>
          <cell r="P757">
            <v>0</v>
          </cell>
          <cell r="U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</row>
        <row r="758">
          <cell r="C758" t="str">
            <v>A0360</v>
          </cell>
          <cell r="D758" t="str">
            <v>PT Kalimantan Prima Persada</v>
          </cell>
          <cell r="E758" t="str">
            <v>PEB 7</v>
          </cell>
          <cell r="F758" t="str">
            <v>63PEB 7</v>
          </cell>
          <cell r="G758">
            <v>0.1</v>
          </cell>
          <cell r="I758">
            <v>0.09</v>
          </cell>
          <cell r="J758">
            <v>9.3747776463804904</v>
          </cell>
          <cell r="K758">
            <v>21.707851161956203</v>
          </cell>
          <cell r="P758">
            <v>195298</v>
          </cell>
          <cell r="Q758">
            <v>542357.68145998137</v>
          </cell>
          <cell r="R758">
            <v>139189.83847265103</v>
          </cell>
          <cell r="S758">
            <v>50228.399105775039</v>
          </cell>
          <cell r="U758">
            <v>0</v>
          </cell>
          <cell r="W758">
            <v>-132476</v>
          </cell>
          <cell r="X758">
            <v>0</v>
          </cell>
          <cell r="Y758">
            <v>0</v>
          </cell>
          <cell r="Z758">
            <v>62822</v>
          </cell>
        </row>
        <row r="759">
          <cell r="C759" t="str">
            <v>A0360</v>
          </cell>
          <cell r="D759" t="str">
            <v>PT Kalimantan Prima Persada</v>
          </cell>
          <cell r="E759" t="str">
            <v>MPP</v>
          </cell>
          <cell r="F759" t="str">
            <v>63MPP</v>
          </cell>
          <cell r="G759">
            <v>0.1</v>
          </cell>
          <cell r="I759">
            <v>0.09</v>
          </cell>
          <cell r="J759">
            <v>9.3747776463804904</v>
          </cell>
          <cell r="K759">
            <v>21.707851161956203</v>
          </cell>
          <cell r="P759">
            <v>1617192</v>
          </cell>
          <cell r="Q759">
            <v>1522538.9880973652</v>
          </cell>
          <cell r="R759">
            <v>188313.50004760985</v>
          </cell>
          <cell r="S759">
            <v>113707.71</v>
          </cell>
          <cell r="U759">
            <v>0</v>
          </cell>
          <cell r="W759">
            <v>0</v>
          </cell>
          <cell r="X759">
            <v>-1413174</v>
          </cell>
          <cell r="Y759">
            <v>58826</v>
          </cell>
          <cell r="Z759">
            <v>204018</v>
          </cell>
        </row>
        <row r="760">
          <cell r="C760" t="str">
            <v>A0360</v>
          </cell>
          <cell r="D760" t="str">
            <v>PT Kalimantan Prima Persada</v>
          </cell>
          <cell r="E760" t="str">
            <v>ID</v>
          </cell>
          <cell r="F760" t="str">
            <v>63ID</v>
          </cell>
          <cell r="G760">
            <v>0.1</v>
          </cell>
          <cell r="I760">
            <v>0.09</v>
          </cell>
          <cell r="J760">
            <v>9.3747776463804904</v>
          </cell>
          <cell r="K760">
            <v>21.707851161956203</v>
          </cell>
          <cell r="P760">
            <v>64265</v>
          </cell>
          <cell r="Q760">
            <v>1305605.2646734803</v>
          </cell>
          <cell r="R760">
            <v>249956.0209808673</v>
          </cell>
          <cell r="S760">
            <v>107619.53939426929</v>
          </cell>
          <cell r="U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64265</v>
          </cell>
        </row>
        <row r="761">
          <cell r="C761" t="str">
            <v>A0360</v>
          </cell>
          <cell r="D761" t="str">
            <v>PT Kalimantan Prima Persada</v>
          </cell>
          <cell r="E761" t="str">
            <v>LL</v>
          </cell>
          <cell r="F761" t="str">
            <v>63LL</v>
          </cell>
          <cell r="G761">
            <v>0.1</v>
          </cell>
          <cell r="I761">
            <v>0.09</v>
          </cell>
          <cell r="J761">
            <v>9.3747776463804904</v>
          </cell>
          <cell r="K761">
            <v>21.707851161956203</v>
          </cell>
          <cell r="P761">
            <v>0</v>
          </cell>
          <cell r="Q761">
            <v>2187225</v>
          </cell>
          <cell r="R761">
            <v>878998</v>
          </cell>
          <cell r="S761">
            <v>826677.81076764956</v>
          </cell>
          <cell r="U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</row>
        <row r="762">
          <cell r="C762" t="str">
            <v>A0360</v>
          </cell>
          <cell r="D762" t="str">
            <v>PT Kalimantan Prima Persada</v>
          </cell>
          <cell r="E762" t="str">
            <v>PMK</v>
          </cell>
          <cell r="F762" t="str">
            <v>63PMK</v>
          </cell>
          <cell r="G762">
            <v>0.1</v>
          </cell>
          <cell r="I762">
            <v>0.09</v>
          </cell>
          <cell r="J762">
            <v>9.3747776463804904</v>
          </cell>
          <cell r="K762">
            <v>21.707851161956203</v>
          </cell>
          <cell r="P762">
            <v>0</v>
          </cell>
          <cell r="Q762">
            <v>2432256.4873338016</v>
          </cell>
          <cell r="R762">
            <v>667925.49961612106</v>
          </cell>
          <cell r="S762">
            <v>136156.9</v>
          </cell>
          <cell r="U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</row>
        <row r="764">
          <cell r="C764" t="str">
            <v>A0350</v>
          </cell>
          <cell r="D764" t="str">
            <v>PT Karya Nusa Eka Daya</v>
          </cell>
          <cell r="E764" t="str">
            <v>PEB 1</v>
          </cell>
          <cell r="F764" t="str">
            <v>64PEB 1</v>
          </cell>
          <cell r="J764">
            <v>0</v>
          </cell>
          <cell r="N764">
            <v>0</v>
          </cell>
          <cell r="O764">
            <v>0</v>
          </cell>
          <cell r="P764">
            <v>0</v>
          </cell>
          <cell r="Q764" t="str">
            <v xml:space="preserve"> </v>
          </cell>
          <cell r="R764" t="str">
            <v xml:space="preserve"> </v>
          </cell>
          <cell r="S764" t="str">
            <v xml:space="preserve"> 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9.6457939177183292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571474</v>
          </cell>
          <cell r="AL764">
            <v>828347.8431232397</v>
          </cell>
          <cell r="AM764">
            <v>191571.28683283945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-303939</v>
          </cell>
          <cell r="AS764">
            <v>0</v>
          </cell>
          <cell r="AT764">
            <v>0</v>
          </cell>
          <cell r="AU764">
            <v>267535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 t="str">
            <v xml:space="preserve"> </v>
          </cell>
          <cell r="BH764" t="str">
            <v xml:space="preserve"> </v>
          </cell>
          <cell r="BI764" t="str">
            <v xml:space="preserve"> 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9.664254943255953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966715</v>
          </cell>
          <cell r="CB764">
            <v>1559709.0449605533</v>
          </cell>
          <cell r="CC764">
            <v>603926.14235813636</v>
          </cell>
          <cell r="CD764">
            <v>27197.443276090133</v>
          </cell>
          <cell r="CE764">
            <v>0</v>
          </cell>
          <cell r="CF764">
            <v>0</v>
          </cell>
          <cell r="CG764">
            <v>0</v>
          </cell>
          <cell r="CH764">
            <v>-802681</v>
          </cell>
          <cell r="CI764">
            <v>0</v>
          </cell>
          <cell r="CJ764">
            <v>0</v>
          </cell>
          <cell r="CK764">
            <v>164034</v>
          </cell>
          <cell r="CM764">
            <v>0</v>
          </cell>
          <cell r="CN764">
            <v>0</v>
          </cell>
          <cell r="CO764">
            <v>0</v>
          </cell>
          <cell r="CP764">
            <v>10.060196275198836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5517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477790</v>
          </cell>
          <cell r="DD764">
            <v>0</v>
          </cell>
          <cell r="DE764">
            <v>0</v>
          </cell>
          <cell r="DF764">
            <v>483307</v>
          </cell>
          <cell r="DH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O764">
            <v>0</v>
          </cell>
          <cell r="DP764">
            <v>0</v>
          </cell>
          <cell r="DQ764">
            <v>0</v>
          </cell>
          <cell r="DR764">
            <v>0</v>
          </cell>
          <cell r="DS764">
            <v>0</v>
          </cell>
          <cell r="DT764">
            <v>0</v>
          </cell>
          <cell r="DU764">
            <v>0</v>
          </cell>
          <cell r="DV764">
            <v>0</v>
          </cell>
          <cell r="DW764">
            <v>0</v>
          </cell>
          <cell r="DX764">
            <v>0</v>
          </cell>
          <cell r="DY764">
            <v>0</v>
          </cell>
          <cell r="DZ764">
            <v>0</v>
          </cell>
          <cell r="EA764">
            <v>0</v>
          </cell>
          <cell r="EC764">
            <v>0</v>
          </cell>
          <cell r="ED764">
            <v>0</v>
          </cell>
          <cell r="EE764">
            <v>0</v>
          </cell>
          <cell r="EF764">
            <v>9.6457939177183292</v>
          </cell>
          <cell r="EG764">
            <v>0</v>
          </cell>
          <cell r="EH764">
            <v>0</v>
          </cell>
          <cell r="EI764">
            <v>0</v>
          </cell>
          <cell r="EJ764">
            <v>0</v>
          </cell>
          <cell r="EK764">
            <v>0</v>
          </cell>
          <cell r="EL764">
            <v>70674</v>
          </cell>
          <cell r="EM764">
            <v>148490.47947180827</v>
          </cell>
          <cell r="EN764">
            <v>40144.205836889952</v>
          </cell>
          <cell r="EO764">
            <v>12873.111829587149</v>
          </cell>
          <cell r="EP764">
            <v>0</v>
          </cell>
          <cell r="EQ764">
            <v>0</v>
          </cell>
          <cell r="ER764">
            <v>0</v>
          </cell>
          <cell r="ES764">
            <v>-68184</v>
          </cell>
          <cell r="ET764">
            <v>0</v>
          </cell>
          <cell r="EU764">
            <v>0</v>
          </cell>
          <cell r="EV764">
            <v>2490</v>
          </cell>
          <cell r="EX764">
            <v>0</v>
          </cell>
          <cell r="EY764">
            <v>0</v>
          </cell>
          <cell r="EZ764">
            <v>0</v>
          </cell>
          <cell r="FA764">
            <v>0</v>
          </cell>
          <cell r="FB764">
            <v>0</v>
          </cell>
          <cell r="FC764">
            <v>0</v>
          </cell>
          <cell r="FD764">
            <v>0</v>
          </cell>
          <cell r="FE764">
            <v>0</v>
          </cell>
          <cell r="FF764">
            <v>0</v>
          </cell>
          <cell r="FG764">
            <v>0</v>
          </cell>
          <cell r="FH764">
            <v>152888.48492060398</v>
          </cell>
          <cell r="FI764">
            <v>39999.41655065908</v>
          </cell>
          <cell r="FJ764">
            <v>0</v>
          </cell>
          <cell r="FK764">
            <v>0</v>
          </cell>
          <cell r="FL764">
            <v>0</v>
          </cell>
          <cell r="FM764">
            <v>0</v>
          </cell>
          <cell r="FN764">
            <v>0</v>
          </cell>
          <cell r="FO764">
            <v>0</v>
          </cell>
          <cell r="FP764">
            <v>0</v>
          </cell>
          <cell r="FQ764">
            <v>0</v>
          </cell>
          <cell r="FS764">
            <v>0</v>
          </cell>
          <cell r="FT764">
            <v>0</v>
          </cell>
          <cell r="FU764">
            <v>0</v>
          </cell>
          <cell r="FV764">
            <v>9.6457939177183292</v>
          </cell>
          <cell r="FW764">
            <v>0</v>
          </cell>
          <cell r="FX764">
            <v>0</v>
          </cell>
          <cell r="FY764">
            <v>0</v>
          </cell>
          <cell r="FZ764">
            <v>0</v>
          </cell>
          <cell r="GA764">
            <v>0</v>
          </cell>
          <cell r="GB764">
            <v>8322</v>
          </cell>
          <cell r="GC764">
            <v>369174.514930395</v>
          </cell>
          <cell r="GD764">
            <v>100170.5593168223</v>
          </cell>
          <cell r="GE764">
            <v>19590.018535495044</v>
          </cell>
          <cell r="GF764">
            <v>0</v>
          </cell>
          <cell r="GG764">
            <v>0</v>
          </cell>
          <cell r="GH764">
            <v>0</v>
          </cell>
          <cell r="GI764">
            <v>0</v>
          </cell>
          <cell r="GJ764">
            <v>0</v>
          </cell>
          <cell r="GK764">
            <v>0</v>
          </cell>
          <cell r="GL764">
            <v>8322</v>
          </cell>
          <cell r="GN764">
            <v>0</v>
          </cell>
          <cell r="GO764">
            <v>0</v>
          </cell>
          <cell r="GP764">
            <v>0</v>
          </cell>
          <cell r="GQ764">
            <v>9.6457939177183292</v>
          </cell>
          <cell r="GR764">
            <v>0</v>
          </cell>
          <cell r="GS764">
            <v>0</v>
          </cell>
          <cell r="GT764">
            <v>0</v>
          </cell>
          <cell r="GU764">
            <v>0</v>
          </cell>
          <cell r="GV764">
            <v>0</v>
          </cell>
          <cell r="GW764">
            <v>401863</v>
          </cell>
          <cell r="GX764">
            <v>785838.82168665854</v>
          </cell>
          <cell r="GY764">
            <v>314583.69940927473</v>
          </cell>
          <cell r="GZ764">
            <v>215378.91869214404</v>
          </cell>
          <cell r="HA764">
            <v>0</v>
          </cell>
          <cell r="HB764">
            <v>0</v>
          </cell>
          <cell r="HC764">
            <v>0</v>
          </cell>
          <cell r="HD764">
            <v>0</v>
          </cell>
          <cell r="HE764">
            <v>0</v>
          </cell>
          <cell r="HF764">
            <v>0</v>
          </cell>
          <cell r="HG764">
            <v>401863</v>
          </cell>
          <cell r="HI764">
            <v>0</v>
          </cell>
          <cell r="HJ764">
            <v>0</v>
          </cell>
          <cell r="HK764">
            <v>0</v>
          </cell>
          <cell r="HL764">
            <v>9.6457939177183292</v>
          </cell>
          <cell r="HM764">
            <v>0</v>
          </cell>
          <cell r="HN764">
            <v>0</v>
          </cell>
          <cell r="HO764">
            <v>0</v>
          </cell>
          <cell r="HP764">
            <v>0</v>
          </cell>
          <cell r="HQ764">
            <v>0</v>
          </cell>
          <cell r="HR764">
            <v>51248</v>
          </cell>
          <cell r="HS764">
            <v>396064.95320329699</v>
          </cell>
          <cell r="HT764">
            <v>139168.12153971719</v>
          </cell>
          <cell r="HU764">
            <v>4725</v>
          </cell>
          <cell r="HV764">
            <v>0</v>
          </cell>
          <cell r="HW764">
            <v>0</v>
          </cell>
          <cell r="HX764">
            <v>0</v>
          </cell>
          <cell r="HY764">
            <v>0</v>
          </cell>
          <cell r="HZ764">
            <v>0</v>
          </cell>
          <cell r="IA764">
            <v>0</v>
          </cell>
          <cell r="IB764">
            <v>51248</v>
          </cell>
        </row>
        <row r="765">
          <cell r="C765" t="str">
            <v>A0350</v>
          </cell>
          <cell r="D765" t="str">
            <v>PT Karya Nusa Eka Daya</v>
          </cell>
          <cell r="E765" t="str">
            <v>PEB 2</v>
          </cell>
          <cell r="F765" t="str">
            <v>64PEB 2</v>
          </cell>
          <cell r="J765">
            <v>9.6457939177183292</v>
          </cell>
          <cell r="P765">
            <v>571474</v>
          </cell>
          <cell r="Q765">
            <v>828347.8431232397</v>
          </cell>
          <cell r="R765">
            <v>191571.28683283945</v>
          </cell>
          <cell r="S765">
            <v>0</v>
          </cell>
          <cell r="U765">
            <v>0</v>
          </cell>
          <cell r="W765">
            <v>-303939</v>
          </cell>
          <cell r="X765">
            <v>0</v>
          </cell>
          <cell r="Y765">
            <v>0</v>
          </cell>
          <cell r="Z765">
            <v>267535</v>
          </cell>
        </row>
        <row r="766">
          <cell r="C766" t="str">
            <v>A0350</v>
          </cell>
          <cell r="D766" t="str">
            <v>PT Karya Nusa Eka Daya</v>
          </cell>
          <cell r="E766" t="str">
            <v>PEB 3</v>
          </cell>
          <cell r="F766" t="str">
            <v>64PEB 3</v>
          </cell>
          <cell r="J766">
            <v>0</v>
          </cell>
          <cell r="P766">
            <v>0</v>
          </cell>
          <cell r="Q766" t="str">
            <v xml:space="preserve"> </v>
          </cell>
          <cell r="R766" t="str">
            <v xml:space="preserve"> </v>
          </cell>
          <cell r="S766" t="str">
            <v xml:space="preserve"> </v>
          </cell>
          <cell r="U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</row>
        <row r="767">
          <cell r="C767" t="str">
            <v>A0350</v>
          </cell>
          <cell r="D767" t="str">
            <v>PT Karya Nusa Eka Daya</v>
          </cell>
          <cell r="E767" t="str">
            <v>PEB 4</v>
          </cell>
          <cell r="F767" t="str">
            <v>64PEB 4</v>
          </cell>
          <cell r="J767">
            <v>9.664254943255953</v>
          </cell>
          <cell r="P767">
            <v>966715</v>
          </cell>
          <cell r="Q767">
            <v>1559709.0449605533</v>
          </cell>
          <cell r="R767">
            <v>603926.14235813636</v>
          </cell>
          <cell r="S767">
            <v>27197.443276090133</v>
          </cell>
          <cell r="U767">
            <v>0</v>
          </cell>
          <cell r="W767">
            <v>-802681</v>
          </cell>
          <cell r="X767">
            <v>0</v>
          </cell>
          <cell r="Y767">
            <v>0</v>
          </cell>
          <cell r="Z767">
            <v>164034</v>
          </cell>
        </row>
        <row r="768">
          <cell r="C768" t="str">
            <v>A0350</v>
          </cell>
          <cell r="D768" t="str">
            <v>PT Karya Nusa Eka Daya</v>
          </cell>
          <cell r="E768" t="str">
            <v>PEB 5</v>
          </cell>
          <cell r="F768" t="str">
            <v>64PEB 5</v>
          </cell>
          <cell r="J768">
            <v>10.060196275198836</v>
          </cell>
          <cell r="P768">
            <v>5517</v>
          </cell>
          <cell r="U768">
            <v>0</v>
          </cell>
          <cell r="W768">
            <v>477790</v>
          </cell>
          <cell r="X768">
            <v>0</v>
          </cell>
          <cell r="Y768">
            <v>0</v>
          </cell>
          <cell r="Z768">
            <v>483307</v>
          </cell>
        </row>
        <row r="769">
          <cell r="C769" t="str">
            <v>A0350</v>
          </cell>
          <cell r="D769" t="str">
            <v>PT Karya Nusa Eka Daya</v>
          </cell>
          <cell r="E769" t="str">
            <v>PEB 6</v>
          </cell>
          <cell r="F769" t="str">
            <v>64PEB 6</v>
          </cell>
          <cell r="J769">
            <v>0</v>
          </cell>
          <cell r="P769">
            <v>0</v>
          </cell>
          <cell r="U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</row>
        <row r="770">
          <cell r="C770" t="str">
            <v>A0350</v>
          </cell>
          <cell r="D770" t="str">
            <v>PT Karya Nusa Eka Daya</v>
          </cell>
          <cell r="E770" t="str">
            <v>PEB 7</v>
          </cell>
          <cell r="F770" t="str">
            <v>64PEB 7</v>
          </cell>
          <cell r="J770">
            <v>9.6457939177183292</v>
          </cell>
          <cell r="P770">
            <v>70674</v>
          </cell>
          <cell r="Q770">
            <v>148490.47947180827</v>
          </cell>
          <cell r="R770">
            <v>40144.205836889952</v>
          </cell>
          <cell r="S770">
            <v>12873.111829587149</v>
          </cell>
          <cell r="U770">
            <v>0</v>
          </cell>
          <cell r="W770">
            <v>-68184</v>
          </cell>
          <cell r="X770">
            <v>0</v>
          </cell>
          <cell r="Y770">
            <v>0</v>
          </cell>
          <cell r="Z770">
            <v>2490</v>
          </cell>
        </row>
        <row r="771">
          <cell r="C771" t="str">
            <v>A0350</v>
          </cell>
          <cell r="D771" t="str">
            <v>PT Karya Nusa Eka Daya</v>
          </cell>
          <cell r="E771" t="str">
            <v>MPP</v>
          </cell>
          <cell r="F771" t="str">
            <v>64MPP</v>
          </cell>
          <cell r="J771">
            <v>0</v>
          </cell>
          <cell r="P771">
            <v>0</v>
          </cell>
          <cell r="Q771">
            <v>152888.48492060398</v>
          </cell>
          <cell r="R771">
            <v>39999.41655065908</v>
          </cell>
          <cell r="S771">
            <v>0</v>
          </cell>
          <cell r="U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</row>
        <row r="772">
          <cell r="C772" t="str">
            <v>A0350</v>
          </cell>
          <cell r="D772" t="str">
            <v>PT Karya Nusa Eka Daya</v>
          </cell>
          <cell r="E772" t="str">
            <v>ID</v>
          </cell>
          <cell r="F772" t="str">
            <v>64ID</v>
          </cell>
          <cell r="J772">
            <v>9.6457939177183292</v>
          </cell>
          <cell r="P772">
            <v>8322</v>
          </cell>
          <cell r="Q772">
            <v>369174.514930395</v>
          </cell>
          <cell r="R772">
            <v>100170.5593168223</v>
          </cell>
          <cell r="S772">
            <v>19590.018535495044</v>
          </cell>
          <cell r="U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8322</v>
          </cell>
        </row>
        <row r="773">
          <cell r="C773" t="str">
            <v>A0350</v>
          </cell>
          <cell r="D773" t="str">
            <v>PT Karya Nusa Eka Daya</v>
          </cell>
          <cell r="E773" t="str">
            <v>LL</v>
          </cell>
          <cell r="F773" t="str">
            <v>64LL</v>
          </cell>
          <cell r="J773">
            <v>9.6457939177183292</v>
          </cell>
          <cell r="P773">
            <v>401863</v>
          </cell>
          <cell r="Q773">
            <v>785838.82168665854</v>
          </cell>
          <cell r="R773">
            <v>314583.69940927473</v>
          </cell>
          <cell r="S773">
            <v>215378.91869214404</v>
          </cell>
          <cell r="U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401863</v>
          </cell>
        </row>
        <row r="774">
          <cell r="C774" t="str">
            <v>A0350</v>
          </cell>
          <cell r="D774" t="str">
            <v>PT Karya Nusa Eka Daya</v>
          </cell>
          <cell r="E774" t="str">
            <v>PMK</v>
          </cell>
          <cell r="F774" t="str">
            <v>64PMK</v>
          </cell>
          <cell r="J774">
            <v>9.6457939177183292</v>
          </cell>
          <cell r="P774">
            <v>51248</v>
          </cell>
          <cell r="Q774">
            <v>396064.95320329699</v>
          </cell>
          <cell r="R774">
            <v>139168.12153971719</v>
          </cell>
          <cell r="S774">
            <v>4725</v>
          </cell>
          <cell r="U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51248</v>
          </cell>
        </row>
        <row r="776">
          <cell r="C776" t="str">
            <v>A0083</v>
          </cell>
          <cell r="D776" t="str">
            <v>PT Karya Tanah Subur</v>
          </cell>
          <cell r="E776" t="str">
            <v>PEB 1</v>
          </cell>
          <cell r="F776" t="str">
            <v>65PEB 1</v>
          </cell>
          <cell r="J776">
            <v>0</v>
          </cell>
          <cell r="N776">
            <v>0</v>
          </cell>
          <cell r="O776">
            <v>0</v>
          </cell>
          <cell r="P776">
            <v>0</v>
          </cell>
          <cell r="Q776" t="str">
            <v xml:space="preserve"> </v>
          </cell>
          <cell r="R776" t="str">
            <v xml:space="preserve"> </v>
          </cell>
          <cell r="S776" t="str">
            <v xml:space="preserve"> 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10.405135991336113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1055523</v>
          </cell>
          <cell r="AL776">
            <v>1752044.4836083602</v>
          </cell>
          <cell r="AM776">
            <v>239329.5125580267</v>
          </cell>
          <cell r="AN776">
            <v>10308.129999999999</v>
          </cell>
          <cell r="AO776">
            <v>0</v>
          </cell>
          <cell r="AP776">
            <v>0</v>
          </cell>
          <cell r="AQ776">
            <v>0</v>
          </cell>
          <cell r="AR776">
            <v>-418943</v>
          </cell>
          <cell r="AS776">
            <v>0</v>
          </cell>
          <cell r="AT776">
            <v>0</v>
          </cell>
          <cell r="AU776">
            <v>636580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 t="str">
            <v xml:space="preserve"> </v>
          </cell>
          <cell r="BH776" t="str">
            <v xml:space="preserve"> </v>
          </cell>
          <cell r="BI776" t="str">
            <v xml:space="preserve"> 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R776">
            <v>0</v>
          </cell>
          <cell r="BS776">
            <v>0</v>
          </cell>
          <cell r="BT776">
            <v>0</v>
          </cell>
          <cell r="BU776">
            <v>10.261090008663105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2193019</v>
          </cell>
          <cell r="CB776">
            <v>3236538.6108257431</v>
          </cell>
          <cell r="CC776">
            <v>507447.56263883528</v>
          </cell>
          <cell r="CD776">
            <v>76922.065321993767</v>
          </cell>
          <cell r="CE776">
            <v>0</v>
          </cell>
          <cell r="CF776">
            <v>0</v>
          </cell>
          <cell r="CG776">
            <v>0</v>
          </cell>
          <cell r="CH776">
            <v>-1556705</v>
          </cell>
          <cell r="CI776">
            <v>-148656</v>
          </cell>
          <cell r="CJ776">
            <v>11671</v>
          </cell>
          <cell r="CK776">
            <v>487658</v>
          </cell>
          <cell r="CM776">
            <v>0</v>
          </cell>
          <cell r="CN776">
            <v>0</v>
          </cell>
          <cell r="CO776">
            <v>0</v>
          </cell>
          <cell r="CP776">
            <v>8.0756786612342246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10412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1193077</v>
          </cell>
          <cell r="DD776">
            <v>0</v>
          </cell>
          <cell r="DE776">
            <v>0</v>
          </cell>
          <cell r="DF776">
            <v>1203489</v>
          </cell>
          <cell r="DH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O776">
            <v>0</v>
          </cell>
          <cell r="DP776">
            <v>0</v>
          </cell>
          <cell r="DQ776">
            <v>0</v>
          </cell>
          <cell r="DR776">
            <v>0</v>
          </cell>
          <cell r="DS776">
            <v>0</v>
          </cell>
          <cell r="DT776">
            <v>0</v>
          </cell>
          <cell r="DU776">
            <v>0</v>
          </cell>
          <cell r="DV776">
            <v>0</v>
          </cell>
          <cell r="DW776">
            <v>0</v>
          </cell>
          <cell r="DX776">
            <v>0</v>
          </cell>
          <cell r="DY776">
            <v>0</v>
          </cell>
          <cell r="DZ776">
            <v>0</v>
          </cell>
          <cell r="EA776">
            <v>0</v>
          </cell>
          <cell r="EC776">
            <v>0</v>
          </cell>
          <cell r="ED776">
            <v>0</v>
          </cell>
          <cell r="EE776">
            <v>0</v>
          </cell>
          <cell r="EF776">
            <v>10.405135991336113</v>
          </cell>
          <cell r="EG776">
            <v>0</v>
          </cell>
          <cell r="EH776">
            <v>0</v>
          </cell>
          <cell r="EI776">
            <v>0</v>
          </cell>
          <cell r="EJ776">
            <v>0</v>
          </cell>
          <cell r="EK776">
            <v>0</v>
          </cell>
          <cell r="EL776">
            <v>127289</v>
          </cell>
          <cell r="EM776">
            <v>255143.06369826736</v>
          </cell>
          <cell r="EN776">
            <v>48206.555285078706</v>
          </cell>
          <cell r="EO776">
            <v>24132.933439573488</v>
          </cell>
          <cell r="EP776">
            <v>0</v>
          </cell>
          <cell r="EQ776">
            <v>0</v>
          </cell>
          <cell r="ER776">
            <v>0</v>
          </cell>
          <cell r="ES776">
            <v>-185369</v>
          </cell>
          <cell r="ET776">
            <v>0</v>
          </cell>
          <cell r="EU776">
            <v>0</v>
          </cell>
          <cell r="EV776">
            <v>-58080</v>
          </cell>
          <cell r="EX776">
            <v>0</v>
          </cell>
          <cell r="EY776">
            <v>0</v>
          </cell>
          <cell r="EZ776">
            <v>0</v>
          </cell>
          <cell r="FA776">
            <v>0</v>
          </cell>
          <cell r="FB776">
            <v>0</v>
          </cell>
          <cell r="FC776">
            <v>0</v>
          </cell>
          <cell r="FD776">
            <v>0</v>
          </cell>
          <cell r="FE776">
            <v>0</v>
          </cell>
          <cell r="FF776">
            <v>0</v>
          </cell>
          <cell r="FG776">
            <v>0</v>
          </cell>
          <cell r="FH776">
            <v>301840.32487441169</v>
          </cell>
          <cell r="FI776">
            <v>45453.624314594723</v>
          </cell>
          <cell r="FJ776">
            <v>2208.8850000000002</v>
          </cell>
          <cell r="FK776">
            <v>0</v>
          </cell>
          <cell r="FL776">
            <v>0</v>
          </cell>
          <cell r="FM776">
            <v>0</v>
          </cell>
          <cell r="FN776">
            <v>0</v>
          </cell>
          <cell r="FO776">
            <v>0</v>
          </cell>
          <cell r="FP776">
            <v>0</v>
          </cell>
          <cell r="FQ776">
            <v>0</v>
          </cell>
          <cell r="FS776">
            <v>0</v>
          </cell>
          <cell r="FT776">
            <v>0</v>
          </cell>
          <cell r="FU776">
            <v>0</v>
          </cell>
          <cell r="FV776">
            <v>10.405135991336113</v>
          </cell>
          <cell r="FW776">
            <v>0</v>
          </cell>
          <cell r="FX776">
            <v>0</v>
          </cell>
          <cell r="FY776">
            <v>0</v>
          </cell>
          <cell r="FZ776">
            <v>0</v>
          </cell>
          <cell r="GA776">
            <v>0</v>
          </cell>
          <cell r="GB776">
            <v>17901</v>
          </cell>
          <cell r="GC776">
            <v>663309.52983225125</v>
          </cell>
          <cell r="GD776">
            <v>110987.47816667879</v>
          </cell>
          <cell r="GE776">
            <v>40858.505376347443</v>
          </cell>
          <cell r="GF776">
            <v>0</v>
          </cell>
          <cell r="GG776">
            <v>0</v>
          </cell>
          <cell r="GH776">
            <v>0</v>
          </cell>
          <cell r="GI776">
            <v>0</v>
          </cell>
          <cell r="GJ776">
            <v>0</v>
          </cell>
          <cell r="GK776">
            <v>0</v>
          </cell>
          <cell r="GL776">
            <v>17901</v>
          </cell>
          <cell r="GN776">
            <v>0</v>
          </cell>
          <cell r="GO776">
            <v>0</v>
          </cell>
          <cell r="GP776">
            <v>0</v>
          </cell>
          <cell r="GQ776">
            <v>10.405135991336113</v>
          </cell>
          <cell r="GR776">
            <v>0</v>
          </cell>
          <cell r="GS776">
            <v>0</v>
          </cell>
          <cell r="GT776">
            <v>0</v>
          </cell>
          <cell r="GU776">
            <v>0</v>
          </cell>
          <cell r="GV776">
            <v>0</v>
          </cell>
          <cell r="GW776">
            <v>700124</v>
          </cell>
          <cell r="GX776">
            <v>901673.63255793485</v>
          </cell>
          <cell r="GY776">
            <v>390965.70488402597</v>
          </cell>
          <cell r="GZ776">
            <v>335000.16750532825</v>
          </cell>
          <cell r="HA776">
            <v>0</v>
          </cell>
          <cell r="HB776">
            <v>0</v>
          </cell>
          <cell r="HC776">
            <v>0</v>
          </cell>
          <cell r="HD776">
            <v>0</v>
          </cell>
          <cell r="HE776">
            <v>0</v>
          </cell>
          <cell r="HF776">
            <v>0</v>
          </cell>
          <cell r="HG776">
            <v>700124</v>
          </cell>
          <cell r="HI776">
            <v>0</v>
          </cell>
          <cell r="HJ776">
            <v>0</v>
          </cell>
          <cell r="HK776">
            <v>0</v>
          </cell>
          <cell r="HL776">
            <v>10.405135991336113</v>
          </cell>
          <cell r="HM776">
            <v>0</v>
          </cell>
          <cell r="HN776">
            <v>0</v>
          </cell>
          <cell r="HO776">
            <v>0</v>
          </cell>
          <cell r="HP776">
            <v>0</v>
          </cell>
          <cell r="HQ776">
            <v>0</v>
          </cell>
          <cell r="HR776">
            <v>406265</v>
          </cell>
          <cell r="HS776">
            <v>810357.34790961002</v>
          </cell>
          <cell r="HT776">
            <v>151030.11151184214</v>
          </cell>
          <cell r="HU776">
            <v>96862.5</v>
          </cell>
          <cell r="HV776">
            <v>0</v>
          </cell>
          <cell r="HW776">
            <v>0</v>
          </cell>
          <cell r="HX776">
            <v>0</v>
          </cell>
          <cell r="HY776">
            <v>0</v>
          </cell>
          <cell r="HZ776">
            <v>0</v>
          </cell>
          <cell r="IA776">
            <v>0</v>
          </cell>
          <cell r="IB776">
            <v>406265</v>
          </cell>
        </row>
        <row r="777">
          <cell r="C777" t="str">
            <v>A0083</v>
          </cell>
          <cell r="D777" t="str">
            <v>PT Karya Tanah Subur</v>
          </cell>
          <cell r="E777" t="str">
            <v>PEB 2</v>
          </cell>
          <cell r="F777" t="str">
            <v>65PEB 2</v>
          </cell>
          <cell r="J777">
            <v>10.405135991336113</v>
          </cell>
          <cell r="P777">
            <v>1055523</v>
          </cell>
          <cell r="Q777">
            <v>1752044.4836083602</v>
          </cell>
          <cell r="R777">
            <v>239329.5125580267</v>
          </cell>
          <cell r="S777">
            <v>10308.129999999999</v>
          </cell>
          <cell r="U777">
            <v>0</v>
          </cell>
          <cell r="W777">
            <v>-418943</v>
          </cell>
          <cell r="X777">
            <v>0</v>
          </cell>
          <cell r="Y777">
            <v>0</v>
          </cell>
          <cell r="Z777">
            <v>636580</v>
          </cell>
        </row>
        <row r="778">
          <cell r="C778" t="str">
            <v>A0083</v>
          </cell>
          <cell r="D778" t="str">
            <v>PT Karya Tanah Subur</v>
          </cell>
          <cell r="E778" t="str">
            <v>PEB 3</v>
          </cell>
          <cell r="F778" t="str">
            <v>65PEB 3</v>
          </cell>
          <cell r="J778">
            <v>0</v>
          </cell>
          <cell r="P778">
            <v>0</v>
          </cell>
          <cell r="Q778" t="str">
            <v xml:space="preserve"> </v>
          </cell>
          <cell r="R778" t="str">
            <v xml:space="preserve"> </v>
          </cell>
          <cell r="S778" t="str">
            <v xml:space="preserve"> </v>
          </cell>
          <cell r="U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</row>
        <row r="779">
          <cell r="C779" t="str">
            <v>A0083</v>
          </cell>
          <cell r="D779" t="str">
            <v>PT Karya Tanah Subur</v>
          </cell>
          <cell r="E779" t="str">
            <v>PEB 4</v>
          </cell>
          <cell r="F779" t="str">
            <v>65PEB 4</v>
          </cell>
          <cell r="J779">
            <v>10.261090008663105</v>
          </cell>
          <cell r="P779">
            <v>2193019</v>
          </cell>
          <cell r="Q779">
            <v>3236538.6108257431</v>
          </cell>
          <cell r="R779">
            <v>507447.56263883528</v>
          </cell>
          <cell r="S779">
            <v>76922.065321993767</v>
          </cell>
          <cell r="U779">
            <v>0</v>
          </cell>
          <cell r="W779">
            <v>-1556705</v>
          </cell>
          <cell r="X779">
            <v>-148656</v>
          </cell>
          <cell r="Y779">
            <v>11671</v>
          </cell>
          <cell r="Z779">
            <v>487658</v>
          </cell>
        </row>
        <row r="780">
          <cell r="C780" t="str">
            <v>A0083</v>
          </cell>
          <cell r="D780" t="str">
            <v>PT Karya Tanah Subur</v>
          </cell>
          <cell r="E780" t="str">
            <v>PEB 5</v>
          </cell>
          <cell r="F780" t="str">
            <v>65PEB 5</v>
          </cell>
          <cell r="J780">
            <v>8.0756786612342246</v>
          </cell>
          <cell r="P780">
            <v>10412</v>
          </cell>
          <cell r="U780">
            <v>0</v>
          </cell>
          <cell r="W780">
            <v>1193077</v>
          </cell>
          <cell r="X780">
            <v>0</v>
          </cell>
          <cell r="Y780">
            <v>0</v>
          </cell>
          <cell r="Z780">
            <v>1203489</v>
          </cell>
        </row>
        <row r="781">
          <cell r="C781" t="str">
            <v>A0083</v>
          </cell>
          <cell r="D781" t="str">
            <v>PT Karya Tanah Subur</v>
          </cell>
          <cell r="E781" t="str">
            <v>PEB 6</v>
          </cell>
          <cell r="F781" t="str">
            <v>65PEB 6</v>
          </cell>
          <cell r="J781">
            <v>0</v>
          </cell>
          <cell r="P781">
            <v>0</v>
          </cell>
          <cell r="U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</row>
        <row r="782">
          <cell r="C782" t="str">
            <v>A0083</v>
          </cell>
          <cell r="D782" t="str">
            <v>PT Karya Tanah Subur</v>
          </cell>
          <cell r="E782" t="str">
            <v>PEB 7</v>
          </cell>
          <cell r="F782" t="str">
            <v>65PEB 7</v>
          </cell>
          <cell r="J782">
            <v>10.405135991336113</v>
          </cell>
          <cell r="P782">
            <v>127289</v>
          </cell>
          <cell r="Q782">
            <v>255143.06369826736</v>
          </cell>
          <cell r="R782">
            <v>48206.555285078706</v>
          </cell>
          <cell r="S782">
            <v>24132.933439573488</v>
          </cell>
          <cell r="U782">
            <v>0</v>
          </cell>
          <cell r="W782">
            <v>-185369</v>
          </cell>
          <cell r="X782">
            <v>0</v>
          </cell>
          <cell r="Y782">
            <v>0</v>
          </cell>
          <cell r="Z782">
            <v>-58080</v>
          </cell>
        </row>
        <row r="783">
          <cell r="C783" t="str">
            <v>A0083</v>
          </cell>
          <cell r="D783" t="str">
            <v>PT Karya Tanah Subur</v>
          </cell>
          <cell r="E783" t="str">
            <v>MPP</v>
          </cell>
          <cell r="F783" t="str">
            <v>65MPP</v>
          </cell>
          <cell r="J783">
            <v>0</v>
          </cell>
          <cell r="P783">
            <v>0</v>
          </cell>
          <cell r="Q783">
            <v>301840.32487441169</v>
          </cell>
          <cell r="R783">
            <v>45453.624314594723</v>
          </cell>
          <cell r="S783">
            <v>2208.8850000000002</v>
          </cell>
          <cell r="U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</row>
        <row r="784">
          <cell r="C784" t="str">
            <v>A0083</v>
          </cell>
          <cell r="D784" t="str">
            <v>PT Karya Tanah Subur</v>
          </cell>
          <cell r="E784" t="str">
            <v>ID</v>
          </cell>
          <cell r="F784" t="str">
            <v>65ID</v>
          </cell>
          <cell r="J784">
            <v>10.405135991336113</v>
          </cell>
          <cell r="P784">
            <v>17901</v>
          </cell>
          <cell r="Q784">
            <v>663309.52983225125</v>
          </cell>
          <cell r="R784">
            <v>110987.47816667879</v>
          </cell>
          <cell r="S784">
            <v>40858.505376347443</v>
          </cell>
          <cell r="U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17901</v>
          </cell>
        </row>
        <row r="785">
          <cell r="C785" t="str">
            <v>A0083</v>
          </cell>
          <cell r="D785" t="str">
            <v>PT Karya Tanah Subur</v>
          </cell>
          <cell r="E785" t="str">
            <v>LL</v>
          </cell>
          <cell r="F785" t="str">
            <v>65LL</v>
          </cell>
          <cell r="J785">
            <v>10.405135991336113</v>
          </cell>
          <cell r="P785">
            <v>700124</v>
          </cell>
          <cell r="Q785">
            <v>901673.63255793485</v>
          </cell>
          <cell r="R785">
            <v>390965.70488402597</v>
          </cell>
          <cell r="S785">
            <v>335000.16750532825</v>
          </cell>
          <cell r="U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700124</v>
          </cell>
        </row>
        <row r="786">
          <cell r="C786" t="str">
            <v>A0083</v>
          </cell>
          <cell r="D786" t="str">
            <v>PT Karya Tanah Subur</v>
          </cell>
          <cell r="E786" t="str">
            <v>PMK</v>
          </cell>
          <cell r="F786" t="str">
            <v>65PMK</v>
          </cell>
          <cell r="J786">
            <v>10.405135991336113</v>
          </cell>
          <cell r="P786">
            <v>406265</v>
          </cell>
          <cell r="Q786">
            <v>810357.34790961002</v>
          </cell>
          <cell r="R786">
            <v>151030.11151184214</v>
          </cell>
          <cell r="S786">
            <v>96862.5</v>
          </cell>
          <cell r="U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406265</v>
          </cell>
        </row>
        <row r="788">
          <cell r="C788" t="str">
            <v>A0084</v>
          </cell>
          <cell r="D788" t="str">
            <v>PT Kayaba Indonesia</v>
          </cell>
          <cell r="E788" t="str">
            <v>PEB 1</v>
          </cell>
          <cell r="F788" t="str">
            <v>66PEB 1</v>
          </cell>
          <cell r="G788">
            <v>0.1</v>
          </cell>
          <cell r="H788">
            <v>0.1</v>
          </cell>
          <cell r="I788">
            <v>0.09</v>
          </cell>
          <cell r="J788">
            <v>6.1163541602143772</v>
          </cell>
          <cell r="K788">
            <v>5.372031893986339</v>
          </cell>
          <cell r="L788">
            <v>1319361</v>
          </cell>
          <cell r="N788">
            <v>2759395.6808000002</v>
          </cell>
          <cell r="O788">
            <v>261992.20799999998</v>
          </cell>
          <cell r="P788">
            <v>21640210.989107009</v>
          </cell>
          <cell r="Q788">
            <v>26251636.407808665</v>
          </cell>
          <cell r="R788">
            <v>981853.87381693418</v>
          </cell>
          <cell r="S788">
            <v>4260466.1628342913</v>
          </cell>
          <cell r="U788">
            <v>-15443823.522472374</v>
          </cell>
          <cell r="V788">
            <v>24026358.062933337</v>
          </cell>
          <cell r="W788">
            <v>-5647070.4963710746</v>
          </cell>
          <cell r="X788">
            <v>0</v>
          </cell>
          <cell r="Y788">
            <v>0</v>
          </cell>
          <cell r="Z788">
            <v>549316.97026356123</v>
          </cell>
          <cell r="AB788">
            <v>0.1</v>
          </cell>
          <cell r="AC788">
            <v>0</v>
          </cell>
          <cell r="AD788">
            <v>0.09</v>
          </cell>
          <cell r="AE788">
            <v>15.317899873196227</v>
          </cell>
          <cell r="AF788">
            <v>17.608314825173132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1009947.6820042558</v>
          </cell>
          <cell r="AL788">
            <v>8707475.2490228787</v>
          </cell>
          <cell r="AM788">
            <v>608105.92014946858</v>
          </cell>
          <cell r="AN788">
            <v>706522.74</v>
          </cell>
          <cell r="AO788">
            <v>0</v>
          </cell>
          <cell r="AP788">
            <v>0</v>
          </cell>
          <cell r="AQ788">
            <v>0</v>
          </cell>
          <cell r="AR788">
            <v>186862.90925381964</v>
          </cell>
          <cell r="AS788">
            <v>0</v>
          </cell>
          <cell r="AT788">
            <v>0</v>
          </cell>
          <cell r="AU788">
            <v>1196810.5912580756</v>
          </cell>
          <cell r="AW788">
            <v>0.1</v>
          </cell>
          <cell r="AX788">
            <v>0</v>
          </cell>
          <cell r="AY788">
            <v>0.09</v>
          </cell>
          <cell r="AZ788">
            <v>15.24813300236166</v>
          </cell>
          <cell r="BA788">
            <v>5.372031893986339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2946343.9338002871</v>
          </cell>
          <cell r="BG788">
            <v>813722.42384969397</v>
          </cell>
          <cell r="BH788">
            <v>38822.517118427844</v>
          </cell>
          <cell r="BI788">
            <v>60354.419558666763</v>
          </cell>
          <cell r="BJ788">
            <v>0</v>
          </cell>
          <cell r="BK788">
            <v>0</v>
          </cell>
          <cell r="BL788">
            <v>0</v>
          </cell>
          <cell r="BM788">
            <v>1528446.1258222486</v>
          </cell>
          <cell r="BN788">
            <v>-5128.4626179210991</v>
          </cell>
          <cell r="BO788">
            <v>9784.4873807981185</v>
          </cell>
          <cell r="BP788">
            <v>4469661.5970046148</v>
          </cell>
          <cell r="BR788">
            <v>0.1</v>
          </cell>
          <cell r="BS788">
            <v>0</v>
          </cell>
          <cell r="BT788">
            <v>0.09</v>
          </cell>
          <cell r="BU788">
            <v>15.24813300236166</v>
          </cell>
          <cell r="BV788">
            <v>19.49655340947815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6174696.6245460557</v>
          </cell>
          <cell r="CB788">
            <v>5826052.4395260597</v>
          </cell>
          <cell r="CC788">
            <v>658325.52548908663</v>
          </cell>
          <cell r="CD788">
            <v>274972.58012900117</v>
          </cell>
          <cell r="CE788">
            <v>0</v>
          </cell>
          <cell r="CF788">
            <v>0</v>
          </cell>
          <cell r="CG788">
            <v>0</v>
          </cell>
          <cell r="CH788">
            <v>-363944.91663280246</v>
          </cell>
          <cell r="CI788">
            <v>-5573.6618923311253</v>
          </cell>
          <cell r="CJ788">
            <v>10633.873835753149</v>
          </cell>
          <cell r="CK788">
            <v>5805178.0460209223</v>
          </cell>
          <cell r="CM788">
            <v>0</v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O788">
            <v>0</v>
          </cell>
          <cell r="DP788">
            <v>0</v>
          </cell>
          <cell r="DQ788">
            <v>0</v>
          </cell>
          <cell r="DR788">
            <v>0</v>
          </cell>
          <cell r="DS788">
            <v>0</v>
          </cell>
          <cell r="DT788">
            <v>0</v>
          </cell>
          <cell r="DU788">
            <v>0</v>
          </cell>
          <cell r="DV788">
            <v>0</v>
          </cell>
          <cell r="DW788">
            <v>0</v>
          </cell>
          <cell r="DX788">
            <v>0</v>
          </cell>
          <cell r="DY788">
            <v>0</v>
          </cell>
          <cell r="DZ788">
            <v>0</v>
          </cell>
          <cell r="EA788">
            <v>0</v>
          </cell>
          <cell r="EC788">
            <v>0.1</v>
          </cell>
          <cell r="ED788">
            <v>0</v>
          </cell>
          <cell r="EE788">
            <v>0.09</v>
          </cell>
          <cell r="EF788">
            <v>15.24813300236166</v>
          </cell>
          <cell r="EG788">
            <v>17.608314825173132</v>
          </cell>
          <cell r="EH788">
            <v>0</v>
          </cell>
          <cell r="EI788">
            <v>0</v>
          </cell>
          <cell r="EJ788">
            <v>0</v>
          </cell>
          <cell r="EK788">
            <v>0</v>
          </cell>
          <cell r="EL788">
            <v>862805.25672622025</v>
          </cell>
          <cell r="EM788">
            <v>513168</v>
          </cell>
          <cell r="EN788">
            <v>74328</v>
          </cell>
          <cell r="EO788">
            <v>81866</v>
          </cell>
          <cell r="EP788">
            <v>0</v>
          </cell>
          <cell r="EQ788">
            <v>0</v>
          </cell>
          <cell r="ER788">
            <v>0</v>
          </cell>
          <cell r="ES788">
            <v>43202.225338505574</v>
          </cell>
          <cell r="ET788">
            <v>0</v>
          </cell>
          <cell r="EU788">
            <v>0</v>
          </cell>
          <cell r="EV788">
            <v>906007.48206472583</v>
          </cell>
          <cell r="EX788">
            <v>0.1</v>
          </cell>
          <cell r="EY788">
            <v>0</v>
          </cell>
          <cell r="EZ788">
            <v>0.09</v>
          </cell>
          <cell r="FA788">
            <v>15.24813300236166</v>
          </cell>
          <cell r="FB788">
            <v>17.608314825173132</v>
          </cell>
          <cell r="FC788">
            <v>0</v>
          </cell>
          <cell r="FD788">
            <v>0</v>
          </cell>
          <cell r="FE788">
            <v>0</v>
          </cell>
          <cell r="FF788">
            <v>0</v>
          </cell>
          <cell r="FG788">
            <v>2754636.7077658833</v>
          </cell>
          <cell r="FH788">
            <v>1520314.559832271</v>
          </cell>
          <cell r="FI788">
            <v>99512.705158593613</v>
          </cell>
          <cell r="FJ788">
            <v>133416.65400000001</v>
          </cell>
          <cell r="FK788">
            <v>0</v>
          </cell>
          <cell r="FL788">
            <v>0</v>
          </cell>
          <cell r="FM788">
            <v>0</v>
          </cell>
          <cell r="FN788">
            <v>-74682.462301768202</v>
          </cell>
          <cell r="FO788">
            <v>-2071657.5897080561</v>
          </cell>
          <cell r="FP788">
            <v>173337.05100000001</v>
          </cell>
          <cell r="FQ788">
            <v>608296.65575605922</v>
          </cell>
          <cell r="FS788">
            <v>0.1</v>
          </cell>
          <cell r="FT788">
            <v>0</v>
          </cell>
          <cell r="FU788">
            <v>0.09</v>
          </cell>
          <cell r="FV788">
            <v>15.24813300236166</v>
          </cell>
          <cell r="FW788">
            <v>17.608314825173132</v>
          </cell>
          <cell r="FX788">
            <v>0</v>
          </cell>
          <cell r="FY788">
            <v>0</v>
          </cell>
          <cell r="FZ788">
            <v>0</v>
          </cell>
          <cell r="GA788">
            <v>0</v>
          </cell>
          <cell r="GB788">
            <v>3847952.0413237968</v>
          </cell>
          <cell r="GC788">
            <v>2992168.8522548862</v>
          </cell>
          <cell r="GD788">
            <v>300166.02823126159</v>
          </cell>
          <cell r="GE788">
            <v>276886.00298063114</v>
          </cell>
          <cell r="GF788">
            <v>0</v>
          </cell>
          <cell r="GG788">
            <v>0</v>
          </cell>
          <cell r="GH788">
            <v>0</v>
          </cell>
          <cell r="GI788">
            <v>856084.64735225076</v>
          </cell>
          <cell r="GJ788">
            <v>0</v>
          </cell>
          <cell r="GK788">
            <v>0</v>
          </cell>
          <cell r="GL788">
            <v>4704036.6886760471</v>
          </cell>
          <cell r="GN788">
            <v>0.1</v>
          </cell>
          <cell r="GO788">
            <v>0</v>
          </cell>
          <cell r="GP788">
            <v>0.09</v>
          </cell>
          <cell r="GQ788">
            <v>15.24813300236166</v>
          </cell>
          <cell r="GR788">
            <v>17.608314825173132</v>
          </cell>
          <cell r="GS788">
            <v>0</v>
          </cell>
          <cell r="GT788">
            <v>0</v>
          </cell>
          <cell r="GU788">
            <v>0</v>
          </cell>
          <cell r="GV788">
            <v>0</v>
          </cell>
          <cell r="GW788">
            <v>1881996.0418999775</v>
          </cell>
          <cell r="GX788">
            <v>3019250.6384775606</v>
          </cell>
          <cell r="GY788">
            <v>1124758.0443117805</v>
          </cell>
          <cell r="GZ788">
            <v>949711.01897504111</v>
          </cell>
          <cell r="HA788">
            <v>0</v>
          </cell>
          <cell r="HB788">
            <v>0</v>
          </cell>
          <cell r="HC788">
            <v>0</v>
          </cell>
          <cell r="HD788">
            <v>0</v>
          </cell>
          <cell r="HE788">
            <v>0</v>
          </cell>
          <cell r="HF788">
            <v>0</v>
          </cell>
          <cell r="HG788">
            <v>1881996.0418999775</v>
          </cell>
          <cell r="HI788">
            <v>0.1</v>
          </cell>
          <cell r="HJ788">
            <v>0</v>
          </cell>
          <cell r="HK788">
            <v>0.09</v>
          </cell>
          <cell r="HL788">
            <v>15.24813300236166</v>
          </cell>
          <cell r="HM788">
            <v>17.608314825173132</v>
          </cell>
          <cell r="HN788">
            <v>0</v>
          </cell>
          <cell r="HO788">
            <v>0</v>
          </cell>
          <cell r="HP788">
            <v>0</v>
          </cell>
          <cell r="HQ788">
            <v>0</v>
          </cell>
          <cell r="HR788">
            <v>3660607.8306955653</v>
          </cell>
          <cell r="HS788">
            <v>1616051</v>
          </cell>
          <cell r="HT788">
            <v>294651</v>
          </cell>
          <cell r="HU788">
            <v>214325</v>
          </cell>
          <cell r="HV788">
            <v>0</v>
          </cell>
          <cell r="HW788">
            <v>0</v>
          </cell>
          <cell r="HX788">
            <v>0</v>
          </cell>
          <cell r="HY788">
            <v>0</v>
          </cell>
          <cell r="HZ788">
            <v>0</v>
          </cell>
          <cell r="IA788">
            <v>0</v>
          </cell>
          <cell r="IB788">
            <v>3660607.8306955653</v>
          </cell>
        </row>
        <row r="789">
          <cell r="C789" t="str">
            <v>A0084</v>
          </cell>
          <cell r="D789" t="str">
            <v>PT Kayaba Indonesia</v>
          </cell>
          <cell r="E789" t="str">
            <v>PEB 2</v>
          </cell>
          <cell r="F789" t="str">
            <v>66PEB 2</v>
          </cell>
          <cell r="G789">
            <v>0.1</v>
          </cell>
          <cell r="I789">
            <v>0.09</v>
          </cell>
          <cell r="J789">
            <v>15.317899873196227</v>
          </cell>
          <cell r="K789">
            <v>17.608314825173132</v>
          </cell>
          <cell r="P789">
            <v>1009947.6820042558</v>
          </cell>
          <cell r="Q789">
            <v>8707475.2490228787</v>
          </cell>
          <cell r="R789">
            <v>608105.92014946858</v>
          </cell>
          <cell r="S789">
            <v>706522.74</v>
          </cell>
          <cell r="U789">
            <v>0</v>
          </cell>
          <cell r="W789">
            <v>186862.90925381964</v>
          </cell>
          <cell r="X789">
            <v>0</v>
          </cell>
          <cell r="Y789">
            <v>0</v>
          </cell>
          <cell r="Z789">
            <v>1196810.5912580756</v>
          </cell>
        </row>
        <row r="790">
          <cell r="C790" t="str">
            <v>A0084</v>
          </cell>
          <cell r="D790" t="str">
            <v>PT Kayaba Indonesia</v>
          </cell>
          <cell r="E790" t="str">
            <v>PEB 3</v>
          </cell>
          <cell r="F790" t="str">
            <v>66PEB 3</v>
          </cell>
          <cell r="G790">
            <v>0.1</v>
          </cell>
          <cell r="I790">
            <v>0.09</v>
          </cell>
          <cell r="J790">
            <v>15.24813300236166</v>
          </cell>
          <cell r="K790">
            <v>5.372031893986339</v>
          </cell>
          <cell r="P790">
            <v>2946343.9338002871</v>
          </cell>
          <cell r="Q790">
            <v>813722.42384969397</v>
          </cell>
          <cell r="R790">
            <v>38822.517118427844</v>
          </cell>
          <cell r="S790">
            <v>60354.419558666763</v>
          </cell>
          <cell r="U790">
            <v>0</v>
          </cell>
          <cell r="W790">
            <v>1528446.1258222486</v>
          </cell>
          <cell r="X790">
            <v>-5128.4626179210991</v>
          </cell>
          <cell r="Y790">
            <v>9784.4873807981185</v>
          </cell>
          <cell r="Z790">
            <v>4469661.5970046148</v>
          </cell>
        </row>
        <row r="791">
          <cell r="C791" t="str">
            <v>A0084</v>
          </cell>
          <cell r="D791" t="str">
            <v>PT Kayaba Indonesia</v>
          </cell>
          <cell r="E791" t="str">
            <v>PEB 4</v>
          </cell>
          <cell r="F791" t="str">
            <v>66PEB 4</v>
          </cell>
          <cell r="G791">
            <v>0.1</v>
          </cell>
          <cell r="I791">
            <v>0.09</v>
          </cell>
          <cell r="J791">
            <v>15.24813300236166</v>
          </cell>
          <cell r="K791">
            <v>19.49655340947815</v>
          </cell>
          <cell r="P791">
            <v>6174696.6245460557</v>
          </cell>
          <cell r="Q791">
            <v>5826052.4395260597</v>
          </cell>
          <cell r="R791">
            <v>658325.52548908663</v>
          </cell>
          <cell r="S791">
            <v>274972.58012900117</v>
          </cell>
          <cell r="U791">
            <v>0</v>
          </cell>
          <cell r="W791">
            <v>-363944.91663280246</v>
          </cell>
          <cell r="X791">
            <v>-5573.6618923311253</v>
          </cell>
          <cell r="Y791">
            <v>10633.873835753149</v>
          </cell>
          <cell r="Z791">
            <v>5805178.0460209223</v>
          </cell>
        </row>
        <row r="792">
          <cell r="C792" t="str">
            <v>A0084</v>
          </cell>
          <cell r="D792" t="str">
            <v>PT Kayaba Indonesia</v>
          </cell>
          <cell r="E792" t="str">
            <v>PEB 5</v>
          </cell>
          <cell r="F792" t="str">
            <v>66PEB 5</v>
          </cell>
          <cell r="P792">
            <v>0</v>
          </cell>
          <cell r="U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</row>
        <row r="793">
          <cell r="C793" t="str">
            <v>A0084</v>
          </cell>
          <cell r="D793" t="str">
            <v>PT Kayaba Indonesia</v>
          </cell>
          <cell r="E793" t="str">
            <v>PEB 6</v>
          </cell>
          <cell r="F793" t="str">
            <v>66PEB 6</v>
          </cell>
          <cell r="P793">
            <v>0</v>
          </cell>
          <cell r="U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</row>
        <row r="794">
          <cell r="C794" t="str">
            <v>A0084</v>
          </cell>
          <cell r="D794" t="str">
            <v>PT Kayaba Indonesia</v>
          </cell>
          <cell r="E794" t="str">
            <v>PEB 7</v>
          </cell>
          <cell r="F794" t="str">
            <v>66PEB 7</v>
          </cell>
          <cell r="G794">
            <v>0.1</v>
          </cell>
          <cell r="I794">
            <v>0.09</v>
          </cell>
          <cell r="J794">
            <v>15.24813300236166</v>
          </cell>
          <cell r="K794">
            <v>17.608314825173132</v>
          </cell>
          <cell r="P794">
            <v>862805.25672622025</v>
          </cell>
          <cell r="Q794">
            <v>513168</v>
          </cell>
          <cell r="R794">
            <v>74328</v>
          </cell>
          <cell r="S794">
            <v>81866</v>
          </cell>
          <cell r="U794">
            <v>0</v>
          </cell>
          <cell r="W794">
            <v>43202.225338505574</v>
          </cell>
          <cell r="X794">
            <v>0</v>
          </cell>
          <cell r="Y794">
            <v>0</v>
          </cell>
          <cell r="Z794">
            <v>906007.48206472583</v>
          </cell>
        </row>
        <row r="795">
          <cell r="C795" t="str">
            <v>A0084</v>
          </cell>
          <cell r="D795" t="str">
            <v>PT Kayaba Indonesia</v>
          </cell>
          <cell r="E795" t="str">
            <v>MPP</v>
          </cell>
          <cell r="F795" t="str">
            <v>66MPP</v>
          </cell>
          <cell r="G795">
            <v>0.1</v>
          </cell>
          <cell r="I795">
            <v>0.09</v>
          </cell>
          <cell r="J795">
            <v>15.24813300236166</v>
          </cell>
          <cell r="K795">
            <v>17.608314825173132</v>
          </cell>
          <cell r="P795">
            <v>2754636.7077658833</v>
          </cell>
          <cell r="Q795">
            <v>1520314.559832271</v>
          </cell>
          <cell r="R795">
            <v>99512.705158593613</v>
          </cell>
          <cell r="S795">
            <v>133416.65400000001</v>
          </cell>
          <cell r="U795">
            <v>0</v>
          </cell>
          <cell r="W795">
            <v>-74682.462301768202</v>
          </cell>
          <cell r="X795">
            <v>-2071657.5897080561</v>
          </cell>
          <cell r="Y795">
            <v>173337.05100000001</v>
          </cell>
          <cell r="Z795">
            <v>608296.65575605922</v>
          </cell>
        </row>
        <row r="796">
          <cell r="C796" t="str">
            <v>A0084</v>
          </cell>
          <cell r="D796" t="str">
            <v>PT Kayaba Indonesia</v>
          </cell>
          <cell r="E796" t="str">
            <v>ID</v>
          </cell>
          <cell r="F796" t="str">
            <v>66ID</v>
          </cell>
          <cell r="G796">
            <v>0.1</v>
          </cell>
          <cell r="I796">
            <v>0.09</v>
          </cell>
          <cell r="J796">
            <v>15.24813300236166</v>
          </cell>
          <cell r="K796">
            <v>17.608314825173132</v>
          </cell>
          <cell r="P796">
            <v>3847952.0413237968</v>
          </cell>
          <cell r="Q796">
            <v>2992168.8522548862</v>
          </cell>
          <cell r="R796">
            <v>300166.02823126159</v>
          </cell>
          <cell r="S796">
            <v>276886.00298063114</v>
          </cell>
          <cell r="U796">
            <v>0</v>
          </cell>
          <cell r="W796">
            <v>856084.64735225076</v>
          </cell>
          <cell r="X796">
            <v>0</v>
          </cell>
          <cell r="Y796">
            <v>0</v>
          </cell>
          <cell r="Z796">
            <v>4704036.6886760471</v>
          </cell>
        </row>
        <row r="797">
          <cell r="C797" t="str">
            <v>A0084</v>
          </cell>
          <cell r="D797" t="str">
            <v>PT Kayaba Indonesia</v>
          </cell>
          <cell r="E797" t="str">
            <v>LL</v>
          </cell>
          <cell r="F797" t="str">
            <v>66LL</v>
          </cell>
          <cell r="G797">
            <v>0.1</v>
          </cell>
          <cell r="I797">
            <v>0.09</v>
          </cell>
          <cell r="J797">
            <v>15.24813300236166</v>
          </cell>
          <cell r="K797">
            <v>17.608314825173132</v>
          </cell>
          <cell r="P797">
            <v>1881996.0418999775</v>
          </cell>
          <cell r="Q797">
            <v>3019250.6384775606</v>
          </cell>
          <cell r="R797">
            <v>1124758.0443117805</v>
          </cell>
          <cell r="S797">
            <v>949711.01897504111</v>
          </cell>
          <cell r="U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1881996.0418999775</v>
          </cell>
        </row>
        <row r="798">
          <cell r="C798" t="str">
            <v>A0084</v>
          </cell>
          <cell r="D798" t="str">
            <v>PT Kayaba Indonesia</v>
          </cell>
          <cell r="E798" t="str">
            <v>PMK</v>
          </cell>
          <cell r="F798" t="str">
            <v>66PMK</v>
          </cell>
          <cell r="G798">
            <v>0.1</v>
          </cell>
          <cell r="I798">
            <v>0.09</v>
          </cell>
          <cell r="J798">
            <v>15.24813300236166</v>
          </cell>
          <cell r="K798">
            <v>17.608314825173132</v>
          </cell>
          <cell r="P798">
            <v>3660607.8306955653</v>
          </cell>
          <cell r="Q798">
            <v>1616051</v>
          </cell>
          <cell r="R798">
            <v>294651</v>
          </cell>
          <cell r="S798">
            <v>214325</v>
          </cell>
          <cell r="U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3660607.8306955653</v>
          </cell>
        </row>
        <row r="800">
          <cell r="C800" t="str">
            <v>A0086</v>
          </cell>
          <cell r="D800" t="str">
            <v>PT Kimia Tirta Utama</v>
          </cell>
          <cell r="E800" t="str">
            <v>PEB 1</v>
          </cell>
          <cell r="F800" t="str">
            <v>67PEB 1</v>
          </cell>
          <cell r="J800">
            <v>0</v>
          </cell>
          <cell r="N800">
            <v>0</v>
          </cell>
          <cell r="O800">
            <v>0</v>
          </cell>
          <cell r="P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10.271936261000528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1466710</v>
          </cell>
          <cell r="AL800">
            <v>2168511.6593415979</v>
          </cell>
          <cell r="AM800">
            <v>264897.87548155425</v>
          </cell>
          <cell r="AN800">
            <v>33450.039900000003</v>
          </cell>
          <cell r="AO800">
            <v>0</v>
          </cell>
          <cell r="AP800">
            <v>0</v>
          </cell>
          <cell r="AQ800">
            <v>0</v>
          </cell>
          <cell r="AR800">
            <v>-785788</v>
          </cell>
          <cell r="AS800">
            <v>0</v>
          </cell>
          <cell r="AT800">
            <v>0</v>
          </cell>
          <cell r="AU800">
            <v>680922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10.268803538305384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1993071</v>
          </cell>
          <cell r="CB800">
            <v>3257850.7222520788</v>
          </cell>
          <cell r="CC800">
            <v>488607.30612747138</v>
          </cell>
          <cell r="CD800">
            <v>193152.95398584518</v>
          </cell>
          <cell r="CE800">
            <v>0</v>
          </cell>
          <cell r="CF800">
            <v>0</v>
          </cell>
          <cell r="CG800">
            <v>0</v>
          </cell>
          <cell r="CH800">
            <v>-1255459</v>
          </cell>
          <cell r="CI800">
            <v>-278100</v>
          </cell>
          <cell r="CJ800">
            <v>23244</v>
          </cell>
          <cell r="CK800">
            <v>459512</v>
          </cell>
          <cell r="CM800">
            <v>0</v>
          </cell>
          <cell r="CN800">
            <v>0</v>
          </cell>
          <cell r="CO800">
            <v>0</v>
          </cell>
          <cell r="CP800">
            <v>9.7297800964630703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20766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1170984</v>
          </cell>
          <cell r="DD800">
            <v>0</v>
          </cell>
          <cell r="DE800">
            <v>0</v>
          </cell>
          <cell r="DF800">
            <v>1191750</v>
          </cell>
          <cell r="DH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O800">
            <v>0</v>
          </cell>
          <cell r="DP800">
            <v>0</v>
          </cell>
          <cell r="DQ800">
            <v>0</v>
          </cell>
          <cell r="DR800">
            <v>0</v>
          </cell>
          <cell r="DS800">
            <v>0</v>
          </cell>
          <cell r="DT800">
            <v>0</v>
          </cell>
          <cell r="DU800">
            <v>0</v>
          </cell>
          <cell r="DV800">
            <v>0</v>
          </cell>
          <cell r="DW800">
            <v>0</v>
          </cell>
          <cell r="DX800">
            <v>0</v>
          </cell>
          <cell r="DY800">
            <v>0</v>
          </cell>
          <cell r="DZ800">
            <v>0</v>
          </cell>
          <cell r="EA800">
            <v>0</v>
          </cell>
          <cell r="EC800">
            <v>0</v>
          </cell>
          <cell r="ED800">
            <v>0</v>
          </cell>
          <cell r="EE800">
            <v>0</v>
          </cell>
          <cell r="EF800">
            <v>10.271936261000528</v>
          </cell>
          <cell r="EG800">
            <v>0</v>
          </cell>
          <cell r="EH800">
            <v>0</v>
          </cell>
          <cell r="EI800">
            <v>0</v>
          </cell>
          <cell r="EJ800">
            <v>0</v>
          </cell>
          <cell r="EK800">
            <v>0</v>
          </cell>
          <cell r="EL800">
            <v>174054</v>
          </cell>
          <cell r="EM800">
            <v>312821.03702914383</v>
          </cell>
          <cell r="EN800">
            <v>55441.103020748109</v>
          </cell>
          <cell r="EO800">
            <v>31268.142978994096</v>
          </cell>
          <cell r="EP800">
            <v>0</v>
          </cell>
          <cell r="EQ800">
            <v>0</v>
          </cell>
          <cell r="ER800">
            <v>0</v>
          </cell>
          <cell r="ES800">
            <v>-152038</v>
          </cell>
          <cell r="ET800">
            <v>0</v>
          </cell>
          <cell r="EU800">
            <v>0</v>
          </cell>
          <cell r="EV800">
            <v>22016</v>
          </cell>
          <cell r="EX800">
            <v>0</v>
          </cell>
          <cell r="EY800">
            <v>0</v>
          </cell>
          <cell r="EZ800">
            <v>0</v>
          </cell>
          <cell r="FA800">
            <v>0</v>
          </cell>
          <cell r="FB800">
            <v>0</v>
          </cell>
          <cell r="FC800">
            <v>0</v>
          </cell>
          <cell r="FD800">
            <v>0</v>
          </cell>
          <cell r="FE800">
            <v>0</v>
          </cell>
          <cell r="FF800">
            <v>0</v>
          </cell>
          <cell r="FG800">
            <v>0</v>
          </cell>
          <cell r="FH800">
            <v>350701.29425400338</v>
          </cell>
          <cell r="FI800">
            <v>44889.715174627592</v>
          </cell>
          <cell r="FJ800">
            <v>7670.5027650000011</v>
          </cell>
          <cell r="FK800">
            <v>0</v>
          </cell>
          <cell r="FL800">
            <v>0</v>
          </cell>
          <cell r="FM800">
            <v>0</v>
          </cell>
          <cell r="FN800">
            <v>0</v>
          </cell>
          <cell r="FO800">
            <v>0</v>
          </cell>
          <cell r="FP800">
            <v>0</v>
          </cell>
          <cell r="FQ800">
            <v>0</v>
          </cell>
          <cell r="FS800">
            <v>0</v>
          </cell>
          <cell r="FT800">
            <v>0</v>
          </cell>
          <cell r="FU800">
            <v>0</v>
          </cell>
          <cell r="FV800">
            <v>10.271936261000528</v>
          </cell>
          <cell r="FW800">
            <v>0</v>
          </cell>
          <cell r="FX800">
            <v>0</v>
          </cell>
          <cell r="FY800">
            <v>0</v>
          </cell>
          <cell r="FZ800">
            <v>0</v>
          </cell>
          <cell r="GA800">
            <v>0</v>
          </cell>
          <cell r="GB800">
            <v>24299</v>
          </cell>
          <cell r="GC800">
            <v>780795.31213997537</v>
          </cell>
          <cell r="GD800">
            <v>121609.10525033613</v>
          </cell>
          <cell r="GE800">
            <v>47935.10174280862</v>
          </cell>
          <cell r="GF800">
            <v>0</v>
          </cell>
          <cell r="GG800">
            <v>0</v>
          </cell>
          <cell r="GH800">
            <v>0</v>
          </cell>
          <cell r="GI800">
            <v>0</v>
          </cell>
          <cell r="GJ800">
            <v>0</v>
          </cell>
          <cell r="GK800">
            <v>0</v>
          </cell>
          <cell r="GL800">
            <v>24299</v>
          </cell>
          <cell r="GN800">
            <v>0</v>
          </cell>
          <cell r="GO800">
            <v>0</v>
          </cell>
          <cell r="GP800">
            <v>0</v>
          </cell>
          <cell r="GQ800">
            <v>10.271936261000528</v>
          </cell>
          <cell r="GR800">
            <v>0</v>
          </cell>
          <cell r="GS800">
            <v>0</v>
          </cell>
          <cell r="GT800">
            <v>0</v>
          </cell>
          <cell r="GU800">
            <v>0</v>
          </cell>
          <cell r="GV800">
            <v>0</v>
          </cell>
          <cell r="GW800">
            <v>988026</v>
          </cell>
          <cell r="GX800">
            <v>1109271.0875950155</v>
          </cell>
          <cell r="GY800">
            <v>442677.10630580329</v>
          </cell>
          <cell r="GZ800">
            <v>455417.75839744258</v>
          </cell>
          <cell r="HA800">
            <v>0</v>
          </cell>
          <cell r="HB800">
            <v>0</v>
          </cell>
          <cell r="HC800">
            <v>0</v>
          </cell>
          <cell r="HD800">
            <v>0</v>
          </cell>
          <cell r="HE800">
            <v>0</v>
          </cell>
          <cell r="HF800">
            <v>0</v>
          </cell>
          <cell r="HG800">
            <v>988026</v>
          </cell>
          <cell r="HI800">
            <v>0</v>
          </cell>
          <cell r="HJ800">
            <v>0</v>
          </cell>
          <cell r="HK800">
            <v>0</v>
          </cell>
          <cell r="HL800">
            <v>10.271936261000528</v>
          </cell>
          <cell r="HM800">
            <v>0</v>
          </cell>
          <cell r="HN800">
            <v>0</v>
          </cell>
          <cell r="HO800">
            <v>0</v>
          </cell>
          <cell r="HP800">
            <v>0</v>
          </cell>
          <cell r="HQ800">
            <v>0</v>
          </cell>
          <cell r="HR800">
            <v>578290</v>
          </cell>
          <cell r="HS800">
            <v>1058135.0854530949</v>
          </cell>
          <cell r="HT800">
            <v>191446.1601934428</v>
          </cell>
          <cell r="HU800">
            <v>117337.5</v>
          </cell>
          <cell r="HV800">
            <v>0</v>
          </cell>
          <cell r="HW800">
            <v>0</v>
          </cell>
          <cell r="HX800">
            <v>0</v>
          </cell>
          <cell r="HY800">
            <v>0</v>
          </cell>
          <cell r="HZ800">
            <v>0</v>
          </cell>
          <cell r="IA800">
            <v>0</v>
          </cell>
          <cell r="IB800">
            <v>578290</v>
          </cell>
        </row>
        <row r="801">
          <cell r="C801" t="str">
            <v>A0086</v>
          </cell>
          <cell r="D801" t="str">
            <v>PT Kimia Tirta Utama</v>
          </cell>
          <cell r="E801" t="str">
            <v>PEB 2</v>
          </cell>
          <cell r="F801" t="str">
            <v>67PEB 2</v>
          </cell>
          <cell r="J801">
            <v>10.271936261000528</v>
          </cell>
          <cell r="P801">
            <v>1466710</v>
          </cell>
          <cell r="Q801">
            <v>2168511.6593415979</v>
          </cell>
          <cell r="R801">
            <v>264897.87548155425</v>
          </cell>
          <cell r="S801">
            <v>33450.039900000003</v>
          </cell>
          <cell r="U801">
            <v>0</v>
          </cell>
          <cell r="W801">
            <v>-785788</v>
          </cell>
          <cell r="X801">
            <v>0</v>
          </cell>
          <cell r="Y801">
            <v>0</v>
          </cell>
          <cell r="Z801">
            <v>680922</v>
          </cell>
        </row>
        <row r="802">
          <cell r="C802" t="str">
            <v>A0086</v>
          </cell>
          <cell r="D802" t="str">
            <v>PT Kimia Tirta Utama</v>
          </cell>
          <cell r="E802" t="str">
            <v>PEB 3</v>
          </cell>
          <cell r="F802" t="str">
            <v>67PEB 3</v>
          </cell>
          <cell r="J802">
            <v>0</v>
          </cell>
          <cell r="P802">
            <v>0</v>
          </cell>
          <cell r="U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</row>
        <row r="803">
          <cell r="C803" t="str">
            <v>A0086</v>
          </cell>
          <cell r="D803" t="str">
            <v>PT Kimia Tirta Utama</v>
          </cell>
          <cell r="E803" t="str">
            <v>PEB 4</v>
          </cell>
          <cell r="F803" t="str">
            <v>67PEB 4</v>
          </cell>
          <cell r="J803">
            <v>10.268803538305384</v>
          </cell>
          <cell r="P803">
            <v>1993071</v>
          </cell>
          <cell r="Q803">
            <v>3257850.7222520788</v>
          </cell>
          <cell r="R803">
            <v>488607.30612747138</v>
          </cell>
          <cell r="S803">
            <v>193152.95398584518</v>
          </cell>
          <cell r="U803">
            <v>0</v>
          </cell>
          <cell r="W803">
            <v>-1255459</v>
          </cell>
          <cell r="X803">
            <v>-278100</v>
          </cell>
          <cell r="Y803">
            <v>23244</v>
          </cell>
          <cell r="Z803">
            <v>459512</v>
          </cell>
        </row>
        <row r="804">
          <cell r="C804" t="str">
            <v>A0086</v>
          </cell>
          <cell r="D804" t="str">
            <v>PT Kimia Tirta Utama</v>
          </cell>
          <cell r="E804" t="str">
            <v>PEB 5</v>
          </cell>
          <cell r="F804" t="str">
            <v>67PEB 5</v>
          </cell>
          <cell r="J804">
            <v>9.7297800964630703</v>
          </cell>
          <cell r="P804">
            <v>20766</v>
          </cell>
          <cell r="U804">
            <v>0</v>
          </cell>
          <cell r="W804">
            <v>1170984</v>
          </cell>
          <cell r="X804">
            <v>0</v>
          </cell>
          <cell r="Y804">
            <v>0</v>
          </cell>
          <cell r="Z804">
            <v>1191750</v>
          </cell>
        </row>
        <row r="805">
          <cell r="C805" t="str">
            <v>A0086</v>
          </cell>
          <cell r="D805" t="str">
            <v>PT Kimia Tirta Utama</v>
          </cell>
          <cell r="E805" t="str">
            <v>PEB 6</v>
          </cell>
          <cell r="F805" t="str">
            <v>67PEB 6</v>
          </cell>
          <cell r="J805">
            <v>0</v>
          </cell>
          <cell r="P805">
            <v>0</v>
          </cell>
          <cell r="U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</row>
        <row r="806">
          <cell r="C806" t="str">
            <v>A0086</v>
          </cell>
          <cell r="D806" t="str">
            <v>PT Kimia Tirta Utama</v>
          </cell>
          <cell r="E806" t="str">
            <v>PEB 7</v>
          </cell>
          <cell r="F806" t="str">
            <v>67PEB 7</v>
          </cell>
          <cell r="J806">
            <v>10.271936261000528</v>
          </cell>
          <cell r="P806">
            <v>174054</v>
          </cell>
          <cell r="Q806">
            <v>312821.03702914383</v>
          </cell>
          <cell r="R806">
            <v>55441.103020748109</v>
          </cell>
          <cell r="S806">
            <v>31268.142978994096</v>
          </cell>
          <cell r="U806">
            <v>0</v>
          </cell>
          <cell r="W806">
            <v>-152038</v>
          </cell>
          <cell r="X806">
            <v>0</v>
          </cell>
          <cell r="Y806">
            <v>0</v>
          </cell>
          <cell r="Z806">
            <v>22016</v>
          </cell>
        </row>
        <row r="807">
          <cell r="C807" t="str">
            <v>A0086</v>
          </cell>
          <cell r="D807" t="str">
            <v>PT Kimia Tirta Utama</v>
          </cell>
          <cell r="E807" t="str">
            <v>MPP</v>
          </cell>
          <cell r="F807" t="str">
            <v>67MPP</v>
          </cell>
          <cell r="J807">
            <v>0</v>
          </cell>
          <cell r="P807">
            <v>0</v>
          </cell>
          <cell r="Q807">
            <v>350701.29425400338</v>
          </cell>
          <cell r="R807">
            <v>44889.715174627592</v>
          </cell>
          <cell r="S807">
            <v>7670.5027650000011</v>
          </cell>
          <cell r="U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</row>
        <row r="808">
          <cell r="C808" t="str">
            <v>A0086</v>
          </cell>
          <cell r="D808" t="str">
            <v>PT Kimia Tirta Utama</v>
          </cell>
          <cell r="E808" t="str">
            <v>ID</v>
          </cell>
          <cell r="F808" t="str">
            <v>67ID</v>
          </cell>
          <cell r="J808">
            <v>10.271936261000528</v>
          </cell>
          <cell r="P808">
            <v>24299</v>
          </cell>
          <cell r="Q808">
            <v>780795.31213997537</v>
          </cell>
          <cell r="R808">
            <v>121609.10525033613</v>
          </cell>
          <cell r="S808">
            <v>47935.10174280862</v>
          </cell>
          <cell r="U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24299</v>
          </cell>
        </row>
        <row r="809">
          <cell r="C809" t="str">
            <v>A0086</v>
          </cell>
          <cell r="D809" t="str">
            <v>PT Kimia Tirta Utama</v>
          </cell>
          <cell r="E809" t="str">
            <v>LL</v>
          </cell>
          <cell r="F809" t="str">
            <v>67LL</v>
          </cell>
          <cell r="J809">
            <v>10.271936261000528</v>
          </cell>
          <cell r="P809">
            <v>988026</v>
          </cell>
          <cell r="Q809">
            <v>1109271.0875950155</v>
          </cell>
          <cell r="R809">
            <v>442677.10630580329</v>
          </cell>
          <cell r="S809">
            <v>455417.75839744258</v>
          </cell>
          <cell r="U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988026</v>
          </cell>
        </row>
        <row r="810">
          <cell r="C810" t="str">
            <v>A0086</v>
          </cell>
          <cell r="D810" t="str">
            <v>PT Kimia Tirta Utama</v>
          </cell>
          <cell r="E810" t="str">
            <v>PMK</v>
          </cell>
          <cell r="F810" t="str">
            <v>67PMK</v>
          </cell>
          <cell r="J810">
            <v>10.271936261000528</v>
          </cell>
          <cell r="P810">
            <v>578290</v>
          </cell>
          <cell r="Q810">
            <v>1058135.0854530949</v>
          </cell>
          <cell r="R810">
            <v>191446.1601934428</v>
          </cell>
          <cell r="S810">
            <v>117337.5</v>
          </cell>
          <cell r="U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578290</v>
          </cell>
        </row>
        <row r="812">
          <cell r="C812" t="str">
            <v>A0378</v>
          </cell>
          <cell r="D812" t="str">
            <v>PT Komatsu Astra Finance</v>
          </cell>
          <cell r="E812" t="str">
            <v>PEB 1</v>
          </cell>
          <cell r="F812" t="str">
            <v>68PEB 1</v>
          </cell>
          <cell r="G812">
            <v>0.1</v>
          </cell>
          <cell r="H812">
            <v>0.1</v>
          </cell>
          <cell r="I812">
            <v>0.09</v>
          </cell>
          <cell r="J812">
            <v>8.6664942250613048</v>
          </cell>
          <cell r="K812">
            <v>9.4583215749376333</v>
          </cell>
          <cell r="L812">
            <v>0</v>
          </cell>
          <cell r="N812">
            <v>172318.272</v>
          </cell>
          <cell r="O812">
            <v>13846.68</v>
          </cell>
          <cell r="P812">
            <v>610206</v>
          </cell>
          <cell r="Q812">
            <v>232327.28810275806</v>
          </cell>
          <cell r="R812">
            <v>46522.775208076964</v>
          </cell>
          <cell r="S812">
            <v>2135.2939363619994</v>
          </cell>
          <cell r="U812">
            <v>-375918</v>
          </cell>
          <cell r="V812">
            <v>590535.75066666678</v>
          </cell>
          <cell r="W812">
            <v>-333249</v>
          </cell>
          <cell r="X812">
            <v>0</v>
          </cell>
          <cell r="Y812">
            <v>98961</v>
          </cell>
          <cell r="Z812">
            <v>0</v>
          </cell>
          <cell r="AB812">
            <v>0.1</v>
          </cell>
          <cell r="AC812">
            <v>0</v>
          </cell>
          <cell r="AD812">
            <v>0.09</v>
          </cell>
          <cell r="AE812">
            <v>10.576301872639815</v>
          </cell>
          <cell r="AF812">
            <v>15.428798400690104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1858</v>
          </cell>
          <cell r="AL812">
            <v>10845.668547657893</v>
          </cell>
          <cell r="AM812">
            <v>1940.5447065820081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1858</v>
          </cell>
          <cell r="AW812">
            <v>0.1</v>
          </cell>
          <cell r="AX812">
            <v>0</v>
          </cell>
          <cell r="AY812">
            <v>0.09</v>
          </cell>
          <cell r="AZ812">
            <v>8.6664942250613048</v>
          </cell>
          <cell r="BA812">
            <v>9.4583215749376333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147091.77530619912</v>
          </cell>
          <cell r="BH812">
            <v>29454.644150542339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R812">
            <v>0.1</v>
          </cell>
          <cell r="BS812">
            <v>0</v>
          </cell>
          <cell r="BT812">
            <v>0.09</v>
          </cell>
          <cell r="BU812">
            <v>9.7135460180872553</v>
          </cell>
          <cell r="BV812">
            <v>16.423877871648848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35084</v>
          </cell>
          <cell r="CB812">
            <v>132062.8681710551</v>
          </cell>
          <cell r="CC812">
            <v>26141.456037410069</v>
          </cell>
          <cell r="CD812">
            <v>2443.282085146679</v>
          </cell>
          <cell r="CE812">
            <v>0</v>
          </cell>
          <cell r="CF812">
            <v>0</v>
          </cell>
          <cell r="CG812">
            <v>0</v>
          </cell>
          <cell r="CH812">
            <v>-11222</v>
          </cell>
          <cell r="CI812">
            <v>0</v>
          </cell>
          <cell r="CJ812">
            <v>0</v>
          </cell>
          <cell r="CK812">
            <v>23862</v>
          </cell>
          <cell r="CM812">
            <v>0.1</v>
          </cell>
          <cell r="CN812">
            <v>0</v>
          </cell>
          <cell r="CO812">
            <v>0.09</v>
          </cell>
          <cell r="CP812">
            <v>10.118902990863127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  <cell r="CV812">
            <v>140097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-36384</v>
          </cell>
          <cell r="DD812">
            <v>0</v>
          </cell>
          <cell r="DE812">
            <v>0</v>
          </cell>
          <cell r="DF812">
            <v>103713</v>
          </cell>
          <cell r="DH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O812">
            <v>0</v>
          </cell>
          <cell r="DP812">
            <v>0</v>
          </cell>
          <cell r="DQ812">
            <v>0</v>
          </cell>
          <cell r="DR812">
            <v>0</v>
          </cell>
          <cell r="DS812">
            <v>0</v>
          </cell>
          <cell r="DT812">
            <v>0</v>
          </cell>
          <cell r="DU812">
            <v>0</v>
          </cell>
          <cell r="DV812">
            <v>0</v>
          </cell>
          <cell r="DW812">
            <v>0</v>
          </cell>
          <cell r="DX812">
            <v>0</v>
          </cell>
          <cell r="DY812">
            <v>0</v>
          </cell>
          <cell r="DZ812">
            <v>0</v>
          </cell>
          <cell r="EA812">
            <v>0</v>
          </cell>
          <cell r="EC812">
            <v>0.1</v>
          </cell>
          <cell r="ED812">
            <v>0</v>
          </cell>
          <cell r="EE812">
            <v>0.09</v>
          </cell>
          <cell r="EF812">
            <v>10.576301872639815</v>
          </cell>
          <cell r="EG812">
            <v>15.428798400690104</v>
          </cell>
          <cell r="EH812">
            <v>0</v>
          </cell>
          <cell r="EI812">
            <v>0</v>
          </cell>
          <cell r="EJ812">
            <v>0</v>
          </cell>
          <cell r="EK812">
            <v>0</v>
          </cell>
          <cell r="EL812">
            <v>22249</v>
          </cell>
          <cell r="EM812">
            <v>14726.400563517191</v>
          </cell>
          <cell r="EN812">
            <v>2833.8612889495698</v>
          </cell>
          <cell r="EO812">
            <v>1634.9011913279146</v>
          </cell>
          <cell r="EP812">
            <v>0</v>
          </cell>
          <cell r="EQ812">
            <v>0</v>
          </cell>
          <cell r="ER812">
            <v>0</v>
          </cell>
          <cell r="ES812">
            <v>-15049</v>
          </cell>
          <cell r="ET812">
            <v>0</v>
          </cell>
          <cell r="EU812">
            <v>0</v>
          </cell>
          <cell r="EV812">
            <v>7200</v>
          </cell>
          <cell r="EX812">
            <v>0</v>
          </cell>
          <cell r="EY812">
            <v>0</v>
          </cell>
          <cell r="EZ812">
            <v>0</v>
          </cell>
          <cell r="FA812">
            <v>0</v>
          </cell>
          <cell r="FB812">
            <v>0</v>
          </cell>
          <cell r="FC812">
            <v>0</v>
          </cell>
          <cell r="FD812">
            <v>0</v>
          </cell>
          <cell r="FE812">
            <v>0</v>
          </cell>
          <cell r="FF812">
            <v>0</v>
          </cell>
          <cell r="FG812">
            <v>0</v>
          </cell>
          <cell r="FH812">
            <v>0</v>
          </cell>
          <cell r="FI812">
            <v>0</v>
          </cell>
          <cell r="FJ812">
            <v>0</v>
          </cell>
          <cell r="FK812">
            <v>0</v>
          </cell>
          <cell r="FL812">
            <v>0</v>
          </cell>
          <cell r="FM812">
            <v>0</v>
          </cell>
          <cell r="FN812">
            <v>0</v>
          </cell>
          <cell r="FO812">
            <v>0</v>
          </cell>
          <cell r="FP812">
            <v>0</v>
          </cell>
          <cell r="FQ812">
            <v>0</v>
          </cell>
          <cell r="FS812">
            <v>0.1</v>
          </cell>
          <cell r="FT812">
            <v>0</v>
          </cell>
          <cell r="FU812">
            <v>0.09</v>
          </cell>
          <cell r="FV812">
            <v>10.576301872639815</v>
          </cell>
          <cell r="FW812">
            <v>15.428798400690104</v>
          </cell>
          <cell r="FX812">
            <v>0</v>
          </cell>
          <cell r="FY812">
            <v>0</v>
          </cell>
          <cell r="FZ812">
            <v>0</v>
          </cell>
          <cell r="GA812">
            <v>0</v>
          </cell>
          <cell r="GB812">
            <v>3330</v>
          </cell>
          <cell r="GC812">
            <v>67426.347679689628</v>
          </cell>
          <cell r="GD812">
            <v>13110.050392525482</v>
          </cell>
          <cell r="GE812">
            <v>4213.2868184951103</v>
          </cell>
          <cell r="GF812">
            <v>0</v>
          </cell>
          <cell r="GG812">
            <v>0</v>
          </cell>
          <cell r="GH812">
            <v>0</v>
          </cell>
          <cell r="GI812">
            <v>0</v>
          </cell>
          <cell r="GJ812">
            <v>0</v>
          </cell>
          <cell r="GK812">
            <v>0</v>
          </cell>
          <cell r="GL812">
            <v>3330</v>
          </cell>
          <cell r="GN812">
            <v>0.1</v>
          </cell>
          <cell r="GO812">
            <v>0</v>
          </cell>
          <cell r="GP812">
            <v>0.09</v>
          </cell>
          <cell r="GQ812">
            <v>10.576301872639815</v>
          </cell>
          <cell r="GR812">
            <v>15.428798400690104</v>
          </cell>
          <cell r="GS812">
            <v>0</v>
          </cell>
          <cell r="GT812">
            <v>0</v>
          </cell>
          <cell r="GU812">
            <v>0</v>
          </cell>
          <cell r="GV812">
            <v>0</v>
          </cell>
          <cell r="GW812">
            <v>68461</v>
          </cell>
          <cell r="GX812">
            <v>176952.96298587677</v>
          </cell>
          <cell r="GY812">
            <v>40911.357140610111</v>
          </cell>
          <cell r="GZ812">
            <v>156053.71096654996</v>
          </cell>
          <cell r="HA812">
            <v>0</v>
          </cell>
          <cell r="HB812">
            <v>0</v>
          </cell>
          <cell r="HC812">
            <v>0</v>
          </cell>
          <cell r="HD812">
            <v>0</v>
          </cell>
          <cell r="HE812">
            <v>0</v>
          </cell>
          <cell r="HF812">
            <v>0</v>
          </cell>
          <cell r="HG812">
            <v>68461</v>
          </cell>
          <cell r="HI812">
            <v>0.1</v>
          </cell>
          <cell r="HJ812">
            <v>0</v>
          </cell>
          <cell r="HK812">
            <v>0.09</v>
          </cell>
          <cell r="HL812">
            <v>10.576301872639815</v>
          </cell>
          <cell r="HM812">
            <v>15.428798400690104</v>
          </cell>
          <cell r="HN812">
            <v>0</v>
          </cell>
          <cell r="HO812">
            <v>0</v>
          </cell>
          <cell r="HP812">
            <v>0</v>
          </cell>
          <cell r="HQ812">
            <v>0</v>
          </cell>
          <cell r="HR812">
            <v>27841</v>
          </cell>
          <cell r="HS812">
            <v>27091.626560761171</v>
          </cell>
          <cell r="HT812">
            <v>4439.5100100082445</v>
          </cell>
          <cell r="HU812">
            <v>0</v>
          </cell>
          <cell r="HV812">
            <v>0</v>
          </cell>
          <cell r="HW812">
            <v>0</v>
          </cell>
          <cell r="HX812">
            <v>0</v>
          </cell>
          <cell r="HY812">
            <v>0</v>
          </cell>
          <cell r="HZ812">
            <v>0</v>
          </cell>
          <cell r="IA812">
            <v>0</v>
          </cell>
          <cell r="IB812">
            <v>27841</v>
          </cell>
        </row>
        <row r="813">
          <cell r="C813" t="str">
            <v>A0378</v>
          </cell>
          <cell r="D813" t="str">
            <v>PT Komatsu Astra Finance</v>
          </cell>
          <cell r="E813" t="str">
            <v>PEB 2</v>
          </cell>
          <cell r="F813" t="str">
            <v>68PEB 2</v>
          </cell>
          <cell r="G813">
            <v>0.1</v>
          </cell>
          <cell r="I813">
            <v>0.09</v>
          </cell>
          <cell r="J813">
            <v>10.576301872639815</v>
          </cell>
          <cell r="K813">
            <v>15.428798400690104</v>
          </cell>
          <cell r="P813">
            <v>1858</v>
          </cell>
          <cell r="Q813">
            <v>10845.668547657893</v>
          </cell>
          <cell r="R813">
            <v>1940.5447065820081</v>
          </cell>
          <cell r="S813">
            <v>0</v>
          </cell>
          <cell r="U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1858</v>
          </cell>
        </row>
        <row r="814">
          <cell r="C814" t="str">
            <v>A0378</v>
          </cell>
          <cell r="D814" t="str">
            <v>PT Komatsu Astra Finance</v>
          </cell>
          <cell r="E814" t="str">
            <v>PEB 3</v>
          </cell>
          <cell r="F814" t="str">
            <v>68PEB 3</v>
          </cell>
          <cell r="G814">
            <v>0.1</v>
          </cell>
          <cell r="I814">
            <v>0.09</v>
          </cell>
          <cell r="J814">
            <v>8.6664942250613048</v>
          </cell>
          <cell r="K814">
            <v>9.4583215749376333</v>
          </cell>
          <cell r="P814">
            <v>0</v>
          </cell>
          <cell r="Q814">
            <v>147091.77530619912</v>
          </cell>
          <cell r="R814">
            <v>29454.644150542339</v>
          </cell>
          <cell r="S814">
            <v>0</v>
          </cell>
          <cell r="U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</row>
        <row r="815">
          <cell r="C815" t="str">
            <v>A0378</v>
          </cell>
          <cell r="D815" t="str">
            <v>PT Komatsu Astra Finance</v>
          </cell>
          <cell r="E815" t="str">
            <v>PEB 4</v>
          </cell>
          <cell r="F815" t="str">
            <v>68PEB 4</v>
          </cell>
          <cell r="G815">
            <v>0.1</v>
          </cell>
          <cell r="I815">
            <v>0.09</v>
          </cell>
          <cell r="J815">
            <v>9.7135460180872553</v>
          </cell>
          <cell r="K815">
            <v>16.423877871648848</v>
          </cell>
          <cell r="P815">
            <v>35084</v>
          </cell>
          <cell r="Q815">
            <v>132062.8681710551</v>
          </cell>
          <cell r="R815">
            <v>26141.456037410069</v>
          </cell>
          <cell r="S815">
            <v>2443.282085146679</v>
          </cell>
          <cell r="U815">
            <v>0</v>
          </cell>
          <cell r="W815">
            <v>-11222</v>
          </cell>
          <cell r="X815">
            <v>0</v>
          </cell>
          <cell r="Y815">
            <v>0</v>
          </cell>
          <cell r="Z815">
            <v>23862</v>
          </cell>
        </row>
        <row r="816">
          <cell r="C816" t="str">
            <v>A0378</v>
          </cell>
          <cell r="D816" t="str">
            <v>PT Komatsu Astra Finance</v>
          </cell>
          <cell r="E816" t="str">
            <v>PEB 5</v>
          </cell>
          <cell r="F816" t="str">
            <v>68PEB 5</v>
          </cell>
          <cell r="G816">
            <v>0.1</v>
          </cell>
          <cell r="I816">
            <v>0.09</v>
          </cell>
          <cell r="J816">
            <v>10.118902990863127</v>
          </cell>
          <cell r="P816">
            <v>140097</v>
          </cell>
          <cell r="U816">
            <v>0</v>
          </cell>
          <cell r="W816">
            <v>-36384</v>
          </cell>
          <cell r="X816">
            <v>0</v>
          </cell>
          <cell r="Y816">
            <v>0</v>
          </cell>
          <cell r="Z816">
            <v>103713</v>
          </cell>
        </row>
        <row r="817">
          <cell r="C817" t="str">
            <v>A0378</v>
          </cell>
          <cell r="D817" t="str">
            <v>PT Komatsu Astra Finance</v>
          </cell>
          <cell r="E817" t="str">
            <v>PEB 6</v>
          </cell>
          <cell r="F817" t="str">
            <v>68PEB 6</v>
          </cell>
          <cell r="P817">
            <v>0</v>
          </cell>
          <cell r="U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</row>
        <row r="818">
          <cell r="C818" t="str">
            <v>A0378</v>
          </cell>
          <cell r="D818" t="str">
            <v>PT Komatsu Astra Finance</v>
          </cell>
          <cell r="E818" t="str">
            <v>PEB 7</v>
          </cell>
          <cell r="F818" t="str">
            <v>68PEB 7</v>
          </cell>
          <cell r="G818">
            <v>0.1</v>
          </cell>
          <cell r="I818">
            <v>0.09</v>
          </cell>
          <cell r="J818">
            <v>10.576301872639815</v>
          </cell>
          <cell r="K818">
            <v>15.428798400690104</v>
          </cell>
          <cell r="P818">
            <v>22249</v>
          </cell>
          <cell r="Q818">
            <v>14726.400563517191</v>
          </cell>
          <cell r="R818">
            <v>2833.8612889495698</v>
          </cell>
          <cell r="S818">
            <v>1634.9011913279146</v>
          </cell>
          <cell r="U818">
            <v>0</v>
          </cell>
          <cell r="W818">
            <v>-15049</v>
          </cell>
          <cell r="X818">
            <v>0</v>
          </cell>
          <cell r="Y818">
            <v>0</v>
          </cell>
          <cell r="Z818">
            <v>7200</v>
          </cell>
        </row>
        <row r="819">
          <cell r="C819" t="str">
            <v>A0378</v>
          </cell>
          <cell r="D819" t="str">
            <v>PT Komatsu Astra Finance</v>
          </cell>
          <cell r="E819" t="str">
            <v>MPP</v>
          </cell>
          <cell r="F819" t="str">
            <v>68MPP</v>
          </cell>
          <cell r="P819">
            <v>0</v>
          </cell>
          <cell r="U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</row>
        <row r="820">
          <cell r="C820" t="str">
            <v>A0378</v>
          </cell>
          <cell r="D820" t="str">
            <v>PT Komatsu Astra Finance</v>
          </cell>
          <cell r="E820" t="str">
            <v>ID</v>
          </cell>
          <cell r="F820" t="str">
            <v>68ID</v>
          </cell>
          <cell r="G820">
            <v>0.1</v>
          </cell>
          <cell r="I820">
            <v>0.09</v>
          </cell>
          <cell r="J820">
            <v>10.576301872639815</v>
          </cell>
          <cell r="K820">
            <v>15.428798400690104</v>
          </cell>
          <cell r="P820">
            <v>3330</v>
          </cell>
          <cell r="Q820">
            <v>67426.347679689628</v>
          </cell>
          <cell r="R820">
            <v>13110.050392525482</v>
          </cell>
          <cell r="S820">
            <v>4213.2868184951103</v>
          </cell>
          <cell r="U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3330</v>
          </cell>
        </row>
        <row r="821">
          <cell r="C821" t="str">
            <v>A0378</v>
          </cell>
          <cell r="D821" t="str">
            <v>PT Komatsu Astra Finance</v>
          </cell>
          <cell r="E821" t="str">
            <v>LL</v>
          </cell>
          <cell r="F821" t="str">
            <v>68LL</v>
          </cell>
          <cell r="G821">
            <v>0.1</v>
          </cell>
          <cell r="I821">
            <v>0.09</v>
          </cell>
          <cell r="J821">
            <v>10.576301872639815</v>
          </cell>
          <cell r="K821">
            <v>15.428798400690104</v>
          </cell>
          <cell r="P821">
            <v>68461</v>
          </cell>
          <cell r="Q821">
            <v>176952.96298587677</v>
          </cell>
          <cell r="R821">
            <v>40911.357140610111</v>
          </cell>
          <cell r="S821">
            <v>156053.71096654996</v>
          </cell>
          <cell r="U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68461</v>
          </cell>
        </row>
        <row r="822">
          <cell r="C822" t="str">
            <v>A0378</v>
          </cell>
          <cell r="D822" t="str">
            <v>PT Komatsu Astra Finance</v>
          </cell>
          <cell r="E822" t="str">
            <v>PMK</v>
          </cell>
          <cell r="F822" t="str">
            <v>68PMK</v>
          </cell>
          <cell r="G822">
            <v>0.1</v>
          </cell>
          <cell r="I822">
            <v>0.09</v>
          </cell>
          <cell r="J822">
            <v>10.576301872639815</v>
          </cell>
          <cell r="K822">
            <v>15.428798400690104</v>
          </cell>
          <cell r="P822">
            <v>27841</v>
          </cell>
          <cell r="Q822">
            <v>27091.626560761171</v>
          </cell>
          <cell r="R822">
            <v>4439.5100100082445</v>
          </cell>
          <cell r="S822">
            <v>0</v>
          </cell>
          <cell r="U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27841</v>
          </cell>
        </row>
        <row r="824">
          <cell r="C824" t="str">
            <v>A0328</v>
          </cell>
          <cell r="D824" t="str">
            <v>PT Komatsu Remanufacturing Asia</v>
          </cell>
          <cell r="E824" t="str">
            <v>PEB 1</v>
          </cell>
          <cell r="F824" t="str">
            <v>69PEB 1</v>
          </cell>
          <cell r="G824">
            <v>0.1</v>
          </cell>
          <cell r="H824">
            <v>0.1</v>
          </cell>
          <cell r="I824">
            <v>0.09</v>
          </cell>
          <cell r="J824">
            <v>8.8609384622265814</v>
          </cell>
          <cell r="K824">
            <v>10.020554614242876</v>
          </cell>
          <cell r="L824">
            <v>417107</v>
          </cell>
          <cell r="N824">
            <v>561057.11239999998</v>
          </cell>
          <cell r="O824">
            <v>72772.528000000006</v>
          </cell>
          <cell r="P824">
            <v>3657664</v>
          </cell>
          <cell r="Q824">
            <v>5867254.0072488906</v>
          </cell>
          <cell r="R824">
            <v>254200.97177403368</v>
          </cell>
          <cell r="S824">
            <v>1383975.8888547667</v>
          </cell>
          <cell r="U824">
            <v>-2561893</v>
          </cell>
          <cell r="V824">
            <v>5258097.2134666666</v>
          </cell>
          <cell r="W824">
            <v>424021</v>
          </cell>
          <cell r="X824">
            <v>0</v>
          </cell>
          <cell r="Y824">
            <v>0</v>
          </cell>
          <cell r="Z824">
            <v>1519792</v>
          </cell>
          <cell r="AB824">
            <v>0.1</v>
          </cell>
          <cell r="AC824">
            <v>0</v>
          </cell>
          <cell r="AD824">
            <v>0.09</v>
          </cell>
          <cell r="AE824">
            <v>10.390199854253463</v>
          </cell>
          <cell r="AF824">
            <v>20.015874286150879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2071327</v>
          </cell>
          <cell r="AL824">
            <v>2978615.664402775</v>
          </cell>
          <cell r="AM824">
            <v>221377.3219259826</v>
          </cell>
          <cell r="AN824">
            <v>500457.15</v>
          </cell>
          <cell r="AO824">
            <v>0</v>
          </cell>
          <cell r="AP824">
            <v>0</v>
          </cell>
          <cell r="AQ824">
            <v>0</v>
          </cell>
          <cell r="AR824">
            <v>-1000296</v>
          </cell>
          <cell r="AS824">
            <v>-501118</v>
          </cell>
          <cell r="AT824">
            <v>27838</v>
          </cell>
          <cell r="AU824">
            <v>569913</v>
          </cell>
          <cell r="AW824">
            <v>0.1</v>
          </cell>
          <cell r="AX824">
            <v>0</v>
          </cell>
          <cell r="AY824">
            <v>0.09</v>
          </cell>
          <cell r="AZ824">
            <v>8.8609384622265814</v>
          </cell>
          <cell r="BA824">
            <v>10.020554614242876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252619</v>
          </cell>
          <cell r="BG824">
            <v>72319</v>
          </cell>
          <cell r="BH824">
            <v>3571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-127076</v>
          </cell>
          <cell r="BN824">
            <v>-52119</v>
          </cell>
          <cell r="BO824">
            <v>8705</v>
          </cell>
          <cell r="BP824">
            <v>73424</v>
          </cell>
          <cell r="BR824">
            <v>0.1</v>
          </cell>
          <cell r="BS824">
            <v>0</v>
          </cell>
          <cell r="BT824">
            <v>0.09</v>
          </cell>
          <cell r="BU824">
            <v>9.8784514922502389</v>
          </cell>
          <cell r="BV824">
            <v>19.525393327952738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417144</v>
          </cell>
          <cell r="CB824">
            <v>630915.24086079164</v>
          </cell>
          <cell r="CC824">
            <v>95645.977468923113</v>
          </cell>
          <cell r="CD824">
            <v>19035.865481881177</v>
          </cell>
          <cell r="CE824">
            <v>0</v>
          </cell>
          <cell r="CF824">
            <v>0</v>
          </cell>
          <cell r="CG824">
            <v>0</v>
          </cell>
          <cell r="CH824">
            <v>-229843</v>
          </cell>
          <cell r="CI824">
            <v>-39230</v>
          </cell>
          <cell r="CJ824">
            <v>1918</v>
          </cell>
          <cell r="CK824">
            <v>148071</v>
          </cell>
          <cell r="CM824">
            <v>0.1</v>
          </cell>
          <cell r="CN824">
            <v>0</v>
          </cell>
          <cell r="CO824">
            <v>0.09</v>
          </cell>
          <cell r="CP824">
            <v>0</v>
          </cell>
          <cell r="CQ824">
            <v>22.230533319788019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  <cell r="CV824">
            <v>0</v>
          </cell>
          <cell r="CW824">
            <v>231997.29414968967</v>
          </cell>
          <cell r="CX824">
            <v>153192.45712022361</v>
          </cell>
          <cell r="CY824">
            <v>47041.347999999998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D824">
            <v>0</v>
          </cell>
          <cell r="DE824">
            <v>0</v>
          </cell>
          <cell r="DF824">
            <v>0</v>
          </cell>
          <cell r="DH824">
            <v>0</v>
          </cell>
          <cell r="DI824">
            <v>0</v>
          </cell>
          <cell r="DJ824">
            <v>0</v>
          </cell>
          <cell r="DK824">
            <v>0</v>
          </cell>
          <cell r="DL824">
            <v>0</v>
          </cell>
          <cell r="DM824">
            <v>0</v>
          </cell>
          <cell r="DN824">
            <v>0</v>
          </cell>
          <cell r="DO824">
            <v>0</v>
          </cell>
          <cell r="DP824">
            <v>0</v>
          </cell>
          <cell r="DQ824">
            <v>0</v>
          </cell>
          <cell r="DR824">
            <v>0</v>
          </cell>
          <cell r="DS824">
            <v>0</v>
          </cell>
          <cell r="DT824">
            <v>0</v>
          </cell>
          <cell r="DU824">
            <v>0</v>
          </cell>
          <cell r="DV824">
            <v>0</v>
          </cell>
          <cell r="DW824">
            <v>0</v>
          </cell>
          <cell r="DX824">
            <v>0</v>
          </cell>
          <cell r="DY824">
            <v>0</v>
          </cell>
          <cell r="DZ824">
            <v>0</v>
          </cell>
          <cell r="EA824">
            <v>0</v>
          </cell>
          <cell r="EC824">
            <v>0.1</v>
          </cell>
          <cell r="ED824">
            <v>0</v>
          </cell>
          <cell r="EE824">
            <v>0.09</v>
          </cell>
          <cell r="EF824">
            <v>10.390199854253463</v>
          </cell>
          <cell r="EG824">
            <v>20.015874286150879</v>
          </cell>
          <cell r="EH824">
            <v>0</v>
          </cell>
          <cell r="EI824">
            <v>0</v>
          </cell>
          <cell r="EJ824">
            <v>0</v>
          </cell>
          <cell r="EK824">
            <v>0</v>
          </cell>
          <cell r="EL824">
            <v>102441</v>
          </cell>
          <cell r="EM824">
            <v>251678.09621719999</v>
          </cell>
          <cell r="EN824">
            <v>36985.952394961489</v>
          </cell>
          <cell r="EO824">
            <v>25482.53924415282</v>
          </cell>
          <cell r="EP824">
            <v>0</v>
          </cell>
          <cell r="EQ824">
            <v>0</v>
          </cell>
          <cell r="ER824">
            <v>0</v>
          </cell>
          <cell r="ES824">
            <v>-92583</v>
          </cell>
          <cell r="ET824">
            <v>0</v>
          </cell>
          <cell r="EU824">
            <v>0</v>
          </cell>
          <cell r="EV824">
            <v>9858</v>
          </cell>
          <cell r="EX824">
            <v>0.1</v>
          </cell>
          <cell r="EY824">
            <v>0</v>
          </cell>
          <cell r="EZ824">
            <v>0.09</v>
          </cell>
          <cell r="FA824">
            <v>10.390199854253463</v>
          </cell>
          <cell r="FB824">
            <v>20.015874286150879</v>
          </cell>
          <cell r="FC824">
            <v>0</v>
          </cell>
          <cell r="FD824">
            <v>0</v>
          </cell>
          <cell r="FE824">
            <v>0</v>
          </cell>
          <cell r="FF824">
            <v>0</v>
          </cell>
          <cell r="FG824">
            <v>798224</v>
          </cell>
          <cell r="FH824">
            <v>655657.07683012565</v>
          </cell>
          <cell r="FI824">
            <v>70869.486284222177</v>
          </cell>
          <cell r="FJ824">
            <v>130770.57</v>
          </cell>
          <cell r="FK824">
            <v>0</v>
          </cell>
          <cell r="FL824">
            <v>0</v>
          </cell>
          <cell r="FM824">
            <v>0</v>
          </cell>
          <cell r="FN824">
            <v>0</v>
          </cell>
          <cell r="FO824">
            <v>-724249</v>
          </cell>
          <cell r="FP824">
            <v>37143</v>
          </cell>
          <cell r="FQ824">
            <v>73975</v>
          </cell>
          <cell r="FS824">
            <v>0.1</v>
          </cell>
          <cell r="FT824">
            <v>0</v>
          </cell>
          <cell r="FU824">
            <v>0.09</v>
          </cell>
          <cell r="FV824">
            <v>10.390199854253463</v>
          </cell>
          <cell r="FW824">
            <v>20.015874286150879</v>
          </cell>
          <cell r="FX824">
            <v>0</v>
          </cell>
          <cell r="FY824">
            <v>0</v>
          </cell>
          <cell r="FZ824">
            <v>0</v>
          </cell>
          <cell r="GA824">
            <v>0</v>
          </cell>
          <cell r="GB824">
            <v>29442</v>
          </cell>
          <cell r="GC824">
            <v>557541.96009782294</v>
          </cell>
          <cell r="GD824">
            <v>64618.756632319957</v>
          </cell>
          <cell r="GE824">
            <v>34611.709270997264</v>
          </cell>
          <cell r="GF824">
            <v>0</v>
          </cell>
          <cell r="GG824">
            <v>0</v>
          </cell>
          <cell r="GH824">
            <v>0</v>
          </cell>
          <cell r="GI824">
            <v>0</v>
          </cell>
          <cell r="GJ824">
            <v>0</v>
          </cell>
          <cell r="GK824">
            <v>0</v>
          </cell>
          <cell r="GL824">
            <v>29442</v>
          </cell>
          <cell r="GN824">
            <v>0.1</v>
          </cell>
          <cell r="GO824">
            <v>0</v>
          </cell>
          <cell r="GP824">
            <v>0.09</v>
          </cell>
          <cell r="GQ824">
            <v>10.390199854253463</v>
          </cell>
          <cell r="GR824">
            <v>20.015874286150879</v>
          </cell>
          <cell r="GS824">
            <v>0</v>
          </cell>
          <cell r="GT824">
            <v>0</v>
          </cell>
          <cell r="GU824">
            <v>0</v>
          </cell>
          <cell r="GV824">
            <v>0</v>
          </cell>
          <cell r="GW824">
            <v>643721</v>
          </cell>
          <cell r="GX824">
            <v>581109</v>
          </cell>
          <cell r="GY824">
            <v>233058</v>
          </cell>
          <cell r="GZ824">
            <v>308514.79265540291</v>
          </cell>
          <cell r="HA824">
            <v>0</v>
          </cell>
          <cell r="HB824">
            <v>0</v>
          </cell>
          <cell r="HC824">
            <v>0</v>
          </cell>
          <cell r="HD824">
            <v>0</v>
          </cell>
          <cell r="HE824">
            <v>0</v>
          </cell>
          <cell r="HF824">
            <v>0</v>
          </cell>
          <cell r="HG824">
            <v>643721</v>
          </cell>
          <cell r="HI824">
            <v>0.1</v>
          </cell>
          <cell r="HJ824">
            <v>0</v>
          </cell>
          <cell r="HK824">
            <v>0.09</v>
          </cell>
          <cell r="HL824">
            <v>10.390199854253463</v>
          </cell>
          <cell r="HM824">
            <v>20.015874286150879</v>
          </cell>
          <cell r="HN824">
            <v>0</v>
          </cell>
          <cell r="HO824">
            <v>0</v>
          </cell>
          <cell r="HP824">
            <v>0</v>
          </cell>
          <cell r="HQ824">
            <v>0</v>
          </cell>
          <cell r="HR824">
            <v>252646</v>
          </cell>
          <cell r="HS824">
            <v>512207.15781091608</v>
          </cell>
          <cell r="HT824">
            <v>113712.01604215507</v>
          </cell>
          <cell r="HU824">
            <v>60800</v>
          </cell>
          <cell r="HV824">
            <v>0</v>
          </cell>
          <cell r="HW824">
            <v>0</v>
          </cell>
          <cell r="HX824">
            <v>0</v>
          </cell>
          <cell r="HY824">
            <v>0</v>
          </cell>
          <cell r="HZ824">
            <v>0</v>
          </cell>
          <cell r="IA824">
            <v>0</v>
          </cell>
          <cell r="IB824">
            <v>252646</v>
          </cell>
        </row>
        <row r="825">
          <cell r="C825" t="str">
            <v>A0328</v>
          </cell>
          <cell r="D825" t="str">
            <v>PT Komatsu Remanufacturing Asia</v>
          </cell>
          <cell r="E825" t="str">
            <v>PEB 2</v>
          </cell>
          <cell r="F825" t="str">
            <v>69PEB 2</v>
          </cell>
          <cell r="G825">
            <v>0.1</v>
          </cell>
          <cell r="I825">
            <v>0.09</v>
          </cell>
          <cell r="J825">
            <v>10.390199854253463</v>
          </cell>
          <cell r="K825">
            <v>20.015874286150879</v>
          </cell>
          <cell r="P825">
            <v>2071327</v>
          </cell>
          <cell r="Q825">
            <v>2978615.664402775</v>
          </cell>
          <cell r="R825">
            <v>221377.3219259826</v>
          </cell>
          <cell r="S825">
            <v>500457.15</v>
          </cell>
          <cell r="U825">
            <v>0</v>
          </cell>
          <cell r="W825">
            <v>-1000296</v>
          </cell>
          <cell r="X825">
            <v>-501118</v>
          </cell>
          <cell r="Y825">
            <v>27838</v>
          </cell>
          <cell r="Z825">
            <v>569913</v>
          </cell>
        </row>
        <row r="826">
          <cell r="C826" t="str">
            <v>A0328</v>
          </cell>
          <cell r="D826" t="str">
            <v>PT Komatsu Remanufacturing Asia</v>
          </cell>
          <cell r="E826" t="str">
            <v>PEB 3</v>
          </cell>
          <cell r="F826" t="str">
            <v>69PEB 3</v>
          </cell>
          <cell r="G826">
            <v>0.1</v>
          </cell>
          <cell r="I826">
            <v>0.09</v>
          </cell>
          <cell r="J826">
            <v>8.8609384622265814</v>
          </cell>
          <cell r="K826">
            <v>10.020554614242876</v>
          </cell>
          <cell r="P826">
            <v>252619</v>
          </cell>
          <cell r="Q826">
            <v>72319</v>
          </cell>
          <cell r="R826">
            <v>3571</v>
          </cell>
          <cell r="S826">
            <v>0</v>
          </cell>
          <cell r="U826">
            <v>0</v>
          </cell>
          <cell r="W826">
            <v>-127076</v>
          </cell>
          <cell r="X826">
            <v>-52119</v>
          </cell>
          <cell r="Y826">
            <v>8705</v>
          </cell>
          <cell r="Z826">
            <v>73424</v>
          </cell>
        </row>
        <row r="827">
          <cell r="C827" t="str">
            <v>A0328</v>
          </cell>
          <cell r="D827" t="str">
            <v>PT Komatsu Remanufacturing Asia</v>
          </cell>
          <cell r="E827" t="str">
            <v>PEB 4</v>
          </cell>
          <cell r="F827" t="str">
            <v>69PEB 4</v>
          </cell>
          <cell r="G827">
            <v>0.1</v>
          </cell>
          <cell r="I827">
            <v>0.09</v>
          </cell>
          <cell r="J827">
            <v>9.8784514922502389</v>
          </cell>
          <cell r="K827">
            <v>19.525393327952738</v>
          </cell>
          <cell r="P827">
            <v>417144</v>
          </cell>
          <cell r="Q827">
            <v>630915.24086079164</v>
          </cell>
          <cell r="R827">
            <v>95645.977468923113</v>
          </cell>
          <cell r="S827">
            <v>19035.865481881177</v>
          </cell>
          <cell r="U827">
            <v>0</v>
          </cell>
          <cell r="W827">
            <v>-229843</v>
          </cell>
          <cell r="X827">
            <v>-39230</v>
          </cell>
          <cell r="Y827">
            <v>1918</v>
          </cell>
          <cell r="Z827">
            <v>148071</v>
          </cell>
        </row>
        <row r="828">
          <cell r="C828" t="str">
            <v>A0328</v>
          </cell>
          <cell r="D828" t="str">
            <v>PT Komatsu Remanufacturing Asia</v>
          </cell>
          <cell r="E828" t="str">
            <v>PEB 5</v>
          </cell>
          <cell r="F828" t="str">
            <v>69PEB 5</v>
          </cell>
          <cell r="G828">
            <v>0.1</v>
          </cell>
          <cell r="I828">
            <v>0.09</v>
          </cell>
          <cell r="J828">
            <v>0</v>
          </cell>
          <cell r="K828">
            <v>22.230533319788019</v>
          </cell>
          <cell r="P828">
            <v>0</v>
          </cell>
          <cell r="Q828">
            <v>231997.29414968967</v>
          </cell>
          <cell r="R828">
            <v>153192.45712022361</v>
          </cell>
          <cell r="S828">
            <v>47041.347999999998</v>
          </cell>
          <cell r="U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</row>
        <row r="829">
          <cell r="C829" t="str">
            <v>A0328</v>
          </cell>
          <cell r="D829" t="str">
            <v>PT Komatsu Remanufacturing Asia</v>
          </cell>
          <cell r="E829" t="str">
            <v>PEB 6</v>
          </cell>
          <cell r="F829" t="str">
            <v>69PEB 6</v>
          </cell>
          <cell r="P829">
            <v>0</v>
          </cell>
          <cell r="U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</row>
        <row r="830">
          <cell r="C830" t="str">
            <v>A0328</v>
          </cell>
          <cell r="D830" t="str">
            <v>PT Komatsu Remanufacturing Asia</v>
          </cell>
          <cell r="E830" t="str">
            <v>PEB 7</v>
          </cell>
          <cell r="F830" t="str">
            <v>69PEB 7</v>
          </cell>
          <cell r="G830">
            <v>0.1</v>
          </cell>
          <cell r="I830">
            <v>0.09</v>
          </cell>
          <cell r="J830">
            <v>10.390199854253463</v>
          </cell>
          <cell r="K830">
            <v>20.015874286150879</v>
          </cell>
          <cell r="P830">
            <v>102441</v>
          </cell>
          <cell r="Q830">
            <v>251678.09621719999</v>
          </cell>
          <cell r="R830">
            <v>36985.952394961489</v>
          </cell>
          <cell r="S830">
            <v>25482.53924415282</v>
          </cell>
          <cell r="U830">
            <v>0</v>
          </cell>
          <cell r="W830">
            <v>-92583</v>
          </cell>
          <cell r="X830">
            <v>0</v>
          </cell>
          <cell r="Y830">
            <v>0</v>
          </cell>
          <cell r="Z830">
            <v>9858</v>
          </cell>
        </row>
        <row r="831">
          <cell r="C831" t="str">
            <v>A0328</v>
          </cell>
          <cell r="D831" t="str">
            <v>PT Komatsu Remanufacturing Asia</v>
          </cell>
          <cell r="E831" t="str">
            <v>MPP</v>
          </cell>
          <cell r="F831" t="str">
            <v>69MPP</v>
          </cell>
          <cell r="G831">
            <v>0.1</v>
          </cell>
          <cell r="I831">
            <v>0.09</v>
          </cell>
          <cell r="J831">
            <v>10.390199854253463</v>
          </cell>
          <cell r="K831">
            <v>20.015874286150879</v>
          </cell>
          <cell r="P831">
            <v>798224</v>
          </cell>
          <cell r="Q831">
            <v>655657.07683012565</v>
          </cell>
          <cell r="R831">
            <v>70869.486284222177</v>
          </cell>
          <cell r="S831">
            <v>130770.57</v>
          </cell>
          <cell r="U831">
            <v>0</v>
          </cell>
          <cell r="W831">
            <v>0</v>
          </cell>
          <cell r="X831">
            <v>-724249</v>
          </cell>
          <cell r="Y831">
            <v>37143</v>
          </cell>
          <cell r="Z831">
            <v>73975</v>
          </cell>
        </row>
        <row r="832">
          <cell r="C832" t="str">
            <v>A0328</v>
          </cell>
          <cell r="D832" t="str">
            <v>PT Komatsu Remanufacturing Asia</v>
          </cell>
          <cell r="E832" t="str">
            <v>ID</v>
          </cell>
          <cell r="F832" t="str">
            <v>69ID</v>
          </cell>
          <cell r="G832">
            <v>0.1</v>
          </cell>
          <cell r="I832">
            <v>0.09</v>
          </cell>
          <cell r="J832">
            <v>10.390199854253463</v>
          </cell>
          <cell r="K832">
            <v>20.015874286150879</v>
          </cell>
          <cell r="P832">
            <v>29442</v>
          </cell>
          <cell r="Q832">
            <v>557541.96009782294</v>
          </cell>
          <cell r="R832">
            <v>64618.756632319957</v>
          </cell>
          <cell r="S832">
            <v>34611.709270997264</v>
          </cell>
          <cell r="U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29442</v>
          </cell>
        </row>
        <row r="833">
          <cell r="C833" t="str">
            <v>A0328</v>
          </cell>
          <cell r="D833" t="str">
            <v>PT Komatsu Remanufacturing Asia</v>
          </cell>
          <cell r="E833" t="str">
            <v>LL</v>
          </cell>
          <cell r="F833" t="str">
            <v>69LL</v>
          </cell>
          <cell r="G833">
            <v>0.1</v>
          </cell>
          <cell r="I833">
            <v>0.09</v>
          </cell>
          <cell r="J833">
            <v>10.390199854253463</v>
          </cell>
          <cell r="K833">
            <v>20.015874286150879</v>
          </cell>
          <cell r="P833">
            <v>643721</v>
          </cell>
          <cell r="Q833">
            <v>581109</v>
          </cell>
          <cell r="R833">
            <v>233058</v>
          </cell>
          <cell r="S833">
            <v>308514.79265540291</v>
          </cell>
          <cell r="U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643721</v>
          </cell>
        </row>
        <row r="834">
          <cell r="C834" t="str">
            <v>A0328</v>
          </cell>
          <cell r="D834" t="str">
            <v>PT Komatsu Remanufacturing Asia</v>
          </cell>
          <cell r="E834" t="str">
            <v>PMK</v>
          </cell>
          <cell r="F834" t="str">
            <v>69PMK</v>
          </cell>
          <cell r="G834">
            <v>0.1</v>
          </cell>
          <cell r="I834">
            <v>0.09</v>
          </cell>
          <cell r="J834">
            <v>10.390199854253463</v>
          </cell>
          <cell r="K834">
            <v>20.015874286150879</v>
          </cell>
          <cell r="P834">
            <v>252646</v>
          </cell>
          <cell r="Q834">
            <v>512207.15781091608</v>
          </cell>
          <cell r="R834">
            <v>113712.01604215507</v>
          </cell>
          <cell r="S834">
            <v>60800</v>
          </cell>
          <cell r="U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252646</v>
          </cell>
        </row>
        <row r="836">
          <cell r="C836" t="str">
            <v>A0262</v>
          </cell>
          <cell r="D836" t="str">
            <v>PT Lestari Tani Teladan</v>
          </cell>
          <cell r="E836" t="str">
            <v>PEB 1</v>
          </cell>
          <cell r="F836" t="str">
            <v>70PEB 1</v>
          </cell>
          <cell r="J836">
            <v>0</v>
          </cell>
          <cell r="N836">
            <v>0</v>
          </cell>
          <cell r="O836">
            <v>0</v>
          </cell>
          <cell r="P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10.301553076391206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1000523</v>
          </cell>
          <cell r="AL836">
            <v>1886928.4895641347</v>
          </cell>
          <cell r="AM836">
            <v>219320.60142278776</v>
          </cell>
          <cell r="AN836">
            <v>148576.67920000001</v>
          </cell>
          <cell r="AO836">
            <v>0</v>
          </cell>
          <cell r="AP836">
            <v>0</v>
          </cell>
          <cell r="AQ836">
            <v>0</v>
          </cell>
          <cell r="AR836">
            <v>-263603</v>
          </cell>
          <cell r="AS836">
            <v>0</v>
          </cell>
          <cell r="AT836">
            <v>0</v>
          </cell>
          <cell r="AU836">
            <v>736920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10.264583115134101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1545080</v>
          </cell>
          <cell r="CB836">
            <v>1750653.8624890777</v>
          </cell>
          <cell r="CC836">
            <v>339562.87099362351</v>
          </cell>
          <cell r="CD836">
            <v>683058.96541216981</v>
          </cell>
          <cell r="CE836">
            <v>0</v>
          </cell>
          <cell r="CF836">
            <v>0</v>
          </cell>
          <cell r="CG836">
            <v>0</v>
          </cell>
          <cell r="CH836">
            <v>-539259</v>
          </cell>
          <cell r="CI836">
            <v>-462323</v>
          </cell>
          <cell r="CJ836">
            <v>33106</v>
          </cell>
          <cell r="CK836">
            <v>543498</v>
          </cell>
          <cell r="CM836">
            <v>0</v>
          </cell>
          <cell r="CN836">
            <v>0</v>
          </cell>
          <cell r="CO836">
            <v>0</v>
          </cell>
          <cell r="CP836">
            <v>8.8468279409681028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  <cell r="CV836">
            <v>3330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724994</v>
          </cell>
          <cell r="DD836">
            <v>0</v>
          </cell>
          <cell r="DE836">
            <v>0</v>
          </cell>
          <cell r="DF836">
            <v>728324</v>
          </cell>
          <cell r="DH836">
            <v>0</v>
          </cell>
          <cell r="DI836">
            <v>0</v>
          </cell>
          <cell r="DJ836">
            <v>0</v>
          </cell>
          <cell r="DK836">
            <v>0</v>
          </cell>
          <cell r="DL836">
            <v>0</v>
          </cell>
          <cell r="DM836">
            <v>0</v>
          </cell>
          <cell r="DN836">
            <v>0</v>
          </cell>
          <cell r="DO836">
            <v>0</v>
          </cell>
          <cell r="DP836">
            <v>0</v>
          </cell>
          <cell r="DQ836">
            <v>0</v>
          </cell>
          <cell r="DR836">
            <v>0</v>
          </cell>
          <cell r="DS836">
            <v>0</v>
          </cell>
          <cell r="DT836">
            <v>0</v>
          </cell>
          <cell r="DU836">
            <v>0</v>
          </cell>
          <cell r="DV836">
            <v>0</v>
          </cell>
          <cell r="DW836">
            <v>0</v>
          </cell>
          <cell r="DX836">
            <v>0</v>
          </cell>
          <cell r="DY836">
            <v>0</v>
          </cell>
          <cell r="DZ836">
            <v>0</v>
          </cell>
          <cell r="EA836">
            <v>0</v>
          </cell>
          <cell r="EC836">
            <v>0</v>
          </cell>
          <cell r="ED836">
            <v>0</v>
          </cell>
          <cell r="EE836">
            <v>0</v>
          </cell>
          <cell r="EF836">
            <v>10.301553076391206</v>
          </cell>
          <cell r="EG836">
            <v>0</v>
          </cell>
          <cell r="EH836">
            <v>0</v>
          </cell>
          <cell r="EI836">
            <v>0</v>
          </cell>
          <cell r="EJ836">
            <v>0</v>
          </cell>
          <cell r="EK836">
            <v>0</v>
          </cell>
          <cell r="EL836">
            <v>103936</v>
          </cell>
          <cell r="EM836">
            <v>203923.25974046238</v>
          </cell>
          <cell r="EN836">
            <v>38384.680162951016</v>
          </cell>
          <cell r="EO836">
            <v>19771.744422898599</v>
          </cell>
          <cell r="EP836">
            <v>0</v>
          </cell>
          <cell r="EQ836">
            <v>0</v>
          </cell>
          <cell r="ER836">
            <v>0</v>
          </cell>
          <cell r="ES836">
            <v>2453</v>
          </cell>
          <cell r="ET836">
            <v>0</v>
          </cell>
          <cell r="EU836">
            <v>0</v>
          </cell>
          <cell r="EV836">
            <v>106389</v>
          </cell>
          <cell r="EX836">
            <v>0</v>
          </cell>
          <cell r="EY836">
            <v>0</v>
          </cell>
          <cell r="EZ836">
            <v>0</v>
          </cell>
          <cell r="FA836">
            <v>0</v>
          </cell>
          <cell r="FB836">
            <v>0</v>
          </cell>
          <cell r="FC836">
            <v>0</v>
          </cell>
          <cell r="FD836">
            <v>0</v>
          </cell>
          <cell r="FE836">
            <v>0</v>
          </cell>
          <cell r="FF836">
            <v>0</v>
          </cell>
          <cell r="FG836">
            <v>0</v>
          </cell>
          <cell r="FH836">
            <v>313828.46551969886</v>
          </cell>
          <cell r="FI836">
            <v>39840.208230477343</v>
          </cell>
          <cell r="FJ836">
            <v>23234.14788</v>
          </cell>
          <cell r="FK836">
            <v>0</v>
          </cell>
          <cell r="FL836">
            <v>0</v>
          </cell>
          <cell r="FM836">
            <v>0</v>
          </cell>
          <cell r="FN836">
            <v>0</v>
          </cell>
          <cell r="FO836">
            <v>0</v>
          </cell>
          <cell r="FP836">
            <v>0</v>
          </cell>
          <cell r="FQ836">
            <v>0</v>
          </cell>
          <cell r="FS836">
            <v>0</v>
          </cell>
          <cell r="FT836">
            <v>0</v>
          </cell>
          <cell r="FU836">
            <v>0</v>
          </cell>
          <cell r="FV836">
            <v>10.301553076391206</v>
          </cell>
          <cell r="FW836">
            <v>0</v>
          </cell>
          <cell r="FX836">
            <v>0</v>
          </cell>
          <cell r="FY836">
            <v>0</v>
          </cell>
          <cell r="FZ836">
            <v>0</v>
          </cell>
          <cell r="GA836">
            <v>0</v>
          </cell>
          <cell r="GB836">
            <v>18367</v>
          </cell>
          <cell r="GC836">
            <v>598092.74092950125</v>
          </cell>
          <cell r="GD836">
            <v>95040.179152766359</v>
          </cell>
          <cell r="GE836">
            <v>39472.748820784094</v>
          </cell>
          <cell r="GF836">
            <v>0</v>
          </cell>
          <cell r="GG836">
            <v>0</v>
          </cell>
          <cell r="GH836">
            <v>0</v>
          </cell>
          <cell r="GI836">
            <v>0</v>
          </cell>
          <cell r="GJ836">
            <v>0</v>
          </cell>
          <cell r="GK836">
            <v>0</v>
          </cell>
          <cell r="GL836">
            <v>18367</v>
          </cell>
          <cell r="GN836">
            <v>0</v>
          </cell>
          <cell r="GO836">
            <v>0</v>
          </cell>
          <cell r="GP836">
            <v>0</v>
          </cell>
          <cell r="GQ836">
            <v>10.301553076391206</v>
          </cell>
          <cell r="GR836">
            <v>0</v>
          </cell>
          <cell r="GS836">
            <v>0</v>
          </cell>
          <cell r="GT836">
            <v>0</v>
          </cell>
          <cell r="GU836">
            <v>0</v>
          </cell>
          <cell r="GV836">
            <v>0</v>
          </cell>
          <cell r="GW836">
            <v>443723</v>
          </cell>
          <cell r="GX836">
            <v>868988.17909223749</v>
          </cell>
          <cell r="GY836">
            <v>342033.91050378093</v>
          </cell>
          <cell r="GZ836">
            <v>322596.18403717643</v>
          </cell>
          <cell r="HA836">
            <v>0</v>
          </cell>
          <cell r="HB836">
            <v>0</v>
          </cell>
          <cell r="HC836">
            <v>0</v>
          </cell>
          <cell r="HD836">
            <v>0</v>
          </cell>
          <cell r="HE836">
            <v>0</v>
          </cell>
          <cell r="HF836">
            <v>0</v>
          </cell>
          <cell r="HG836">
            <v>443723</v>
          </cell>
          <cell r="HI836">
            <v>0</v>
          </cell>
          <cell r="HJ836">
            <v>0</v>
          </cell>
          <cell r="HK836">
            <v>0</v>
          </cell>
          <cell r="HL836">
            <v>10.301553076391206</v>
          </cell>
          <cell r="HM836">
            <v>0</v>
          </cell>
          <cell r="HN836">
            <v>0</v>
          </cell>
          <cell r="HO836">
            <v>0</v>
          </cell>
          <cell r="HP836">
            <v>0</v>
          </cell>
          <cell r="HQ836">
            <v>0</v>
          </cell>
          <cell r="HR836">
            <v>311438</v>
          </cell>
          <cell r="HS836">
            <v>665597.6758878039</v>
          </cell>
          <cell r="HT836">
            <v>135269.52857879529</v>
          </cell>
          <cell r="HU836">
            <v>34650</v>
          </cell>
          <cell r="HV836">
            <v>0</v>
          </cell>
          <cell r="HW836">
            <v>0</v>
          </cell>
          <cell r="HX836">
            <v>0</v>
          </cell>
          <cell r="HY836">
            <v>0</v>
          </cell>
          <cell r="HZ836">
            <v>0</v>
          </cell>
          <cell r="IA836">
            <v>0</v>
          </cell>
          <cell r="IB836">
            <v>311438</v>
          </cell>
        </row>
        <row r="837">
          <cell r="C837" t="str">
            <v>A0262</v>
          </cell>
          <cell r="D837" t="str">
            <v>PT Lestari Tani Teladan</v>
          </cell>
          <cell r="E837" t="str">
            <v>PEB 2</v>
          </cell>
          <cell r="F837" t="str">
            <v>70PEB 2</v>
          </cell>
          <cell r="J837">
            <v>10.301553076391206</v>
          </cell>
          <cell r="P837">
            <v>1000523</v>
          </cell>
          <cell r="Q837">
            <v>1886928.4895641347</v>
          </cell>
          <cell r="R837">
            <v>219320.60142278776</v>
          </cell>
          <cell r="S837">
            <v>148576.67920000001</v>
          </cell>
          <cell r="U837">
            <v>0</v>
          </cell>
          <cell r="W837">
            <v>-263603</v>
          </cell>
          <cell r="X837">
            <v>0</v>
          </cell>
          <cell r="Y837">
            <v>0</v>
          </cell>
          <cell r="Z837">
            <v>736920</v>
          </cell>
        </row>
        <row r="838">
          <cell r="C838" t="str">
            <v>A0262</v>
          </cell>
          <cell r="D838" t="str">
            <v>PT Lestari Tani Teladan</v>
          </cell>
          <cell r="E838" t="str">
            <v>PEB 3</v>
          </cell>
          <cell r="F838" t="str">
            <v>70PEB 3</v>
          </cell>
          <cell r="J838">
            <v>0</v>
          </cell>
          <cell r="P838">
            <v>0</v>
          </cell>
          <cell r="U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</row>
        <row r="839">
          <cell r="C839" t="str">
            <v>A0262</v>
          </cell>
          <cell r="D839" t="str">
            <v>PT Lestari Tani Teladan</v>
          </cell>
          <cell r="E839" t="str">
            <v>PEB 4</v>
          </cell>
          <cell r="F839" t="str">
            <v>70PEB 4</v>
          </cell>
          <cell r="J839">
            <v>10.264583115134101</v>
          </cell>
          <cell r="P839">
            <v>1545080</v>
          </cell>
          <cell r="Q839">
            <v>1750653.8624890777</v>
          </cell>
          <cell r="R839">
            <v>339562.87099362351</v>
          </cell>
          <cell r="S839">
            <v>683058.96541216981</v>
          </cell>
          <cell r="U839">
            <v>0</v>
          </cell>
          <cell r="W839">
            <v>-539259</v>
          </cell>
          <cell r="X839">
            <v>-462323</v>
          </cell>
          <cell r="Y839">
            <v>33106</v>
          </cell>
          <cell r="Z839">
            <v>543498</v>
          </cell>
        </row>
        <row r="840">
          <cell r="C840" t="str">
            <v>A0262</v>
          </cell>
          <cell r="D840" t="str">
            <v>PT Lestari Tani Teladan</v>
          </cell>
          <cell r="E840" t="str">
            <v>PEB 5</v>
          </cell>
          <cell r="F840" t="str">
            <v>70PEB 5</v>
          </cell>
          <cell r="J840">
            <v>8.8468279409681028</v>
          </cell>
          <cell r="P840">
            <v>3330</v>
          </cell>
          <cell r="U840">
            <v>0</v>
          </cell>
          <cell r="W840">
            <v>724994</v>
          </cell>
          <cell r="X840">
            <v>0</v>
          </cell>
          <cell r="Y840">
            <v>0</v>
          </cell>
          <cell r="Z840">
            <v>728324</v>
          </cell>
        </row>
        <row r="841">
          <cell r="C841" t="str">
            <v>A0262</v>
          </cell>
          <cell r="D841" t="str">
            <v>PT Lestari Tani Teladan</v>
          </cell>
          <cell r="E841" t="str">
            <v>PEB 6</v>
          </cell>
          <cell r="F841" t="str">
            <v>70PEB 6</v>
          </cell>
          <cell r="J841">
            <v>0</v>
          </cell>
          <cell r="P841">
            <v>0</v>
          </cell>
          <cell r="U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</row>
        <row r="842">
          <cell r="C842" t="str">
            <v>A0262</v>
          </cell>
          <cell r="D842" t="str">
            <v>PT Lestari Tani Teladan</v>
          </cell>
          <cell r="E842" t="str">
            <v>PEB 7</v>
          </cell>
          <cell r="F842" t="str">
            <v>70PEB 7</v>
          </cell>
          <cell r="J842">
            <v>10.301553076391206</v>
          </cell>
          <cell r="P842">
            <v>103936</v>
          </cell>
          <cell r="Q842">
            <v>203923.25974046238</v>
          </cell>
          <cell r="R842">
            <v>38384.680162951016</v>
          </cell>
          <cell r="S842">
            <v>19771.744422898599</v>
          </cell>
          <cell r="U842">
            <v>0</v>
          </cell>
          <cell r="W842">
            <v>2453</v>
          </cell>
          <cell r="X842">
            <v>0</v>
          </cell>
          <cell r="Y842">
            <v>0</v>
          </cell>
          <cell r="Z842">
            <v>106389</v>
          </cell>
        </row>
        <row r="843">
          <cell r="C843" t="str">
            <v>A0262</v>
          </cell>
          <cell r="D843" t="str">
            <v>PT Lestari Tani Teladan</v>
          </cell>
          <cell r="E843" t="str">
            <v>MPP</v>
          </cell>
          <cell r="F843" t="str">
            <v>70MPP</v>
          </cell>
          <cell r="J843">
            <v>0</v>
          </cell>
          <cell r="P843">
            <v>0</v>
          </cell>
          <cell r="Q843">
            <v>313828.46551969886</v>
          </cell>
          <cell r="R843">
            <v>39840.208230477343</v>
          </cell>
          <cell r="S843">
            <v>23234.14788</v>
          </cell>
          <cell r="U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</row>
        <row r="844">
          <cell r="C844" t="str">
            <v>A0262</v>
          </cell>
          <cell r="D844" t="str">
            <v>PT Lestari Tani Teladan</v>
          </cell>
          <cell r="E844" t="str">
            <v>ID</v>
          </cell>
          <cell r="F844" t="str">
            <v>70ID</v>
          </cell>
          <cell r="J844">
            <v>10.301553076391206</v>
          </cell>
          <cell r="P844">
            <v>18367</v>
          </cell>
          <cell r="Q844">
            <v>598092.74092950125</v>
          </cell>
          <cell r="R844">
            <v>95040.179152766359</v>
          </cell>
          <cell r="S844">
            <v>39472.748820784094</v>
          </cell>
          <cell r="U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18367</v>
          </cell>
        </row>
        <row r="845">
          <cell r="C845" t="str">
            <v>A0262</v>
          </cell>
          <cell r="D845" t="str">
            <v>PT Lestari Tani Teladan</v>
          </cell>
          <cell r="E845" t="str">
            <v>LL</v>
          </cell>
          <cell r="F845" t="str">
            <v>70LL</v>
          </cell>
          <cell r="J845">
            <v>10.301553076391206</v>
          </cell>
          <cell r="P845">
            <v>443723</v>
          </cell>
          <cell r="Q845">
            <v>868988.17909223749</v>
          </cell>
          <cell r="R845">
            <v>342033.91050378093</v>
          </cell>
          <cell r="S845">
            <v>322596.18403717643</v>
          </cell>
          <cell r="U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443723</v>
          </cell>
        </row>
        <row r="846">
          <cell r="C846" t="str">
            <v>A0262</v>
          </cell>
          <cell r="D846" t="str">
            <v>PT Lestari Tani Teladan</v>
          </cell>
          <cell r="E846" t="str">
            <v>PMK</v>
          </cell>
          <cell r="F846" t="str">
            <v>70PMK</v>
          </cell>
          <cell r="J846">
            <v>10.301553076391206</v>
          </cell>
          <cell r="P846">
            <v>311438</v>
          </cell>
          <cell r="Q846">
            <v>665597.6758878039</v>
          </cell>
          <cell r="R846">
            <v>135269.52857879529</v>
          </cell>
          <cell r="S846">
            <v>34650</v>
          </cell>
          <cell r="U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311438</v>
          </cell>
        </row>
        <row r="847">
          <cell r="Z847">
            <v>0</v>
          </cell>
        </row>
        <row r="848">
          <cell r="C848" t="str">
            <v>A0261</v>
          </cell>
          <cell r="D848" t="str">
            <v>PT LETAWA</v>
          </cell>
          <cell r="E848" t="str">
            <v>PEB 1</v>
          </cell>
          <cell r="F848" t="str">
            <v>71PEB 1</v>
          </cell>
          <cell r="J848">
            <v>0</v>
          </cell>
          <cell r="N848">
            <v>0</v>
          </cell>
          <cell r="O848">
            <v>0</v>
          </cell>
          <cell r="P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10.377557910960133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1687863</v>
          </cell>
          <cell r="AL848">
            <v>3279172.6283576298</v>
          </cell>
          <cell r="AM848">
            <v>345916.25195733865</v>
          </cell>
          <cell r="AN848">
            <v>38577.324472000008</v>
          </cell>
          <cell r="AO848">
            <v>0</v>
          </cell>
          <cell r="AP848">
            <v>0</v>
          </cell>
          <cell r="AQ848">
            <v>0</v>
          </cell>
          <cell r="AR848">
            <v>-843277</v>
          </cell>
          <cell r="AS848">
            <v>0</v>
          </cell>
          <cell r="AT848">
            <v>0</v>
          </cell>
          <cell r="AU848">
            <v>844586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10.369747260754426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3122059</v>
          </cell>
          <cell r="CB848">
            <v>3921797.4757916685</v>
          </cell>
          <cell r="CC848">
            <v>461296.114838643</v>
          </cell>
          <cell r="CD848">
            <v>309770.42428192624</v>
          </cell>
          <cell r="CE848">
            <v>0</v>
          </cell>
          <cell r="CF848">
            <v>0</v>
          </cell>
          <cell r="CG848">
            <v>0</v>
          </cell>
          <cell r="CH848">
            <v>-2174730</v>
          </cell>
          <cell r="CI848">
            <v>-425231</v>
          </cell>
          <cell r="CJ848">
            <v>27010</v>
          </cell>
          <cell r="CK848">
            <v>522098</v>
          </cell>
          <cell r="CM848">
            <v>0</v>
          </cell>
          <cell r="CN848">
            <v>0</v>
          </cell>
          <cell r="CO848">
            <v>0</v>
          </cell>
          <cell r="CP848">
            <v>10.268851807173801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  <cell r="CV848">
            <v>203485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1518977</v>
          </cell>
          <cell r="DD848">
            <v>0</v>
          </cell>
          <cell r="DE848">
            <v>0</v>
          </cell>
          <cell r="DF848">
            <v>1722462</v>
          </cell>
          <cell r="DH848">
            <v>0</v>
          </cell>
          <cell r="DI848">
            <v>0</v>
          </cell>
          <cell r="DJ848">
            <v>0</v>
          </cell>
          <cell r="DK848">
            <v>0</v>
          </cell>
          <cell r="DL848">
            <v>0</v>
          </cell>
          <cell r="DM848">
            <v>0</v>
          </cell>
          <cell r="DN848">
            <v>0</v>
          </cell>
          <cell r="DO848">
            <v>0</v>
          </cell>
          <cell r="DP848">
            <v>0</v>
          </cell>
          <cell r="DQ848">
            <v>0</v>
          </cell>
          <cell r="DR848">
            <v>0</v>
          </cell>
          <cell r="DS848">
            <v>0</v>
          </cell>
          <cell r="DT848">
            <v>0</v>
          </cell>
          <cell r="DU848">
            <v>0</v>
          </cell>
          <cell r="DV848">
            <v>0</v>
          </cell>
          <cell r="DW848">
            <v>0</v>
          </cell>
          <cell r="DX848">
            <v>0</v>
          </cell>
          <cell r="DY848">
            <v>0</v>
          </cell>
          <cell r="DZ848">
            <v>0</v>
          </cell>
          <cell r="EA848">
            <v>0</v>
          </cell>
          <cell r="EC848">
            <v>0</v>
          </cell>
          <cell r="ED848">
            <v>0</v>
          </cell>
          <cell r="EE848">
            <v>0</v>
          </cell>
          <cell r="EF848">
            <v>10.377557910960133</v>
          </cell>
          <cell r="EG848">
            <v>0</v>
          </cell>
          <cell r="EH848">
            <v>0</v>
          </cell>
          <cell r="EI848">
            <v>0</v>
          </cell>
          <cell r="EJ848">
            <v>0</v>
          </cell>
          <cell r="EK848">
            <v>0</v>
          </cell>
          <cell r="EL848">
            <v>217382</v>
          </cell>
          <cell r="EM848">
            <v>494092.19681777339</v>
          </cell>
          <cell r="EN848">
            <v>67528.211260015902</v>
          </cell>
          <cell r="EO848">
            <v>50871.341700152945</v>
          </cell>
          <cell r="EP848">
            <v>0</v>
          </cell>
          <cell r="EQ848">
            <v>0</v>
          </cell>
          <cell r="ER848">
            <v>0</v>
          </cell>
          <cell r="ES848">
            <v>-212724</v>
          </cell>
          <cell r="ET848">
            <v>0</v>
          </cell>
          <cell r="EU848">
            <v>0</v>
          </cell>
          <cell r="EV848">
            <v>4658</v>
          </cell>
          <cell r="EX848">
            <v>0</v>
          </cell>
          <cell r="EY848">
            <v>0</v>
          </cell>
          <cell r="EZ848">
            <v>0</v>
          </cell>
          <cell r="FA848">
            <v>0</v>
          </cell>
          <cell r="FB848">
            <v>0</v>
          </cell>
          <cell r="FC848">
            <v>0</v>
          </cell>
          <cell r="FD848">
            <v>0</v>
          </cell>
          <cell r="FE848">
            <v>0</v>
          </cell>
          <cell r="FF848">
            <v>0</v>
          </cell>
          <cell r="FG848">
            <v>0</v>
          </cell>
          <cell r="FH848">
            <v>532980.0007947397</v>
          </cell>
          <cell r="FI848">
            <v>58797.091320633124</v>
          </cell>
          <cell r="FJ848">
            <v>13059.094236000001</v>
          </cell>
          <cell r="FK848">
            <v>0</v>
          </cell>
          <cell r="FL848">
            <v>0</v>
          </cell>
          <cell r="FM848">
            <v>0</v>
          </cell>
          <cell r="FN848">
            <v>0</v>
          </cell>
          <cell r="FO848">
            <v>0</v>
          </cell>
          <cell r="FP848">
            <v>0</v>
          </cell>
          <cell r="FQ848">
            <v>0</v>
          </cell>
          <cell r="FS848">
            <v>0</v>
          </cell>
          <cell r="FT848">
            <v>0</v>
          </cell>
          <cell r="FU848">
            <v>0</v>
          </cell>
          <cell r="FV848">
            <v>10.377557910960133</v>
          </cell>
          <cell r="FW848">
            <v>0</v>
          </cell>
          <cell r="FX848">
            <v>0</v>
          </cell>
          <cell r="FY848">
            <v>0</v>
          </cell>
          <cell r="FZ848">
            <v>0</v>
          </cell>
          <cell r="GA848">
            <v>0</v>
          </cell>
          <cell r="GB848">
            <v>27173</v>
          </cell>
          <cell r="GC848">
            <v>1212519.5653137155</v>
          </cell>
          <cell r="GD848">
            <v>149392.92596971747</v>
          </cell>
          <cell r="GE848">
            <v>67894.05161443862</v>
          </cell>
          <cell r="GF848">
            <v>0</v>
          </cell>
          <cell r="GG848">
            <v>0</v>
          </cell>
          <cell r="GH848">
            <v>0</v>
          </cell>
          <cell r="GI848">
            <v>0</v>
          </cell>
          <cell r="GJ848">
            <v>0</v>
          </cell>
          <cell r="GK848">
            <v>0</v>
          </cell>
          <cell r="GL848">
            <v>27173</v>
          </cell>
          <cell r="GN848">
            <v>0</v>
          </cell>
          <cell r="GO848">
            <v>0</v>
          </cell>
          <cell r="GP848">
            <v>0</v>
          </cell>
          <cell r="GQ848">
            <v>10.377557910960133</v>
          </cell>
          <cell r="GR848">
            <v>0</v>
          </cell>
          <cell r="GS848">
            <v>0</v>
          </cell>
          <cell r="GT848">
            <v>0</v>
          </cell>
          <cell r="GU848">
            <v>0</v>
          </cell>
          <cell r="GV848">
            <v>0</v>
          </cell>
          <cell r="GW848">
            <v>1152475</v>
          </cell>
          <cell r="GX848">
            <v>1451192.2882413953</v>
          </cell>
          <cell r="GY848">
            <v>573541.36139921879</v>
          </cell>
          <cell r="GZ848">
            <v>547020.42112202197</v>
          </cell>
          <cell r="HA848">
            <v>0</v>
          </cell>
          <cell r="HB848">
            <v>0</v>
          </cell>
          <cell r="HC848">
            <v>0</v>
          </cell>
          <cell r="HD848">
            <v>0</v>
          </cell>
          <cell r="HE848">
            <v>0</v>
          </cell>
          <cell r="HF848">
            <v>0</v>
          </cell>
          <cell r="HG848">
            <v>1152475</v>
          </cell>
          <cell r="HI848">
            <v>0</v>
          </cell>
          <cell r="HJ848">
            <v>0</v>
          </cell>
          <cell r="HK848">
            <v>0</v>
          </cell>
          <cell r="HL848">
            <v>10.377557910960133</v>
          </cell>
          <cell r="HM848">
            <v>0</v>
          </cell>
          <cell r="HN848">
            <v>0</v>
          </cell>
          <cell r="HO848">
            <v>0</v>
          </cell>
          <cell r="HP848">
            <v>0</v>
          </cell>
          <cell r="HQ848">
            <v>0</v>
          </cell>
          <cell r="HR848">
            <v>814349</v>
          </cell>
          <cell r="HS848">
            <v>1575280.9836083807</v>
          </cell>
          <cell r="HT848">
            <v>241156.62910211904</v>
          </cell>
          <cell r="HU848">
            <v>102375</v>
          </cell>
          <cell r="HV848">
            <v>0</v>
          </cell>
          <cell r="HW848">
            <v>0</v>
          </cell>
          <cell r="HX848">
            <v>0</v>
          </cell>
          <cell r="HY848">
            <v>0</v>
          </cell>
          <cell r="HZ848">
            <v>0</v>
          </cell>
          <cell r="IA848">
            <v>0</v>
          </cell>
          <cell r="IB848">
            <v>814349</v>
          </cell>
        </row>
        <row r="849">
          <cell r="C849" t="str">
            <v>A0261</v>
          </cell>
          <cell r="D849" t="str">
            <v>PT LETAWA</v>
          </cell>
          <cell r="E849" t="str">
            <v>PEB 2</v>
          </cell>
          <cell r="F849" t="str">
            <v>71PEB 2</v>
          </cell>
          <cell r="J849">
            <v>10.377557910960133</v>
          </cell>
          <cell r="P849">
            <v>1687863</v>
          </cell>
          <cell r="Q849">
            <v>3279172.6283576298</v>
          </cell>
          <cell r="R849">
            <v>345916.25195733865</v>
          </cell>
          <cell r="S849">
            <v>38577.324472000008</v>
          </cell>
          <cell r="U849">
            <v>0</v>
          </cell>
          <cell r="W849">
            <v>-843277</v>
          </cell>
          <cell r="X849">
            <v>0</v>
          </cell>
          <cell r="Y849">
            <v>0</v>
          </cell>
          <cell r="Z849">
            <v>844586</v>
          </cell>
        </row>
        <row r="850">
          <cell r="C850" t="str">
            <v>A0261</v>
          </cell>
          <cell r="D850" t="str">
            <v>PT LETAWA</v>
          </cell>
          <cell r="E850" t="str">
            <v>PEB 3</v>
          </cell>
          <cell r="F850" t="str">
            <v>71PEB 3</v>
          </cell>
          <cell r="J850">
            <v>0</v>
          </cell>
          <cell r="P850">
            <v>0</v>
          </cell>
          <cell r="U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</row>
        <row r="851">
          <cell r="C851" t="str">
            <v>A0261</v>
          </cell>
          <cell r="D851" t="str">
            <v>PT LETAWA</v>
          </cell>
          <cell r="E851" t="str">
            <v>PEB 4</v>
          </cell>
          <cell r="F851" t="str">
            <v>71PEB 4</v>
          </cell>
          <cell r="J851">
            <v>10.369747260754426</v>
          </cell>
          <cell r="P851">
            <v>3122059</v>
          </cell>
          <cell r="Q851">
            <v>3921797.4757916685</v>
          </cell>
          <cell r="R851">
            <v>461296.114838643</v>
          </cell>
          <cell r="S851">
            <v>309770.42428192624</v>
          </cell>
          <cell r="U851">
            <v>0</v>
          </cell>
          <cell r="W851">
            <v>-2174730</v>
          </cell>
          <cell r="X851">
            <v>-425231</v>
          </cell>
          <cell r="Y851">
            <v>27010</v>
          </cell>
          <cell r="Z851">
            <v>522098</v>
          </cell>
        </row>
        <row r="852">
          <cell r="C852" t="str">
            <v>A0261</v>
          </cell>
          <cell r="D852" t="str">
            <v>PT LETAWA</v>
          </cell>
          <cell r="E852" t="str">
            <v>PEB 5</v>
          </cell>
          <cell r="F852" t="str">
            <v>71PEB 5</v>
          </cell>
          <cell r="J852">
            <v>10.268851807173801</v>
          </cell>
          <cell r="P852">
            <v>203485</v>
          </cell>
          <cell r="U852">
            <v>0</v>
          </cell>
          <cell r="W852">
            <v>1518977</v>
          </cell>
          <cell r="X852">
            <v>0</v>
          </cell>
          <cell r="Y852">
            <v>0</v>
          </cell>
          <cell r="Z852">
            <v>1722462</v>
          </cell>
        </row>
        <row r="853">
          <cell r="C853" t="str">
            <v>A0261</v>
          </cell>
          <cell r="D853" t="str">
            <v>PT LETAWA</v>
          </cell>
          <cell r="E853" t="str">
            <v>PEB 6</v>
          </cell>
          <cell r="F853" t="str">
            <v>71PEB 6</v>
          </cell>
          <cell r="J853">
            <v>0</v>
          </cell>
          <cell r="P853">
            <v>0</v>
          </cell>
          <cell r="U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</row>
        <row r="854">
          <cell r="C854" t="str">
            <v>A0261</v>
          </cell>
          <cell r="D854" t="str">
            <v>PT LETAWA</v>
          </cell>
          <cell r="E854" t="str">
            <v>PEB 7</v>
          </cell>
          <cell r="F854" t="str">
            <v>71PEB 7</v>
          </cell>
          <cell r="J854">
            <v>10.377557910960133</v>
          </cell>
          <cell r="P854">
            <v>217382</v>
          </cell>
          <cell r="Q854">
            <v>494092.19681777339</v>
          </cell>
          <cell r="R854">
            <v>67528.211260015902</v>
          </cell>
          <cell r="S854">
            <v>50871.341700152945</v>
          </cell>
          <cell r="U854">
            <v>0</v>
          </cell>
          <cell r="W854">
            <v>-212724</v>
          </cell>
          <cell r="X854">
            <v>0</v>
          </cell>
          <cell r="Y854">
            <v>0</v>
          </cell>
          <cell r="Z854">
            <v>4658</v>
          </cell>
        </row>
        <row r="855">
          <cell r="C855" t="str">
            <v>A0261</v>
          </cell>
          <cell r="D855" t="str">
            <v>PT LETAWA</v>
          </cell>
          <cell r="E855" t="str">
            <v>MPP</v>
          </cell>
          <cell r="F855" t="str">
            <v>71MPP</v>
          </cell>
          <cell r="J855">
            <v>0</v>
          </cell>
          <cell r="P855">
            <v>0</v>
          </cell>
          <cell r="Q855">
            <v>532980.0007947397</v>
          </cell>
          <cell r="R855">
            <v>58797.091320633124</v>
          </cell>
          <cell r="S855">
            <v>13059.094236000001</v>
          </cell>
          <cell r="U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</row>
        <row r="856">
          <cell r="C856" t="str">
            <v>A0261</v>
          </cell>
          <cell r="D856" t="str">
            <v>PT LETAWA</v>
          </cell>
          <cell r="E856" t="str">
            <v>ID</v>
          </cell>
          <cell r="F856" t="str">
            <v>71ID</v>
          </cell>
          <cell r="J856">
            <v>10.377557910960133</v>
          </cell>
          <cell r="P856">
            <v>27173</v>
          </cell>
          <cell r="Q856">
            <v>1212519.5653137155</v>
          </cell>
          <cell r="R856">
            <v>149392.92596971747</v>
          </cell>
          <cell r="S856">
            <v>67894.05161443862</v>
          </cell>
          <cell r="U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27173</v>
          </cell>
        </row>
        <row r="857">
          <cell r="C857" t="str">
            <v>A0261</v>
          </cell>
          <cell r="D857" t="str">
            <v>PT LETAWA</v>
          </cell>
          <cell r="E857" t="str">
            <v>LL</v>
          </cell>
          <cell r="F857" t="str">
            <v>71LL</v>
          </cell>
          <cell r="J857">
            <v>10.377557910960133</v>
          </cell>
          <cell r="P857">
            <v>1152475</v>
          </cell>
          <cell r="Q857">
            <v>1451192.2882413953</v>
          </cell>
          <cell r="R857">
            <v>573541.36139921879</v>
          </cell>
          <cell r="S857">
            <v>547020.42112202197</v>
          </cell>
          <cell r="U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1152475</v>
          </cell>
        </row>
        <row r="858">
          <cell r="C858" t="str">
            <v>A0261</v>
          </cell>
          <cell r="D858" t="str">
            <v>PT LETAWA</v>
          </cell>
          <cell r="E858" t="str">
            <v>PMK</v>
          </cell>
          <cell r="F858" t="str">
            <v>71PMK</v>
          </cell>
          <cell r="J858">
            <v>10.377557910960133</v>
          </cell>
          <cell r="P858">
            <v>814349</v>
          </cell>
          <cell r="Q858">
            <v>1575280.9836083807</v>
          </cell>
          <cell r="R858">
            <v>241156.62910211904</v>
          </cell>
          <cell r="S858">
            <v>102375</v>
          </cell>
          <cell r="U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814349</v>
          </cell>
        </row>
        <row r="860">
          <cell r="C860" t="str">
            <v>A0263</v>
          </cell>
          <cell r="D860" t="str">
            <v>PT Mamuang</v>
          </cell>
          <cell r="E860" t="str">
            <v>PEB 1</v>
          </cell>
          <cell r="F860" t="str">
            <v>72PEB 1</v>
          </cell>
          <cell r="J860">
            <v>0</v>
          </cell>
          <cell r="N860">
            <v>0</v>
          </cell>
          <cell r="O860">
            <v>0</v>
          </cell>
          <cell r="P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10.22500865774556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1250800</v>
          </cell>
          <cell r="AL860">
            <v>2133953.1293644747</v>
          </cell>
          <cell r="AM860">
            <v>276010.81486811861</v>
          </cell>
          <cell r="AN860">
            <v>36972.800000000003</v>
          </cell>
          <cell r="AO860">
            <v>0</v>
          </cell>
          <cell r="AP860">
            <v>0</v>
          </cell>
          <cell r="AQ860">
            <v>0</v>
          </cell>
          <cell r="AR860">
            <v>-570566</v>
          </cell>
          <cell r="AS860">
            <v>0</v>
          </cell>
          <cell r="AT860">
            <v>0</v>
          </cell>
          <cell r="AU860">
            <v>680234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10.206718249031509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2248279</v>
          </cell>
          <cell r="CB860">
            <v>3524298.1641008514</v>
          </cell>
          <cell r="CC860">
            <v>495420.66427817772</v>
          </cell>
          <cell r="CD860">
            <v>294554.98076319648</v>
          </cell>
          <cell r="CE860">
            <v>0</v>
          </cell>
          <cell r="CF860">
            <v>0</v>
          </cell>
          <cell r="CG860">
            <v>0</v>
          </cell>
          <cell r="CH860">
            <v>-1407138</v>
          </cell>
          <cell r="CI860">
            <v>-259725</v>
          </cell>
          <cell r="CJ860">
            <v>18093</v>
          </cell>
          <cell r="CK860">
            <v>581416</v>
          </cell>
          <cell r="CM860">
            <v>0</v>
          </cell>
          <cell r="CN860">
            <v>0</v>
          </cell>
          <cell r="CO860">
            <v>0</v>
          </cell>
          <cell r="CP860">
            <v>9.9458209279927008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  <cell r="CV860">
            <v>22957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1064246</v>
          </cell>
          <cell r="DD860">
            <v>0</v>
          </cell>
          <cell r="DE860">
            <v>0</v>
          </cell>
          <cell r="DF860">
            <v>1087203</v>
          </cell>
          <cell r="DH860">
            <v>0</v>
          </cell>
          <cell r="DI860">
            <v>0</v>
          </cell>
          <cell r="DJ860">
            <v>0</v>
          </cell>
          <cell r="DK860">
            <v>0</v>
          </cell>
          <cell r="DL860">
            <v>0</v>
          </cell>
          <cell r="DM860">
            <v>0</v>
          </cell>
          <cell r="DN860">
            <v>0</v>
          </cell>
          <cell r="DO860">
            <v>0</v>
          </cell>
          <cell r="DP860">
            <v>0</v>
          </cell>
          <cell r="DQ860">
            <v>0</v>
          </cell>
          <cell r="DR860">
            <v>0</v>
          </cell>
          <cell r="DS860">
            <v>0</v>
          </cell>
          <cell r="DT860">
            <v>0</v>
          </cell>
          <cell r="DU860">
            <v>0</v>
          </cell>
          <cell r="DV860">
            <v>0</v>
          </cell>
          <cell r="DW860">
            <v>0</v>
          </cell>
          <cell r="DX860">
            <v>0</v>
          </cell>
          <cell r="DY860">
            <v>0</v>
          </cell>
          <cell r="DZ860">
            <v>0</v>
          </cell>
          <cell r="EA860">
            <v>0</v>
          </cell>
          <cell r="EC860">
            <v>0</v>
          </cell>
          <cell r="ED860">
            <v>0</v>
          </cell>
          <cell r="EE860">
            <v>0</v>
          </cell>
          <cell r="EF860">
            <v>10.22500865774556</v>
          </cell>
          <cell r="EG860">
            <v>0</v>
          </cell>
          <cell r="EH860">
            <v>0</v>
          </cell>
          <cell r="EI860">
            <v>0</v>
          </cell>
          <cell r="EJ860">
            <v>0</v>
          </cell>
          <cell r="EK860">
            <v>0</v>
          </cell>
          <cell r="EL860">
            <v>150237</v>
          </cell>
          <cell r="EM860">
            <v>277706.70880189392</v>
          </cell>
          <cell r="EN860">
            <v>49663.139522844889</v>
          </cell>
          <cell r="EO860">
            <v>27140.414545425981</v>
          </cell>
          <cell r="EP860">
            <v>0</v>
          </cell>
          <cell r="EQ860">
            <v>0</v>
          </cell>
          <cell r="ER860">
            <v>0</v>
          </cell>
          <cell r="ES860">
            <v>-148960</v>
          </cell>
          <cell r="ET860">
            <v>0</v>
          </cell>
          <cell r="EU860">
            <v>0</v>
          </cell>
          <cell r="EV860">
            <v>1277</v>
          </cell>
          <cell r="EX860">
            <v>0</v>
          </cell>
          <cell r="EY860">
            <v>0</v>
          </cell>
          <cell r="EZ860">
            <v>0</v>
          </cell>
          <cell r="FA860">
            <v>0</v>
          </cell>
          <cell r="FB860">
            <v>0</v>
          </cell>
          <cell r="FC860">
            <v>0</v>
          </cell>
          <cell r="FD860">
            <v>0</v>
          </cell>
          <cell r="FE860">
            <v>0</v>
          </cell>
          <cell r="FF860">
            <v>0</v>
          </cell>
          <cell r="FG860">
            <v>0</v>
          </cell>
          <cell r="FH860">
            <v>375904.61430908216</v>
          </cell>
          <cell r="FI860">
            <v>54793.388925558771</v>
          </cell>
          <cell r="FJ860">
            <v>19410.72</v>
          </cell>
          <cell r="FK860">
            <v>0</v>
          </cell>
          <cell r="FL860">
            <v>0</v>
          </cell>
          <cell r="FM860">
            <v>0</v>
          </cell>
          <cell r="FN860">
            <v>0</v>
          </cell>
          <cell r="FO860">
            <v>0</v>
          </cell>
          <cell r="FP860">
            <v>0</v>
          </cell>
          <cell r="FQ860">
            <v>0</v>
          </cell>
          <cell r="FS860">
            <v>0</v>
          </cell>
          <cell r="FT860">
            <v>0</v>
          </cell>
          <cell r="FU860">
            <v>0</v>
          </cell>
          <cell r="FV860">
            <v>10.22500865774556</v>
          </cell>
          <cell r="FW860">
            <v>0</v>
          </cell>
          <cell r="FX860">
            <v>0</v>
          </cell>
          <cell r="FY860">
            <v>0</v>
          </cell>
          <cell r="FZ860">
            <v>0</v>
          </cell>
          <cell r="GA860">
            <v>0</v>
          </cell>
          <cell r="GB860">
            <v>20884</v>
          </cell>
          <cell r="GC860">
            <v>767345.66604355071</v>
          </cell>
          <cell r="GD860">
            <v>121650.63728935516</v>
          </cell>
          <cell r="GE860">
            <v>47106.099448450725</v>
          </cell>
          <cell r="GF860">
            <v>0</v>
          </cell>
          <cell r="GG860">
            <v>0</v>
          </cell>
          <cell r="GH860">
            <v>0</v>
          </cell>
          <cell r="GI860">
            <v>0</v>
          </cell>
          <cell r="GJ860">
            <v>0</v>
          </cell>
          <cell r="GK860">
            <v>0</v>
          </cell>
          <cell r="GL860">
            <v>20884</v>
          </cell>
          <cell r="GN860">
            <v>0</v>
          </cell>
          <cell r="GO860">
            <v>0</v>
          </cell>
          <cell r="GP860">
            <v>0</v>
          </cell>
          <cell r="GQ860">
            <v>10.22500865774556</v>
          </cell>
          <cell r="GR860">
            <v>0</v>
          </cell>
          <cell r="GS860">
            <v>0</v>
          </cell>
          <cell r="GT860">
            <v>0</v>
          </cell>
          <cell r="GU860">
            <v>0</v>
          </cell>
          <cell r="GV860">
            <v>0</v>
          </cell>
          <cell r="GW860">
            <v>849592</v>
          </cell>
          <cell r="GX860">
            <v>1089974.0756417681</v>
          </cell>
          <cell r="GY860">
            <v>433964.33744652447</v>
          </cell>
          <cell r="GZ860">
            <v>510758.61002743203</v>
          </cell>
          <cell r="HA860">
            <v>0</v>
          </cell>
          <cell r="HB860">
            <v>0</v>
          </cell>
          <cell r="HC860">
            <v>0</v>
          </cell>
          <cell r="HD860">
            <v>0</v>
          </cell>
          <cell r="HE860">
            <v>0</v>
          </cell>
          <cell r="HF860">
            <v>0</v>
          </cell>
          <cell r="HG860">
            <v>849592</v>
          </cell>
          <cell r="HI860">
            <v>0</v>
          </cell>
          <cell r="HJ860">
            <v>0</v>
          </cell>
          <cell r="HK860">
            <v>0</v>
          </cell>
          <cell r="HL860">
            <v>10.22500865774556</v>
          </cell>
          <cell r="HM860">
            <v>0</v>
          </cell>
          <cell r="HN860">
            <v>0</v>
          </cell>
          <cell r="HO860">
            <v>0</v>
          </cell>
          <cell r="HP860">
            <v>0</v>
          </cell>
          <cell r="HQ860">
            <v>0</v>
          </cell>
          <cell r="HR860">
            <v>507702</v>
          </cell>
          <cell r="HS860">
            <v>928101.25187149656</v>
          </cell>
          <cell r="HT860">
            <v>181318.17161514258</v>
          </cell>
          <cell r="HU860">
            <v>99225</v>
          </cell>
          <cell r="HV860">
            <v>0</v>
          </cell>
          <cell r="HW860">
            <v>0</v>
          </cell>
          <cell r="HX860">
            <v>0</v>
          </cell>
          <cell r="HY860">
            <v>0</v>
          </cell>
          <cell r="HZ860">
            <v>0</v>
          </cell>
          <cell r="IA860">
            <v>0</v>
          </cell>
          <cell r="IB860">
            <v>507702</v>
          </cell>
        </row>
        <row r="861">
          <cell r="C861" t="str">
            <v>A0263</v>
          </cell>
          <cell r="D861" t="str">
            <v>PT Mamuang</v>
          </cell>
          <cell r="E861" t="str">
            <v>PEB 2</v>
          </cell>
          <cell r="F861" t="str">
            <v>72PEB 2</v>
          </cell>
          <cell r="J861">
            <v>10.22500865774556</v>
          </cell>
          <cell r="P861">
            <v>1250800</v>
          </cell>
          <cell r="Q861">
            <v>2133953.1293644747</v>
          </cell>
          <cell r="R861">
            <v>276010.81486811861</v>
          </cell>
          <cell r="S861">
            <v>36972.800000000003</v>
          </cell>
          <cell r="U861">
            <v>0</v>
          </cell>
          <cell r="W861">
            <v>-570566</v>
          </cell>
          <cell r="X861">
            <v>0</v>
          </cell>
          <cell r="Y861">
            <v>0</v>
          </cell>
          <cell r="Z861">
            <v>680234</v>
          </cell>
        </row>
        <row r="862">
          <cell r="C862" t="str">
            <v>A0263</v>
          </cell>
          <cell r="D862" t="str">
            <v>PT Mamuang</v>
          </cell>
          <cell r="E862" t="str">
            <v>PEB 3</v>
          </cell>
          <cell r="F862" t="str">
            <v>72PEB 3</v>
          </cell>
          <cell r="J862">
            <v>0</v>
          </cell>
          <cell r="P862">
            <v>0</v>
          </cell>
          <cell r="U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</row>
        <row r="863">
          <cell r="C863" t="str">
            <v>A0263</v>
          </cell>
          <cell r="D863" t="str">
            <v>PT Mamuang</v>
          </cell>
          <cell r="E863" t="str">
            <v>PEB 4</v>
          </cell>
          <cell r="F863" t="str">
            <v>72PEB 4</v>
          </cell>
          <cell r="J863">
            <v>10.206718249031509</v>
          </cell>
          <cell r="P863">
            <v>2248279</v>
          </cell>
          <cell r="Q863">
            <v>3524298.1641008514</v>
          </cell>
          <cell r="R863">
            <v>495420.66427817772</v>
          </cell>
          <cell r="S863">
            <v>294554.98076319648</v>
          </cell>
          <cell r="U863">
            <v>0</v>
          </cell>
          <cell r="W863">
            <v>-1407138</v>
          </cell>
          <cell r="X863">
            <v>-259725</v>
          </cell>
          <cell r="Y863">
            <v>18093</v>
          </cell>
          <cell r="Z863">
            <v>581416</v>
          </cell>
        </row>
        <row r="864">
          <cell r="C864" t="str">
            <v>A0263</v>
          </cell>
          <cell r="D864" t="str">
            <v>PT Mamuang</v>
          </cell>
          <cell r="E864" t="str">
            <v>PEB 5</v>
          </cell>
          <cell r="F864" t="str">
            <v>72PEB 5</v>
          </cell>
          <cell r="J864">
            <v>9.9458209279927008</v>
          </cell>
          <cell r="P864">
            <v>22957</v>
          </cell>
          <cell r="U864">
            <v>0</v>
          </cell>
          <cell r="W864">
            <v>1064246</v>
          </cell>
          <cell r="X864">
            <v>0</v>
          </cell>
          <cell r="Y864">
            <v>0</v>
          </cell>
          <cell r="Z864">
            <v>1087203</v>
          </cell>
        </row>
        <row r="865">
          <cell r="C865" t="str">
            <v>A0263</v>
          </cell>
          <cell r="D865" t="str">
            <v>PT Mamuang</v>
          </cell>
          <cell r="E865" t="str">
            <v>PEB 6</v>
          </cell>
          <cell r="F865" t="str">
            <v>72PEB 6</v>
          </cell>
          <cell r="J865">
            <v>0</v>
          </cell>
          <cell r="P865">
            <v>0</v>
          </cell>
          <cell r="U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</row>
        <row r="866">
          <cell r="C866" t="str">
            <v>A0263</v>
          </cell>
          <cell r="D866" t="str">
            <v>PT Mamuang</v>
          </cell>
          <cell r="E866" t="str">
            <v>PEB 7</v>
          </cell>
          <cell r="F866" t="str">
            <v>72PEB 7</v>
          </cell>
          <cell r="J866">
            <v>10.22500865774556</v>
          </cell>
          <cell r="P866">
            <v>150237</v>
          </cell>
          <cell r="Q866">
            <v>277706.70880189392</v>
          </cell>
          <cell r="R866">
            <v>49663.139522844889</v>
          </cell>
          <cell r="S866">
            <v>27140.414545425981</v>
          </cell>
          <cell r="U866">
            <v>0</v>
          </cell>
          <cell r="W866">
            <v>-148960</v>
          </cell>
          <cell r="X866">
            <v>0</v>
          </cell>
          <cell r="Y866">
            <v>0</v>
          </cell>
          <cell r="Z866">
            <v>1277</v>
          </cell>
        </row>
        <row r="867">
          <cell r="C867" t="str">
            <v>A0263</v>
          </cell>
          <cell r="D867" t="str">
            <v>PT Mamuang</v>
          </cell>
          <cell r="E867" t="str">
            <v>MPP</v>
          </cell>
          <cell r="F867" t="str">
            <v>72MPP</v>
          </cell>
          <cell r="J867">
            <v>0</v>
          </cell>
          <cell r="P867">
            <v>0</v>
          </cell>
          <cell r="Q867">
            <v>375904.61430908216</v>
          </cell>
          <cell r="R867">
            <v>54793.388925558771</v>
          </cell>
          <cell r="S867">
            <v>19410.72</v>
          </cell>
          <cell r="U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</row>
        <row r="868">
          <cell r="C868" t="str">
            <v>A0263</v>
          </cell>
          <cell r="D868" t="str">
            <v>PT Mamuang</v>
          </cell>
          <cell r="E868" t="str">
            <v>ID</v>
          </cell>
          <cell r="F868" t="str">
            <v>72ID</v>
          </cell>
          <cell r="J868">
            <v>10.22500865774556</v>
          </cell>
          <cell r="P868">
            <v>20884</v>
          </cell>
          <cell r="Q868">
            <v>767345.66604355071</v>
          </cell>
          <cell r="R868">
            <v>121650.63728935516</v>
          </cell>
          <cell r="S868">
            <v>47106.099448450725</v>
          </cell>
          <cell r="U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20884</v>
          </cell>
        </row>
        <row r="869">
          <cell r="C869" t="str">
            <v>A0263</v>
          </cell>
          <cell r="D869" t="str">
            <v>PT Mamuang</v>
          </cell>
          <cell r="E869" t="str">
            <v>LL</v>
          </cell>
          <cell r="F869" t="str">
            <v>72LL</v>
          </cell>
          <cell r="J869">
            <v>10.22500865774556</v>
          </cell>
          <cell r="P869">
            <v>849592</v>
          </cell>
          <cell r="Q869">
            <v>1089974.0756417681</v>
          </cell>
          <cell r="R869">
            <v>433964.33744652447</v>
          </cell>
          <cell r="S869">
            <v>510758.61002743203</v>
          </cell>
          <cell r="U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849592</v>
          </cell>
        </row>
        <row r="870">
          <cell r="C870" t="str">
            <v>A0263</v>
          </cell>
          <cell r="D870" t="str">
            <v>PT Mamuang</v>
          </cell>
          <cell r="E870" t="str">
            <v>PMK</v>
          </cell>
          <cell r="F870" t="str">
            <v>72PMK</v>
          </cell>
          <cell r="J870">
            <v>10.22500865774556</v>
          </cell>
          <cell r="P870">
            <v>507702</v>
          </cell>
          <cell r="Q870">
            <v>928101.25187149656</v>
          </cell>
          <cell r="R870">
            <v>181318.17161514258</v>
          </cell>
          <cell r="S870">
            <v>99225</v>
          </cell>
          <cell r="U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507702</v>
          </cell>
        </row>
        <row r="872">
          <cell r="C872" t="str">
            <v>A0096</v>
          </cell>
          <cell r="D872" t="str">
            <v>PT Menara Terus Makmur</v>
          </cell>
          <cell r="E872" t="str">
            <v>PEB 1</v>
          </cell>
          <cell r="F872" t="str">
            <v>73PEB 1</v>
          </cell>
          <cell r="G872">
            <v>0.1</v>
          </cell>
          <cell r="H872">
            <v>0.1</v>
          </cell>
          <cell r="I872">
            <v>0.09</v>
          </cell>
          <cell r="J872">
            <v>11.371378552015337</v>
          </cell>
          <cell r="K872">
            <v>11.07583948945209</v>
          </cell>
          <cell r="L872">
            <v>0</v>
          </cell>
          <cell r="N872">
            <v>757806.03119999997</v>
          </cell>
          <cell r="O872">
            <v>98796.168000000005</v>
          </cell>
          <cell r="P872">
            <v>4978236.8742552875</v>
          </cell>
          <cell r="Q872">
            <v>6922584.8450424392</v>
          </cell>
          <cell r="R872">
            <v>349560.71213536104</v>
          </cell>
          <cell r="S872">
            <v>36309.74133260447</v>
          </cell>
          <cell r="U872">
            <v>-3217949.2929760218</v>
          </cell>
          <cell r="V872">
            <v>5824318.5330666667</v>
          </cell>
          <cell r="W872">
            <v>-1672944.6128707186</v>
          </cell>
          <cell r="X872">
            <v>0</v>
          </cell>
          <cell r="Y872">
            <v>0</v>
          </cell>
          <cell r="Z872">
            <v>87342.96840854692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W872">
            <v>0.1</v>
          </cell>
          <cell r="AX872">
            <v>0</v>
          </cell>
          <cell r="AY872">
            <v>0.09</v>
          </cell>
          <cell r="AZ872">
            <v>17.204724320600935</v>
          </cell>
          <cell r="BA872">
            <v>11.07583948945209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315029.52250240202</v>
          </cell>
          <cell r="BG872">
            <v>96501.867422806885</v>
          </cell>
          <cell r="BH872">
            <v>4858.6271957946956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24752.249090442288</v>
          </cell>
          <cell r="BN872">
            <v>-22327.38417606552</v>
          </cell>
          <cell r="BO872">
            <v>11003.95096143824</v>
          </cell>
          <cell r="BP872">
            <v>317454.38741677883</v>
          </cell>
          <cell r="BR872">
            <v>0.1</v>
          </cell>
          <cell r="BS872">
            <v>0</v>
          </cell>
          <cell r="BT872">
            <v>0.09</v>
          </cell>
          <cell r="BU872">
            <v>17.204724320600935</v>
          </cell>
          <cell r="BV872">
            <v>19.425565900824214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606663.49341707665</v>
          </cell>
          <cell r="CB872">
            <v>991990.92319544114</v>
          </cell>
          <cell r="CC872">
            <v>135805.46475209176</v>
          </cell>
          <cell r="CD872">
            <v>86680.430621175765</v>
          </cell>
          <cell r="CE872">
            <v>0</v>
          </cell>
          <cell r="CF872">
            <v>0</v>
          </cell>
          <cell r="CG872">
            <v>0</v>
          </cell>
          <cell r="CH872">
            <v>89032.504476642265</v>
          </cell>
          <cell r="CI872">
            <v>-93901.902249243882</v>
          </cell>
          <cell r="CJ872">
            <v>46279.130568466404</v>
          </cell>
          <cell r="CK872">
            <v>601794.09564447508</v>
          </cell>
          <cell r="CM872">
            <v>0</v>
          </cell>
          <cell r="CN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  <cell r="DD872">
            <v>0</v>
          </cell>
          <cell r="DE872">
            <v>0</v>
          </cell>
          <cell r="DF872">
            <v>0</v>
          </cell>
          <cell r="DH872">
            <v>0</v>
          </cell>
          <cell r="DI872">
            <v>0</v>
          </cell>
          <cell r="DJ872">
            <v>0</v>
          </cell>
          <cell r="DK872">
            <v>0</v>
          </cell>
          <cell r="DL872">
            <v>0</v>
          </cell>
          <cell r="DM872">
            <v>0</v>
          </cell>
          <cell r="DN872">
            <v>0</v>
          </cell>
          <cell r="DO872">
            <v>0</v>
          </cell>
          <cell r="DP872">
            <v>0</v>
          </cell>
          <cell r="DQ872">
            <v>0</v>
          </cell>
          <cell r="DR872">
            <v>0</v>
          </cell>
          <cell r="DS872">
            <v>0</v>
          </cell>
          <cell r="DT872">
            <v>0</v>
          </cell>
          <cell r="DU872">
            <v>0</v>
          </cell>
          <cell r="DV872">
            <v>0</v>
          </cell>
          <cell r="DW872">
            <v>0</v>
          </cell>
          <cell r="DX872">
            <v>0</v>
          </cell>
          <cell r="DY872">
            <v>0</v>
          </cell>
          <cell r="DZ872">
            <v>0</v>
          </cell>
          <cell r="EA872">
            <v>0</v>
          </cell>
          <cell r="EC872">
            <v>0.1</v>
          </cell>
          <cell r="ED872">
            <v>0</v>
          </cell>
          <cell r="EE872">
            <v>0.09</v>
          </cell>
          <cell r="EF872">
            <v>17.204724320600935</v>
          </cell>
          <cell r="EG872">
            <v>18.223069805068835</v>
          </cell>
          <cell r="EH872">
            <v>0</v>
          </cell>
          <cell r="EI872">
            <v>0</v>
          </cell>
          <cell r="EJ872">
            <v>0</v>
          </cell>
          <cell r="EK872">
            <v>0</v>
          </cell>
          <cell r="EL872">
            <v>266217.55105770408</v>
          </cell>
          <cell r="EM872">
            <v>560485.79123733856</v>
          </cell>
          <cell r="EN872">
            <v>58250.973083898069</v>
          </cell>
          <cell r="EO872">
            <v>60382.289594587557</v>
          </cell>
          <cell r="EP872">
            <v>0</v>
          </cell>
          <cell r="EQ872">
            <v>0</v>
          </cell>
          <cell r="ER872">
            <v>0</v>
          </cell>
          <cell r="ES872">
            <v>-36361.290256616776</v>
          </cell>
          <cell r="ET872">
            <v>0</v>
          </cell>
          <cell r="EU872">
            <v>0</v>
          </cell>
          <cell r="EV872">
            <v>229856.26080108731</v>
          </cell>
          <cell r="EX872">
            <v>0.1</v>
          </cell>
          <cell r="EY872">
            <v>0</v>
          </cell>
          <cell r="EZ872">
            <v>0.09</v>
          </cell>
          <cell r="FA872">
            <v>17.204724320600935</v>
          </cell>
          <cell r="FB872">
            <v>18.223069805068835</v>
          </cell>
          <cell r="FC872">
            <v>0</v>
          </cell>
          <cell r="FD872">
            <v>0</v>
          </cell>
          <cell r="FE872">
            <v>0</v>
          </cell>
          <cell r="FF872">
            <v>0</v>
          </cell>
          <cell r="FG872">
            <v>755426.47462578828</v>
          </cell>
          <cell r="FH872">
            <v>567255.47015290626</v>
          </cell>
          <cell r="FI872">
            <v>43876.637100079206</v>
          </cell>
          <cell r="FJ872">
            <v>0</v>
          </cell>
          <cell r="FK872">
            <v>0</v>
          </cell>
          <cell r="FL872">
            <v>0</v>
          </cell>
          <cell r="FM872">
            <v>0</v>
          </cell>
          <cell r="FN872">
            <v>-35808.61618123058</v>
          </cell>
          <cell r="FO872">
            <v>-307099.36829544802</v>
          </cell>
          <cell r="FP872">
            <v>22128.848000000002</v>
          </cell>
          <cell r="FQ872">
            <v>412518.4901491098</v>
          </cell>
          <cell r="FS872">
            <v>0.1</v>
          </cell>
          <cell r="FT872">
            <v>0</v>
          </cell>
          <cell r="FU872">
            <v>0.09</v>
          </cell>
          <cell r="FV872">
            <v>17.204724320600935</v>
          </cell>
          <cell r="FW872">
            <v>18.223069805068835</v>
          </cell>
          <cell r="FX872">
            <v>0</v>
          </cell>
          <cell r="FY872">
            <v>0</v>
          </cell>
          <cell r="FZ872">
            <v>0</v>
          </cell>
          <cell r="GA872">
            <v>0</v>
          </cell>
          <cell r="GB872">
            <v>1714108.3654795571</v>
          </cell>
          <cell r="GC872">
            <v>1305027.3823877659</v>
          </cell>
          <cell r="GD872">
            <v>113535.34018023445</v>
          </cell>
          <cell r="GE872">
            <v>73743.944635807071</v>
          </cell>
          <cell r="GF872">
            <v>0</v>
          </cell>
          <cell r="GG872">
            <v>0</v>
          </cell>
          <cell r="GH872">
            <v>0</v>
          </cell>
          <cell r="GI872">
            <v>148887.95922163781</v>
          </cell>
          <cell r="GJ872">
            <v>0</v>
          </cell>
          <cell r="GK872">
            <v>0</v>
          </cell>
          <cell r="GL872">
            <v>1862996.3247011947</v>
          </cell>
          <cell r="GN872">
            <v>0.1</v>
          </cell>
          <cell r="GO872">
            <v>0</v>
          </cell>
          <cell r="GP872">
            <v>0.09</v>
          </cell>
          <cell r="GQ872">
            <v>17.204724320600935</v>
          </cell>
          <cell r="GR872">
            <v>18.223069805068835</v>
          </cell>
          <cell r="GS872">
            <v>0</v>
          </cell>
          <cell r="GT872">
            <v>0</v>
          </cell>
          <cell r="GU872">
            <v>0</v>
          </cell>
          <cell r="GV872">
            <v>0</v>
          </cell>
          <cell r="GW872">
            <v>1505336.4645295725</v>
          </cell>
          <cell r="GX872">
            <v>1905256.1988350204</v>
          </cell>
          <cell r="GY872">
            <v>488736.53920012695</v>
          </cell>
          <cell r="GZ872">
            <v>642824.26590565173</v>
          </cell>
          <cell r="HA872">
            <v>0</v>
          </cell>
          <cell r="HB872">
            <v>0</v>
          </cell>
          <cell r="HC872">
            <v>0</v>
          </cell>
          <cell r="HD872">
            <v>0</v>
          </cell>
          <cell r="HE872">
            <v>0</v>
          </cell>
          <cell r="HF872">
            <v>0</v>
          </cell>
          <cell r="HG872">
            <v>1505336.4645295725</v>
          </cell>
          <cell r="HI872">
            <v>0.1</v>
          </cell>
          <cell r="HJ872">
            <v>0</v>
          </cell>
          <cell r="HK872">
            <v>0.09</v>
          </cell>
          <cell r="HL872">
            <v>17.204724320600935</v>
          </cell>
          <cell r="HM872">
            <v>18.223069805068835</v>
          </cell>
          <cell r="HN872">
            <v>0</v>
          </cell>
          <cell r="HO872">
            <v>0</v>
          </cell>
          <cell r="HP872">
            <v>0</v>
          </cell>
          <cell r="HQ872">
            <v>0</v>
          </cell>
          <cell r="HR872">
            <v>2266864.2076942613</v>
          </cell>
          <cell r="HS872">
            <v>1284872.8726948183</v>
          </cell>
          <cell r="HT872">
            <v>215886.9346032592</v>
          </cell>
          <cell r="HU872">
            <v>239700</v>
          </cell>
          <cell r="HV872">
            <v>0</v>
          </cell>
          <cell r="HW872">
            <v>0</v>
          </cell>
          <cell r="HX872">
            <v>0</v>
          </cell>
          <cell r="HY872">
            <v>0</v>
          </cell>
          <cell r="HZ872">
            <v>0</v>
          </cell>
          <cell r="IA872">
            <v>0</v>
          </cell>
          <cell r="IB872">
            <v>2266864.2076942613</v>
          </cell>
        </row>
        <row r="873">
          <cell r="C873" t="str">
            <v>A0096</v>
          </cell>
          <cell r="D873" t="str">
            <v>PT Menara Terus Makmur</v>
          </cell>
          <cell r="E873" t="str">
            <v>PEB 2</v>
          </cell>
          <cell r="F873" t="str">
            <v>73PEB 2</v>
          </cell>
          <cell r="P873">
            <v>0</v>
          </cell>
          <cell r="U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</row>
        <row r="874">
          <cell r="C874" t="str">
            <v>A0096</v>
          </cell>
          <cell r="D874" t="str">
            <v>PT Menara Terus Makmur</v>
          </cell>
          <cell r="E874" t="str">
            <v>PEB 3</v>
          </cell>
          <cell r="F874" t="str">
            <v>73PEB 3</v>
          </cell>
          <cell r="G874">
            <v>0.1</v>
          </cell>
          <cell r="I874">
            <v>0.09</v>
          </cell>
          <cell r="J874">
            <v>17.204724320600935</v>
          </cell>
          <cell r="K874">
            <v>11.07583948945209</v>
          </cell>
          <cell r="P874">
            <v>315029.52250240202</v>
          </cell>
          <cell r="Q874">
            <v>96501.867422806885</v>
          </cell>
          <cell r="R874">
            <v>4858.6271957946956</v>
          </cell>
          <cell r="S874">
            <v>0</v>
          </cell>
          <cell r="U874">
            <v>0</v>
          </cell>
          <cell r="W874">
            <v>24752.249090442288</v>
          </cell>
          <cell r="X874">
            <v>-22327.38417606552</v>
          </cell>
          <cell r="Y874">
            <v>11003.95096143824</v>
          </cell>
          <cell r="Z874">
            <v>317454.38741677883</v>
          </cell>
        </row>
        <row r="875">
          <cell r="C875" t="str">
            <v>A0096</v>
          </cell>
          <cell r="D875" t="str">
            <v>PT Menara Terus Makmur</v>
          </cell>
          <cell r="E875" t="str">
            <v>PEB 4</v>
          </cell>
          <cell r="F875" t="str">
            <v>73PEB 4</v>
          </cell>
          <cell r="G875">
            <v>0.1</v>
          </cell>
          <cell r="I875">
            <v>0.09</v>
          </cell>
          <cell r="J875">
            <v>17.204724320600935</v>
          </cell>
          <cell r="K875">
            <v>19.425565900824214</v>
          </cell>
          <cell r="P875">
            <v>606663.49341707665</v>
          </cell>
          <cell r="Q875">
            <v>991990.92319544114</v>
          </cell>
          <cell r="R875">
            <v>135805.46475209176</v>
          </cell>
          <cell r="S875">
            <v>86680.430621175765</v>
          </cell>
          <cell r="U875">
            <v>0</v>
          </cell>
          <cell r="W875">
            <v>89032.504476642265</v>
          </cell>
          <cell r="X875">
            <v>-93901.902249243882</v>
          </cell>
          <cell r="Y875">
            <v>46279.130568466404</v>
          </cell>
          <cell r="Z875">
            <v>601794.09564447508</v>
          </cell>
        </row>
        <row r="876">
          <cell r="C876" t="str">
            <v>A0096</v>
          </cell>
          <cell r="D876" t="str">
            <v>PT Menara Terus Makmur</v>
          </cell>
          <cell r="E876" t="str">
            <v>PEB 5</v>
          </cell>
          <cell r="F876" t="str">
            <v>73PEB 5</v>
          </cell>
          <cell r="P876">
            <v>0</v>
          </cell>
          <cell r="U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</row>
        <row r="877">
          <cell r="C877" t="str">
            <v>A0096</v>
          </cell>
          <cell r="D877" t="str">
            <v>PT Menara Terus Makmur</v>
          </cell>
          <cell r="E877" t="str">
            <v>PEB 6</v>
          </cell>
          <cell r="F877" t="str">
            <v>73PEB 6</v>
          </cell>
          <cell r="P877">
            <v>0</v>
          </cell>
          <cell r="U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</row>
        <row r="878">
          <cell r="C878" t="str">
            <v>A0096</v>
          </cell>
          <cell r="D878" t="str">
            <v>PT Menara Terus Makmur</v>
          </cell>
          <cell r="E878" t="str">
            <v>PEB 7</v>
          </cell>
          <cell r="F878" t="str">
            <v>73PEB 7</v>
          </cell>
          <cell r="G878">
            <v>0.1</v>
          </cell>
          <cell r="I878">
            <v>0.09</v>
          </cell>
          <cell r="J878">
            <v>17.204724320600935</v>
          </cell>
          <cell r="K878">
            <v>18.223069805068835</v>
          </cell>
          <cell r="P878">
            <v>266217.55105770408</v>
          </cell>
          <cell r="Q878">
            <v>560485.79123733856</v>
          </cell>
          <cell r="R878">
            <v>58250.973083898069</v>
          </cell>
          <cell r="S878">
            <v>60382.289594587557</v>
          </cell>
          <cell r="U878">
            <v>0</v>
          </cell>
          <cell r="W878">
            <v>-36361.290256616776</v>
          </cell>
          <cell r="X878">
            <v>0</v>
          </cell>
          <cell r="Y878">
            <v>0</v>
          </cell>
          <cell r="Z878">
            <v>229856.26080108731</v>
          </cell>
        </row>
        <row r="879">
          <cell r="C879" t="str">
            <v>A0096</v>
          </cell>
          <cell r="D879" t="str">
            <v>PT Menara Terus Makmur</v>
          </cell>
          <cell r="E879" t="str">
            <v>MPP</v>
          </cell>
          <cell r="F879" t="str">
            <v>73MPP</v>
          </cell>
          <cell r="G879">
            <v>0.1</v>
          </cell>
          <cell r="I879">
            <v>0.09</v>
          </cell>
          <cell r="J879">
            <v>17.204724320600935</v>
          </cell>
          <cell r="K879">
            <v>18.223069805068835</v>
          </cell>
          <cell r="P879">
            <v>755426.47462578828</v>
          </cell>
          <cell r="Q879">
            <v>567255.47015290626</v>
          </cell>
          <cell r="R879">
            <v>43876.637100079206</v>
          </cell>
          <cell r="S879">
            <v>0</v>
          </cell>
          <cell r="U879">
            <v>0</v>
          </cell>
          <cell r="W879">
            <v>-35808.61618123058</v>
          </cell>
          <cell r="X879">
            <v>-307099.36829544802</v>
          </cell>
          <cell r="Y879">
            <v>22128.848000000002</v>
          </cell>
          <cell r="Z879">
            <v>412518.4901491098</v>
          </cell>
        </row>
        <row r="880">
          <cell r="C880" t="str">
            <v>A0096</v>
          </cell>
          <cell r="D880" t="str">
            <v>PT Menara Terus Makmur</v>
          </cell>
          <cell r="E880" t="str">
            <v>ID</v>
          </cell>
          <cell r="F880" t="str">
            <v>73ID</v>
          </cell>
          <cell r="G880">
            <v>0.1</v>
          </cell>
          <cell r="I880">
            <v>0.09</v>
          </cell>
          <cell r="J880">
            <v>17.204724320600935</v>
          </cell>
          <cell r="K880">
            <v>18.223069805068835</v>
          </cell>
          <cell r="P880">
            <v>1714108.3654795571</v>
          </cell>
          <cell r="Q880">
            <v>1305027.3823877659</v>
          </cell>
          <cell r="R880">
            <v>113535.34018023445</v>
          </cell>
          <cell r="S880">
            <v>73743.944635807071</v>
          </cell>
          <cell r="U880">
            <v>0</v>
          </cell>
          <cell r="W880">
            <v>148887.95922163781</v>
          </cell>
          <cell r="X880">
            <v>0</v>
          </cell>
          <cell r="Y880">
            <v>0</v>
          </cell>
          <cell r="Z880">
            <v>1862996.3247011947</v>
          </cell>
        </row>
        <row r="881">
          <cell r="C881" t="str">
            <v>A0096</v>
          </cell>
          <cell r="D881" t="str">
            <v>PT Menara Terus Makmur</v>
          </cell>
          <cell r="E881" t="str">
            <v>LL</v>
          </cell>
          <cell r="F881" t="str">
            <v>73LL</v>
          </cell>
          <cell r="G881">
            <v>0.1</v>
          </cell>
          <cell r="I881">
            <v>0.09</v>
          </cell>
          <cell r="J881">
            <v>17.204724320600935</v>
          </cell>
          <cell r="K881">
            <v>18.223069805068835</v>
          </cell>
          <cell r="P881">
            <v>1505336.4645295725</v>
          </cell>
          <cell r="Q881">
            <v>1905256.1988350204</v>
          </cell>
          <cell r="R881">
            <v>488736.53920012695</v>
          </cell>
          <cell r="S881">
            <v>642824.26590565173</v>
          </cell>
          <cell r="U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1505336.4645295725</v>
          </cell>
        </row>
        <row r="882">
          <cell r="C882" t="str">
            <v>A0096</v>
          </cell>
          <cell r="D882" t="str">
            <v>PT Menara Terus Makmur</v>
          </cell>
          <cell r="E882" t="str">
            <v>PMK</v>
          </cell>
          <cell r="F882" t="str">
            <v>73PMK</v>
          </cell>
          <cell r="G882">
            <v>0.1</v>
          </cell>
          <cell r="I882">
            <v>0.09</v>
          </cell>
          <cell r="J882">
            <v>17.204724320600935</v>
          </cell>
          <cell r="K882">
            <v>18.223069805068835</v>
          </cell>
          <cell r="P882">
            <v>2266864.2076942613</v>
          </cell>
          <cell r="Q882">
            <v>1284872.8726948183</v>
          </cell>
          <cell r="R882">
            <v>215886.9346032592</v>
          </cell>
          <cell r="S882">
            <v>239700</v>
          </cell>
          <cell r="U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2266864.2076942613</v>
          </cell>
        </row>
        <row r="884">
          <cell r="C884" t="str">
            <v>A0097</v>
          </cell>
          <cell r="D884" t="str">
            <v>PT Mesin Isuzu Indonesia</v>
          </cell>
          <cell r="E884" t="str">
            <v>PEB 1</v>
          </cell>
          <cell r="F884" t="str">
            <v>74PEB 1</v>
          </cell>
          <cell r="N884">
            <v>0</v>
          </cell>
          <cell r="O884">
            <v>0</v>
          </cell>
          <cell r="P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B884">
            <v>0.1</v>
          </cell>
          <cell r="AC884">
            <v>0</v>
          </cell>
          <cell r="AD884">
            <v>0.09</v>
          </cell>
          <cell r="AE884">
            <v>10.131739580851251</v>
          </cell>
          <cell r="AF884">
            <v>15.214236703103508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423323</v>
          </cell>
          <cell r="AL884">
            <v>2854539.5085544819</v>
          </cell>
          <cell r="AM884">
            <v>163771.91376292912</v>
          </cell>
          <cell r="AN884">
            <v>354811.90590000001</v>
          </cell>
          <cell r="AO884">
            <v>0</v>
          </cell>
          <cell r="AP884">
            <v>0</v>
          </cell>
          <cell r="AQ884">
            <v>0</v>
          </cell>
          <cell r="AR884">
            <v>-141148</v>
          </cell>
          <cell r="AS884">
            <v>-231994</v>
          </cell>
          <cell r="AT884">
            <v>13737</v>
          </cell>
          <cell r="AU884">
            <v>50181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 xml:space="preserve"> 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R884">
            <v>0.1</v>
          </cell>
          <cell r="BS884">
            <v>0</v>
          </cell>
          <cell r="BT884">
            <v>0.09</v>
          </cell>
          <cell r="BU884">
            <v>10.565877306124234</v>
          </cell>
          <cell r="BV884">
            <v>15.214236703103508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3697109</v>
          </cell>
          <cell r="CB884">
            <v>5877735.0864579901</v>
          </cell>
          <cell r="CC884">
            <v>350137.67939695902</v>
          </cell>
          <cell r="CD884">
            <v>1373550.8389985806</v>
          </cell>
          <cell r="CE884">
            <v>0</v>
          </cell>
          <cell r="CF884">
            <v>0</v>
          </cell>
          <cell r="CG884">
            <v>0</v>
          </cell>
          <cell r="CH884">
            <v>782863</v>
          </cell>
          <cell r="CI884">
            <v>0</v>
          </cell>
          <cell r="CJ884">
            <v>0</v>
          </cell>
          <cell r="CK884">
            <v>4479972</v>
          </cell>
          <cell r="CM884">
            <v>0.1</v>
          </cell>
          <cell r="CN884">
            <v>0</v>
          </cell>
          <cell r="CO884">
            <v>0.09</v>
          </cell>
          <cell r="CP884">
            <v>8.3350992638645121</v>
          </cell>
          <cell r="CQ884">
            <v>0</v>
          </cell>
          <cell r="CR884">
            <v>0</v>
          </cell>
          <cell r="CS884">
            <v>0</v>
          </cell>
          <cell r="CT884">
            <v>0</v>
          </cell>
          <cell r="CU884">
            <v>0</v>
          </cell>
          <cell r="CV884">
            <v>2526</v>
          </cell>
          <cell r="CW884">
            <v>49977</v>
          </cell>
          <cell r="CX884">
            <v>2791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84528</v>
          </cell>
          <cell r="DD884">
            <v>0</v>
          </cell>
          <cell r="DE884">
            <v>0</v>
          </cell>
          <cell r="DF884">
            <v>87054</v>
          </cell>
          <cell r="DH884">
            <v>0</v>
          </cell>
          <cell r="DI884">
            <v>0</v>
          </cell>
          <cell r="DJ884">
            <v>0</v>
          </cell>
          <cell r="DK884">
            <v>0</v>
          </cell>
          <cell r="DL884">
            <v>0</v>
          </cell>
          <cell r="DM884">
            <v>0</v>
          </cell>
          <cell r="DN884">
            <v>0</v>
          </cell>
          <cell r="DO884">
            <v>0</v>
          </cell>
          <cell r="DP884">
            <v>0</v>
          </cell>
          <cell r="DQ884">
            <v>0</v>
          </cell>
          <cell r="DR884">
            <v>0</v>
          </cell>
          <cell r="DS884">
            <v>0</v>
          </cell>
          <cell r="DT884">
            <v>0</v>
          </cell>
          <cell r="DU884">
            <v>0</v>
          </cell>
          <cell r="DV884">
            <v>0</v>
          </cell>
          <cell r="DW884">
            <v>0</v>
          </cell>
          <cell r="DX884">
            <v>0</v>
          </cell>
          <cell r="DY884">
            <v>0</v>
          </cell>
          <cell r="DZ884">
            <v>0</v>
          </cell>
          <cell r="EA884">
            <v>0</v>
          </cell>
          <cell r="EC884">
            <v>0.1</v>
          </cell>
          <cell r="ED884">
            <v>0</v>
          </cell>
          <cell r="EE884">
            <v>0.09</v>
          </cell>
          <cell r="EF884">
            <v>10.131739580851251</v>
          </cell>
          <cell r="EG884">
            <v>15.214236703103508</v>
          </cell>
          <cell r="EH884">
            <v>0</v>
          </cell>
          <cell r="EI884">
            <v>0</v>
          </cell>
          <cell r="EJ884">
            <v>0</v>
          </cell>
          <cell r="EK884">
            <v>0</v>
          </cell>
          <cell r="EL884">
            <v>151695</v>
          </cell>
          <cell r="EM884">
            <v>268313.74547697161</v>
          </cell>
          <cell r="EN884">
            <v>19175.680309103314</v>
          </cell>
          <cell r="EO884">
            <v>32554.4219788257</v>
          </cell>
          <cell r="EP884">
            <v>0</v>
          </cell>
          <cell r="EQ884">
            <v>0</v>
          </cell>
          <cell r="ER884">
            <v>0</v>
          </cell>
          <cell r="ES884">
            <v>-145122</v>
          </cell>
          <cell r="ET884">
            <v>0</v>
          </cell>
          <cell r="EU884">
            <v>0</v>
          </cell>
          <cell r="EV884">
            <v>6573</v>
          </cell>
          <cell r="EX884">
            <v>0.1</v>
          </cell>
          <cell r="EY884">
            <v>0</v>
          </cell>
          <cell r="EZ884">
            <v>0.09</v>
          </cell>
          <cell r="FA884">
            <v>10.131739580851251</v>
          </cell>
          <cell r="FB884">
            <v>15.214236703103508</v>
          </cell>
          <cell r="FC884">
            <v>0</v>
          </cell>
          <cell r="FD884">
            <v>0</v>
          </cell>
          <cell r="FE884">
            <v>0</v>
          </cell>
          <cell r="FF884">
            <v>0</v>
          </cell>
          <cell r="FG884">
            <v>0</v>
          </cell>
          <cell r="FH884">
            <v>454436.7581400834</v>
          </cell>
          <cell r="FI884">
            <v>29129.504646680933</v>
          </cell>
          <cell r="FJ884">
            <v>77863.655685000005</v>
          </cell>
          <cell r="FK884">
            <v>0</v>
          </cell>
          <cell r="FL884">
            <v>0</v>
          </cell>
          <cell r="FM884">
            <v>0</v>
          </cell>
          <cell r="FN884">
            <v>0</v>
          </cell>
          <cell r="FO884">
            <v>0</v>
          </cell>
          <cell r="FP884">
            <v>0</v>
          </cell>
          <cell r="FQ884">
            <v>0</v>
          </cell>
          <cell r="FS884">
            <v>0.1</v>
          </cell>
          <cell r="FT884">
            <v>0</v>
          </cell>
          <cell r="FU884">
            <v>0.09</v>
          </cell>
          <cell r="FV884">
            <v>10.131739580851251</v>
          </cell>
          <cell r="FW884">
            <v>15.214236703103508</v>
          </cell>
          <cell r="FX884">
            <v>0</v>
          </cell>
          <cell r="FY884">
            <v>0</v>
          </cell>
          <cell r="FZ884">
            <v>0</v>
          </cell>
          <cell r="GA884">
            <v>0</v>
          </cell>
          <cell r="GB884">
            <v>51813</v>
          </cell>
          <cell r="GC884">
            <v>668154.03270879202</v>
          </cell>
          <cell r="GD884">
            <v>43867.730815131348</v>
          </cell>
          <cell r="GE884">
            <v>55197.387863291035</v>
          </cell>
          <cell r="GF884">
            <v>0</v>
          </cell>
          <cell r="GG884">
            <v>0</v>
          </cell>
          <cell r="GH884">
            <v>0</v>
          </cell>
          <cell r="GI884">
            <v>0</v>
          </cell>
          <cell r="GJ884">
            <v>0</v>
          </cell>
          <cell r="GK884">
            <v>0</v>
          </cell>
          <cell r="GL884">
            <v>51813</v>
          </cell>
          <cell r="GN884">
            <v>0.1</v>
          </cell>
          <cell r="GO884">
            <v>0</v>
          </cell>
          <cell r="GP884">
            <v>0.09</v>
          </cell>
          <cell r="GQ884">
            <v>10.131739580851251</v>
          </cell>
          <cell r="GR884">
            <v>15.214236703103508</v>
          </cell>
          <cell r="GS884">
            <v>0</v>
          </cell>
          <cell r="GT884">
            <v>0</v>
          </cell>
          <cell r="GU884">
            <v>0</v>
          </cell>
          <cell r="GV884">
            <v>0</v>
          </cell>
          <cell r="GW884">
            <v>671783</v>
          </cell>
          <cell r="GX884">
            <v>1058465.8418580431</v>
          </cell>
          <cell r="GY884">
            <v>235451.29818029189</v>
          </cell>
          <cell r="GZ884">
            <v>582632.57396675833</v>
          </cell>
          <cell r="HA884">
            <v>0</v>
          </cell>
          <cell r="HB884">
            <v>0</v>
          </cell>
          <cell r="HC884">
            <v>0</v>
          </cell>
          <cell r="HD884">
            <v>0</v>
          </cell>
          <cell r="HE884">
            <v>0</v>
          </cell>
          <cell r="HF884">
            <v>0</v>
          </cell>
          <cell r="HG884">
            <v>671783</v>
          </cell>
          <cell r="HI884">
            <v>0.1</v>
          </cell>
          <cell r="HJ884">
            <v>0</v>
          </cell>
          <cell r="HK884">
            <v>0.09</v>
          </cell>
          <cell r="HL884">
            <v>10.131739580851251</v>
          </cell>
          <cell r="HM884">
            <v>15.214236703103508</v>
          </cell>
          <cell r="HN884">
            <v>0</v>
          </cell>
          <cell r="HO884">
            <v>0</v>
          </cell>
          <cell r="HP884">
            <v>0</v>
          </cell>
          <cell r="HQ884">
            <v>0</v>
          </cell>
          <cell r="HR884">
            <v>1087070</v>
          </cell>
          <cell r="HS884">
            <v>1355081.347980212</v>
          </cell>
          <cell r="HT884">
            <v>123034.85237724226</v>
          </cell>
          <cell r="HU884">
            <v>306265</v>
          </cell>
          <cell r="HV884">
            <v>0</v>
          </cell>
          <cell r="HW884">
            <v>0</v>
          </cell>
          <cell r="HX884">
            <v>0</v>
          </cell>
          <cell r="HY884">
            <v>0</v>
          </cell>
          <cell r="HZ884">
            <v>0</v>
          </cell>
          <cell r="IA884">
            <v>0</v>
          </cell>
          <cell r="IB884">
            <v>1087070</v>
          </cell>
        </row>
        <row r="885">
          <cell r="C885" t="str">
            <v>A0097</v>
          </cell>
          <cell r="D885" t="str">
            <v>PT Mesin Isuzu Indonesia</v>
          </cell>
          <cell r="E885" t="str">
            <v>PEB 2</v>
          </cell>
          <cell r="F885" t="str">
            <v>74PEB 2</v>
          </cell>
          <cell r="G885">
            <v>0.1</v>
          </cell>
          <cell r="I885">
            <v>0.09</v>
          </cell>
          <cell r="J885">
            <v>10.131739580851251</v>
          </cell>
          <cell r="K885">
            <v>15.214236703103508</v>
          </cell>
          <cell r="P885">
            <v>423323</v>
          </cell>
          <cell r="Q885">
            <v>2854539.5085544819</v>
          </cell>
          <cell r="R885">
            <v>163771.91376292912</v>
          </cell>
          <cell r="S885">
            <v>354811.90590000001</v>
          </cell>
          <cell r="U885">
            <v>0</v>
          </cell>
          <cell r="W885">
            <v>-141148</v>
          </cell>
          <cell r="X885">
            <v>-231994</v>
          </cell>
          <cell r="Y885">
            <v>13737</v>
          </cell>
          <cell r="Z885">
            <v>50181</v>
          </cell>
        </row>
        <row r="886">
          <cell r="C886" t="str">
            <v>A0097</v>
          </cell>
          <cell r="D886" t="str">
            <v>PT Mesin Isuzu Indonesia</v>
          </cell>
          <cell r="E886" t="str">
            <v>PEB 3</v>
          </cell>
          <cell r="F886" t="str">
            <v>74PEB 3</v>
          </cell>
          <cell r="K886" t="str">
            <v xml:space="preserve"> </v>
          </cell>
          <cell r="P886">
            <v>0</v>
          </cell>
          <cell r="U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</row>
        <row r="887">
          <cell r="C887" t="str">
            <v>A0097</v>
          </cell>
          <cell r="D887" t="str">
            <v>PT Mesin Isuzu Indonesia</v>
          </cell>
          <cell r="E887" t="str">
            <v>PEB 4</v>
          </cell>
          <cell r="F887" t="str">
            <v>74PEB 4</v>
          </cell>
          <cell r="G887">
            <v>0.1</v>
          </cell>
          <cell r="I887">
            <v>0.09</v>
          </cell>
          <cell r="J887">
            <v>10.565877306124234</v>
          </cell>
          <cell r="K887">
            <v>15.214236703103508</v>
          </cell>
          <cell r="P887">
            <v>3697109</v>
          </cell>
          <cell r="Q887">
            <v>5877735.0864579901</v>
          </cell>
          <cell r="R887">
            <v>350137.67939695902</v>
          </cell>
          <cell r="S887">
            <v>1373550.8389985806</v>
          </cell>
          <cell r="U887">
            <v>0</v>
          </cell>
          <cell r="W887">
            <v>782863</v>
          </cell>
          <cell r="X887">
            <v>0</v>
          </cell>
          <cell r="Y887">
            <v>0</v>
          </cell>
          <cell r="Z887">
            <v>4479972</v>
          </cell>
        </row>
        <row r="888">
          <cell r="C888" t="str">
            <v>A0097</v>
          </cell>
          <cell r="D888" t="str">
            <v>PT Mesin Isuzu Indonesia</v>
          </cell>
          <cell r="E888" t="str">
            <v>PEB 5</v>
          </cell>
          <cell r="F888" t="str">
            <v>74PEB 5</v>
          </cell>
          <cell r="G888">
            <v>0.1</v>
          </cell>
          <cell r="I888">
            <v>0.09</v>
          </cell>
          <cell r="J888">
            <v>8.3350992638645121</v>
          </cell>
          <cell r="P888">
            <v>2526</v>
          </cell>
          <cell r="Q888">
            <v>49977</v>
          </cell>
          <cell r="R888">
            <v>2791</v>
          </cell>
          <cell r="S888">
            <v>0</v>
          </cell>
          <cell r="U888">
            <v>0</v>
          </cell>
          <cell r="W888">
            <v>84528</v>
          </cell>
          <cell r="X888">
            <v>0</v>
          </cell>
          <cell r="Y888">
            <v>0</v>
          </cell>
          <cell r="Z888">
            <v>87054</v>
          </cell>
        </row>
        <row r="889">
          <cell r="C889" t="str">
            <v>A0097</v>
          </cell>
          <cell r="D889" t="str">
            <v>PT Mesin Isuzu Indonesia</v>
          </cell>
          <cell r="E889" t="str">
            <v>PEB 6</v>
          </cell>
          <cell r="F889" t="str">
            <v>74PEB 6</v>
          </cell>
          <cell r="J889">
            <v>0</v>
          </cell>
          <cell r="P889">
            <v>0</v>
          </cell>
          <cell r="U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</row>
        <row r="890">
          <cell r="C890" t="str">
            <v>A0097</v>
          </cell>
          <cell r="D890" t="str">
            <v>PT Mesin Isuzu Indonesia</v>
          </cell>
          <cell r="E890" t="str">
            <v>PEB 7</v>
          </cell>
          <cell r="F890" t="str">
            <v>74PEB 7</v>
          </cell>
          <cell r="G890">
            <v>0.1</v>
          </cell>
          <cell r="I890">
            <v>0.09</v>
          </cell>
          <cell r="J890">
            <v>10.131739580851251</v>
          </cell>
          <cell r="K890">
            <v>15.214236703103508</v>
          </cell>
          <cell r="P890">
            <v>151695</v>
          </cell>
          <cell r="Q890">
            <v>268313.74547697161</v>
          </cell>
          <cell r="R890">
            <v>19175.680309103314</v>
          </cell>
          <cell r="S890">
            <v>32554.4219788257</v>
          </cell>
          <cell r="U890">
            <v>0</v>
          </cell>
          <cell r="W890">
            <v>-145122</v>
          </cell>
          <cell r="X890">
            <v>0</v>
          </cell>
          <cell r="Y890">
            <v>0</v>
          </cell>
          <cell r="Z890">
            <v>6573</v>
          </cell>
        </row>
        <row r="891">
          <cell r="C891" t="str">
            <v>A0097</v>
          </cell>
          <cell r="D891" t="str">
            <v>PT Mesin Isuzu Indonesia</v>
          </cell>
          <cell r="E891" t="str">
            <v>MPP</v>
          </cell>
          <cell r="F891" t="str">
            <v>74MPP</v>
          </cell>
          <cell r="G891">
            <v>0.1</v>
          </cell>
          <cell r="I891">
            <v>0.09</v>
          </cell>
          <cell r="J891">
            <v>10.131739580851251</v>
          </cell>
          <cell r="K891">
            <v>15.214236703103508</v>
          </cell>
          <cell r="P891">
            <v>0</v>
          </cell>
          <cell r="Q891">
            <v>454436.7581400834</v>
          </cell>
          <cell r="R891">
            <v>29129.504646680933</v>
          </cell>
          <cell r="S891">
            <v>77863.655685000005</v>
          </cell>
          <cell r="U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</row>
        <row r="892">
          <cell r="C892" t="str">
            <v>A0097</v>
          </cell>
          <cell r="D892" t="str">
            <v>PT Mesin Isuzu Indonesia</v>
          </cell>
          <cell r="E892" t="str">
            <v>ID</v>
          </cell>
          <cell r="F892" t="str">
            <v>74ID</v>
          </cell>
          <cell r="G892">
            <v>0.1</v>
          </cell>
          <cell r="I892">
            <v>0.09</v>
          </cell>
          <cell r="J892">
            <v>10.131739580851251</v>
          </cell>
          <cell r="K892">
            <v>15.214236703103508</v>
          </cell>
          <cell r="P892">
            <v>51813</v>
          </cell>
          <cell r="Q892">
            <v>668154.03270879202</v>
          </cell>
          <cell r="R892">
            <v>43867.730815131348</v>
          </cell>
          <cell r="S892">
            <v>55197.387863291035</v>
          </cell>
          <cell r="U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51813</v>
          </cell>
        </row>
        <row r="893">
          <cell r="C893" t="str">
            <v>A0097</v>
          </cell>
          <cell r="D893" t="str">
            <v>PT Mesin Isuzu Indonesia</v>
          </cell>
          <cell r="E893" t="str">
            <v>LL</v>
          </cell>
          <cell r="F893" t="str">
            <v>74LL</v>
          </cell>
          <cell r="G893">
            <v>0.1</v>
          </cell>
          <cell r="I893">
            <v>0.09</v>
          </cell>
          <cell r="J893">
            <v>10.131739580851251</v>
          </cell>
          <cell r="K893">
            <v>15.214236703103508</v>
          </cell>
          <cell r="P893">
            <v>671783</v>
          </cell>
          <cell r="Q893">
            <v>1058465.8418580431</v>
          </cell>
          <cell r="R893">
            <v>235451.29818029189</v>
          </cell>
          <cell r="S893">
            <v>582632.57396675833</v>
          </cell>
          <cell r="U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671783</v>
          </cell>
        </row>
        <row r="894">
          <cell r="C894" t="str">
            <v>A0097</v>
          </cell>
          <cell r="D894" t="str">
            <v>PT Mesin Isuzu Indonesia</v>
          </cell>
          <cell r="E894" t="str">
            <v>PMK</v>
          </cell>
          <cell r="F894" t="str">
            <v>74PMK</v>
          </cell>
          <cell r="G894">
            <v>0.1</v>
          </cell>
          <cell r="I894">
            <v>0.09</v>
          </cell>
          <cell r="J894">
            <v>10.131739580851251</v>
          </cell>
          <cell r="K894">
            <v>15.214236703103508</v>
          </cell>
          <cell r="P894">
            <v>1087070</v>
          </cell>
          <cell r="Q894">
            <v>1355081.347980212</v>
          </cell>
          <cell r="R894">
            <v>123034.85237724226</v>
          </cell>
          <cell r="S894">
            <v>306265</v>
          </cell>
          <cell r="U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1087070</v>
          </cell>
        </row>
        <row r="896">
          <cell r="C896" t="str">
            <v>A0451</v>
          </cell>
          <cell r="D896" t="str">
            <v>PT Multi Prima Universal</v>
          </cell>
          <cell r="E896" t="str">
            <v>PEB 1</v>
          </cell>
          <cell r="F896" t="str">
            <v>75PEB 1</v>
          </cell>
          <cell r="G896">
            <v>0.1</v>
          </cell>
          <cell r="H896">
            <v>0.1</v>
          </cell>
          <cell r="I896">
            <v>0.09</v>
          </cell>
          <cell r="J896">
            <v>9.7564479308189771</v>
          </cell>
          <cell r="K896">
            <v>11.361809795918468</v>
          </cell>
          <cell r="L896">
            <v>159297</v>
          </cell>
          <cell r="N896">
            <v>220170.318</v>
          </cell>
          <cell r="O896">
            <v>30373.96</v>
          </cell>
          <cell r="P896">
            <v>314914</v>
          </cell>
          <cell r="Q896">
            <v>2240827.3224119004</v>
          </cell>
          <cell r="R896">
            <v>112415.78627566596</v>
          </cell>
          <cell r="S896">
            <v>12687.008447742402</v>
          </cell>
          <cell r="U896">
            <v>-324969</v>
          </cell>
          <cell r="V896">
            <v>2010946.9926666669</v>
          </cell>
          <cell r="W896">
            <v>-186672</v>
          </cell>
          <cell r="X896">
            <v>0</v>
          </cell>
          <cell r="Y896">
            <v>0</v>
          </cell>
          <cell r="Z896">
            <v>-10055</v>
          </cell>
          <cell r="AB896">
            <v>0.1</v>
          </cell>
          <cell r="AC896">
            <v>0</v>
          </cell>
          <cell r="AD896">
            <v>0.09</v>
          </cell>
          <cell r="AE896">
            <v>10.118277102174222</v>
          </cell>
          <cell r="AF896">
            <v>15.548951847035132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143241</v>
          </cell>
          <cell r="AL896">
            <v>872634.8203678485</v>
          </cell>
          <cell r="AM896">
            <v>47404.493541408359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-28949</v>
          </cell>
          <cell r="AS896">
            <v>0</v>
          </cell>
          <cell r="AT896">
            <v>0</v>
          </cell>
          <cell r="AU896">
            <v>114292</v>
          </cell>
          <cell r="AW896">
            <v>0.1</v>
          </cell>
          <cell r="AX896">
            <v>0</v>
          </cell>
          <cell r="AY896">
            <v>0.09</v>
          </cell>
          <cell r="AZ896">
            <v>9.7564479308189771</v>
          </cell>
          <cell r="BA896">
            <v>11.361809795918468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15602</v>
          </cell>
          <cell r="BG896">
            <v>268174.5093077817</v>
          </cell>
          <cell r="BH896">
            <v>13890.550707499266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-14861</v>
          </cell>
          <cell r="BN896">
            <v>0</v>
          </cell>
          <cell r="BO896">
            <v>0</v>
          </cell>
          <cell r="BP896">
            <v>741</v>
          </cell>
          <cell r="BR896">
            <v>0.1</v>
          </cell>
          <cell r="BS896">
            <v>0</v>
          </cell>
          <cell r="BT896">
            <v>0.09</v>
          </cell>
          <cell r="BU896">
            <v>10.28754748576895</v>
          </cell>
          <cell r="BV896">
            <v>20.666569909511065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14929</v>
          </cell>
          <cell r="CB896">
            <v>29704.421023690305</v>
          </cell>
          <cell r="CC896">
            <v>6957.6447456721853</v>
          </cell>
          <cell r="CD896">
            <v>1556.7503650565984</v>
          </cell>
          <cell r="CE896">
            <v>0</v>
          </cell>
          <cell r="CF896">
            <v>0</v>
          </cell>
          <cell r="CG896">
            <v>0</v>
          </cell>
          <cell r="CH896">
            <v>-4519</v>
          </cell>
          <cell r="CI896">
            <v>0</v>
          </cell>
          <cell r="CJ896">
            <v>0</v>
          </cell>
          <cell r="CK896">
            <v>10410</v>
          </cell>
          <cell r="CM896">
            <v>0</v>
          </cell>
          <cell r="CN896">
            <v>0</v>
          </cell>
          <cell r="CO896">
            <v>0</v>
          </cell>
          <cell r="CP896">
            <v>0</v>
          </cell>
          <cell r="CQ896">
            <v>0</v>
          </cell>
          <cell r="CR896">
            <v>0</v>
          </cell>
          <cell r="CS896">
            <v>0</v>
          </cell>
          <cell r="CT896">
            <v>0</v>
          </cell>
          <cell r="CU896">
            <v>0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  <cell r="DD896">
            <v>0</v>
          </cell>
          <cell r="DE896">
            <v>0</v>
          </cell>
          <cell r="DF896">
            <v>0</v>
          </cell>
          <cell r="DH896">
            <v>0.1</v>
          </cell>
          <cell r="DI896">
            <v>0</v>
          </cell>
          <cell r="DJ896">
            <v>0.09</v>
          </cell>
          <cell r="DK896">
            <v>10.118277102174222</v>
          </cell>
          <cell r="DL896">
            <v>0</v>
          </cell>
          <cell r="DM896">
            <v>0</v>
          </cell>
          <cell r="DN896">
            <v>0</v>
          </cell>
          <cell r="DO896">
            <v>0</v>
          </cell>
          <cell r="DP896">
            <v>0</v>
          </cell>
          <cell r="DQ896">
            <v>31583</v>
          </cell>
          <cell r="DR896">
            <v>263724.45516636618</v>
          </cell>
          <cell r="DS896">
            <v>14025.130854084891</v>
          </cell>
          <cell r="DT896">
            <v>17037.7605</v>
          </cell>
          <cell r="DU896">
            <v>0</v>
          </cell>
          <cell r="DV896">
            <v>0</v>
          </cell>
          <cell r="DW896">
            <v>0</v>
          </cell>
          <cell r="DX896">
            <v>-800</v>
          </cell>
          <cell r="DY896">
            <v>0</v>
          </cell>
          <cell r="DZ896">
            <v>0</v>
          </cell>
          <cell r="EA896">
            <v>30783</v>
          </cell>
          <cell r="EC896">
            <v>0.1</v>
          </cell>
          <cell r="ED896">
            <v>0</v>
          </cell>
          <cell r="EE896">
            <v>0.09</v>
          </cell>
          <cell r="EF896">
            <v>10.118277102174222</v>
          </cell>
          <cell r="EG896">
            <v>15.548951847035132</v>
          </cell>
          <cell r="EH896">
            <v>0</v>
          </cell>
          <cell r="EI896">
            <v>0</v>
          </cell>
          <cell r="EJ896">
            <v>0</v>
          </cell>
          <cell r="EK896">
            <v>0</v>
          </cell>
          <cell r="EL896">
            <v>14742</v>
          </cell>
          <cell r="EM896">
            <v>57542.596614813847</v>
          </cell>
          <cell r="EN896">
            <v>4006.0457163291076</v>
          </cell>
          <cell r="EO896">
            <v>6518.4876664824851</v>
          </cell>
          <cell r="EP896">
            <v>0</v>
          </cell>
          <cell r="EQ896">
            <v>0</v>
          </cell>
          <cell r="ER896">
            <v>0</v>
          </cell>
          <cell r="ES896">
            <v>-11082</v>
          </cell>
          <cell r="ET896">
            <v>0</v>
          </cell>
          <cell r="EU896">
            <v>0</v>
          </cell>
          <cell r="EV896">
            <v>3660</v>
          </cell>
          <cell r="EX896">
            <v>0.1</v>
          </cell>
          <cell r="EY896">
            <v>0</v>
          </cell>
          <cell r="EZ896">
            <v>0.09</v>
          </cell>
          <cell r="FA896">
            <v>10.118277102174222</v>
          </cell>
          <cell r="FB896">
            <v>15.548951847035132</v>
          </cell>
          <cell r="FC896">
            <v>0</v>
          </cell>
          <cell r="FD896">
            <v>0</v>
          </cell>
          <cell r="FE896">
            <v>0</v>
          </cell>
          <cell r="FF896">
            <v>0</v>
          </cell>
          <cell r="FG896">
            <v>0</v>
          </cell>
          <cell r="FH896">
            <v>196070.33694239921</v>
          </cell>
          <cell r="FI896">
            <v>10641.942226629202</v>
          </cell>
          <cell r="FJ896">
            <v>0</v>
          </cell>
          <cell r="FK896">
            <v>0</v>
          </cell>
          <cell r="FL896">
            <v>0</v>
          </cell>
          <cell r="FM896">
            <v>0</v>
          </cell>
          <cell r="FN896">
            <v>0</v>
          </cell>
          <cell r="FO896">
            <v>0</v>
          </cell>
          <cell r="FP896">
            <v>0</v>
          </cell>
          <cell r="FQ896">
            <v>0</v>
          </cell>
          <cell r="FS896">
            <v>0.1</v>
          </cell>
          <cell r="FT896">
            <v>0</v>
          </cell>
          <cell r="FU896">
            <v>0.09</v>
          </cell>
          <cell r="FV896">
            <v>10.118277102174222</v>
          </cell>
          <cell r="FW896">
            <v>15.548951847035132</v>
          </cell>
          <cell r="FX896">
            <v>0</v>
          </cell>
          <cell r="FY896">
            <v>0</v>
          </cell>
          <cell r="FZ896">
            <v>0</v>
          </cell>
          <cell r="GA896">
            <v>0</v>
          </cell>
          <cell r="GB896">
            <v>1282</v>
          </cell>
          <cell r="GC896">
            <v>169607.01988248216</v>
          </cell>
          <cell r="GD896">
            <v>9926.9382151296686</v>
          </cell>
          <cell r="GE896">
            <v>13037.007621143352</v>
          </cell>
          <cell r="GF896">
            <v>0</v>
          </cell>
          <cell r="GG896">
            <v>0</v>
          </cell>
          <cell r="GH896">
            <v>0</v>
          </cell>
          <cell r="GI896">
            <v>0</v>
          </cell>
          <cell r="GJ896">
            <v>0</v>
          </cell>
          <cell r="GK896">
            <v>0</v>
          </cell>
          <cell r="GL896">
            <v>1282</v>
          </cell>
          <cell r="GN896">
            <v>0.1</v>
          </cell>
          <cell r="GO896">
            <v>0</v>
          </cell>
          <cell r="GP896">
            <v>0.09</v>
          </cell>
          <cell r="GQ896">
            <v>10.118277102174222</v>
          </cell>
          <cell r="GR896">
            <v>15.548951847035132</v>
          </cell>
          <cell r="GS896">
            <v>0</v>
          </cell>
          <cell r="GT896">
            <v>0</v>
          </cell>
          <cell r="GU896">
            <v>0</v>
          </cell>
          <cell r="GV896">
            <v>0</v>
          </cell>
          <cell r="GW896">
            <v>26479</v>
          </cell>
          <cell r="GX896">
            <v>161521</v>
          </cell>
          <cell r="GY896">
            <v>47951</v>
          </cell>
          <cell r="GZ896">
            <v>87842.208423444477</v>
          </cell>
          <cell r="HA896">
            <v>0</v>
          </cell>
          <cell r="HB896">
            <v>0</v>
          </cell>
          <cell r="HC896">
            <v>0</v>
          </cell>
          <cell r="HD896">
            <v>0</v>
          </cell>
          <cell r="HE896">
            <v>0</v>
          </cell>
          <cell r="HF896">
            <v>0</v>
          </cell>
          <cell r="HG896">
            <v>26479</v>
          </cell>
          <cell r="HI896">
            <v>0.1</v>
          </cell>
          <cell r="HJ896">
            <v>0</v>
          </cell>
          <cell r="HK896">
            <v>0.09</v>
          </cell>
          <cell r="HL896">
            <v>10.118277102174222</v>
          </cell>
          <cell r="HM896">
            <v>15.548951847035132</v>
          </cell>
          <cell r="HN896">
            <v>0</v>
          </cell>
          <cell r="HO896">
            <v>0</v>
          </cell>
          <cell r="HP896">
            <v>0</v>
          </cell>
          <cell r="HQ896">
            <v>0</v>
          </cell>
          <cell r="HR896">
            <v>58108</v>
          </cell>
          <cell r="HS896">
            <v>127092.56491315056</v>
          </cell>
          <cell r="HT896">
            <v>15724.875627899071</v>
          </cell>
          <cell r="HU896">
            <v>26103.5</v>
          </cell>
          <cell r="HV896">
            <v>0</v>
          </cell>
          <cell r="HW896">
            <v>0</v>
          </cell>
          <cell r="HX896">
            <v>0</v>
          </cell>
          <cell r="HY896">
            <v>0</v>
          </cell>
          <cell r="HZ896">
            <v>0</v>
          </cell>
          <cell r="IA896">
            <v>0</v>
          </cell>
          <cell r="IB896">
            <v>58108</v>
          </cell>
        </row>
        <row r="897">
          <cell r="C897" t="str">
            <v>A0451</v>
          </cell>
          <cell r="D897" t="str">
            <v>PT Multi Prima Universal</v>
          </cell>
          <cell r="E897" t="str">
            <v>PEB 2</v>
          </cell>
          <cell r="F897" t="str">
            <v>75PEB 2</v>
          </cell>
          <cell r="G897">
            <v>0.1</v>
          </cell>
          <cell r="I897">
            <v>0.09</v>
          </cell>
          <cell r="J897">
            <v>10.118277102174222</v>
          </cell>
          <cell r="K897">
            <v>15.548951847035132</v>
          </cell>
          <cell r="P897">
            <v>143241</v>
          </cell>
          <cell r="Q897">
            <v>872634.8203678485</v>
          </cell>
          <cell r="R897">
            <v>47404.493541408359</v>
          </cell>
          <cell r="S897">
            <v>0</v>
          </cell>
          <cell r="U897">
            <v>0</v>
          </cell>
          <cell r="W897">
            <v>-28949</v>
          </cell>
          <cell r="X897">
            <v>0</v>
          </cell>
          <cell r="Y897">
            <v>0</v>
          </cell>
          <cell r="Z897">
            <v>114292</v>
          </cell>
        </row>
        <row r="898">
          <cell r="C898" t="str">
            <v>A0451</v>
          </cell>
          <cell r="D898" t="str">
            <v>PT Multi Prima Universal</v>
          </cell>
          <cell r="E898" t="str">
            <v>PEB 3</v>
          </cell>
          <cell r="F898" t="str">
            <v>75PEB 3</v>
          </cell>
          <cell r="G898">
            <v>0.1</v>
          </cell>
          <cell r="I898">
            <v>0.09</v>
          </cell>
          <cell r="J898">
            <v>9.7564479308189771</v>
          </cell>
          <cell r="K898">
            <v>11.361809795918468</v>
          </cell>
          <cell r="P898">
            <v>15602</v>
          </cell>
          <cell r="Q898">
            <v>268174.5093077817</v>
          </cell>
          <cell r="R898">
            <v>13890.550707499266</v>
          </cell>
          <cell r="S898">
            <v>0</v>
          </cell>
          <cell r="U898">
            <v>0</v>
          </cell>
          <cell r="W898">
            <v>-14861</v>
          </cell>
          <cell r="X898">
            <v>0</v>
          </cell>
          <cell r="Y898">
            <v>0</v>
          </cell>
          <cell r="Z898">
            <v>741</v>
          </cell>
        </row>
        <row r="899">
          <cell r="C899" t="str">
            <v>A0451</v>
          </cell>
          <cell r="D899" t="str">
            <v>PT Multi Prima Universal</v>
          </cell>
          <cell r="E899" t="str">
            <v>PEB 4</v>
          </cell>
          <cell r="F899" t="str">
            <v>75PEB 4</v>
          </cell>
          <cell r="G899">
            <v>0.1</v>
          </cell>
          <cell r="I899">
            <v>0.09</v>
          </cell>
          <cell r="J899">
            <v>10.28754748576895</v>
          </cell>
          <cell r="K899">
            <v>20.666569909511065</v>
          </cell>
          <cell r="P899">
            <v>14929</v>
          </cell>
          <cell r="Q899">
            <v>29704.421023690305</v>
          </cell>
          <cell r="R899">
            <v>6957.6447456721853</v>
          </cell>
          <cell r="S899">
            <v>1556.7503650565984</v>
          </cell>
          <cell r="U899">
            <v>0</v>
          </cell>
          <cell r="W899">
            <v>-4519</v>
          </cell>
          <cell r="X899">
            <v>0</v>
          </cell>
          <cell r="Y899">
            <v>0</v>
          </cell>
          <cell r="Z899">
            <v>10410</v>
          </cell>
        </row>
        <row r="900">
          <cell r="C900" t="str">
            <v>A0451</v>
          </cell>
          <cell r="D900" t="str">
            <v>PT Multi Prima Universal</v>
          </cell>
          <cell r="E900" t="str">
            <v>PEB 5</v>
          </cell>
          <cell r="F900" t="str">
            <v>75PEB 5</v>
          </cell>
          <cell r="P900">
            <v>0</v>
          </cell>
          <cell r="U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</row>
        <row r="901">
          <cell r="C901" t="str">
            <v>A0451</v>
          </cell>
          <cell r="D901" t="str">
            <v>PT Multi Prima Universal</v>
          </cell>
          <cell r="E901" t="str">
            <v>PEB 6</v>
          </cell>
          <cell r="F901" t="str">
            <v>75PEB 6</v>
          </cell>
          <cell r="G901">
            <v>0.1</v>
          </cell>
          <cell r="I901">
            <v>0.09</v>
          </cell>
          <cell r="J901">
            <v>10.118277102174222</v>
          </cell>
          <cell r="P901">
            <v>31583</v>
          </cell>
          <cell r="Q901">
            <v>263724.45516636618</v>
          </cell>
          <cell r="R901">
            <v>14025.130854084891</v>
          </cell>
          <cell r="S901">
            <v>17037.7605</v>
          </cell>
          <cell r="U901">
            <v>0</v>
          </cell>
          <cell r="W901">
            <v>-800</v>
          </cell>
          <cell r="X901">
            <v>0</v>
          </cell>
          <cell r="Y901">
            <v>0</v>
          </cell>
          <cell r="Z901">
            <v>30783</v>
          </cell>
        </row>
        <row r="902">
          <cell r="C902" t="str">
            <v>A0451</v>
          </cell>
          <cell r="D902" t="str">
            <v>PT Multi Prima Universal</v>
          </cell>
          <cell r="E902" t="str">
            <v>PEB 7</v>
          </cell>
          <cell r="F902" t="str">
            <v>75PEB 7</v>
          </cell>
          <cell r="G902">
            <v>0.1</v>
          </cell>
          <cell r="I902">
            <v>0.09</v>
          </cell>
          <cell r="J902">
            <v>10.118277102174222</v>
          </cell>
          <cell r="K902">
            <v>15.548951847035132</v>
          </cell>
          <cell r="P902">
            <v>14742</v>
          </cell>
          <cell r="Q902">
            <v>57542.596614813847</v>
          </cell>
          <cell r="R902">
            <v>4006.0457163291076</v>
          </cell>
          <cell r="S902">
            <v>6518.4876664824851</v>
          </cell>
          <cell r="U902">
            <v>0</v>
          </cell>
          <cell r="W902">
            <v>-11082</v>
          </cell>
          <cell r="X902">
            <v>0</v>
          </cell>
          <cell r="Y902">
            <v>0</v>
          </cell>
          <cell r="Z902">
            <v>3660</v>
          </cell>
        </row>
        <row r="903">
          <cell r="C903" t="str">
            <v>A0451</v>
          </cell>
          <cell r="D903" t="str">
            <v>PT Multi Prima Universal</v>
          </cell>
          <cell r="E903" t="str">
            <v>MPP</v>
          </cell>
          <cell r="F903" t="str">
            <v>75MPP</v>
          </cell>
          <cell r="G903">
            <v>0.1</v>
          </cell>
          <cell r="I903">
            <v>0.09</v>
          </cell>
          <cell r="J903">
            <v>10.118277102174222</v>
          </cell>
          <cell r="K903">
            <v>15.548951847035132</v>
          </cell>
          <cell r="P903">
            <v>0</v>
          </cell>
          <cell r="Q903">
            <v>196070.33694239921</v>
          </cell>
          <cell r="R903">
            <v>10641.942226629202</v>
          </cell>
          <cell r="S903">
            <v>0</v>
          </cell>
          <cell r="U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</row>
        <row r="904">
          <cell r="C904" t="str">
            <v>A0451</v>
          </cell>
          <cell r="D904" t="str">
            <v>PT Multi Prima Universal</v>
          </cell>
          <cell r="E904" t="str">
            <v>ID</v>
          </cell>
          <cell r="F904" t="str">
            <v>75ID</v>
          </cell>
          <cell r="G904">
            <v>0.1</v>
          </cell>
          <cell r="I904">
            <v>0.09</v>
          </cell>
          <cell r="J904">
            <v>10.118277102174222</v>
          </cell>
          <cell r="K904">
            <v>15.548951847035132</v>
          </cell>
          <cell r="P904">
            <v>1282</v>
          </cell>
          <cell r="Q904">
            <v>169607.01988248216</v>
          </cell>
          <cell r="R904">
            <v>9926.9382151296686</v>
          </cell>
          <cell r="S904">
            <v>13037.007621143352</v>
          </cell>
          <cell r="U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1282</v>
          </cell>
        </row>
        <row r="905">
          <cell r="C905" t="str">
            <v>A0451</v>
          </cell>
          <cell r="D905" t="str">
            <v>PT Multi Prima Universal</v>
          </cell>
          <cell r="E905" t="str">
            <v>LL</v>
          </cell>
          <cell r="F905" t="str">
            <v>75LL</v>
          </cell>
          <cell r="G905">
            <v>0.1</v>
          </cell>
          <cell r="I905">
            <v>0.09</v>
          </cell>
          <cell r="J905">
            <v>10.118277102174222</v>
          </cell>
          <cell r="K905">
            <v>15.548951847035132</v>
          </cell>
          <cell r="P905">
            <v>26479</v>
          </cell>
          <cell r="Q905">
            <v>161521</v>
          </cell>
          <cell r="R905">
            <v>47951</v>
          </cell>
          <cell r="S905">
            <v>87842.208423444477</v>
          </cell>
          <cell r="U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26479</v>
          </cell>
        </row>
        <row r="906">
          <cell r="C906" t="str">
            <v>A0451</v>
          </cell>
          <cell r="D906" t="str">
            <v>PT Multi Prima Universal</v>
          </cell>
          <cell r="E906" t="str">
            <v>PMK</v>
          </cell>
          <cell r="F906" t="str">
            <v>75PMK</v>
          </cell>
          <cell r="G906">
            <v>0.1</v>
          </cell>
          <cell r="I906">
            <v>0.09</v>
          </cell>
          <cell r="J906">
            <v>10.118277102174222</v>
          </cell>
          <cell r="K906">
            <v>15.548951847035132</v>
          </cell>
          <cell r="P906">
            <v>58108</v>
          </cell>
          <cell r="Q906">
            <v>127092.56491315056</v>
          </cell>
          <cell r="R906">
            <v>15724.875627899071</v>
          </cell>
          <cell r="S906">
            <v>26103.5</v>
          </cell>
          <cell r="U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58108</v>
          </cell>
        </row>
        <row r="908">
          <cell r="C908" t="str">
            <v>A0329</v>
          </cell>
          <cell r="D908" t="str">
            <v>PT Nirmala Agro Lestari</v>
          </cell>
          <cell r="E908" t="str">
            <v>PEB 1</v>
          </cell>
          <cell r="F908" t="str">
            <v>76PEB 1</v>
          </cell>
          <cell r="J908">
            <v>0</v>
          </cell>
          <cell r="N908">
            <v>0</v>
          </cell>
          <cell r="O908">
            <v>0</v>
          </cell>
          <cell r="P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9.6804008735037801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244178</v>
          </cell>
          <cell r="AL908">
            <v>460487.47701439774</v>
          </cell>
          <cell r="AM908">
            <v>69621.40828781671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-95677</v>
          </cell>
          <cell r="AS908">
            <v>0</v>
          </cell>
          <cell r="AT908">
            <v>0</v>
          </cell>
          <cell r="AU908">
            <v>148501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9.7188589147221425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497443</v>
          </cell>
          <cell r="CB908">
            <v>644644.91573848086</v>
          </cell>
          <cell r="CC908">
            <v>148021.78253626966</v>
          </cell>
          <cell r="CD908">
            <v>10973.243587153913</v>
          </cell>
          <cell r="CE908">
            <v>0</v>
          </cell>
          <cell r="CF908">
            <v>0</v>
          </cell>
          <cell r="CG908">
            <v>0</v>
          </cell>
          <cell r="CH908">
            <v>-354132</v>
          </cell>
          <cell r="CI908">
            <v>0</v>
          </cell>
          <cell r="CJ908">
            <v>0</v>
          </cell>
          <cell r="CK908">
            <v>143311</v>
          </cell>
          <cell r="CM908">
            <v>0</v>
          </cell>
          <cell r="CN908">
            <v>0</v>
          </cell>
          <cell r="CO908">
            <v>0</v>
          </cell>
          <cell r="CP908">
            <v>10.157370833150861</v>
          </cell>
          <cell r="CQ908">
            <v>0</v>
          </cell>
          <cell r="CR908">
            <v>0</v>
          </cell>
          <cell r="CS908">
            <v>0</v>
          </cell>
          <cell r="CT908">
            <v>0</v>
          </cell>
          <cell r="CU908">
            <v>0</v>
          </cell>
          <cell r="CV908">
            <v>20321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322813</v>
          </cell>
          <cell r="DD908">
            <v>-2885</v>
          </cell>
          <cell r="DE908">
            <v>166</v>
          </cell>
          <cell r="DF908">
            <v>340249</v>
          </cell>
          <cell r="DH908">
            <v>0</v>
          </cell>
          <cell r="DI908">
            <v>0</v>
          </cell>
          <cell r="DJ908">
            <v>0</v>
          </cell>
          <cell r="DK908">
            <v>0</v>
          </cell>
          <cell r="DL908">
            <v>0</v>
          </cell>
          <cell r="DM908">
            <v>0</v>
          </cell>
          <cell r="DN908">
            <v>0</v>
          </cell>
          <cell r="DO908">
            <v>0</v>
          </cell>
          <cell r="DP908">
            <v>0</v>
          </cell>
          <cell r="DQ908">
            <v>0</v>
          </cell>
          <cell r="DR908">
            <v>0</v>
          </cell>
          <cell r="DS908">
            <v>0</v>
          </cell>
          <cell r="DT908">
            <v>0</v>
          </cell>
          <cell r="DU908">
            <v>0</v>
          </cell>
          <cell r="DV908">
            <v>0</v>
          </cell>
          <cell r="DW908">
            <v>0</v>
          </cell>
          <cell r="DX908">
            <v>0</v>
          </cell>
          <cell r="DY908">
            <v>0</v>
          </cell>
          <cell r="DZ908">
            <v>0</v>
          </cell>
          <cell r="EA908">
            <v>0</v>
          </cell>
          <cell r="EC908">
            <v>0</v>
          </cell>
          <cell r="ED908">
            <v>0</v>
          </cell>
          <cell r="EE908">
            <v>0</v>
          </cell>
          <cell r="EF908">
            <v>9.6804008735037801</v>
          </cell>
          <cell r="EG908">
            <v>0</v>
          </cell>
          <cell r="EH908">
            <v>0</v>
          </cell>
          <cell r="EI908">
            <v>0</v>
          </cell>
          <cell r="EJ908">
            <v>0</v>
          </cell>
          <cell r="EK908">
            <v>0</v>
          </cell>
          <cell r="EL908">
            <v>25787</v>
          </cell>
          <cell r="EM908">
            <v>76416.759550186034</v>
          </cell>
          <cell r="EN908">
            <v>15598.621360536994</v>
          </cell>
          <cell r="EO908">
            <v>6906.5333658231339</v>
          </cell>
          <cell r="EP908">
            <v>0</v>
          </cell>
          <cell r="EQ908">
            <v>0</v>
          </cell>
          <cell r="ER908">
            <v>0</v>
          </cell>
          <cell r="ES908">
            <v>-22701</v>
          </cell>
          <cell r="ET908">
            <v>0</v>
          </cell>
          <cell r="EU908">
            <v>0</v>
          </cell>
          <cell r="EV908">
            <v>3086</v>
          </cell>
          <cell r="EX908">
            <v>0</v>
          </cell>
          <cell r="EY908">
            <v>0</v>
          </cell>
          <cell r="EZ908">
            <v>0</v>
          </cell>
          <cell r="FA908">
            <v>0</v>
          </cell>
          <cell r="FB908">
            <v>0</v>
          </cell>
          <cell r="FC908">
            <v>0</v>
          </cell>
          <cell r="FD908">
            <v>0</v>
          </cell>
          <cell r="FE908">
            <v>0</v>
          </cell>
          <cell r="FF908">
            <v>0</v>
          </cell>
          <cell r="FG908">
            <v>0</v>
          </cell>
          <cell r="FH908">
            <v>75900.545294391661</v>
          </cell>
          <cell r="FI908">
            <v>12317.064193202894</v>
          </cell>
          <cell r="FJ908">
            <v>0</v>
          </cell>
          <cell r="FK908">
            <v>0</v>
          </cell>
          <cell r="FL908">
            <v>0</v>
          </cell>
          <cell r="FM908">
            <v>0</v>
          </cell>
          <cell r="FN908">
            <v>0</v>
          </cell>
          <cell r="FO908">
            <v>0</v>
          </cell>
          <cell r="FP908">
            <v>0</v>
          </cell>
          <cell r="FQ908">
            <v>0</v>
          </cell>
          <cell r="FS908">
            <v>0</v>
          </cell>
          <cell r="FT908">
            <v>0</v>
          </cell>
          <cell r="FU908">
            <v>0</v>
          </cell>
          <cell r="FV908">
            <v>9.6804008735037801</v>
          </cell>
          <cell r="FW908">
            <v>0</v>
          </cell>
          <cell r="FX908">
            <v>0</v>
          </cell>
          <cell r="FY908">
            <v>0</v>
          </cell>
          <cell r="FZ908">
            <v>0</v>
          </cell>
          <cell r="GA908">
            <v>0</v>
          </cell>
          <cell r="GB908">
            <v>5994</v>
          </cell>
          <cell r="GC908">
            <v>183366.3904311696</v>
          </cell>
          <cell r="GD908">
            <v>33953.232148068644</v>
          </cell>
          <cell r="GE908">
            <v>9996.4210588206333</v>
          </cell>
          <cell r="GF908">
            <v>0</v>
          </cell>
          <cell r="GG908">
            <v>0</v>
          </cell>
          <cell r="GH908">
            <v>0</v>
          </cell>
          <cell r="GI908">
            <v>0</v>
          </cell>
          <cell r="GJ908">
            <v>0</v>
          </cell>
          <cell r="GK908">
            <v>0</v>
          </cell>
          <cell r="GL908">
            <v>5994</v>
          </cell>
          <cell r="GN908">
            <v>0</v>
          </cell>
          <cell r="GO908">
            <v>0</v>
          </cell>
          <cell r="GP908">
            <v>0</v>
          </cell>
          <cell r="GQ908">
            <v>9.6804008735037801</v>
          </cell>
          <cell r="GR908">
            <v>0</v>
          </cell>
          <cell r="GS908">
            <v>0</v>
          </cell>
          <cell r="GT908">
            <v>0</v>
          </cell>
          <cell r="GU908">
            <v>0</v>
          </cell>
          <cell r="GV908">
            <v>0</v>
          </cell>
          <cell r="GW908">
            <v>187277</v>
          </cell>
          <cell r="GX908">
            <v>316694.74880310497</v>
          </cell>
          <cell r="GY908">
            <v>118619.34035227771</v>
          </cell>
          <cell r="GZ908">
            <v>103673.12843336398</v>
          </cell>
          <cell r="HA908">
            <v>0</v>
          </cell>
          <cell r="HB908">
            <v>0</v>
          </cell>
          <cell r="HC908">
            <v>0</v>
          </cell>
          <cell r="HD908">
            <v>0</v>
          </cell>
          <cell r="HE908">
            <v>0</v>
          </cell>
          <cell r="HF908">
            <v>0</v>
          </cell>
          <cell r="HG908">
            <v>187277</v>
          </cell>
          <cell r="HI908">
            <v>0</v>
          </cell>
          <cell r="HJ908">
            <v>0</v>
          </cell>
          <cell r="HK908">
            <v>0</v>
          </cell>
          <cell r="HL908">
            <v>9.6804008735037801</v>
          </cell>
          <cell r="HM908">
            <v>0</v>
          </cell>
          <cell r="HN908">
            <v>0</v>
          </cell>
          <cell r="HO908">
            <v>0</v>
          </cell>
          <cell r="HP908">
            <v>0</v>
          </cell>
          <cell r="HQ908">
            <v>0</v>
          </cell>
          <cell r="HR908">
            <v>57495</v>
          </cell>
          <cell r="HS908">
            <v>186316.04006637589</v>
          </cell>
          <cell r="HT908">
            <v>47399.000487579462</v>
          </cell>
          <cell r="HU908">
            <v>12600</v>
          </cell>
          <cell r="HV908">
            <v>0</v>
          </cell>
          <cell r="HW908">
            <v>0</v>
          </cell>
          <cell r="HX908">
            <v>0</v>
          </cell>
          <cell r="HY908">
            <v>0</v>
          </cell>
          <cell r="HZ908">
            <v>0</v>
          </cell>
          <cell r="IA908">
            <v>0</v>
          </cell>
          <cell r="IB908">
            <v>57495</v>
          </cell>
        </row>
        <row r="909">
          <cell r="C909" t="str">
            <v>A0329</v>
          </cell>
          <cell r="D909" t="str">
            <v>PT Nirmala Agro Lestari</v>
          </cell>
          <cell r="E909" t="str">
            <v>PEB 2</v>
          </cell>
          <cell r="F909" t="str">
            <v>76PEB 2</v>
          </cell>
          <cell r="J909">
            <v>9.6804008735037801</v>
          </cell>
          <cell r="P909">
            <v>244178</v>
          </cell>
          <cell r="Q909">
            <v>460487.47701439774</v>
          </cell>
          <cell r="R909">
            <v>69621.40828781671</v>
          </cell>
          <cell r="S909">
            <v>0</v>
          </cell>
          <cell r="U909">
            <v>0</v>
          </cell>
          <cell r="W909">
            <v>-95677</v>
          </cell>
          <cell r="X909">
            <v>0</v>
          </cell>
          <cell r="Y909">
            <v>0</v>
          </cell>
          <cell r="Z909">
            <v>148501</v>
          </cell>
        </row>
        <row r="910">
          <cell r="C910" t="str">
            <v>A0329</v>
          </cell>
          <cell r="D910" t="str">
            <v>PT Nirmala Agro Lestari</v>
          </cell>
          <cell r="E910" t="str">
            <v>PEB 3</v>
          </cell>
          <cell r="F910" t="str">
            <v>76PEB 3</v>
          </cell>
          <cell r="J910">
            <v>0</v>
          </cell>
          <cell r="P910">
            <v>0</v>
          </cell>
          <cell r="U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</row>
        <row r="911">
          <cell r="C911" t="str">
            <v>A0329</v>
          </cell>
          <cell r="D911" t="str">
            <v>PT Nirmala Agro Lestari</v>
          </cell>
          <cell r="E911" t="str">
            <v>PEB 4</v>
          </cell>
          <cell r="F911" t="str">
            <v>76PEB 4</v>
          </cell>
          <cell r="J911">
            <v>9.7188589147221425</v>
          </cell>
          <cell r="P911">
            <v>497443</v>
          </cell>
          <cell r="Q911">
            <v>644644.91573848086</v>
          </cell>
          <cell r="R911">
            <v>148021.78253626966</v>
          </cell>
          <cell r="S911">
            <v>10973.243587153913</v>
          </cell>
          <cell r="U911">
            <v>0</v>
          </cell>
          <cell r="W911">
            <v>-354132</v>
          </cell>
          <cell r="X911">
            <v>0</v>
          </cell>
          <cell r="Y911">
            <v>0</v>
          </cell>
          <cell r="Z911">
            <v>143311</v>
          </cell>
        </row>
        <row r="912">
          <cell r="C912" t="str">
            <v>A0329</v>
          </cell>
          <cell r="D912" t="str">
            <v>PT Nirmala Agro Lestari</v>
          </cell>
          <cell r="E912" t="str">
            <v>PEB 5</v>
          </cell>
          <cell r="F912" t="str">
            <v>76PEB 5</v>
          </cell>
          <cell r="J912">
            <v>10.157370833150861</v>
          </cell>
          <cell r="P912">
            <v>20321</v>
          </cell>
          <cell r="U912">
            <v>0</v>
          </cell>
          <cell r="W912">
            <v>322813</v>
          </cell>
          <cell r="X912">
            <v>-2885</v>
          </cell>
          <cell r="Y912">
            <v>166</v>
          </cell>
          <cell r="Z912">
            <v>340249</v>
          </cell>
        </row>
        <row r="913">
          <cell r="C913" t="str">
            <v>A0329</v>
          </cell>
          <cell r="D913" t="str">
            <v>PT Nirmala Agro Lestari</v>
          </cell>
          <cell r="E913" t="str">
            <v>PEB 6</v>
          </cell>
          <cell r="F913" t="str">
            <v>76PEB 6</v>
          </cell>
          <cell r="J913">
            <v>0</v>
          </cell>
          <cell r="P913">
            <v>0</v>
          </cell>
          <cell r="U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</row>
        <row r="914">
          <cell r="C914" t="str">
            <v>A0329</v>
          </cell>
          <cell r="D914" t="str">
            <v>PT Nirmala Agro Lestari</v>
          </cell>
          <cell r="E914" t="str">
            <v>PEB 7</v>
          </cell>
          <cell r="F914" t="str">
            <v>76PEB 7</v>
          </cell>
          <cell r="J914">
            <v>9.6804008735037801</v>
          </cell>
          <cell r="P914">
            <v>25787</v>
          </cell>
          <cell r="Q914">
            <v>76416.759550186034</v>
          </cell>
          <cell r="R914">
            <v>15598.621360536994</v>
          </cell>
          <cell r="S914">
            <v>6906.5333658231339</v>
          </cell>
          <cell r="U914">
            <v>0</v>
          </cell>
          <cell r="W914">
            <v>-22701</v>
          </cell>
          <cell r="X914">
            <v>0</v>
          </cell>
          <cell r="Y914">
            <v>0</v>
          </cell>
          <cell r="Z914">
            <v>3086</v>
          </cell>
        </row>
        <row r="915">
          <cell r="C915" t="str">
            <v>A0329</v>
          </cell>
          <cell r="D915" t="str">
            <v>PT Nirmala Agro Lestari</v>
          </cell>
          <cell r="E915" t="str">
            <v>MPP</v>
          </cell>
          <cell r="F915" t="str">
            <v>76MPP</v>
          </cell>
          <cell r="J915">
            <v>0</v>
          </cell>
          <cell r="P915">
            <v>0</v>
          </cell>
          <cell r="Q915">
            <v>75900.545294391661</v>
          </cell>
          <cell r="R915">
            <v>12317.064193202894</v>
          </cell>
          <cell r="S915">
            <v>0</v>
          </cell>
          <cell r="U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</row>
        <row r="916">
          <cell r="C916" t="str">
            <v>A0329</v>
          </cell>
          <cell r="D916" t="str">
            <v>PT Nirmala Agro Lestari</v>
          </cell>
          <cell r="E916" t="str">
            <v>ID</v>
          </cell>
          <cell r="F916" t="str">
            <v>76ID</v>
          </cell>
          <cell r="J916">
            <v>9.6804008735037801</v>
          </cell>
          <cell r="P916">
            <v>5994</v>
          </cell>
          <cell r="Q916">
            <v>183366.3904311696</v>
          </cell>
          <cell r="R916">
            <v>33953.232148068644</v>
          </cell>
          <cell r="S916">
            <v>9996.4210588206333</v>
          </cell>
          <cell r="U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5994</v>
          </cell>
        </row>
        <row r="917">
          <cell r="C917" t="str">
            <v>A0329</v>
          </cell>
          <cell r="D917" t="str">
            <v>PT Nirmala Agro Lestari</v>
          </cell>
          <cell r="E917" t="str">
            <v>LL</v>
          </cell>
          <cell r="F917" t="str">
            <v>76LL</v>
          </cell>
          <cell r="J917">
            <v>9.6804008735037801</v>
          </cell>
          <cell r="P917">
            <v>187277</v>
          </cell>
          <cell r="Q917">
            <v>316694.74880310497</v>
          </cell>
          <cell r="R917">
            <v>118619.34035227771</v>
          </cell>
          <cell r="S917">
            <v>103673.12843336398</v>
          </cell>
          <cell r="U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187277</v>
          </cell>
        </row>
        <row r="918">
          <cell r="C918" t="str">
            <v>A0329</v>
          </cell>
          <cell r="D918" t="str">
            <v>PT Nirmala Agro Lestari</v>
          </cell>
          <cell r="E918" t="str">
            <v>PMK</v>
          </cell>
          <cell r="F918" t="str">
            <v>76PMK</v>
          </cell>
          <cell r="J918">
            <v>9.6804008735037801</v>
          </cell>
          <cell r="P918">
            <v>57495</v>
          </cell>
          <cell r="Q918">
            <v>186316.04006637589</v>
          </cell>
          <cell r="R918">
            <v>47399.000487579462</v>
          </cell>
          <cell r="S918">
            <v>12600</v>
          </cell>
          <cell r="U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57495</v>
          </cell>
        </row>
        <row r="920">
          <cell r="C920" t="str">
            <v>A0345</v>
          </cell>
          <cell r="D920" t="str">
            <v>PT Nusa Keihin Indonesia</v>
          </cell>
          <cell r="E920" t="str">
            <v>PEB 1</v>
          </cell>
          <cell r="F920" t="str">
            <v>77PEB 1</v>
          </cell>
          <cell r="G920">
            <v>0.1</v>
          </cell>
          <cell r="H920">
            <v>0.1</v>
          </cell>
          <cell r="I920">
            <v>0.09</v>
          </cell>
          <cell r="J920">
            <v>10.489346815182797</v>
          </cell>
          <cell r="K920">
            <v>13.256017406107439</v>
          </cell>
          <cell r="L920">
            <v>0</v>
          </cell>
          <cell r="N920">
            <v>5391</v>
          </cell>
          <cell r="O920">
            <v>4046.2560000000003</v>
          </cell>
          <cell r="P920">
            <v>165463.36991716753</v>
          </cell>
          <cell r="Q920">
            <v>279717.11206588137</v>
          </cell>
          <cell r="R920">
            <v>15360.981330048638</v>
          </cell>
          <cell r="S920">
            <v>1142.0646632917292</v>
          </cell>
          <cell r="U920">
            <v>-138070.50260505168</v>
          </cell>
          <cell r="V920">
            <v>128528.35200000001</v>
          </cell>
          <cell r="W920">
            <v>-36967.930122510006</v>
          </cell>
          <cell r="X920">
            <v>0</v>
          </cell>
          <cell r="Y920">
            <v>0</v>
          </cell>
          <cell r="Z920">
            <v>-9575.0628103941599</v>
          </cell>
          <cell r="AB920">
            <v>0.1</v>
          </cell>
          <cell r="AC920">
            <v>0</v>
          </cell>
          <cell r="AD920">
            <v>0.09</v>
          </cell>
          <cell r="AE920">
            <v>18.777143624683212</v>
          </cell>
          <cell r="AF920">
            <v>20.620245421618982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62363.525047004921</v>
          </cell>
          <cell r="AL920">
            <v>96435.208595483709</v>
          </cell>
          <cell r="AM920">
            <v>10247.68894123159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150530.92270350285</v>
          </cell>
          <cell r="AS920">
            <v>0</v>
          </cell>
          <cell r="AT920">
            <v>0</v>
          </cell>
          <cell r="AU920">
            <v>212894.44775050777</v>
          </cell>
          <cell r="AW920">
            <v>0.1</v>
          </cell>
          <cell r="AX920">
            <v>0</v>
          </cell>
          <cell r="AY920">
            <v>0.09</v>
          </cell>
          <cell r="AZ920">
            <v>18.777143624683212</v>
          </cell>
          <cell r="BA920">
            <v>13.256017406107439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12578.054557750158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51709.009194095212</v>
          </cell>
          <cell r="BN920">
            <v>-621.31480849990362</v>
          </cell>
          <cell r="BO920">
            <v>511.06209166249602</v>
          </cell>
          <cell r="BP920">
            <v>63665.748943345461</v>
          </cell>
          <cell r="BR920">
            <v>0.1</v>
          </cell>
          <cell r="BS920">
            <v>0</v>
          </cell>
          <cell r="BT920">
            <v>0.09</v>
          </cell>
          <cell r="BU920">
            <v>18.777143624683212</v>
          </cell>
          <cell r="BV920">
            <v>21.310641798073185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101101.87555461485</v>
          </cell>
          <cell r="CB920">
            <v>51864.445296281978</v>
          </cell>
          <cell r="CC920">
            <v>6581.7987822987452</v>
          </cell>
          <cell r="CD920">
            <v>6432.4533416961467</v>
          </cell>
          <cell r="CE920">
            <v>0</v>
          </cell>
          <cell r="CF920">
            <v>0</v>
          </cell>
          <cell r="CG920">
            <v>0</v>
          </cell>
          <cell r="CH920">
            <v>156585.98452341728</v>
          </cell>
          <cell r="CI920">
            <v>-2394.6957800791774</v>
          </cell>
          <cell r="CJ920">
            <v>1969.7554565252362</v>
          </cell>
          <cell r="CK920">
            <v>255293.16429795296</v>
          </cell>
          <cell r="CM920">
            <v>0</v>
          </cell>
          <cell r="CN920">
            <v>0</v>
          </cell>
          <cell r="CO920">
            <v>0</v>
          </cell>
          <cell r="CP920">
            <v>0</v>
          </cell>
          <cell r="CQ920">
            <v>0</v>
          </cell>
          <cell r="CR920">
            <v>0</v>
          </cell>
          <cell r="CS920">
            <v>0</v>
          </cell>
          <cell r="CT920">
            <v>0</v>
          </cell>
          <cell r="CU920">
            <v>0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  <cell r="DD920">
            <v>0</v>
          </cell>
          <cell r="DE920">
            <v>0</v>
          </cell>
          <cell r="DF920">
            <v>0</v>
          </cell>
          <cell r="DH920">
            <v>0</v>
          </cell>
          <cell r="DI920">
            <v>0</v>
          </cell>
          <cell r="DJ920">
            <v>0</v>
          </cell>
          <cell r="DK920">
            <v>0</v>
          </cell>
          <cell r="DL920">
            <v>0</v>
          </cell>
          <cell r="DM920">
            <v>0</v>
          </cell>
          <cell r="DN920">
            <v>0</v>
          </cell>
          <cell r="DO920">
            <v>0</v>
          </cell>
          <cell r="DP920">
            <v>0</v>
          </cell>
          <cell r="DQ920">
            <v>0</v>
          </cell>
          <cell r="DR920">
            <v>0</v>
          </cell>
          <cell r="DS920">
            <v>0</v>
          </cell>
          <cell r="DT920">
            <v>0</v>
          </cell>
          <cell r="DU920">
            <v>0</v>
          </cell>
          <cell r="DV920">
            <v>0</v>
          </cell>
          <cell r="DW920">
            <v>0</v>
          </cell>
          <cell r="DX920">
            <v>0</v>
          </cell>
          <cell r="DY920">
            <v>0</v>
          </cell>
          <cell r="DZ920">
            <v>0</v>
          </cell>
          <cell r="EA920">
            <v>0</v>
          </cell>
          <cell r="EC920">
            <v>0.1</v>
          </cell>
          <cell r="ED920">
            <v>0</v>
          </cell>
          <cell r="EE920">
            <v>0.09</v>
          </cell>
          <cell r="EF920">
            <v>18.777143624683212</v>
          </cell>
          <cell r="EG920">
            <v>20.620245421618982</v>
          </cell>
          <cell r="EH920">
            <v>0</v>
          </cell>
          <cell r="EI920">
            <v>0</v>
          </cell>
          <cell r="EJ920">
            <v>0</v>
          </cell>
          <cell r="EK920">
            <v>0</v>
          </cell>
          <cell r="EL920">
            <v>17948.956574719712</v>
          </cell>
          <cell r="EM920">
            <v>44075.416311185923</v>
          </cell>
          <cell r="EN920">
            <v>5287.6377209207067</v>
          </cell>
          <cell r="EO920">
            <v>4456.823596233161</v>
          </cell>
          <cell r="EP920">
            <v>0</v>
          </cell>
          <cell r="EQ920">
            <v>0</v>
          </cell>
          <cell r="ER920">
            <v>0</v>
          </cell>
          <cell r="ES920">
            <v>50581.610369779512</v>
          </cell>
          <cell r="ET920">
            <v>0</v>
          </cell>
          <cell r="EU920">
            <v>0</v>
          </cell>
          <cell r="EV920">
            <v>68530.566944499224</v>
          </cell>
          <cell r="EX920">
            <v>0.1</v>
          </cell>
          <cell r="EY920">
            <v>0</v>
          </cell>
          <cell r="EZ920">
            <v>0.09</v>
          </cell>
          <cell r="FA920">
            <v>18.777143624683212</v>
          </cell>
          <cell r="FB920">
            <v>20.620245421618982</v>
          </cell>
          <cell r="FC920">
            <v>0</v>
          </cell>
          <cell r="FD920">
            <v>0</v>
          </cell>
          <cell r="FE920">
            <v>0</v>
          </cell>
          <cell r="FF920">
            <v>0</v>
          </cell>
          <cell r="FG920">
            <v>19675.638360077643</v>
          </cell>
          <cell r="FH920">
            <v>24987.209788043871</v>
          </cell>
          <cell r="FI920">
            <v>2438.2936406555482</v>
          </cell>
          <cell r="FJ920">
            <v>0</v>
          </cell>
          <cell r="FK920">
            <v>0</v>
          </cell>
          <cell r="FL920">
            <v>0</v>
          </cell>
          <cell r="FM920">
            <v>0</v>
          </cell>
          <cell r="FN920">
            <v>-1125.8327607189453</v>
          </cell>
          <cell r="FO920">
            <v>-9302.6995850836975</v>
          </cell>
          <cell r="FP920">
            <v>596.91729659467205</v>
          </cell>
          <cell r="FQ920">
            <v>9247.1060142749993</v>
          </cell>
          <cell r="FS920">
            <v>0.1</v>
          </cell>
          <cell r="FT920">
            <v>0</v>
          </cell>
          <cell r="FU920">
            <v>0.09</v>
          </cell>
          <cell r="FV920">
            <v>18.777143624683212</v>
          </cell>
          <cell r="FW920">
            <v>20.620245421618982</v>
          </cell>
          <cell r="FX920">
            <v>0</v>
          </cell>
          <cell r="FY920">
            <v>0</v>
          </cell>
          <cell r="FZ920">
            <v>0</v>
          </cell>
          <cell r="GA920">
            <v>0</v>
          </cell>
          <cell r="GB920">
            <v>95730.250515408756</v>
          </cell>
          <cell r="GC920">
            <v>74566.941460622038</v>
          </cell>
          <cell r="GD920">
            <v>7992.770841483104</v>
          </cell>
          <cell r="GE920">
            <v>3353.7543193918546</v>
          </cell>
          <cell r="GF920">
            <v>0</v>
          </cell>
          <cell r="GG920">
            <v>0</v>
          </cell>
          <cell r="GH920">
            <v>0</v>
          </cell>
          <cell r="GI920">
            <v>252244.63889452667</v>
          </cell>
          <cell r="GJ920">
            <v>0</v>
          </cell>
          <cell r="GK920">
            <v>0</v>
          </cell>
          <cell r="GL920">
            <v>347974.88940993539</v>
          </cell>
          <cell r="GN920">
            <v>0.1</v>
          </cell>
          <cell r="GO920">
            <v>0</v>
          </cell>
          <cell r="GP920">
            <v>0.09</v>
          </cell>
          <cell r="GQ920">
            <v>18.777143624683212</v>
          </cell>
          <cell r="GR920">
            <v>20.620245421618982</v>
          </cell>
          <cell r="GS920">
            <v>0</v>
          </cell>
          <cell r="GT920">
            <v>0</v>
          </cell>
          <cell r="GU920">
            <v>0</v>
          </cell>
          <cell r="GV920">
            <v>0</v>
          </cell>
          <cell r="GW920">
            <v>57569.675074421073</v>
          </cell>
          <cell r="GX920">
            <v>141086.68846514297</v>
          </cell>
          <cell r="GY920">
            <v>33294.493640012966</v>
          </cell>
          <cell r="GZ920">
            <v>21695.655942142537</v>
          </cell>
          <cell r="HA920">
            <v>0</v>
          </cell>
          <cell r="HB920">
            <v>0</v>
          </cell>
          <cell r="HC920">
            <v>0</v>
          </cell>
          <cell r="HD920">
            <v>0</v>
          </cell>
          <cell r="HE920">
            <v>0</v>
          </cell>
          <cell r="HF920">
            <v>0</v>
          </cell>
          <cell r="HG920">
            <v>57569.675074421073</v>
          </cell>
          <cell r="HI920">
            <v>0.1</v>
          </cell>
          <cell r="HJ920">
            <v>0</v>
          </cell>
          <cell r="HK920">
            <v>0.09</v>
          </cell>
          <cell r="HL920">
            <v>18.777143624683212</v>
          </cell>
          <cell r="HM920">
            <v>20.620245421618982</v>
          </cell>
          <cell r="HN920">
            <v>0</v>
          </cell>
          <cell r="HO920">
            <v>0</v>
          </cell>
          <cell r="HP920">
            <v>0</v>
          </cell>
          <cell r="HQ920">
            <v>0</v>
          </cell>
          <cell r="HR920">
            <v>295759.10477630259</v>
          </cell>
          <cell r="HS920">
            <v>234595.02877487574</v>
          </cell>
          <cell r="HT920">
            <v>29701.657274011155</v>
          </cell>
          <cell r="HU920">
            <v>11050</v>
          </cell>
          <cell r="HV920">
            <v>0</v>
          </cell>
          <cell r="HW920">
            <v>0</v>
          </cell>
          <cell r="HX920">
            <v>0</v>
          </cell>
          <cell r="HY920">
            <v>0</v>
          </cell>
          <cell r="HZ920">
            <v>0</v>
          </cell>
          <cell r="IA920">
            <v>0</v>
          </cell>
          <cell r="IB920">
            <v>295759.10477630259</v>
          </cell>
        </row>
        <row r="921">
          <cell r="C921" t="str">
            <v>A0345</v>
          </cell>
          <cell r="D921" t="str">
            <v>PT Nusa Keihin Indonesia</v>
          </cell>
          <cell r="E921" t="str">
            <v>PEB 2</v>
          </cell>
          <cell r="F921" t="str">
            <v>77PEB 2</v>
          </cell>
          <cell r="G921">
            <v>0.1</v>
          </cell>
          <cell r="I921">
            <v>0.09</v>
          </cell>
          <cell r="J921">
            <v>18.777143624683212</v>
          </cell>
          <cell r="K921">
            <v>20.620245421618982</v>
          </cell>
          <cell r="P921">
            <v>62363.525047004921</v>
          </cell>
          <cell r="Q921">
            <v>96435.208595483709</v>
          </cell>
          <cell r="R921">
            <v>10247.68894123159</v>
          </cell>
          <cell r="S921">
            <v>0</v>
          </cell>
          <cell r="U921">
            <v>0</v>
          </cell>
          <cell r="W921">
            <v>150530.92270350285</v>
          </cell>
          <cell r="X921">
            <v>0</v>
          </cell>
          <cell r="Y921">
            <v>0</v>
          </cell>
          <cell r="Z921">
            <v>212894.44775050777</v>
          </cell>
        </row>
        <row r="922">
          <cell r="C922" t="str">
            <v>A0345</v>
          </cell>
          <cell r="D922" t="str">
            <v>PT Nusa Keihin Indonesia</v>
          </cell>
          <cell r="E922" t="str">
            <v>PEB 3</v>
          </cell>
          <cell r="F922" t="str">
            <v>77PEB 3</v>
          </cell>
          <cell r="G922">
            <v>0.1</v>
          </cell>
          <cell r="I922">
            <v>0.09</v>
          </cell>
          <cell r="J922">
            <v>18.777143624683212</v>
          </cell>
          <cell r="K922">
            <v>13.256017406107439</v>
          </cell>
          <cell r="P922">
            <v>12578.054557750158</v>
          </cell>
          <cell r="Q922">
            <v>0</v>
          </cell>
          <cell r="R922">
            <v>0</v>
          </cell>
          <cell r="S922">
            <v>0</v>
          </cell>
          <cell r="U922">
            <v>0</v>
          </cell>
          <cell r="W922">
            <v>51709.009194095212</v>
          </cell>
          <cell r="X922">
            <v>-621.31480849990362</v>
          </cell>
          <cell r="Y922">
            <v>511.06209166249602</v>
          </cell>
          <cell r="Z922">
            <v>63665.748943345461</v>
          </cell>
        </row>
        <row r="923">
          <cell r="C923" t="str">
            <v>A0345</v>
          </cell>
          <cell r="D923" t="str">
            <v>PT Nusa Keihin Indonesia</v>
          </cell>
          <cell r="E923" t="str">
            <v>PEB 4</v>
          </cell>
          <cell r="F923" t="str">
            <v>77PEB 4</v>
          </cell>
          <cell r="G923">
            <v>0.1</v>
          </cell>
          <cell r="I923">
            <v>0.09</v>
          </cell>
          <cell r="J923">
            <v>18.777143624683212</v>
          </cell>
          <cell r="K923">
            <v>21.310641798073185</v>
          </cell>
          <cell r="P923">
            <v>101101.87555461485</v>
          </cell>
          <cell r="Q923">
            <v>51864.445296281978</v>
          </cell>
          <cell r="R923">
            <v>6581.7987822987452</v>
          </cell>
          <cell r="S923">
            <v>6432.4533416961467</v>
          </cell>
          <cell r="U923">
            <v>0</v>
          </cell>
          <cell r="W923">
            <v>156585.98452341728</v>
          </cell>
          <cell r="X923">
            <v>-2394.6957800791774</v>
          </cell>
          <cell r="Y923">
            <v>1969.7554565252362</v>
          </cell>
          <cell r="Z923">
            <v>255293.16429795296</v>
          </cell>
        </row>
        <row r="924">
          <cell r="C924" t="str">
            <v>A0345</v>
          </cell>
          <cell r="D924" t="str">
            <v>PT Nusa Keihin Indonesia</v>
          </cell>
          <cell r="E924" t="str">
            <v>PEB 5</v>
          </cell>
          <cell r="F924" t="str">
            <v>77PEB 5</v>
          </cell>
          <cell r="P924">
            <v>0</v>
          </cell>
          <cell r="U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</row>
        <row r="925">
          <cell r="C925" t="str">
            <v>A0345</v>
          </cell>
          <cell r="D925" t="str">
            <v>PT Nusa Keihin Indonesia</v>
          </cell>
          <cell r="E925" t="str">
            <v>PEB 6</v>
          </cell>
          <cell r="F925" t="str">
            <v>77PEB 6</v>
          </cell>
          <cell r="P925">
            <v>0</v>
          </cell>
          <cell r="U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</row>
        <row r="926">
          <cell r="C926" t="str">
            <v>A0345</v>
          </cell>
          <cell r="D926" t="str">
            <v>PT Nusa Keihin Indonesia</v>
          </cell>
          <cell r="E926" t="str">
            <v>PEB 7</v>
          </cell>
          <cell r="F926" t="str">
            <v>77PEB 7</v>
          </cell>
          <cell r="G926">
            <v>0.1</v>
          </cell>
          <cell r="I926">
            <v>0.09</v>
          </cell>
          <cell r="J926">
            <v>18.777143624683212</v>
          </cell>
          <cell r="K926">
            <v>20.620245421618982</v>
          </cell>
          <cell r="P926">
            <v>17948.956574719712</v>
          </cell>
          <cell r="Q926">
            <v>44075.416311185923</v>
          </cell>
          <cell r="R926">
            <v>5287.6377209207067</v>
          </cell>
          <cell r="S926">
            <v>4456.823596233161</v>
          </cell>
          <cell r="U926">
            <v>0</v>
          </cell>
          <cell r="W926">
            <v>50581.610369779512</v>
          </cell>
          <cell r="X926">
            <v>0</v>
          </cell>
          <cell r="Y926">
            <v>0</v>
          </cell>
          <cell r="Z926">
            <v>68530.566944499224</v>
          </cell>
        </row>
        <row r="927">
          <cell r="C927" t="str">
            <v>A0345</v>
          </cell>
          <cell r="D927" t="str">
            <v>PT Nusa Keihin Indonesia</v>
          </cell>
          <cell r="E927" t="str">
            <v>MPP</v>
          </cell>
          <cell r="F927" t="str">
            <v>77MPP</v>
          </cell>
          <cell r="G927">
            <v>0.1</v>
          </cell>
          <cell r="I927">
            <v>0.09</v>
          </cell>
          <cell r="J927">
            <v>18.777143624683212</v>
          </cell>
          <cell r="K927">
            <v>20.620245421618982</v>
          </cell>
          <cell r="P927">
            <v>19675.638360077643</v>
          </cell>
          <cell r="Q927">
            <v>24987.209788043871</v>
          </cell>
          <cell r="R927">
            <v>2438.2936406555482</v>
          </cell>
          <cell r="S927">
            <v>0</v>
          </cell>
          <cell r="U927">
            <v>0</v>
          </cell>
          <cell r="W927">
            <v>-1125.8327607189453</v>
          </cell>
          <cell r="X927">
            <v>-9302.6995850836975</v>
          </cell>
          <cell r="Y927">
            <v>596.91729659467205</v>
          </cell>
          <cell r="Z927">
            <v>9247.1060142749993</v>
          </cell>
        </row>
        <row r="928">
          <cell r="C928" t="str">
            <v>A0345</v>
          </cell>
          <cell r="D928" t="str">
            <v>PT Nusa Keihin Indonesia</v>
          </cell>
          <cell r="E928" t="str">
            <v>ID</v>
          </cell>
          <cell r="F928" t="str">
            <v>77ID</v>
          </cell>
          <cell r="G928">
            <v>0.1</v>
          </cell>
          <cell r="I928">
            <v>0.09</v>
          </cell>
          <cell r="J928">
            <v>18.777143624683212</v>
          </cell>
          <cell r="K928">
            <v>20.620245421618982</v>
          </cell>
          <cell r="P928">
            <v>95730.250515408756</v>
          </cell>
          <cell r="Q928">
            <v>74566.941460622038</v>
          </cell>
          <cell r="R928">
            <v>7992.770841483104</v>
          </cell>
          <cell r="S928">
            <v>3353.7543193918546</v>
          </cell>
          <cell r="U928">
            <v>0</v>
          </cell>
          <cell r="W928">
            <v>252244.63889452667</v>
          </cell>
          <cell r="X928">
            <v>0</v>
          </cell>
          <cell r="Y928">
            <v>0</v>
          </cell>
          <cell r="Z928">
            <v>347974.88940993539</v>
          </cell>
        </row>
        <row r="929">
          <cell r="C929" t="str">
            <v>A0345</v>
          </cell>
          <cell r="D929" t="str">
            <v>PT Nusa Keihin Indonesia</v>
          </cell>
          <cell r="E929" t="str">
            <v>LL</v>
          </cell>
          <cell r="F929" t="str">
            <v>77LL</v>
          </cell>
          <cell r="G929">
            <v>0.1</v>
          </cell>
          <cell r="I929">
            <v>0.09</v>
          </cell>
          <cell r="J929">
            <v>18.777143624683212</v>
          </cell>
          <cell r="K929">
            <v>20.620245421618982</v>
          </cell>
          <cell r="P929">
            <v>57569.675074421073</v>
          </cell>
          <cell r="Q929">
            <v>141086.68846514297</v>
          </cell>
          <cell r="R929">
            <v>33294.493640012966</v>
          </cell>
          <cell r="S929">
            <v>21695.655942142537</v>
          </cell>
          <cell r="U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57569.675074421073</v>
          </cell>
        </row>
        <row r="930">
          <cell r="C930" t="str">
            <v>A0345</v>
          </cell>
          <cell r="D930" t="str">
            <v>PT Nusa Keihin Indonesia</v>
          </cell>
          <cell r="E930" t="str">
            <v>PMK</v>
          </cell>
          <cell r="F930" t="str">
            <v>77PMK</v>
          </cell>
          <cell r="G930">
            <v>0.1</v>
          </cell>
          <cell r="I930">
            <v>0.09</v>
          </cell>
          <cell r="J930">
            <v>18.777143624683212</v>
          </cell>
          <cell r="K930">
            <v>20.620245421618982</v>
          </cell>
          <cell r="P930">
            <v>295759.10477630259</v>
          </cell>
          <cell r="Q930">
            <v>234595.02877487574</v>
          </cell>
          <cell r="R930">
            <v>29701.657274011155</v>
          </cell>
          <cell r="S930">
            <v>11050</v>
          </cell>
          <cell r="U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295759.10477630259</v>
          </cell>
        </row>
        <row r="932">
          <cell r="C932" t="str">
            <v>A0231</v>
          </cell>
          <cell r="D932" t="str">
            <v>PT Pama Indo Mining</v>
          </cell>
          <cell r="E932" t="str">
            <v>PEB 1</v>
          </cell>
          <cell r="F932" t="str">
            <v>78PEB 1</v>
          </cell>
          <cell r="N932">
            <v>0</v>
          </cell>
          <cell r="O932">
            <v>0</v>
          </cell>
          <cell r="P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R932">
            <v>0.1</v>
          </cell>
          <cell r="BS932">
            <v>0</v>
          </cell>
          <cell r="BT932">
            <v>0.09</v>
          </cell>
          <cell r="BU932">
            <v>10.174935906673799</v>
          </cell>
          <cell r="BV932">
            <v>15.44423164253457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701068</v>
          </cell>
          <cell r="CB932">
            <v>1503624.1912703195</v>
          </cell>
          <cell r="CC932">
            <v>146379.82651963597</v>
          </cell>
          <cell r="CD932">
            <v>20092.196549866967</v>
          </cell>
          <cell r="CE932">
            <v>0</v>
          </cell>
          <cell r="CF932">
            <v>0</v>
          </cell>
          <cell r="CG932">
            <v>0</v>
          </cell>
          <cell r="CH932">
            <v>-44076</v>
          </cell>
          <cell r="CI932">
            <v>-114235</v>
          </cell>
          <cell r="CJ932">
            <v>6488</v>
          </cell>
          <cell r="CK932">
            <v>542757</v>
          </cell>
          <cell r="CM932">
            <v>0</v>
          </cell>
          <cell r="CN932">
            <v>0</v>
          </cell>
          <cell r="CO932">
            <v>0</v>
          </cell>
          <cell r="CP932">
            <v>0</v>
          </cell>
          <cell r="CQ932">
            <v>0</v>
          </cell>
          <cell r="CR932">
            <v>0</v>
          </cell>
          <cell r="CS932">
            <v>0</v>
          </cell>
          <cell r="CT932">
            <v>0</v>
          </cell>
          <cell r="CU932">
            <v>0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  <cell r="DD932">
            <v>0</v>
          </cell>
          <cell r="DE932">
            <v>0</v>
          </cell>
          <cell r="DF932">
            <v>0</v>
          </cell>
          <cell r="DH932">
            <v>0</v>
          </cell>
          <cell r="DI932">
            <v>0</v>
          </cell>
          <cell r="DJ932">
            <v>0</v>
          </cell>
          <cell r="DK932">
            <v>0</v>
          </cell>
          <cell r="DL932">
            <v>0</v>
          </cell>
          <cell r="DM932">
            <v>0</v>
          </cell>
          <cell r="DN932">
            <v>0</v>
          </cell>
          <cell r="DO932">
            <v>0</v>
          </cell>
          <cell r="DP932">
            <v>0</v>
          </cell>
          <cell r="DQ932">
            <v>0</v>
          </cell>
          <cell r="DR932">
            <v>0</v>
          </cell>
          <cell r="DS932">
            <v>0</v>
          </cell>
          <cell r="DT932">
            <v>0</v>
          </cell>
          <cell r="DU932">
            <v>0</v>
          </cell>
          <cell r="DV932">
            <v>0</v>
          </cell>
          <cell r="DW932">
            <v>0</v>
          </cell>
          <cell r="DX932">
            <v>0</v>
          </cell>
          <cell r="DY932">
            <v>0</v>
          </cell>
          <cell r="DZ932">
            <v>0</v>
          </cell>
          <cell r="EA932">
            <v>0</v>
          </cell>
          <cell r="EC932">
            <v>0.1</v>
          </cell>
          <cell r="ED932">
            <v>0</v>
          </cell>
          <cell r="EE932">
            <v>0.09</v>
          </cell>
          <cell r="EF932">
            <v>10.174935906673799</v>
          </cell>
          <cell r="EG932">
            <v>15.44423164253457</v>
          </cell>
          <cell r="EH932">
            <v>0</v>
          </cell>
          <cell r="EI932">
            <v>0</v>
          </cell>
          <cell r="EJ932">
            <v>0</v>
          </cell>
          <cell r="EK932">
            <v>0</v>
          </cell>
          <cell r="EL932">
            <v>10757</v>
          </cell>
          <cell r="EM932">
            <v>19064.381135907719</v>
          </cell>
          <cell r="EN932">
            <v>1993.9403275165814</v>
          </cell>
          <cell r="EO932">
            <v>2016.0613877891371</v>
          </cell>
          <cell r="EP932">
            <v>0</v>
          </cell>
          <cell r="EQ932">
            <v>0</v>
          </cell>
          <cell r="ER932">
            <v>0</v>
          </cell>
          <cell r="ES932">
            <v>-8059</v>
          </cell>
          <cell r="ET932">
            <v>0</v>
          </cell>
          <cell r="EU932">
            <v>0</v>
          </cell>
          <cell r="EV932">
            <v>2698</v>
          </cell>
          <cell r="EX932">
            <v>0</v>
          </cell>
          <cell r="EY932">
            <v>0</v>
          </cell>
          <cell r="EZ932">
            <v>0</v>
          </cell>
          <cell r="FA932">
            <v>0</v>
          </cell>
          <cell r="FB932">
            <v>0</v>
          </cell>
          <cell r="FC932">
            <v>0</v>
          </cell>
          <cell r="FD932">
            <v>0</v>
          </cell>
          <cell r="FE932">
            <v>0</v>
          </cell>
          <cell r="FF932">
            <v>0</v>
          </cell>
          <cell r="FG932">
            <v>0</v>
          </cell>
          <cell r="FH932">
            <v>0</v>
          </cell>
          <cell r="FI932">
            <v>0</v>
          </cell>
          <cell r="FJ932">
            <v>0</v>
          </cell>
          <cell r="FK932">
            <v>0</v>
          </cell>
          <cell r="FL932">
            <v>0</v>
          </cell>
          <cell r="FM932">
            <v>0</v>
          </cell>
          <cell r="FN932">
            <v>0</v>
          </cell>
          <cell r="FO932">
            <v>0</v>
          </cell>
          <cell r="FP932">
            <v>0</v>
          </cell>
          <cell r="FQ932">
            <v>0</v>
          </cell>
          <cell r="FS932">
            <v>0.1</v>
          </cell>
          <cell r="FT932">
            <v>0</v>
          </cell>
          <cell r="FU932">
            <v>0.09</v>
          </cell>
          <cell r="FV932">
            <v>10.174935906673799</v>
          </cell>
          <cell r="FW932">
            <v>15.44423164253457</v>
          </cell>
          <cell r="FX932">
            <v>0</v>
          </cell>
          <cell r="FY932">
            <v>0</v>
          </cell>
          <cell r="FZ932">
            <v>0</v>
          </cell>
          <cell r="GA932">
            <v>0</v>
          </cell>
          <cell r="GB932">
            <v>5232</v>
          </cell>
          <cell r="GC932">
            <v>178022.67567425256</v>
          </cell>
          <cell r="GD932">
            <v>17963.881067724549</v>
          </cell>
          <cell r="GE932">
            <v>11942.181472475495</v>
          </cell>
          <cell r="GF932">
            <v>0</v>
          </cell>
          <cell r="GG932">
            <v>0</v>
          </cell>
          <cell r="GH932">
            <v>0</v>
          </cell>
          <cell r="GI932">
            <v>0</v>
          </cell>
          <cell r="GJ932">
            <v>0</v>
          </cell>
          <cell r="GK932">
            <v>0</v>
          </cell>
          <cell r="GL932">
            <v>5232</v>
          </cell>
          <cell r="GN932">
            <v>0.1</v>
          </cell>
          <cell r="GO932">
            <v>0</v>
          </cell>
          <cell r="GP932">
            <v>0.09</v>
          </cell>
          <cell r="GQ932">
            <v>10.174935906673799</v>
          </cell>
          <cell r="GR932">
            <v>15.44423164253457</v>
          </cell>
          <cell r="GS932">
            <v>0</v>
          </cell>
          <cell r="GT932">
            <v>0</v>
          </cell>
          <cell r="GU932">
            <v>0</v>
          </cell>
          <cell r="GV932">
            <v>0</v>
          </cell>
          <cell r="GW932">
            <v>83156</v>
          </cell>
          <cell r="GX932">
            <v>180640</v>
          </cell>
          <cell r="GY932">
            <v>71202</v>
          </cell>
          <cell r="GZ932">
            <v>49037.031708571973</v>
          </cell>
          <cell r="HA932">
            <v>0</v>
          </cell>
          <cell r="HB932">
            <v>0</v>
          </cell>
          <cell r="HC932">
            <v>0</v>
          </cell>
          <cell r="HD932">
            <v>0</v>
          </cell>
          <cell r="HE932">
            <v>0</v>
          </cell>
          <cell r="HF932">
            <v>0</v>
          </cell>
          <cell r="HG932">
            <v>83156</v>
          </cell>
          <cell r="HI932">
            <v>0.1</v>
          </cell>
          <cell r="HJ932">
            <v>0</v>
          </cell>
          <cell r="HK932">
            <v>0.09</v>
          </cell>
          <cell r="HL932">
            <v>10.174935906673799</v>
          </cell>
          <cell r="HM932">
            <v>15.44423164253457</v>
          </cell>
          <cell r="HN932">
            <v>0</v>
          </cell>
          <cell r="HO932">
            <v>0</v>
          </cell>
          <cell r="HP932">
            <v>0</v>
          </cell>
          <cell r="HQ932">
            <v>0</v>
          </cell>
          <cell r="HR932">
            <v>139068</v>
          </cell>
          <cell r="HS932">
            <v>171972.70454529126</v>
          </cell>
          <cell r="HT932">
            <v>22934.150474073387</v>
          </cell>
          <cell r="HU932">
            <v>19249.75</v>
          </cell>
          <cell r="HV932">
            <v>0</v>
          </cell>
          <cell r="HW932">
            <v>0</v>
          </cell>
          <cell r="HX932">
            <v>0</v>
          </cell>
          <cell r="HY932">
            <v>0</v>
          </cell>
          <cell r="HZ932">
            <v>0</v>
          </cell>
          <cell r="IA932">
            <v>0</v>
          </cell>
          <cell r="IB932">
            <v>139068</v>
          </cell>
        </row>
        <row r="933">
          <cell r="C933" t="str">
            <v>A0231</v>
          </cell>
          <cell r="D933" t="str">
            <v>PT Pama Indo Mining</v>
          </cell>
          <cell r="E933" t="str">
            <v>PEB 2</v>
          </cell>
          <cell r="F933" t="str">
            <v>78PEB 2</v>
          </cell>
          <cell r="P933">
            <v>0</v>
          </cell>
          <cell r="U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</row>
        <row r="934">
          <cell r="C934" t="str">
            <v>A0231</v>
          </cell>
          <cell r="D934" t="str">
            <v>PT Pama Indo Mining</v>
          </cell>
          <cell r="E934" t="str">
            <v>PEB 3</v>
          </cell>
          <cell r="F934" t="str">
            <v>78PEB 3</v>
          </cell>
          <cell r="P934">
            <v>0</v>
          </cell>
          <cell r="U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</row>
        <row r="935">
          <cell r="C935" t="str">
            <v>A0231</v>
          </cell>
          <cell r="D935" t="str">
            <v>PT Pama Indo Mining</v>
          </cell>
          <cell r="E935" t="str">
            <v>PEB 4</v>
          </cell>
          <cell r="F935" t="str">
            <v>78PEB 4</v>
          </cell>
          <cell r="G935">
            <v>0.1</v>
          </cell>
          <cell r="I935">
            <v>0.09</v>
          </cell>
          <cell r="J935">
            <v>10.174935906673799</v>
          </cell>
          <cell r="K935">
            <v>15.44423164253457</v>
          </cell>
          <cell r="P935">
            <v>701068</v>
          </cell>
          <cell r="Q935">
            <v>1503624.1912703195</v>
          </cell>
          <cell r="R935">
            <v>146379.82651963597</v>
          </cell>
          <cell r="S935">
            <v>20092.196549866967</v>
          </cell>
          <cell r="U935">
            <v>0</v>
          </cell>
          <cell r="W935">
            <v>-44076</v>
          </cell>
          <cell r="X935">
            <v>-114235</v>
          </cell>
          <cell r="Y935">
            <v>6488</v>
          </cell>
          <cell r="Z935">
            <v>542757</v>
          </cell>
        </row>
        <row r="936">
          <cell r="C936" t="str">
            <v>A0231</v>
          </cell>
          <cell r="D936" t="str">
            <v>PT Pama Indo Mining</v>
          </cell>
          <cell r="E936" t="str">
            <v>PEB 5</v>
          </cell>
          <cell r="F936" t="str">
            <v>78PEB 5</v>
          </cell>
          <cell r="P936">
            <v>0</v>
          </cell>
          <cell r="U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</row>
        <row r="937">
          <cell r="C937" t="str">
            <v>A0231</v>
          </cell>
          <cell r="D937" t="str">
            <v>PT Pama Indo Mining</v>
          </cell>
          <cell r="E937" t="str">
            <v>PEB 6</v>
          </cell>
          <cell r="F937" t="str">
            <v>78PEB 6</v>
          </cell>
          <cell r="P937">
            <v>0</v>
          </cell>
          <cell r="U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</row>
        <row r="938">
          <cell r="C938" t="str">
            <v>A0231</v>
          </cell>
          <cell r="D938" t="str">
            <v>PT Pama Indo Mining</v>
          </cell>
          <cell r="E938" t="str">
            <v>PEB 7</v>
          </cell>
          <cell r="F938" t="str">
            <v>78PEB 7</v>
          </cell>
          <cell r="G938">
            <v>0.1</v>
          </cell>
          <cell r="I938">
            <v>0.09</v>
          </cell>
          <cell r="J938">
            <v>10.174935906673799</v>
          </cell>
          <cell r="K938">
            <v>15.44423164253457</v>
          </cell>
          <cell r="P938">
            <v>10757</v>
          </cell>
          <cell r="Q938">
            <v>19064.381135907719</v>
          </cell>
          <cell r="R938">
            <v>1993.9403275165814</v>
          </cell>
          <cell r="S938">
            <v>2016.0613877891371</v>
          </cell>
          <cell r="U938">
            <v>0</v>
          </cell>
          <cell r="W938">
            <v>-8059</v>
          </cell>
          <cell r="X938">
            <v>0</v>
          </cell>
          <cell r="Y938">
            <v>0</v>
          </cell>
          <cell r="Z938">
            <v>2698</v>
          </cell>
        </row>
        <row r="939">
          <cell r="C939" t="str">
            <v>A0231</v>
          </cell>
          <cell r="D939" t="str">
            <v>PT Pama Indo Mining</v>
          </cell>
          <cell r="E939" t="str">
            <v>MPP</v>
          </cell>
          <cell r="F939" t="str">
            <v>78MPP</v>
          </cell>
          <cell r="P939">
            <v>0</v>
          </cell>
          <cell r="U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</row>
        <row r="940">
          <cell r="C940" t="str">
            <v>A0231</v>
          </cell>
          <cell r="D940" t="str">
            <v>PT Pama Indo Mining</v>
          </cell>
          <cell r="E940" t="str">
            <v>ID</v>
          </cell>
          <cell r="F940" t="str">
            <v>78ID</v>
          </cell>
          <cell r="G940">
            <v>0.1</v>
          </cell>
          <cell r="I940">
            <v>0.09</v>
          </cell>
          <cell r="J940">
            <v>10.174935906673799</v>
          </cell>
          <cell r="K940">
            <v>15.44423164253457</v>
          </cell>
          <cell r="P940">
            <v>5232</v>
          </cell>
          <cell r="Q940">
            <v>178022.67567425256</v>
          </cell>
          <cell r="R940">
            <v>17963.881067724549</v>
          </cell>
          <cell r="S940">
            <v>11942.181472475495</v>
          </cell>
          <cell r="U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5232</v>
          </cell>
        </row>
        <row r="941">
          <cell r="C941" t="str">
            <v>A0231</v>
          </cell>
          <cell r="D941" t="str">
            <v>PT Pama Indo Mining</v>
          </cell>
          <cell r="E941" t="str">
            <v>LL</v>
          </cell>
          <cell r="F941" t="str">
            <v>78LL</v>
          </cell>
          <cell r="G941">
            <v>0.1</v>
          </cell>
          <cell r="I941">
            <v>0.09</v>
          </cell>
          <cell r="J941">
            <v>10.174935906673799</v>
          </cell>
          <cell r="K941">
            <v>15.44423164253457</v>
          </cell>
          <cell r="P941">
            <v>83156</v>
          </cell>
          <cell r="Q941">
            <v>180640</v>
          </cell>
          <cell r="R941">
            <v>71202</v>
          </cell>
          <cell r="S941">
            <v>49037.031708571973</v>
          </cell>
          <cell r="U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83156</v>
          </cell>
        </row>
        <row r="942">
          <cell r="C942" t="str">
            <v>A0231</v>
          </cell>
          <cell r="D942" t="str">
            <v>PT Pama Indo Mining</v>
          </cell>
          <cell r="E942" t="str">
            <v>PMK</v>
          </cell>
          <cell r="F942" t="str">
            <v>78PMK</v>
          </cell>
          <cell r="G942">
            <v>0.1</v>
          </cell>
          <cell r="I942">
            <v>0.09</v>
          </cell>
          <cell r="J942">
            <v>10.174935906673799</v>
          </cell>
          <cell r="K942">
            <v>15.44423164253457</v>
          </cell>
          <cell r="P942">
            <v>139068</v>
          </cell>
          <cell r="Q942">
            <v>171972.70454529126</v>
          </cell>
          <cell r="R942">
            <v>22934.150474073387</v>
          </cell>
          <cell r="S942">
            <v>19249.75</v>
          </cell>
          <cell r="U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139068</v>
          </cell>
        </row>
        <row r="944">
          <cell r="C944" t="str">
            <v>A0112</v>
          </cell>
          <cell r="D944" t="str">
            <v>PT Pama Persada Nusantara</v>
          </cell>
          <cell r="E944" t="str">
            <v>PEB 1</v>
          </cell>
          <cell r="F944" t="str">
            <v>79PEB 1</v>
          </cell>
          <cell r="G944">
            <v>0.1</v>
          </cell>
          <cell r="H944">
            <v>0.1</v>
          </cell>
          <cell r="I944">
            <v>0.09</v>
          </cell>
          <cell r="J944">
            <v>8.4240195997261242</v>
          </cell>
          <cell r="K944">
            <v>8.8580630664679294</v>
          </cell>
          <cell r="L944">
            <v>5627343</v>
          </cell>
          <cell r="N944">
            <v>7847818.3679999998</v>
          </cell>
          <cell r="O944">
            <v>792889.72</v>
          </cell>
          <cell r="P944">
            <v>50282606</v>
          </cell>
          <cell r="Q944">
            <v>65208348.642023802</v>
          </cell>
          <cell r="R944">
            <v>2729177.8632963877</v>
          </cell>
          <cell r="S944">
            <v>7181115.1203171555</v>
          </cell>
          <cell r="U944">
            <v>-32517554</v>
          </cell>
          <cell r="V944">
            <v>53052405.096000001</v>
          </cell>
          <cell r="W944">
            <v>-5117918</v>
          </cell>
          <cell r="X944">
            <v>0</v>
          </cell>
          <cell r="Y944">
            <v>0</v>
          </cell>
          <cell r="Z944">
            <v>12647134</v>
          </cell>
          <cell r="AB944">
            <v>0.1</v>
          </cell>
          <cell r="AC944">
            <v>0</v>
          </cell>
          <cell r="AD944">
            <v>0.09</v>
          </cell>
          <cell r="AE944">
            <v>9.8219560495122877</v>
          </cell>
          <cell r="AF944">
            <v>20.116564478605046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41302433</v>
          </cell>
          <cell r="AL944">
            <v>66689041.678274997</v>
          </cell>
          <cell r="AM944">
            <v>6626040.7970040115</v>
          </cell>
          <cell r="AN944">
            <v>3324924.01</v>
          </cell>
          <cell r="AO944">
            <v>0</v>
          </cell>
          <cell r="AP944">
            <v>0</v>
          </cell>
          <cell r="AQ944">
            <v>0</v>
          </cell>
          <cell r="AR944">
            <v>-11670735</v>
          </cell>
          <cell r="AS944">
            <v>-10895870</v>
          </cell>
          <cell r="AT944">
            <v>840787</v>
          </cell>
          <cell r="AU944">
            <v>18735828</v>
          </cell>
          <cell r="AW944">
            <v>0.1</v>
          </cell>
          <cell r="AX944">
            <v>0</v>
          </cell>
          <cell r="AY944">
            <v>0.09</v>
          </cell>
          <cell r="AZ944">
            <v>8.4240195997261242</v>
          </cell>
          <cell r="BA944">
            <v>8.8580630664679294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2597664</v>
          </cell>
          <cell r="BG944">
            <v>2994380.1669615027</v>
          </cell>
          <cell r="BH944">
            <v>145394.23226424959</v>
          </cell>
          <cell r="BI944">
            <v>92312.107980000073</v>
          </cell>
          <cell r="BJ944">
            <v>0</v>
          </cell>
          <cell r="BK944">
            <v>0</v>
          </cell>
          <cell r="BL944">
            <v>0</v>
          </cell>
          <cell r="BM944">
            <v>-2253783</v>
          </cell>
          <cell r="BN944">
            <v>0</v>
          </cell>
          <cell r="BO944">
            <v>0</v>
          </cell>
          <cell r="BP944">
            <v>343881</v>
          </cell>
          <cell r="BR944">
            <v>0.1</v>
          </cell>
          <cell r="BS944">
            <v>0</v>
          </cell>
          <cell r="BT944">
            <v>0.09</v>
          </cell>
          <cell r="BU944">
            <v>9.405147994973408</v>
          </cell>
          <cell r="BV944">
            <v>21.316523424305448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24408718</v>
          </cell>
          <cell r="CB944">
            <v>24430948.142121807</v>
          </cell>
          <cell r="CC944">
            <v>3218907.5537985568</v>
          </cell>
          <cell r="CD944">
            <v>3630654.2772583021</v>
          </cell>
          <cell r="CE944">
            <v>0</v>
          </cell>
          <cell r="CF944">
            <v>0</v>
          </cell>
          <cell r="CG944">
            <v>0</v>
          </cell>
          <cell r="CH944">
            <v>-6301559</v>
          </cell>
          <cell r="CI944">
            <v>-5270432</v>
          </cell>
          <cell r="CJ944">
            <v>295362</v>
          </cell>
          <cell r="CK944">
            <v>12836727</v>
          </cell>
          <cell r="CM944">
            <v>0.1</v>
          </cell>
          <cell r="CN944">
            <v>0</v>
          </cell>
          <cell r="CO944">
            <v>0.09</v>
          </cell>
          <cell r="CP944">
            <v>10.5667232785847</v>
          </cell>
          <cell r="CQ944">
            <v>18.895460743044641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  <cell r="CV944">
            <v>21833131</v>
          </cell>
          <cell r="CW944">
            <v>26173707</v>
          </cell>
          <cell r="CX944">
            <v>2915445</v>
          </cell>
          <cell r="CY944">
            <v>515832</v>
          </cell>
          <cell r="CZ944">
            <v>0</v>
          </cell>
          <cell r="DA944">
            <v>0</v>
          </cell>
          <cell r="DB944">
            <v>0</v>
          </cell>
          <cell r="DC944">
            <v>-12084101</v>
          </cell>
          <cell r="DD944">
            <v>0</v>
          </cell>
          <cell r="DE944">
            <v>0</v>
          </cell>
          <cell r="DF944">
            <v>9749030</v>
          </cell>
          <cell r="DH944">
            <v>0.1</v>
          </cell>
          <cell r="DI944">
            <v>0</v>
          </cell>
          <cell r="DJ944">
            <v>0.09</v>
          </cell>
          <cell r="DK944">
            <v>9.8219560495122877</v>
          </cell>
          <cell r="DL944">
            <v>0</v>
          </cell>
          <cell r="DM944">
            <v>0</v>
          </cell>
          <cell r="DN944">
            <v>0</v>
          </cell>
          <cell r="DO944">
            <v>0</v>
          </cell>
          <cell r="DP944">
            <v>0</v>
          </cell>
          <cell r="DQ944">
            <v>18210466</v>
          </cell>
          <cell r="DR944">
            <v>44776267.838727422</v>
          </cell>
          <cell r="DS944">
            <v>3839567.7402258944</v>
          </cell>
          <cell r="DT944">
            <v>3816949.1392499981</v>
          </cell>
          <cell r="DU944">
            <v>0</v>
          </cell>
          <cell r="DV944">
            <v>0</v>
          </cell>
          <cell r="DW944">
            <v>0</v>
          </cell>
          <cell r="DX944">
            <v>3794037</v>
          </cell>
          <cell r="DY944">
            <v>-10234913</v>
          </cell>
          <cell r="DZ944">
            <v>613338</v>
          </cell>
          <cell r="EA944">
            <v>11769590</v>
          </cell>
          <cell r="EC944">
            <v>0.1</v>
          </cell>
          <cell r="ED944">
            <v>0</v>
          </cell>
          <cell r="EE944">
            <v>0.09</v>
          </cell>
          <cell r="EF944">
            <v>9.8219560495122877</v>
          </cell>
          <cell r="EG944">
            <v>20.116564478605046</v>
          </cell>
          <cell r="EH944">
            <v>0</v>
          </cell>
          <cell r="EI944">
            <v>0</v>
          </cell>
          <cell r="EJ944">
            <v>0</v>
          </cell>
          <cell r="EK944">
            <v>0</v>
          </cell>
          <cell r="EL944">
            <v>3971635</v>
          </cell>
          <cell r="EM944">
            <v>7078336.2352085756</v>
          </cell>
          <cell r="EN944">
            <v>1469554.3394112827</v>
          </cell>
          <cell r="EO944">
            <v>704310.27618719218</v>
          </cell>
          <cell r="EP944">
            <v>0</v>
          </cell>
          <cell r="EQ944">
            <v>0</v>
          </cell>
          <cell r="ER944">
            <v>0</v>
          </cell>
          <cell r="ES944">
            <v>-3962235</v>
          </cell>
          <cell r="ET944">
            <v>0</v>
          </cell>
          <cell r="EU944">
            <v>0</v>
          </cell>
          <cell r="EV944">
            <v>9400</v>
          </cell>
          <cell r="EX944">
            <v>0.1</v>
          </cell>
          <cell r="EY944">
            <v>0</v>
          </cell>
          <cell r="EZ944">
            <v>0.09</v>
          </cell>
          <cell r="FA944">
            <v>9.8219560495122877</v>
          </cell>
          <cell r="FB944">
            <v>20.116564478605046</v>
          </cell>
          <cell r="FC944">
            <v>0</v>
          </cell>
          <cell r="FD944">
            <v>0</v>
          </cell>
          <cell r="FE944">
            <v>0</v>
          </cell>
          <cell r="FF944">
            <v>0</v>
          </cell>
          <cell r="FG944">
            <v>0</v>
          </cell>
          <cell r="FH944">
            <v>15242878.602629689</v>
          </cell>
          <cell r="FI944">
            <v>1528171.6538566444</v>
          </cell>
          <cell r="FJ944">
            <v>837780.54</v>
          </cell>
          <cell r="FK944">
            <v>0</v>
          </cell>
          <cell r="FL944">
            <v>0</v>
          </cell>
          <cell r="FM944">
            <v>0</v>
          </cell>
          <cell r="FN944">
            <v>0</v>
          </cell>
          <cell r="FO944">
            <v>0</v>
          </cell>
          <cell r="FP944">
            <v>0</v>
          </cell>
          <cell r="FQ944">
            <v>0</v>
          </cell>
          <cell r="FS944">
            <v>0.1</v>
          </cell>
          <cell r="FT944">
            <v>0</v>
          </cell>
          <cell r="FU944">
            <v>0.09</v>
          </cell>
          <cell r="FV944">
            <v>9.8219560495122877</v>
          </cell>
          <cell r="FW944">
            <v>20.116564478605046</v>
          </cell>
          <cell r="FX944">
            <v>0</v>
          </cell>
          <cell r="FY944">
            <v>0</v>
          </cell>
          <cell r="FZ944">
            <v>0</v>
          </cell>
          <cell r="GA944">
            <v>0</v>
          </cell>
          <cell r="GB944">
            <v>1024593</v>
          </cell>
          <cell r="GC944">
            <v>15114904.303916276</v>
          </cell>
          <cell r="GD944">
            <v>2214573.9305533655</v>
          </cell>
          <cell r="GE944">
            <v>1153934.6620037525</v>
          </cell>
          <cell r="GF944">
            <v>0</v>
          </cell>
          <cell r="GG944">
            <v>0</v>
          </cell>
          <cell r="GH944">
            <v>0</v>
          </cell>
          <cell r="GI944">
            <v>0</v>
          </cell>
          <cell r="GJ944">
            <v>0</v>
          </cell>
          <cell r="GK944">
            <v>0</v>
          </cell>
          <cell r="GL944">
            <v>1024593</v>
          </cell>
          <cell r="GN944">
            <v>0.1</v>
          </cell>
          <cell r="GO944">
            <v>0</v>
          </cell>
          <cell r="GP944">
            <v>0.09</v>
          </cell>
          <cell r="GQ944">
            <v>9.8219560495122877</v>
          </cell>
          <cell r="GR944">
            <v>20.116564478605046</v>
          </cell>
          <cell r="GS944">
            <v>0</v>
          </cell>
          <cell r="GT944">
            <v>0</v>
          </cell>
          <cell r="GU944">
            <v>0</v>
          </cell>
          <cell r="GV944">
            <v>0</v>
          </cell>
          <cell r="GW944">
            <v>17475183</v>
          </cell>
          <cell r="GX944">
            <v>21596467</v>
          </cell>
          <cell r="GY944">
            <v>8560914</v>
          </cell>
          <cell r="GZ944">
            <v>7062119.9213934988</v>
          </cell>
          <cell r="HA944">
            <v>0</v>
          </cell>
          <cell r="HB944">
            <v>0</v>
          </cell>
          <cell r="HC944">
            <v>0</v>
          </cell>
          <cell r="HD944">
            <v>0</v>
          </cell>
          <cell r="HE944">
            <v>0</v>
          </cell>
          <cell r="HF944">
            <v>0</v>
          </cell>
          <cell r="HG944">
            <v>17475183</v>
          </cell>
          <cell r="HI944">
            <v>0.1</v>
          </cell>
          <cell r="HJ944">
            <v>0</v>
          </cell>
          <cell r="HK944">
            <v>0.09</v>
          </cell>
          <cell r="HL944">
            <v>9.8219560495122877</v>
          </cell>
          <cell r="HM944">
            <v>20.116564478605046</v>
          </cell>
          <cell r="HN944">
            <v>0</v>
          </cell>
          <cell r="HO944">
            <v>0</v>
          </cell>
          <cell r="HP944">
            <v>0</v>
          </cell>
          <cell r="HQ944">
            <v>0</v>
          </cell>
          <cell r="HR944">
            <v>26720537</v>
          </cell>
          <cell r="HS944">
            <v>58105122.297451198</v>
          </cell>
          <cell r="HT944">
            <v>10718318.554271219</v>
          </cell>
          <cell r="HU944">
            <v>2744660.5</v>
          </cell>
          <cell r="HV944">
            <v>0</v>
          </cell>
          <cell r="HW944">
            <v>0</v>
          </cell>
          <cell r="HX944">
            <v>0</v>
          </cell>
          <cell r="HY944">
            <v>0</v>
          </cell>
          <cell r="HZ944">
            <v>0</v>
          </cell>
          <cell r="IA944">
            <v>0</v>
          </cell>
          <cell r="IB944">
            <v>26720537</v>
          </cell>
        </row>
        <row r="945">
          <cell r="C945" t="str">
            <v>A0112</v>
          </cell>
          <cell r="D945" t="str">
            <v>PT Pama Persada Nusantara</v>
          </cell>
          <cell r="E945" t="str">
            <v>PEB 2</v>
          </cell>
          <cell r="F945" t="str">
            <v>79PEB 2</v>
          </cell>
          <cell r="G945">
            <v>0.1</v>
          </cell>
          <cell r="I945">
            <v>0.09</v>
          </cell>
          <cell r="J945">
            <v>9.8219560495122877</v>
          </cell>
          <cell r="K945">
            <v>20.116564478605046</v>
          </cell>
          <cell r="P945">
            <v>41302433</v>
          </cell>
          <cell r="Q945">
            <v>66689041.678274997</v>
          </cell>
          <cell r="R945">
            <v>6626040.7970040115</v>
          </cell>
          <cell r="S945">
            <v>3324924.01</v>
          </cell>
          <cell r="U945">
            <v>0</v>
          </cell>
          <cell r="W945">
            <v>-11670735</v>
          </cell>
          <cell r="X945">
            <v>-10895870</v>
          </cell>
          <cell r="Y945">
            <v>840787</v>
          </cell>
          <cell r="Z945">
            <v>18735828</v>
          </cell>
        </row>
        <row r="946">
          <cell r="C946" t="str">
            <v>A0112</v>
          </cell>
          <cell r="D946" t="str">
            <v>PT Pama Persada Nusantara</v>
          </cell>
          <cell r="E946" t="str">
            <v>PEB 3</v>
          </cell>
          <cell r="F946" t="str">
            <v>79PEB 3</v>
          </cell>
          <cell r="G946">
            <v>0.1</v>
          </cell>
          <cell r="I946">
            <v>0.09</v>
          </cell>
          <cell r="J946">
            <v>8.4240195997261242</v>
          </cell>
          <cell r="K946">
            <v>8.8580630664679294</v>
          </cell>
          <cell r="P946">
            <v>2597664</v>
          </cell>
          <cell r="Q946">
            <v>2994380.1669615027</v>
          </cell>
          <cell r="R946">
            <v>145394.23226424959</v>
          </cell>
          <cell r="S946">
            <v>92312.107980000073</v>
          </cell>
          <cell r="U946">
            <v>0</v>
          </cell>
          <cell r="W946">
            <v>-2253783</v>
          </cell>
          <cell r="X946">
            <v>0</v>
          </cell>
          <cell r="Y946">
            <v>0</v>
          </cell>
          <cell r="Z946">
            <v>343881</v>
          </cell>
        </row>
        <row r="947">
          <cell r="C947" t="str">
            <v>A0112</v>
          </cell>
          <cell r="D947" t="str">
            <v>PT Pama Persada Nusantara</v>
          </cell>
          <cell r="E947" t="str">
            <v>PEB 4</v>
          </cell>
          <cell r="F947" t="str">
            <v>79PEB 4</v>
          </cell>
          <cell r="G947">
            <v>0.1</v>
          </cell>
          <cell r="I947">
            <v>0.09</v>
          </cell>
          <cell r="J947">
            <v>9.405147994973408</v>
          </cell>
          <cell r="K947">
            <v>21.316523424305448</v>
          </cell>
          <cell r="P947">
            <v>24408718</v>
          </cell>
          <cell r="Q947">
            <v>24430948.142121807</v>
          </cell>
          <cell r="R947">
            <v>3218907.5537985568</v>
          </cell>
          <cell r="S947">
            <v>3630654.2772583021</v>
          </cell>
          <cell r="U947">
            <v>0</v>
          </cell>
          <cell r="W947">
            <v>-6301559</v>
          </cell>
          <cell r="X947">
            <v>-5270432</v>
          </cell>
          <cell r="Y947">
            <v>295362</v>
          </cell>
          <cell r="Z947">
            <v>12836727</v>
          </cell>
        </row>
        <row r="948">
          <cell r="C948" t="str">
            <v>A0112</v>
          </cell>
          <cell r="D948" t="str">
            <v>PT Pama Persada Nusantara</v>
          </cell>
          <cell r="E948" t="str">
            <v>PEB 5</v>
          </cell>
          <cell r="F948" t="str">
            <v>79PEB 5</v>
          </cell>
          <cell r="G948">
            <v>0.1</v>
          </cell>
          <cell r="I948">
            <v>0.09</v>
          </cell>
          <cell r="J948">
            <v>10.5667232785847</v>
          </cell>
          <cell r="K948">
            <v>18.895460743044641</v>
          </cell>
          <cell r="P948">
            <v>21833131</v>
          </cell>
          <cell r="Q948">
            <v>26173707</v>
          </cell>
          <cell r="R948">
            <v>2915445</v>
          </cell>
          <cell r="S948">
            <v>515832</v>
          </cell>
          <cell r="U948">
            <v>0</v>
          </cell>
          <cell r="W948">
            <v>-12084101</v>
          </cell>
          <cell r="X948">
            <v>0</v>
          </cell>
          <cell r="Y948">
            <v>0</v>
          </cell>
          <cell r="Z948">
            <v>9749030</v>
          </cell>
        </row>
        <row r="949">
          <cell r="C949" t="str">
            <v>A0112</v>
          </cell>
          <cell r="D949" t="str">
            <v>PT Pama Persada Nusantara</v>
          </cell>
          <cell r="E949" t="str">
            <v>PEB 6</v>
          </cell>
          <cell r="F949" t="str">
            <v>79PEB 6</v>
          </cell>
          <cell r="G949">
            <v>0.1</v>
          </cell>
          <cell r="I949">
            <v>0.09</v>
          </cell>
          <cell r="J949">
            <v>9.8219560495122877</v>
          </cell>
          <cell r="P949">
            <v>18210466</v>
          </cell>
          <cell r="Q949">
            <v>44776267.838727422</v>
          </cell>
          <cell r="R949">
            <v>3839567.7402258944</v>
          </cell>
          <cell r="S949">
            <v>3816949.1392499981</v>
          </cell>
          <cell r="U949">
            <v>0</v>
          </cell>
          <cell r="W949">
            <v>3794037</v>
          </cell>
          <cell r="X949">
            <v>-10234913</v>
          </cell>
          <cell r="Y949">
            <v>613338</v>
          </cell>
          <cell r="Z949">
            <v>11769590</v>
          </cell>
        </row>
        <row r="950">
          <cell r="C950" t="str">
            <v>A0112</v>
          </cell>
          <cell r="D950" t="str">
            <v>PT Pama Persada Nusantara</v>
          </cell>
          <cell r="E950" t="str">
            <v>PEB 7</v>
          </cell>
          <cell r="F950" t="str">
            <v>79PEB 7</v>
          </cell>
          <cell r="G950">
            <v>0.1</v>
          </cell>
          <cell r="I950">
            <v>0.09</v>
          </cell>
          <cell r="J950">
            <v>9.8219560495122877</v>
          </cell>
          <cell r="K950">
            <v>20.116564478605046</v>
          </cell>
          <cell r="P950">
            <v>3971635</v>
          </cell>
          <cell r="Q950">
            <v>7078336.2352085756</v>
          </cell>
          <cell r="R950">
            <v>1469554.3394112827</v>
          </cell>
          <cell r="S950">
            <v>704310.27618719218</v>
          </cell>
          <cell r="U950">
            <v>0</v>
          </cell>
          <cell r="W950">
            <v>-3962235</v>
          </cell>
          <cell r="X950">
            <v>0</v>
          </cell>
          <cell r="Y950">
            <v>0</v>
          </cell>
          <cell r="Z950">
            <v>9400</v>
          </cell>
        </row>
        <row r="951">
          <cell r="C951" t="str">
            <v>A0112</v>
          </cell>
          <cell r="D951" t="str">
            <v>PT Pama Persada Nusantara</v>
          </cell>
          <cell r="E951" t="str">
            <v>MPP</v>
          </cell>
          <cell r="F951" t="str">
            <v>79MPP</v>
          </cell>
          <cell r="G951">
            <v>0.1</v>
          </cell>
          <cell r="I951">
            <v>0.09</v>
          </cell>
          <cell r="J951">
            <v>9.8219560495122877</v>
          </cell>
          <cell r="K951">
            <v>20.116564478605046</v>
          </cell>
          <cell r="P951">
            <v>0</v>
          </cell>
          <cell r="Q951">
            <v>15242878.602629689</v>
          </cell>
          <cell r="R951">
            <v>1528171.6538566444</v>
          </cell>
          <cell r="S951">
            <v>837780.54</v>
          </cell>
          <cell r="U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</row>
        <row r="952">
          <cell r="C952" t="str">
            <v>A0112</v>
          </cell>
          <cell r="D952" t="str">
            <v>PT Pama Persada Nusantara</v>
          </cell>
          <cell r="E952" t="str">
            <v>ID</v>
          </cell>
          <cell r="F952" t="str">
            <v>79ID</v>
          </cell>
          <cell r="G952">
            <v>0.1</v>
          </cell>
          <cell r="I952">
            <v>0.09</v>
          </cell>
          <cell r="J952">
            <v>9.8219560495122877</v>
          </cell>
          <cell r="K952">
            <v>20.116564478605046</v>
          </cell>
          <cell r="P952">
            <v>1024593</v>
          </cell>
          <cell r="Q952">
            <v>15114904.303916276</v>
          </cell>
          <cell r="R952">
            <v>2214573.9305533655</v>
          </cell>
          <cell r="S952">
            <v>1153934.6620037525</v>
          </cell>
          <cell r="U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1024593</v>
          </cell>
        </row>
        <row r="953">
          <cell r="C953" t="str">
            <v>A0112</v>
          </cell>
          <cell r="D953" t="str">
            <v>PT Pama Persada Nusantara</v>
          </cell>
          <cell r="E953" t="str">
            <v>LL</v>
          </cell>
          <cell r="F953" t="str">
            <v>79LL</v>
          </cell>
          <cell r="G953">
            <v>0.1</v>
          </cell>
          <cell r="I953">
            <v>0.09</v>
          </cell>
          <cell r="J953">
            <v>9.8219560495122877</v>
          </cell>
          <cell r="K953">
            <v>20.116564478605046</v>
          </cell>
          <cell r="P953">
            <v>17475183</v>
          </cell>
          <cell r="Q953">
            <v>21596467</v>
          </cell>
          <cell r="R953">
            <v>8560914</v>
          </cell>
          <cell r="S953">
            <v>7062119.9213934988</v>
          </cell>
          <cell r="U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17475183</v>
          </cell>
        </row>
        <row r="954">
          <cell r="C954" t="str">
            <v>A0112</v>
          </cell>
          <cell r="D954" t="str">
            <v>PT Pama Persada Nusantara</v>
          </cell>
          <cell r="E954" t="str">
            <v>PMK</v>
          </cell>
          <cell r="F954" t="str">
            <v>79PMK</v>
          </cell>
          <cell r="G954">
            <v>0.1</v>
          </cell>
          <cell r="I954">
            <v>0.09</v>
          </cell>
          <cell r="J954">
            <v>9.8219560495122877</v>
          </cell>
          <cell r="K954">
            <v>20.116564478605046</v>
          </cell>
          <cell r="P954">
            <v>26720537</v>
          </cell>
          <cell r="Q954">
            <v>58105122.297451198</v>
          </cell>
          <cell r="R954">
            <v>10718318.554271219</v>
          </cell>
          <cell r="S954">
            <v>2744660.5</v>
          </cell>
          <cell r="U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26720537</v>
          </cell>
        </row>
        <row r="956">
          <cell r="C956" t="str">
            <v>A0258</v>
          </cell>
          <cell r="D956" t="str">
            <v>PT Pandji Waringin</v>
          </cell>
          <cell r="E956" t="str">
            <v>PEB 1</v>
          </cell>
          <cell r="F956" t="str">
            <v>80PEB 1</v>
          </cell>
          <cell r="J956">
            <v>0</v>
          </cell>
          <cell r="N956">
            <v>0</v>
          </cell>
          <cell r="O956">
            <v>0</v>
          </cell>
          <cell r="P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9.521448829074858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127236</v>
          </cell>
          <cell r="AL956">
            <v>151486.58019638929</v>
          </cell>
          <cell r="AM956">
            <v>10600.921626894384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-79494</v>
          </cell>
          <cell r="AS956">
            <v>0</v>
          </cell>
          <cell r="AT956">
            <v>0</v>
          </cell>
          <cell r="AU956">
            <v>47742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9.521448829074858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162448</v>
          </cell>
          <cell r="CB956">
            <v>194604.82206874498</v>
          </cell>
          <cell r="CC956">
            <v>12425.392865618276</v>
          </cell>
          <cell r="CD956">
            <v>3719.8003727655964</v>
          </cell>
          <cell r="CE956">
            <v>0</v>
          </cell>
          <cell r="CF956">
            <v>0</v>
          </cell>
          <cell r="CG956">
            <v>0</v>
          </cell>
          <cell r="CH956">
            <v>-137538</v>
          </cell>
          <cell r="CI956">
            <v>-15515</v>
          </cell>
          <cell r="CJ956">
            <v>1195</v>
          </cell>
          <cell r="CK956">
            <v>9395</v>
          </cell>
          <cell r="CM956">
            <v>0</v>
          </cell>
          <cell r="CN956">
            <v>0</v>
          </cell>
          <cell r="CO956">
            <v>0</v>
          </cell>
          <cell r="CP956">
            <v>0</v>
          </cell>
          <cell r="CQ956">
            <v>0</v>
          </cell>
          <cell r="CR956">
            <v>0</v>
          </cell>
          <cell r="CS956">
            <v>0</v>
          </cell>
          <cell r="CT956">
            <v>0</v>
          </cell>
          <cell r="CU956">
            <v>0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  <cell r="DD956">
            <v>0</v>
          </cell>
          <cell r="DE956">
            <v>0</v>
          </cell>
          <cell r="DF956">
            <v>0</v>
          </cell>
          <cell r="DH956">
            <v>0</v>
          </cell>
          <cell r="DI956">
            <v>0</v>
          </cell>
          <cell r="DJ956">
            <v>0</v>
          </cell>
          <cell r="DK956">
            <v>0</v>
          </cell>
          <cell r="DL956">
            <v>0</v>
          </cell>
          <cell r="DM956">
            <v>0</v>
          </cell>
          <cell r="DN956">
            <v>0</v>
          </cell>
          <cell r="DO956">
            <v>0</v>
          </cell>
          <cell r="DP956">
            <v>0</v>
          </cell>
          <cell r="DQ956">
            <v>0</v>
          </cell>
          <cell r="DR956">
            <v>0</v>
          </cell>
          <cell r="DS956">
            <v>0</v>
          </cell>
          <cell r="DT956">
            <v>0</v>
          </cell>
          <cell r="DU956">
            <v>0</v>
          </cell>
          <cell r="DV956">
            <v>0</v>
          </cell>
          <cell r="DW956">
            <v>0</v>
          </cell>
          <cell r="DX956">
            <v>0</v>
          </cell>
          <cell r="DY956">
            <v>0</v>
          </cell>
          <cell r="DZ956">
            <v>0</v>
          </cell>
          <cell r="EA956">
            <v>0</v>
          </cell>
          <cell r="EC956">
            <v>0</v>
          </cell>
          <cell r="ED956">
            <v>0</v>
          </cell>
          <cell r="EE956">
            <v>0</v>
          </cell>
          <cell r="EF956">
            <v>9.521448829074858</v>
          </cell>
          <cell r="EG956">
            <v>0</v>
          </cell>
          <cell r="EH956">
            <v>0</v>
          </cell>
          <cell r="EI956">
            <v>0</v>
          </cell>
          <cell r="EJ956">
            <v>0</v>
          </cell>
          <cell r="EK956">
            <v>0</v>
          </cell>
          <cell r="EL956">
            <v>10888</v>
          </cell>
          <cell r="EM956">
            <v>12430.081010467044</v>
          </cell>
          <cell r="EN956">
            <v>961.22008128719392</v>
          </cell>
          <cell r="EO956">
            <v>1506.0430134296216</v>
          </cell>
          <cell r="EP956">
            <v>0</v>
          </cell>
          <cell r="EQ956">
            <v>0</v>
          </cell>
          <cell r="ER956">
            <v>0</v>
          </cell>
          <cell r="ES956">
            <v>-8146</v>
          </cell>
          <cell r="ET956">
            <v>0</v>
          </cell>
          <cell r="EU956">
            <v>0</v>
          </cell>
          <cell r="EV956">
            <v>2742</v>
          </cell>
          <cell r="EX956">
            <v>0</v>
          </cell>
          <cell r="EY956">
            <v>0</v>
          </cell>
          <cell r="EZ956">
            <v>0</v>
          </cell>
          <cell r="FA956">
            <v>0</v>
          </cell>
          <cell r="FB956">
            <v>0</v>
          </cell>
          <cell r="FC956">
            <v>0</v>
          </cell>
          <cell r="FD956">
            <v>0</v>
          </cell>
          <cell r="FE956">
            <v>0</v>
          </cell>
          <cell r="FF956">
            <v>0</v>
          </cell>
          <cell r="FG956">
            <v>0</v>
          </cell>
          <cell r="FH956">
            <v>24430.236186281065</v>
          </cell>
          <cell r="FI956">
            <v>1948.3304136557381</v>
          </cell>
          <cell r="FJ956">
            <v>0</v>
          </cell>
          <cell r="FK956">
            <v>0</v>
          </cell>
          <cell r="FL956">
            <v>0</v>
          </cell>
          <cell r="FM956">
            <v>0</v>
          </cell>
          <cell r="FN956">
            <v>0</v>
          </cell>
          <cell r="FO956">
            <v>0</v>
          </cell>
          <cell r="FP956">
            <v>0</v>
          </cell>
          <cell r="FQ956">
            <v>0</v>
          </cell>
          <cell r="FS956">
            <v>0</v>
          </cell>
          <cell r="FT956">
            <v>0</v>
          </cell>
          <cell r="FU956">
            <v>0</v>
          </cell>
          <cell r="FV956">
            <v>9.521448829074858</v>
          </cell>
          <cell r="FW956">
            <v>0</v>
          </cell>
          <cell r="FX956">
            <v>0</v>
          </cell>
          <cell r="FY956">
            <v>0</v>
          </cell>
          <cell r="FZ956">
            <v>0</v>
          </cell>
          <cell r="GA956">
            <v>0</v>
          </cell>
          <cell r="GB956">
            <v>2965</v>
          </cell>
          <cell r="GC956">
            <v>39865.9918236062</v>
          </cell>
          <cell r="GD956">
            <v>3502.782440015184</v>
          </cell>
          <cell r="GE956">
            <v>3496.3388135000519</v>
          </cell>
          <cell r="GF956">
            <v>0</v>
          </cell>
          <cell r="GG956">
            <v>0</v>
          </cell>
          <cell r="GH956">
            <v>0</v>
          </cell>
          <cell r="GI956">
            <v>0</v>
          </cell>
          <cell r="GJ956">
            <v>0</v>
          </cell>
          <cell r="GK956">
            <v>0</v>
          </cell>
          <cell r="GL956">
            <v>2965</v>
          </cell>
          <cell r="GN956">
            <v>0</v>
          </cell>
          <cell r="GO956">
            <v>0</v>
          </cell>
          <cell r="GP956">
            <v>0</v>
          </cell>
          <cell r="GQ956">
            <v>9.521448829074858</v>
          </cell>
          <cell r="GR956">
            <v>0</v>
          </cell>
          <cell r="GS956">
            <v>0</v>
          </cell>
          <cell r="GT956">
            <v>0</v>
          </cell>
          <cell r="GU956">
            <v>0</v>
          </cell>
          <cell r="GV956">
            <v>0</v>
          </cell>
          <cell r="GW956">
            <v>40995</v>
          </cell>
          <cell r="GX956">
            <v>47649.559562207018</v>
          </cell>
          <cell r="GY956">
            <v>15531.994918777851</v>
          </cell>
          <cell r="GZ956">
            <v>12940.653106050968</v>
          </cell>
          <cell r="HA956">
            <v>0</v>
          </cell>
          <cell r="HB956">
            <v>0</v>
          </cell>
          <cell r="HC956">
            <v>0</v>
          </cell>
          <cell r="HD956">
            <v>0</v>
          </cell>
          <cell r="HE956">
            <v>0</v>
          </cell>
          <cell r="HF956">
            <v>0</v>
          </cell>
          <cell r="HG956">
            <v>40995</v>
          </cell>
          <cell r="HI956">
            <v>0</v>
          </cell>
          <cell r="HJ956">
            <v>0</v>
          </cell>
          <cell r="HK956">
            <v>0</v>
          </cell>
          <cell r="HL956">
            <v>9.521448829074858</v>
          </cell>
          <cell r="HM956">
            <v>0</v>
          </cell>
          <cell r="HN956">
            <v>0</v>
          </cell>
          <cell r="HO956">
            <v>0</v>
          </cell>
          <cell r="HP956">
            <v>0</v>
          </cell>
          <cell r="HQ956">
            <v>0</v>
          </cell>
          <cell r="HR956">
            <v>43130</v>
          </cell>
          <cell r="HS956">
            <v>71606.639216785887</v>
          </cell>
          <cell r="HT956">
            <v>6378.8310995831534</v>
          </cell>
          <cell r="HU956">
            <v>4725</v>
          </cell>
          <cell r="HV956">
            <v>0</v>
          </cell>
          <cell r="HW956">
            <v>0</v>
          </cell>
          <cell r="HX956">
            <v>0</v>
          </cell>
          <cell r="HY956">
            <v>0</v>
          </cell>
          <cell r="HZ956">
            <v>0</v>
          </cell>
          <cell r="IA956">
            <v>0</v>
          </cell>
          <cell r="IB956">
            <v>43130</v>
          </cell>
        </row>
        <row r="957">
          <cell r="C957" t="str">
            <v>A0258</v>
          </cell>
          <cell r="D957" t="str">
            <v>PT Pandji Waringin</v>
          </cell>
          <cell r="E957" t="str">
            <v>PEB 2</v>
          </cell>
          <cell r="F957" t="str">
            <v>80PEB 2</v>
          </cell>
          <cell r="J957">
            <v>9.521448829074858</v>
          </cell>
          <cell r="P957">
            <v>127236</v>
          </cell>
          <cell r="Q957">
            <v>151486.58019638929</v>
          </cell>
          <cell r="R957">
            <v>10600.921626894384</v>
          </cell>
          <cell r="S957">
            <v>0</v>
          </cell>
          <cell r="U957">
            <v>0</v>
          </cell>
          <cell r="W957">
            <v>-79494</v>
          </cell>
          <cell r="X957">
            <v>0</v>
          </cell>
          <cell r="Y957">
            <v>0</v>
          </cell>
          <cell r="Z957">
            <v>47742</v>
          </cell>
        </row>
        <row r="958">
          <cell r="C958" t="str">
            <v>A0258</v>
          </cell>
          <cell r="D958" t="str">
            <v>PT Pandji Waringin</v>
          </cell>
          <cell r="E958" t="str">
            <v>PEB 3</v>
          </cell>
          <cell r="F958" t="str">
            <v>80PEB 3</v>
          </cell>
          <cell r="J958">
            <v>0</v>
          </cell>
          <cell r="P958">
            <v>0</v>
          </cell>
          <cell r="U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</row>
        <row r="959">
          <cell r="C959" t="str">
            <v>A0258</v>
          </cell>
          <cell r="D959" t="str">
            <v>PT Pandji Waringin</v>
          </cell>
          <cell r="E959" t="str">
            <v>PEB 4</v>
          </cell>
          <cell r="F959" t="str">
            <v>80PEB 4</v>
          </cell>
          <cell r="J959">
            <v>9.521448829074858</v>
          </cell>
          <cell r="P959">
            <v>162448</v>
          </cell>
          <cell r="Q959">
            <v>194604.82206874498</v>
          </cell>
          <cell r="R959">
            <v>12425.392865618276</v>
          </cell>
          <cell r="S959">
            <v>3719.8003727655964</v>
          </cell>
          <cell r="U959">
            <v>0</v>
          </cell>
          <cell r="W959">
            <v>-137538</v>
          </cell>
          <cell r="X959">
            <v>-15515</v>
          </cell>
          <cell r="Y959">
            <v>1195</v>
          </cell>
          <cell r="Z959">
            <v>9395</v>
          </cell>
        </row>
        <row r="960">
          <cell r="C960" t="str">
            <v>A0258</v>
          </cell>
          <cell r="D960" t="str">
            <v>PT Pandji Waringin</v>
          </cell>
          <cell r="E960" t="str">
            <v>PEB 5</v>
          </cell>
          <cell r="F960" t="str">
            <v>80PEB 5</v>
          </cell>
          <cell r="J960">
            <v>0</v>
          </cell>
          <cell r="P960">
            <v>0</v>
          </cell>
          <cell r="U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</row>
        <row r="961">
          <cell r="C961" t="str">
            <v>A0258</v>
          </cell>
          <cell r="D961" t="str">
            <v>PT Pandji Waringin</v>
          </cell>
          <cell r="E961" t="str">
            <v>PEB 6</v>
          </cell>
          <cell r="F961" t="str">
            <v>80PEB 6</v>
          </cell>
          <cell r="J961">
            <v>0</v>
          </cell>
          <cell r="P961">
            <v>0</v>
          </cell>
          <cell r="U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</row>
        <row r="962">
          <cell r="C962" t="str">
            <v>A0258</v>
          </cell>
          <cell r="D962" t="str">
            <v>PT Pandji Waringin</v>
          </cell>
          <cell r="E962" t="str">
            <v>PEB 7</v>
          </cell>
          <cell r="F962" t="str">
            <v>80PEB 7</v>
          </cell>
          <cell r="J962">
            <v>9.521448829074858</v>
          </cell>
          <cell r="P962">
            <v>10888</v>
          </cell>
          <cell r="Q962">
            <v>12430.081010467044</v>
          </cell>
          <cell r="R962">
            <v>961.22008128719392</v>
          </cell>
          <cell r="S962">
            <v>1506.0430134296216</v>
          </cell>
          <cell r="U962">
            <v>0</v>
          </cell>
          <cell r="W962">
            <v>-8146</v>
          </cell>
          <cell r="X962">
            <v>0</v>
          </cell>
          <cell r="Y962">
            <v>0</v>
          </cell>
          <cell r="Z962">
            <v>2742</v>
          </cell>
        </row>
        <row r="963">
          <cell r="C963" t="str">
            <v>A0258</v>
          </cell>
          <cell r="D963" t="str">
            <v>PT Pandji Waringin</v>
          </cell>
          <cell r="E963" t="str">
            <v>MPP</v>
          </cell>
          <cell r="F963" t="str">
            <v>80MPP</v>
          </cell>
          <cell r="J963">
            <v>0</v>
          </cell>
          <cell r="P963">
            <v>0</v>
          </cell>
          <cell r="Q963">
            <v>24430.236186281065</v>
          </cell>
          <cell r="R963">
            <v>1948.3304136557381</v>
          </cell>
          <cell r="S963">
            <v>0</v>
          </cell>
          <cell r="U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</row>
        <row r="964">
          <cell r="C964" t="str">
            <v>A0258</v>
          </cell>
          <cell r="D964" t="str">
            <v>PT Pandji Waringin</v>
          </cell>
          <cell r="E964" t="str">
            <v>ID</v>
          </cell>
          <cell r="F964" t="str">
            <v>80ID</v>
          </cell>
          <cell r="J964">
            <v>9.521448829074858</v>
          </cell>
          <cell r="P964">
            <v>2965</v>
          </cell>
          <cell r="Q964">
            <v>39865.9918236062</v>
          </cell>
          <cell r="R964">
            <v>3502.782440015184</v>
          </cell>
          <cell r="S964">
            <v>3496.3388135000519</v>
          </cell>
          <cell r="U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2965</v>
          </cell>
        </row>
        <row r="965">
          <cell r="C965" t="str">
            <v>A0258</v>
          </cell>
          <cell r="D965" t="str">
            <v>PT Pandji Waringin</v>
          </cell>
          <cell r="E965" t="str">
            <v>LL</v>
          </cell>
          <cell r="F965" t="str">
            <v>80LL</v>
          </cell>
          <cell r="J965">
            <v>9.521448829074858</v>
          </cell>
          <cell r="P965">
            <v>40995</v>
          </cell>
          <cell r="Q965">
            <v>47649.559562207018</v>
          </cell>
          <cell r="R965">
            <v>15531.994918777851</v>
          </cell>
          <cell r="S965">
            <v>12940.653106050968</v>
          </cell>
          <cell r="U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40995</v>
          </cell>
        </row>
        <row r="966">
          <cell r="C966" t="str">
            <v>A0258</v>
          </cell>
          <cell r="D966" t="str">
            <v>PT Pandji Waringin</v>
          </cell>
          <cell r="E966" t="str">
            <v>PMK</v>
          </cell>
          <cell r="F966" t="str">
            <v>80PMK</v>
          </cell>
          <cell r="J966">
            <v>9.521448829074858</v>
          </cell>
          <cell r="P966">
            <v>43130</v>
          </cell>
          <cell r="Q966">
            <v>71606.639216785887</v>
          </cell>
          <cell r="R966">
            <v>6378.8310995831534</v>
          </cell>
          <cell r="S966">
            <v>4725</v>
          </cell>
          <cell r="U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43130</v>
          </cell>
        </row>
        <row r="968">
          <cell r="C968" t="str">
            <v>A0267</v>
          </cell>
          <cell r="D968" t="str">
            <v>PT Pasang Kayu</v>
          </cell>
          <cell r="E968" t="str">
            <v>PEB 1</v>
          </cell>
          <cell r="F968" t="str">
            <v>81PEB 1</v>
          </cell>
          <cell r="J968">
            <v>0</v>
          </cell>
          <cell r="N968">
            <v>0</v>
          </cell>
          <cell r="O968">
            <v>0</v>
          </cell>
          <cell r="P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10.162225790135127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1008213</v>
          </cell>
          <cell r="AL968">
            <v>2113338.8546885848</v>
          </cell>
          <cell r="AM968">
            <v>289463.70451567869</v>
          </cell>
          <cell r="AN968">
            <v>66871.077080000003</v>
          </cell>
          <cell r="AO968">
            <v>0</v>
          </cell>
          <cell r="AP968">
            <v>0</v>
          </cell>
          <cell r="AQ968">
            <v>0</v>
          </cell>
          <cell r="AR968">
            <v>-541353</v>
          </cell>
          <cell r="AS968">
            <v>0</v>
          </cell>
          <cell r="AT968">
            <v>0</v>
          </cell>
          <cell r="AU968">
            <v>466860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10.185481174565862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1919028</v>
          </cell>
          <cell r="CB968">
            <v>3089064.5292259897</v>
          </cell>
          <cell r="CC968">
            <v>605202.03541936935</v>
          </cell>
          <cell r="CD968">
            <v>630797.96131163964</v>
          </cell>
          <cell r="CE968">
            <v>0</v>
          </cell>
          <cell r="CF968">
            <v>0</v>
          </cell>
          <cell r="CG968">
            <v>0</v>
          </cell>
          <cell r="CH968">
            <v>-1328778</v>
          </cell>
          <cell r="CI968">
            <v>-274214</v>
          </cell>
          <cell r="CJ968">
            <v>17647</v>
          </cell>
          <cell r="CK968">
            <v>316036</v>
          </cell>
          <cell r="CM968">
            <v>0</v>
          </cell>
          <cell r="CN968">
            <v>0</v>
          </cell>
          <cell r="CO968">
            <v>0</v>
          </cell>
          <cell r="CP968">
            <v>9.5410376871649412</v>
          </cell>
          <cell r="CQ968">
            <v>0</v>
          </cell>
          <cell r="CR968">
            <v>0</v>
          </cell>
          <cell r="CS968">
            <v>0</v>
          </cell>
          <cell r="CT968">
            <v>0</v>
          </cell>
          <cell r="CU968">
            <v>0</v>
          </cell>
          <cell r="CV968">
            <v>40686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1124110</v>
          </cell>
          <cell r="DD968">
            <v>0</v>
          </cell>
          <cell r="DE968">
            <v>0</v>
          </cell>
          <cell r="DF968">
            <v>1164796</v>
          </cell>
          <cell r="DH968">
            <v>0</v>
          </cell>
          <cell r="DI968">
            <v>0</v>
          </cell>
          <cell r="DJ968">
            <v>0</v>
          </cell>
          <cell r="DK968">
            <v>0</v>
          </cell>
          <cell r="DL968">
            <v>0</v>
          </cell>
          <cell r="DM968">
            <v>0</v>
          </cell>
          <cell r="DN968">
            <v>0</v>
          </cell>
          <cell r="DO968">
            <v>0</v>
          </cell>
          <cell r="DP968">
            <v>0</v>
          </cell>
          <cell r="DQ968">
            <v>0</v>
          </cell>
          <cell r="DR968">
            <v>0</v>
          </cell>
          <cell r="DS968">
            <v>0</v>
          </cell>
          <cell r="DT968">
            <v>0</v>
          </cell>
          <cell r="DU968">
            <v>0</v>
          </cell>
          <cell r="DV968">
            <v>0</v>
          </cell>
          <cell r="DW968">
            <v>0</v>
          </cell>
          <cell r="DX968">
            <v>0</v>
          </cell>
          <cell r="DY968">
            <v>0</v>
          </cell>
          <cell r="DZ968">
            <v>0</v>
          </cell>
          <cell r="EA968">
            <v>0</v>
          </cell>
          <cell r="EC968">
            <v>0</v>
          </cell>
          <cell r="ED968">
            <v>0</v>
          </cell>
          <cell r="EE968">
            <v>0</v>
          </cell>
          <cell r="EF968">
            <v>10.162225790135127</v>
          </cell>
          <cell r="EG968">
            <v>0</v>
          </cell>
          <cell r="EH968">
            <v>0</v>
          </cell>
          <cell r="EI968">
            <v>0</v>
          </cell>
          <cell r="EJ968">
            <v>0</v>
          </cell>
          <cell r="EK968">
            <v>0</v>
          </cell>
          <cell r="EL968">
            <v>120745</v>
          </cell>
          <cell r="EM968">
            <v>306765.95862031286</v>
          </cell>
          <cell r="EN968">
            <v>60317.946034058434</v>
          </cell>
          <cell r="EO968">
            <v>28239.320770876631</v>
          </cell>
          <cell r="EP968">
            <v>0</v>
          </cell>
          <cell r="EQ968">
            <v>0</v>
          </cell>
          <cell r="ER968">
            <v>0</v>
          </cell>
          <cell r="ES968">
            <v>-115499</v>
          </cell>
          <cell r="ET968">
            <v>0</v>
          </cell>
          <cell r="EU968">
            <v>0</v>
          </cell>
          <cell r="EV968">
            <v>5246</v>
          </cell>
          <cell r="EX968">
            <v>0</v>
          </cell>
          <cell r="EY968">
            <v>0</v>
          </cell>
          <cell r="EZ968">
            <v>0</v>
          </cell>
          <cell r="FA968">
            <v>0</v>
          </cell>
          <cell r="FB968">
            <v>0</v>
          </cell>
          <cell r="FC968">
            <v>0</v>
          </cell>
          <cell r="FD968">
            <v>0</v>
          </cell>
          <cell r="FE968">
            <v>0</v>
          </cell>
          <cell r="FF968">
            <v>0</v>
          </cell>
          <cell r="FG968">
            <v>0</v>
          </cell>
          <cell r="FH968">
            <v>369075.17605160043</v>
          </cell>
          <cell r="FI968">
            <v>59179.776884246574</v>
          </cell>
          <cell r="FJ968">
            <v>34379.478540000004</v>
          </cell>
          <cell r="FK968">
            <v>0</v>
          </cell>
          <cell r="FL968">
            <v>0</v>
          </cell>
          <cell r="FM968">
            <v>0</v>
          </cell>
          <cell r="FN968">
            <v>0</v>
          </cell>
          <cell r="FO968">
            <v>0</v>
          </cell>
          <cell r="FP968">
            <v>0</v>
          </cell>
          <cell r="FQ968">
            <v>0</v>
          </cell>
          <cell r="FS968">
            <v>0</v>
          </cell>
          <cell r="FT968">
            <v>0</v>
          </cell>
          <cell r="FU968">
            <v>0</v>
          </cell>
          <cell r="FV968">
            <v>10.162225790135127</v>
          </cell>
          <cell r="FW968">
            <v>0</v>
          </cell>
          <cell r="FX968">
            <v>0</v>
          </cell>
          <cell r="FY968">
            <v>0</v>
          </cell>
          <cell r="FZ968">
            <v>0</v>
          </cell>
          <cell r="GA968">
            <v>0</v>
          </cell>
          <cell r="GB968">
            <v>17340</v>
          </cell>
          <cell r="GC968">
            <v>796663.57474730781</v>
          </cell>
          <cell r="GD968">
            <v>135542.36715297424</v>
          </cell>
          <cell r="GE968">
            <v>43522.914515710647</v>
          </cell>
          <cell r="GF968">
            <v>0</v>
          </cell>
          <cell r="GG968">
            <v>0</v>
          </cell>
          <cell r="GH968">
            <v>0</v>
          </cell>
          <cell r="GI968">
            <v>0</v>
          </cell>
          <cell r="GJ968">
            <v>0</v>
          </cell>
          <cell r="GK968">
            <v>0</v>
          </cell>
          <cell r="GL968">
            <v>17340</v>
          </cell>
          <cell r="GN968">
            <v>0</v>
          </cell>
          <cell r="GO968">
            <v>0</v>
          </cell>
          <cell r="GP968">
            <v>0</v>
          </cell>
          <cell r="GQ968">
            <v>10.162225790135127</v>
          </cell>
          <cell r="GR968">
            <v>0</v>
          </cell>
          <cell r="GS968">
            <v>0</v>
          </cell>
          <cell r="GT968">
            <v>0</v>
          </cell>
          <cell r="GU968">
            <v>0</v>
          </cell>
          <cell r="GV968">
            <v>0</v>
          </cell>
          <cell r="GW968">
            <v>600758</v>
          </cell>
          <cell r="GX968">
            <v>1147789.6237506554</v>
          </cell>
          <cell r="GY968">
            <v>477480.58670141624</v>
          </cell>
          <cell r="GZ968">
            <v>424106.42496040871</v>
          </cell>
          <cell r="HA968">
            <v>0</v>
          </cell>
          <cell r="HB968">
            <v>0</v>
          </cell>
          <cell r="HC968">
            <v>0</v>
          </cell>
          <cell r="HD968">
            <v>0</v>
          </cell>
          <cell r="HE968">
            <v>0</v>
          </cell>
          <cell r="HF968">
            <v>0</v>
          </cell>
          <cell r="HG968">
            <v>600758</v>
          </cell>
          <cell r="HI968">
            <v>0</v>
          </cell>
          <cell r="HJ968">
            <v>0</v>
          </cell>
          <cell r="HK968">
            <v>0</v>
          </cell>
          <cell r="HL968">
            <v>10.162225790135127</v>
          </cell>
          <cell r="HM968">
            <v>0</v>
          </cell>
          <cell r="HN968">
            <v>0</v>
          </cell>
          <cell r="HO968">
            <v>0</v>
          </cell>
          <cell r="HP968">
            <v>0</v>
          </cell>
          <cell r="HQ968">
            <v>0</v>
          </cell>
          <cell r="HR968">
            <v>479934</v>
          </cell>
          <cell r="HS968">
            <v>983570.38810413936</v>
          </cell>
          <cell r="HT968">
            <v>199197.87828846817</v>
          </cell>
          <cell r="HU968">
            <v>92925</v>
          </cell>
          <cell r="HV968">
            <v>0</v>
          </cell>
          <cell r="HW968">
            <v>0</v>
          </cell>
          <cell r="HX968">
            <v>0</v>
          </cell>
          <cell r="HY968">
            <v>0</v>
          </cell>
          <cell r="HZ968">
            <v>0</v>
          </cell>
          <cell r="IA968">
            <v>0</v>
          </cell>
          <cell r="IB968">
            <v>479934</v>
          </cell>
        </row>
        <row r="969">
          <cell r="C969" t="str">
            <v>A0267</v>
          </cell>
          <cell r="D969" t="str">
            <v>PT Pasang Kayu</v>
          </cell>
          <cell r="E969" t="str">
            <v>PEB 2</v>
          </cell>
          <cell r="F969" t="str">
            <v>81PEB 2</v>
          </cell>
          <cell r="J969">
            <v>10.162225790135127</v>
          </cell>
          <cell r="P969">
            <v>1008213</v>
          </cell>
          <cell r="Q969">
            <v>2113338.8546885848</v>
          </cell>
          <cell r="R969">
            <v>289463.70451567869</v>
          </cell>
          <cell r="S969">
            <v>66871.077080000003</v>
          </cell>
          <cell r="U969">
            <v>0</v>
          </cell>
          <cell r="W969">
            <v>-541353</v>
          </cell>
          <cell r="X969">
            <v>0</v>
          </cell>
          <cell r="Y969">
            <v>0</v>
          </cell>
          <cell r="Z969">
            <v>466860</v>
          </cell>
        </row>
        <row r="970">
          <cell r="C970" t="str">
            <v>A0267</v>
          </cell>
          <cell r="D970" t="str">
            <v>PT Pasang Kayu</v>
          </cell>
          <cell r="E970" t="str">
            <v>PEB 3</v>
          </cell>
          <cell r="F970" t="str">
            <v>81PEB 3</v>
          </cell>
          <cell r="J970">
            <v>0</v>
          </cell>
          <cell r="P970">
            <v>0</v>
          </cell>
          <cell r="U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</row>
        <row r="971">
          <cell r="C971" t="str">
            <v>A0267</v>
          </cell>
          <cell r="D971" t="str">
            <v>PT Pasang Kayu</v>
          </cell>
          <cell r="E971" t="str">
            <v>PEB 4</v>
          </cell>
          <cell r="F971" t="str">
            <v>81PEB 4</v>
          </cell>
          <cell r="J971">
            <v>10.185481174565862</v>
          </cell>
          <cell r="P971">
            <v>1919028</v>
          </cell>
          <cell r="Q971">
            <v>3089064.5292259897</v>
          </cell>
          <cell r="R971">
            <v>605202.03541936935</v>
          </cell>
          <cell r="S971">
            <v>630797.96131163964</v>
          </cell>
          <cell r="U971">
            <v>0</v>
          </cell>
          <cell r="W971">
            <v>-1328778</v>
          </cell>
          <cell r="X971">
            <v>-274214</v>
          </cell>
          <cell r="Y971">
            <v>17647</v>
          </cell>
          <cell r="Z971">
            <v>316036</v>
          </cell>
        </row>
        <row r="972">
          <cell r="C972" t="str">
            <v>A0267</v>
          </cell>
          <cell r="D972" t="str">
            <v>PT Pasang Kayu</v>
          </cell>
          <cell r="E972" t="str">
            <v>PEB 5</v>
          </cell>
          <cell r="F972" t="str">
            <v>81PEB 5</v>
          </cell>
          <cell r="J972">
            <v>9.5410376871649412</v>
          </cell>
          <cell r="P972">
            <v>40686</v>
          </cell>
          <cell r="U972">
            <v>0</v>
          </cell>
          <cell r="W972">
            <v>1124110</v>
          </cell>
          <cell r="X972">
            <v>0</v>
          </cell>
          <cell r="Y972">
            <v>0</v>
          </cell>
          <cell r="Z972">
            <v>1164796</v>
          </cell>
        </row>
        <row r="973">
          <cell r="C973" t="str">
            <v>A0267</v>
          </cell>
          <cell r="D973" t="str">
            <v>PT Pasang Kayu</v>
          </cell>
          <cell r="E973" t="str">
            <v>PEB 6</v>
          </cell>
          <cell r="F973" t="str">
            <v>81PEB 6</v>
          </cell>
          <cell r="J973">
            <v>0</v>
          </cell>
          <cell r="P973">
            <v>0</v>
          </cell>
          <cell r="U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</row>
        <row r="974">
          <cell r="C974" t="str">
            <v>A0267</v>
          </cell>
          <cell r="D974" t="str">
            <v>PT Pasang Kayu</v>
          </cell>
          <cell r="E974" t="str">
            <v>PEB 7</v>
          </cell>
          <cell r="F974" t="str">
            <v>81PEB 7</v>
          </cell>
          <cell r="J974">
            <v>10.162225790135127</v>
          </cell>
          <cell r="P974">
            <v>120745</v>
          </cell>
          <cell r="Q974">
            <v>306765.95862031286</v>
          </cell>
          <cell r="R974">
            <v>60317.946034058434</v>
          </cell>
          <cell r="S974">
            <v>28239.320770876631</v>
          </cell>
          <cell r="U974">
            <v>0</v>
          </cell>
          <cell r="W974">
            <v>-115499</v>
          </cell>
          <cell r="X974">
            <v>0</v>
          </cell>
          <cell r="Y974">
            <v>0</v>
          </cell>
          <cell r="Z974">
            <v>5246</v>
          </cell>
        </row>
        <row r="975">
          <cell r="C975" t="str">
            <v>A0267</v>
          </cell>
          <cell r="D975" t="str">
            <v>PT Pasang Kayu</v>
          </cell>
          <cell r="E975" t="str">
            <v>MPP</v>
          </cell>
          <cell r="F975" t="str">
            <v>81MPP</v>
          </cell>
          <cell r="J975">
            <v>0</v>
          </cell>
          <cell r="P975">
            <v>0</v>
          </cell>
          <cell r="Q975">
            <v>369075.17605160043</v>
          </cell>
          <cell r="R975">
            <v>59179.776884246574</v>
          </cell>
          <cell r="S975">
            <v>34379.478540000004</v>
          </cell>
          <cell r="U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</row>
        <row r="976">
          <cell r="C976" t="str">
            <v>A0267</v>
          </cell>
          <cell r="D976" t="str">
            <v>PT Pasang Kayu</v>
          </cell>
          <cell r="E976" t="str">
            <v>ID</v>
          </cell>
          <cell r="F976" t="str">
            <v>81ID</v>
          </cell>
          <cell r="J976">
            <v>10.162225790135127</v>
          </cell>
          <cell r="P976">
            <v>17340</v>
          </cell>
          <cell r="Q976">
            <v>796663.57474730781</v>
          </cell>
          <cell r="R976">
            <v>135542.36715297424</v>
          </cell>
          <cell r="S976">
            <v>43522.914515710647</v>
          </cell>
          <cell r="U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17340</v>
          </cell>
        </row>
        <row r="977">
          <cell r="C977" t="str">
            <v>A0267</v>
          </cell>
          <cell r="D977" t="str">
            <v>PT Pasang Kayu</v>
          </cell>
          <cell r="E977" t="str">
            <v>LL</v>
          </cell>
          <cell r="F977" t="str">
            <v>81LL</v>
          </cell>
          <cell r="J977">
            <v>10.162225790135127</v>
          </cell>
          <cell r="P977">
            <v>600758</v>
          </cell>
          <cell r="Q977">
            <v>1147789.6237506554</v>
          </cell>
          <cell r="R977">
            <v>477480.58670141624</v>
          </cell>
          <cell r="S977">
            <v>424106.42496040871</v>
          </cell>
          <cell r="U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600758</v>
          </cell>
        </row>
        <row r="978">
          <cell r="C978" t="str">
            <v>A0267</v>
          </cell>
          <cell r="D978" t="str">
            <v>PT Pasang Kayu</v>
          </cell>
          <cell r="E978" t="str">
            <v>PMK</v>
          </cell>
          <cell r="F978" t="str">
            <v>81PMK</v>
          </cell>
          <cell r="J978">
            <v>10.162225790135127</v>
          </cell>
          <cell r="P978">
            <v>479934</v>
          </cell>
          <cell r="Q978">
            <v>983570.38810413936</v>
          </cell>
          <cell r="R978">
            <v>199197.87828846817</v>
          </cell>
          <cell r="S978">
            <v>92925</v>
          </cell>
          <cell r="U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479934</v>
          </cell>
        </row>
        <row r="980">
          <cell r="C980" t="str">
            <v>A0117</v>
          </cell>
          <cell r="D980" t="str">
            <v>PT Perkebunan Lembah Bhakti</v>
          </cell>
          <cell r="E980" t="str">
            <v>PEB 1</v>
          </cell>
          <cell r="F980" t="str">
            <v>82PEB 1</v>
          </cell>
          <cell r="J980">
            <v>0</v>
          </cell>
          <cell r="N980">
            <v>0</v>
          </cell>
          <cell r="O980">
            <v>0</v>
          </cell>
          <cell r="P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10.492921957912873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1939601</v>
          </cell>
          <cell r="AL980">
            <v>2867626.1510830247</v>
          </cell>
          <cell r="AM980">
            <v>298391.30078741326</v>
          </cell>
          <cell r="AN980">
            <v>8371.2000000000007</v>
          </cell>
          <cell r="AO980">
            <v>0</v>
          </cell>
          <cell r="AP980">
            <v>0</v>
          </cell>
          <cell r="AQ980">
            <v>0</v>
          </cell>
          <cell r="AR980">
            <v>-1027421</v>
          </cell>
          <cell r="AS980">
            <v>0</v>
          </cell>
          <cell r="AT980">
            <v>0</v>
          </cell>
          <cell r="AU980">
            <v>912180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10.48427109653483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3717767</v>
          </cell>
          <cell r="CB980">
            <v>4795538.7671438772</v>
          </cell>
          <cell r="CC980">
            <v>503313.41668943525</v>
          </cell>
          <cell r="CD980">
            <v>103604.200906568</v>
          </cell>
          <cell r="CE980">
            <v>0</v>
          </cell>
          <cell r="CF980">
            <v>0</v>
          </cell>
          <cell r="CG980">
            <v>0</v>
          </cell>
          <cell r="CH980">
            <v>-2964698</v>
          </cell>
          <cell r="CI980">
            <v>-274409</v>
          </cell>
          <cell r="CJ980">
            <v>19364</v>
          </cell>
          <cell r="CK980">
            <v>478660</v>
          </cell>
          <cell r="CM980">
            <v>0</v>
          </cell>
          <cell r="CN980">
            <v>0</v>
          </cell>
          <cell r="CO980">
            <v>0</v>
          </cell>
          <cell r="CP980">
            <v>5.7623326558418162</v>
          </cell>
          <cell r="CQ980">
            <v>0</v>
          </cell>
          <cell r="CR980">
            <v>0</v>
          </cell>
          <cell r="CS980">
            <v>0</v>
          </cell>
          <cell r="CT980">
            <v>0</v>
          </cell>
          <cell r="CU980">
            <v>0</v>
          </cell>
          <cell r="CV980">
            <v>610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2053713</v>
          </cell>
          <cell r="DD980">
            <v>0</v>
          </cell>
          <cell r="DE980">
            <v>0</v>
          </cell>
          <cell r="DF980">
            <v>2054323</v>
          </cell>
          <cell r="DH980">
            <v>0</v>
          </cell>
          <cell r="DI980">
            <v>0</v>
          </cell>
          <cell r="DJ980">
            <v>0</v>
          </cell>
          <cell r="DK980">
            <v>0</v>
          </cell>
          <cell r="DL980">
            <v>0</v>
          </cell>
          <cell r="DM980">
            <v>0</v>
          </cell>
          <cell r="DN980">
            <v>0</v>
          </cell>
          <cell r="DO980">
            <v>0</v>
          </cell>
          <cell r="DP980">
            <v>0</v>
          </cell>
          <cell r="DQ980">
            <v>0</v>
          </cell>
          <cell r="DR980">
            <v>0</v>
          </cell>
          <cell r="DS980">
            <v>0</v>
          </cell>
          <cell r="DT980">
            <v>0</v>
          </cell>
          <cell r="DU980">
            <v>0</v>
          </cell>
          <cell r="DV980">
            <v>0</v>
          </cell>
          <cell r="DW980">
            <v>0</v>
          </cell>
          <cell r="DX980">
            <v>0</v>
          </cell>
          <cell r="DY980">
            <v>0</v>
          </cell>
          <cell r="DZ980">
            <v>0</v>
          </cell>
          <cell r="EA980">
            <v>0</v>
          </cell>
          <cell r="EC980">
            <v>0</v>
          </cell>
          <cell r="ED980">
            <v>0</v>
          </cell>
          <cell r="EE980">
            <v>0</v>
          </cell>
          <cell r="EF980">
            <v>10.492921957912873</v>
          </cell>
          <cell r="EG980">
            <v>0</v>
          </cell>
          <cell r="EH980">
            <v>0</v>
          </cell>
          <cell r="EI980">
            <v>0</v>
          </cell>
          <cell r="EJ980">
            <v>0</v>
          </cell>
          <cell r="EK980">
            <v>0</v>
          </cell>
          <cell r="EL980">
            <v>223021</v>
          </cell>
          <cell r="EM980">
            <v>391531.34430055681</v>
          </cell>
          <cell r="EN980">
            <v>55980.052196626581</v>
          </cell>
          <cell r="EO980">
            <v>39560.135352535392</v>
          </cell>
          <cell r="EP980">
            <v>0</v>
          </cell>
          <cell r="EQ980">
            <v>0</v>
          </cell>
          <cell r="ER980">
            <v>0</v>
          </cell>
          <cell r="ES980">
            <v>-157165</v>
          </cell>
          <cell r="ET980">
            <v>0</v>
          </cell>
          <cell r="EU980">
            <v>0</v>
          </cell>
          <cell r="EV980">
            <v>65856</v>
          </cell>
          <cell r="EX980">
            <v>0</v>
          </cell>
          <cell r="EY980">
            <v>0</v>
          </cell>
          <cell r="EZ980">
            <v>0</v>
          </cell>
          <cell r="FA980">
            <v>0</v>
          </cell>
          <cell r="FB980">
            <v>0</v>
          </cell>
          <cell r="FC980">
            <v>0</v>
          </cell>
          <cell r="FD980">
            <v>0</v>
          </cell>
          <cell r="FE980">
            <v>0</v>
          </cell>
          <cell r="FF980">
            <v>0</v>
          </cell>
          <cell r="FG980">
            <v>0</v>
          </cell>
          <cell r="FH980">
            <v>473166.95638491324</v>
          </cell>
          <cell r="FI980">
            <v>51632.694412299483</v>
          </cell>
          <cell r="FJ980">
            <v>4054.8</v>
          </cell>
          <cell r="FK980">
            <v>0</v>
          </cell>
          <cell r="FL980">
            <v>0</v>
          </cell>
          <cell r="FM980">
            <v>0</v>
          </cell>
          <cell r="FN980">
            <v>0</v>
          </cell>
          <cell r="FO980">
            <v>0</v>
          </cell>
          <cell r="FP980">
            <v>0</v>
          </cell>
          <cell r="FQ980">
            <v>0</v>
          </cell>
          <cell r="FS980">
            <v>0</v>
          </cell>
          <cell r="FT980">
            <v>0</v>
          </cell>
          <cell r="FU980">
            <v>0</v>
          </cell>
          <cell r="FV980">
            <v>10.492921957912873</v>
          </cell>
          <cell r="FW980">
            <v>0</v>
          </cell>
          <cell r="FX980">
            <v>0</v>
          </cell>
          <cell r="FY980">
            <v>0</v>
          </cell>
          <cell r="FZ980">
            <v>0</v>
          </cell>
          <cell r="GA980">
            <v>0</v>
          </cell>
          <cell r="GB980">
            <v>33508</v>
          </cell>
          <cell r="GC980">
            <v>1012817.4251715244</v>
          </cell>
          <cell r="GD980">
            <v>126927.61878853643</v>
          </cell>
          <cell r="GE980">
            <v>64040.93994548521</v>
          </cell>
          <cell r="GF980">
            <v>0</v>
          </cell>
          <cell r="GG980">
            <v>0</v>
          </cell>
          <cell r="GH980">
            <v>0</v>
          </cell>
          <cell r="GI980">
            <v>0</v>
          </cell>
          <cell r="GJ980">
            <v>0</v>
          </cell>
          <cell r="GK980">
            <v>0</v>
          </cell>
          <cell r="GL980">
            <v>33508</v>
          </cell>
          <cell r="GN980">
            <v>0</v>
          </cell>
          <cell r="GO980">
            <v>0</v>
          </cell>
          <cell r="GP980">
            <v>0</v>
          </cell>
          <cell r="GQ980">
            <v>10.492921957912873</v>
          </cell>
          <cell r="GR980">
            <v>0</v>
          </cell>
          <cell r="GS980">
            <v>0</v>
          </cell>
          <cell r="GT980">
            <v>0</v>
          </cell>
          <cell r="GU980">
            <v>0</v>
          </cell>
          <cell r="GV980">
            <v>0</v>
          </cell>
          <cell r="GW980">
            <v>1056377</v>
          </cell>
          <cell r="GX980">
            <v>1229881.106336832</v>
          </cell>
          <cell r="GY980">
            <v>489463.04269337334</v>
          </cell>
          <cell r="GZ980">
            <v>550751.94593318843</v>
          </cell>
          <cell r="HA980">
            <v>0</v>
          </cell>
          <cell r="HB980">
            <v>0</v>
          </cell>
          <cell r="HC980">
            <v>0</v>
          </cell>
          <cell r="HD980">
            <v>0</v>
          </cell>
          <cell r="HE980">
            <v>0</v>
          </cell>
          <cell r="HF980">
            <v>0</v>
          </cell>
          <cell r="HG980">
            <v>1056377</v>
          </cell>
          <cell r="HI980">
            <v>0</v>
          </cell>
          <cell r="HJ980">
            <v>0</v>
          </cell>
          <cell r="HK980">
            <v>0</v>
          </cell>
          <cell r="HL980">
            <v>10.492921957912873</v>
          </cell>
          <cell r="HM980">
            <v>0</v>
          </cell>
          <cell r="HN980">
            <v>0</v>
          </cell>
          <cell r="HO980">
            <v>0</v>
          </cell>
          <cell r="HP980">
            <v>0</v>
          </cell>
          <cell r="HQ980">
            <v>0</v>
          </cell>
          <cell r="HR980">
            <v>838895</v>
          </cell>
          <cell r="HS980">
            <v>1454713.4145437726</v>
          </cell>
          <cell r="HT980">
            <v>207172.2887449064</v>
          </cell>
          <cell r="HU980">
            <v>178762.5</v>
          </cell>
          <cell r="HV980">
            <v>0</v>
          </cell>
          <cell r="HW980">
            <v>0</v>
          </cell>
          <cell r="HX980">
            <v>0</v>
          </cell>
          <cell r="HY980">
            <v>0</v>
          </cell>
          <cell r="HZ980">
            <v>0</v>
          </cell>
          <cell r="IA980">
            <v>0</v>
          </cell>
          <cell r="IB980">
            <v>838895</v>
          </cell>
        </row>
        <row r="981">
          <cell r="C981" t="str">
            <v>A0117</v>
          </cell>
          <cell r="D981" t="str">
            <v>PT Perkebunan Lembah Bhakti</v>
          </cell>
          <cell r="E981" t="str">
            <v>PEB 2</v>
          </cell>
          <cell r="F981" t="str">
            <v>82PEB 2</v>
          </cell>
          <cell r="J981">
            <v>10.492921957912873</v>
          </cell>
          <cell r="P981">
            <v>1939601</v>
          </cell>
          <cell r="Q981">
            <v>2867626.1510830247</v>
          </cell>
          <cell r="R981">
            <v>298391.30078741326</v>
          </cell>
          <cell r="S981">
            <v>8371.2000000000007</v>
          </cell>
          <cell r="U981">
            <v>0</v>
          </cell>
          <cell r="W981">
            <v>-1027421</v>
          </cell>
          <cell r="X981">
            <v>0</v>
          </cell>
          <cell r="Y981">
            <v>0</v>
          </cell>
          <cell r="Z981">
            <v>912180</v>
          </cell>
        </row>
        <row r="982">
          <cell r="C982" t="str">
            <v>A0117</v>
          </cell>
          <cell r="D982" t="str">
            <v>PT Perkebunan Lembah Bhakti</v>
          </cell>
          <cell r="E982" t="str">
            <v>PEB 3</v>
          </cell>
          <cell r="F982" t="str">
            <v>82PEB 3</v>
          </cell>
          <cell r="J982">
            <v>0</v>
          </cell>
          <cell r="P982">
            <v>0</v>
          </cell>
          <cell r="U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</row>
        <row r="983">
          <cell r="C983" t="str">
            <v>A0117</v>
          </cell>
          <cell r="D983" t="str">
            <v>PT Perkebunan Lembah Bhakti</v>
          </cell>
          <cell r="E983" t="str">
            <v>PEB 4</v>
          </cell>
          <cell r="F983" t="str">
            <v>82PEB 4</v>
          </cell>
          <cell r="J983">
            <v>10.48427109653483</v>
          </cell>
          <cell r="P983">
            <v>3717767</v>
          </cell>
          <cell r="Q983">
            <v>4795538.7671438772</v>
          </cell>
          <cell r="R983">
            <v>503313.41668943525</v>
          </cell>
          <cell r="S983">
            <v>103604.200906568</v>
          </cell>
          <cell r="U983">
            <v>0</v>
          </cell>
          <cell r="W983">
            <v>-2964698</v>
          </cell>
          <cell r="X983">
            <v>-274409</v>
          </cell>
          <cell r="Y983">
            <v>19364</v>
          </cell>
          <cell r="Z983">
            <v>478660</v>
          </cell>
        </row>
        <row r="984">
          <cell r="C984" t="str">
            <v>A0117</v>
          </cell>
          <cell r="D984" t="str">
            <v>PT Perkebunan Lembah Bhakti</v>
          </cell>
          <cell r="E984" t="str">
            <v>PEB 5</v>
          </cell>
          <cell r="F984" t="str">
            <v>82PEB 5</v>
          </cell>
          <cell r="J984">
            <v>5.7623326558418162</v>
          </cell>
          <cell r="P984">
            <v>610</v>
          </cell>
          <cell r="U984">
            <v>0</v>
          </cell>
          <cell r="W984">
            <v>2053713</v>
          </cell>
          <cell r="X984">
            <v>0</v>
          </cell>
          <cell r="Y984">
            <v>0</v>
          </cell>
          <cell r="Z984">
            <v>2054323</v>
          </cell>
        </row>
        <row r="985">
          <cell r="C985" t="str">
            <v>A0117</v>
          </cell>
          <cell r="D985" t="str">
            <v>PT Perkebunan Lembah Bhakti</v>
          </cell>
          <cell r="E985" t="str">
            <v>PEB 6</v>
          </cell>
          <cell r="F985" t="str">
            <v>82PEB 6</v>
          </cell>
          <cell r="J985">
            <v>0</v>
          </cell>
          <cell r="P985">
            <v>0</v>
          </cell>
          <cell r="U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</row>
        <row r="986">
          <cell r="C986" t="str">
            <v>A0117</v>
          </cell>
          <cell r="D986" t="str">
            <v>PT Perkebunan Lembah Bhakti</v>
          </cell>
          <cell r="E986" t="str">
            <v>PEB 7</v>
          </cell>
          <cell r="F986" t="str">
            <v>82PEB 7</v>
          </cell>
          <cell r="J986">
            <v>10.492921957912873</v>
          </cell>
          <cell r="P986">
            <v>223021</v>
          </cell>
          <cell r="Q986">
            <v>391531.34430055681</v>
          </cell>
          <cell r="R986">
            <v>55980.052196626581</v>
          </cell>
          <cell r="S986">
            <v>39560.135352535392</v>
          </cell>
          <cell r="U986">
            <v>0</v>
          </cell>
          <cell r="W986">
            <v>-157165</v>
          </cell>
          <cell r="X986">
            <v>0</v>
          </cell>
          <cell r="Y986">
            <v>0</v>
          </cell>
          <cell r="Z986">
            <v>65856</v>
          </cell>
        </row>
        <row r="987">
          <cell r="C987" t="str">
            <v>A0117</v>
          </cell>
          <cell r="D987" t="str">
            <v>PT Perkebunan Lembah Bhakti</v>
          </cell>
          <cell r="E987" t="str">
            <v>MPP</v>
          </cell>
          <cell r="F987" t="str">
            <v>82MPP</v>
          </cell>
          <cell r="J987">
            <v>0</v>
          </cell>
          <cell r="P987">
            <v>0</v>
          </cell>
          <cell r="Q987">
            <v>473166.95638491324</v>
          </cell>
          <cell r="R987">
            <v>51632.694412299483</v>
          </cell>
          <cell r="S987">
            <v>4054.8</v>
          </cell>
          <cell r="U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</row>
        <row r="988">
          <cell r="C988" t="str">
            <v>A0117</v>
          </cell>
          <cell r="D988" t="str">
            <v>PT Perkebunan Lembah Bhakti</v>
          </cell>
          <cell r="E988" t="str">
            <v>ID</v>
          </cell>
          <cell r="F988" t="str">
            <v>82ID</v>
          </cell>
          <cell r="J988">
            <v>10.492921957912873</v>
          </cell>
          <cell r="P988">
            <v>33508</v>
          </cell>
          <cell r="Q988">
            <v>1012817.4251715244</v>
          </cell>
          <cell r="R988">
            <v>126927.61878853643</v>
          </cell>
          <cell r="S988">
            <v>64040.93994548521</v>
          </cell>
          <cell r="U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33508</v>
          </cell>
        </row>
        <row r="989">
          <cell r="C989" t="str">
            <v>A0117</v>
          </cell>
          <cell r="D989" t="str">
            <v>PT Perkebunan Lembah Bhakti</v>
          </cell>
          <cell r="E989" t="str">
            <v>LL</v>
          </cell>
          <cell r="F989" t="str">
            <v>82LL</v>
          </cell>
          <cell r="J989">
            <v>10.492921957912873</v>
          </cell>
          <cell r="P989">
            <v>1056377</v>
          </cell>
          <cell r="Q989">
            <v>1229881.106336832</v>
          </cell>
          <cell r="R989">
            <v>489463.04269337334</v>
          </cell>
          <cell r="S989">
            <v>550751.94593318843</v>
          </cell>
          <cell r="U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1056377</v>
          </cell>
        </row>
        <row r="990">
          <cell r="C990" t="str">
            <v>A0117</v>
          </cell>
          <cell r="D990" t="str">
            <v>PT Perkebunan Lembah Bhakti</v>
          </cell>
          <cell r="E990" t="str">
            <v>PMK</v>
          </cell>
          <cell r="F990" t="str">
            <v>82PMK</v>
          </cell>
          <cell r="J990">
            <v>10.492921957912873</v>
          </cell>
          <cell r="P990">
            <v>838895</v>
          </cell>
          <cell r="Q990">
            <v>1454713.4145437726</v>
          </cell>
          <cell r="R990">
            <v>207172.2887449064</v>
          </cell>
          <cell r="S990">
            <v>178762.5</v>
          </cell>
          <cell r="U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838895</v>
          </cell>
        </row>
        <row r="992">
          <cell r="C992" t="str">
            <v>A0249</v>
          </cell>
          <cell r="D992" t="str">
            <v>PT Persada Bina Nusantara Abadi</v>
          </cell>
          <cell r="E992" t="str">
            <v>PEB 1</v>
          </cell>
          <cell r="F992" t="str">
            <v>83PEB 1</v>
          </cell>
          <cell r="J992">
            <v>0</v>
          </cell>
          <cell r="N992">
            <v>0</v>
          </cell>
          <cell r="O992">
            <v>0</v>
          </cell>
          <cell r="P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10.325099210937799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201042</v>
          </cell>
          <cell r="AL992">
            <v>321321.88897704857</v>
          </cell>
          <cell r="AM992">
            <v>53032.382192534809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196400</v>
          </cell>
          <cell r="AS992">
            <v>0</v>
          </cell>
          <cell r="AT992">
            <v>0</v>
          </cell>
          <cell r="AU992">
            <v>397442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10.325099210937799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409083</v>
          </cell>
          <cell r="CB992">
            <v>639832.46507826855</v>
          </cell>
          <cell r="CC992">
            <v>113731.0790583567</v>
          </cell>
          <cell r="CD992">
            <v>8219.1695689746284</v>
          </cell>
          <cell r="CE992">
            <v>0</v>
          </cell>
          <cell r="CF992">
            <v>0</v>
          </cell>
          <cell r="CG992">
            <v>0</v>
          </cell>
          <cell r="CH992">
            <v>-169121</v>
          </cell>
          <cell r="CI992">
            <v>-100224</v>
          </cell>
          <cell r="CJ992">
            <v>6964</v>
          </cell>
          <cell r="CK992">
            <v>139738</v>
          </cell>
          <cell r="CM992">
            <v>0</v>
          </cell>
          <cell r="CN992">
            <v>0</v>
          </cell>
          <cell r="CO992">
            <v>0</v>
          </cell>
          <cell r="CP992">
            <v>0</v>
          </cell>
          <cell r="CQ992">
            <v>0</v>
          </cell>
          <cell r="CR992">
            <v>0</v>
          </cell>
          <cell r="CS992">
            <v>0</v>
          </cell>
          <cell r="CT992">
            <v>0</v>
          </cell>
          <cell r="CU992">
            <v>0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  <cell r="DD992">
            <v>0</v>
          </cell>
          <cell r="DE992">
            <v>0</v>
          </cell>
          <cell r="DF992">
            <v>0</v>
          </cell>
          <cell r="DH992">
            <v>0</v>
          </cell>
          <cell r="DI992">
            <v>0</v>
          </cell>
          <cell r="DJ992">
            <v>0</v>
          </cell>
          <cell r="DK992">
            <v>0</v>
          </cell>
          <cell r="DL992">
            <v>0</v>
          </cell>
          <cell r="DM992">
            <v>0</v>
          </cell>
          <cell r="DN992">
            <v>0</v>
          </cell>
          <cell r="DO992">
            <v>0</v>
          </cell>
          <cell r="DP992">
            <v>0</v>
          </cell>
          <cell r="DQ992">
            <v>0</v>
          </cell>
          <cell r="DR992">
            <v>0</v>
          </cell>
          <cell r="DS992">
            <v>0</v>
          </cell>
          <cell r="DT992">
            <v>0</v>
          </cell>
          <cell r="DU992">
            <v>0</v>
          </cell>
          <cell r="DV992">
            <v>0</v>
          </cell>
          <cell r="DW992">
            <v>0</v>
          </cell>
          <cell r="DX992">
            <v>0</v>
          </cell>
          <cell r="DY992">
            <v>0</v>
          </cell>
          <cell r="DZ992">
            <v>0</v>
          </cell>
          <cell r="EA992">
            <v>0</v>
          </cell>
          <cell r="EC992">
            <v>0</v>
          </cell>
          <cell r="ED992">
            <v>0</v>
          </cell>
          <cell r="EE992">
            <v>0</v>
          </cell>
          <cell r="EF992">
            <v>10.325099210937799</v>
          </cell>
          <cell r="EG992">
            <v>0</v>
          </cell>
          <cell r="EH992">
            <v>0</v>
          </cell>
          <cell r="EI992">
            <v>0</v>
          </cell>
          <cell r="EJ992">
            <v>0</v>
          </cell>
          <cell r="EK992">
            <v>0</v>
          </cell>
          <cell r="EL992">
            <v>27363</v>
          </cell>
          <cell r="EM992">
            <v>57631.101452293216</v>
          </cell>
          <cell r="EN992">
            <v>10774.923221292851</v>
          </cell>
          <cell r="EO992">
            <v>5337.7377605607035</v>
          </cell>
          <cell r="EP992">
            <v>0</v>
          </cell>
          <cell r="EQ992">
            <v>0</v>
          </cell>
          <cell r="ER992">
            <v>0</v>
          </cell>
          <cell r="ES992">
            <v>-16211</v>
          </cell>
          <cell r="ET992">
            <v>0</v>
          </cell>
          <cell r="EU992">
            <v>0</v>
          </cell>
          <cell r="EV992">
            <v>11152</v>
          </cell>
          <cell r="EX992">
            <v>0</v>
          </cell>
          <cell r="EY992">
            <v>0</v>
          </cell>
          <cell r="EZ992">
            <v>0</v>
          </cell>
          <cell r="FA992">
            <v>0</v>
          </cell>
          <cell r="FB992">
            <v>0</v>
          </cell>
          <cell r="FC992">
            <v>0</v>
          </cell>
          <cell r="FD992">
            <v>0</v>
          </cell>
          <cell r="FE992">
            <v>0</v>
          </cell>
          <cell r="FF992">
            <v>0</v>
          </cell>
          <cell r="FG992">
            <v>0</v>
          </cell>
          <cell r="FH992">
            <v>58214.835880933344</v>
          </cell>
          <cell r="FI992">
            <v>10528.48550367532</v>
          </cell>
          <cell r="FJ992">
            <v>0</v>
          </cell>
          <cell r="FK992">
            <v>0</v>
          </cell>
          <cell r="FL992">
            <v>0</v>
          </cell>
          <cell r="FM992">
            <v>0</v>
          </cell>
          <cell r="FN992">
            <v>0</v>
          </cell>
          <cell r="FO992">
            <v>0</v>
          </cell>
          <cell r="FP992">
            <v>0</v>
          </cell>
          <cell r="FQ992">
            <v>0</v>
          </cell>
          <cell r="FS992">
            <v>0</v>
          </cell>
          <cell r="FT992">
            <v>0</v>
          </cell>
          <cell r="FU992">
            <v>0</v>
          </cell>
          <cell r="FV992">
            <v>10.325099210937799</v>
          </cell>
          <cell r="FW992">
            <v>0</v>
          </cell>
          <cell r="FX992">
            <v>0</v>
          </cell>
          <cell r="FY992">
            <v>0</v>
          </cell>
          <cell r="FZ992">
            <v>0</v>
          </cell>
          <cell r="GA992">
            <v>0</v>
          </cell>
          <cell r="GB992">
            <v>2887</v>
          </cell>
          <cell r="GC992">
            <v>138442.28810953628</v>
          </cell>
          <cell r="GD992">
            <v>26167.363299529465</v>
          </cell>
          <cell r="GE992">
            <v>7946.386997321024</v>
          </cell>
          <cell r="GF992">
            <v>0</v>
          </cell>
          <cell r="GG992">
            <v>0</v>
          </cell>
          <cell r="GH992">
            <v>0</v>
          </cell>
          <cell r="GI992">
            <v>0</v>
          </cell>
          <cell r="GJ992">
            <v>0</v>
          </cell>
          <cell r="GK992">
            <v>0</v>
          </cell>
          <cell r="GL992">
            <v>2887</v>
          </cell>
          <cell r="GN992">
            <v>0</v>
          </cell>
          <cell r="GO992">
            <v>0</v>
          </cell>
          <cell r="GP992">
            <v>0</v>
          </cell>
          <cell r="GQ992">
            <v>10.325099210937799</v>
          </cell>
          <cell r="GR992">
            <v>0</v>
          </cell>
          <cell r="GS992">
            <v>0</v>
          </cell>
          <cell r="GT992">
            <v>0</v>
          </cell>
          <cell r="GU992">
            <v>0</v>
          </cell>
          <cell r="GV992">
            <v>0</v>
          </cell>
          <cell r="GW992">
            <v>156820</v>
          </cell>
          <cell r="GX992">
            <v>182410.09496219479</v>
          </cell>
          <cell r="GY992">
            <v>86694.581218429434</v>
          </cell>
          <cell r="GZ992">
            <v>35395.65931377888</v>
          </cell>
          <cell r="HA992">
            <v>0</v>
          </cell>
          <cell r="HB992">
            <v>0</v>
          </cell>
          <cell r="HC992">
            <v>0</v>
          </cell>
          <cell r="HD992">
            <v>0</v>
          </cell>
          <cell r="HE992">
            <v>0</v>
          </cell>
          <cell r="HF992">
            <v>0</v>
          </cell>
          <cell r="HG992">
            <v>156820</v>
          </cell>
          <cell r="HI992">
            <v>0</v>
          </cell>
          <cell r="HJ992">
            <v>0</v>
          </cell>
          <cell r="HK992">
            <v>0</v>
          </cell>
          <cell r="HL992">
            <v>10.325099210937799</v>
          </cell>
          <cell r="HM992">
            <v>0</v>
          </cell>
          <cell r="HN992">
            <v>0</v>
          </cell>
          <cell r="HO992">
            <v>0</v>
          </cell>
          <cell r="HP992">
            <v>0</v>
          </cell>
          <cell r="HQ992">
            <v>0</v>
          </cell>
          <cell r="HR992">
            <v>101975</v>
          </cell>
          <cell r="HS992">
            <v>189192.55248579761</v>
          </cell>
          <cell r="HT992">
            <v>39702.596907184845</v>
          </cell>
          <cell r="HU992">
            <v>9450</v>
          </cell>
          <cell r="HV992">
            <v>0</v>
          </cell>
          <cell r="HW992">
            <v>0</v>
          </cell>
          <cell r="HX992">
            <v>0</v>
          </cell>
          <cell r="HY992">
            <v>0</v>
          </cell>
          <cell r="HZ992">
            <v>0</v>
          </cell>
          <cell r="IA992">
            <v>0</v>
          </cell>
          <cell r="IB992">
            <v>101975</v>
          </cell>
        </row>
        <row r="993">
          <cell r="C993" t="str">
            <v>A0249</v>
          </cell>
          <cell r="D993" t="str">
            <v>PT Persada Bina Nusantara Abadi</v>
          </cell>
          <cell r="E993" t="str">
            <v>PEB 2</v>
          </cell>
          <cell r="F993" t="str">
            <v>83PEB 2</v>
          </cell>
          <cell r="J993">
            <v>10.325099210937799</v>
          </cell>
          <cell r="P993">
            <v>201042</v>
          </cell>
          <cell r="Q993">
            <v>321321.88897704857</v>
          </cell>
          <cell r="R993">
            <v>53032.382192534809</v>
          </cell>
          <cell r="S993">
            <v>0</v>
          </cell>
          <cell r="U993">
            <v>0</v>
          </cell>
          <cell r="W993">
            <v>196400</v>
          </cell>
          <cell r="X993">
            <v>0</v>
          </cell>
          <cell r="Y993">
            <v>0</v>
          </cell>
          <cell r="Z993">
            <v>397442</v>
          </cell>
        </row>
        <row r="994">
          <cell r="C994" t="str">
            <v>A0249</v>
          </cell>
          <cell r="D994" t="str">
            <v>PT Persada Bina Nusantara Abadi</v>
          </cell>
          <cell r="E994" t="str">
            <v>PEB 3</v>
          </cell>
          <cell r="F994" t="str">
            <v>83PEB 3</v>
          </cell>
          <cell r="J994">
            <v>0</v>
          </cell>
          <cell r="P994">
            <v>0</v>
          </cell>
          <cell r="U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</row>
        <row r="995">
          <cell r="C995" t="str">
            <v>A0249</v>
          </cell>
          <cell r="D995" t="str">
            <v>PT Persada Bina Nusantara Abadi</v>
          </cell>
          <cell r="E995" t="str">
            <v>PEB 4</v>
          </cell>
          <cell r="F995" t="str">
            <v>83PEB 4</v>
          </cell>
          <cell r="J995">
            <v>10.325099210937799</v>
          </cell>
          <cell r="P995">
            <v>409083</v>
          </cell>
          <cell r="Q995">
            <v>639832.46507826855</v>
          </cell>
          <cell r="R995">
            <v>113731.0790583567</v>
          </cell>
          <cell r="S995">
            <v>8219.1695689746284</v>
          </cell>
          <cell r="U995">
            <v>0</v>
          </cell>
          <cell r="W995">
            <v>-169121</v>
          </cell>
          <cell r="X995">
            <v>-100224</v>
          </cell>
          <cell r="Y995">
            <v>6964</v>
          </cell>
          <cell r="Z995">
            <v>139738</v>
          </cell>
        </row>
        <row r="996">
          <cell r="C996" t="str">
            <v>A0249</v>
          </cell>
          <cell r="D996" t="str">
            <v>PT Persada Bina Nusantara Abadi</v>
          </cell>
          <cell r="E996" t="str">
            <v>PEB 5</v>
          </cell>
          <cell r="F996" t="str">
            <v>83PEB 5</v>
          </cell>
          <cell r="J996">
            <v>0</v>
          </cell>
          <cell r="P996">
            <v>0</v>
          </cell>
          <cell r="U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</row>
        <row r="997">
          <cell r="C997" t="str">
            <v>A0249</v>
          </cell>
          <cell r="D997" t="str">
            <v>PT Persada Bina Nusantara Abadi</v>
          </cell>
          <cell r="E997" t="str">
            <v>PEB 6</v>
          </cell>
          <cell r="F997" t="str">
            <v>83PEB 6</v>
          </cell>
          <cell r="J997">
            <v>0</v>
          </cell>
          <cell r="P997">
            <v>0</v>
          </cell>
          <cell r="U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</row>
        <row r="998">
          <cell r="C998" t="str">
            <v>A0249</v>
          </cell>
          <cell r="D998" t="str">
            <v>PT Persada Bina Nusantara Abadi</v>
          </cell>
          <cell r="E998" t="str">
            <v>PEB 7</v>
          </cell>
          <cell r="F998" t="str">
            <v>83PEB 7</v>
          </cell>
          <cell r="J998">
            <v>10.325099210937799</v>
          </cell>
          <cell r="P998">
            <v>27363</v>
          </cell>
          <cell r="Q998">
            <v>57631.101452293216</v>
          </cell>
          <cell r="R998">
            <v>10774.923221292851</v>
          </cell>
          <cell r="S998">
            <v>5337.7377605607035</v>
          </cell>
          <cell r="U998">
            <v>0</v>
          </cell>
          <cell r="W998">
            <v>-16211</v>
          </cell>
          <cell r="X998">
            <v>0</v>
          </cell>
          <cell r="Y998">
            <v>0</v>
          </cell>
          <cell r="Z998">
            <v>11152</v>
          </cell>
        </row>
        <row r="999">
          <cell r="C999" t="str">
            <v>A0249</v>
          </cell>
          <cell r="D999" t="str">
            <v>PT Persada Bina Nusantara Abadi</v>
          </cell>
          <cell r="E999" t="str">
            <v>MPP</v>
          </cell>
          <cell r="F999" t="str">
            <v>83MPP</v>
          </cell>
          <cell r="J999">
            <v>0</v>
          </cell>
          <cell r="P999">
            <v>0</v>
          </cell>
          <cell r="Q999">
            <v>58214.835880933344</v>
          </cell>
          <cell r="R999">
            <v>10528.48550367532</v>
          </cell>
          <cell r="S999">
            <v>0</v>
          </cell>
          <cell r="U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</row>
        <row r="1000">
          <cell r="C1000" t="str">
            <v>A0249</v>
          </cell>
          <cell r="D1000" t="str">
            <v>PT Persada Bina Nusantara Abadi</v>
          </cell>
          <cell r="E1000" t="str">
            <v>ID</v>
          </cell>
          <cell r="F1000" t="str">
            <v>83ID</v>
          </cell>
          <cell r="J1000">
            <v>10.325099210937799</v>
          </cell>
          <cell r="P1000">
            <v>2887</v>
          </cell>
          <cell r="Q1000">
            <v>138442.28810953628</v>
          </cell>
          <cell r="R1000">
            <v>26167.363299529465</v>
          </cell>
          <cell r="S1000">
            <v>7946.386997321024</v>
          </cell>
          <cell r="U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2887</v>
          </cell>
        </row>
        <row r="1001">
          <cell r="C1001" t="str">
            <v>A0249</v>
          </cell>
          <cell r="D1001" t="str">
            <v>PT Persada Bina Nusantara Abadi</v>
          </cell>
          <cell r="E1001" t="str">
            <v>LL</v>
          </cell>
          <cell r="F1001" t="str">
            <v>83LL</v>
          </cell>
          <cell r="J1001">
            <v>10.325099210937799</v>
          </cell>
          <cell r="P1001">
            <v>156820</v>
          </cell>
          <cell r="Q1001">
            <v>182410.09496219479</v>
          </cell>
          <cell r="R1001">
            <v>86694.581218429434</v>
          </cell>
          <cell r="S1001">
            <v>35395.65931377888</v>
          </cell>
          <cell r="U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156820</v>
          </cell>
        </row>
        <row r="1002">
          <cell r="C1002" t="str">
            <v>A0249</v>
          </cell>
          <cell r="D1002" t="str">
            <v>PT Persada Bina Nusantara Abadi</v>
          </cell>
          <cell r="E1002" t="str">
            <v>PMK</v>
          </cell>
          <cell r="F1002" t="str">
            <v>83PMK</v>
          </cell>
          <cell r="J1002">
            <v>10.325099210937799</v>
          </cell>
          <cell r="P1002">
            <v>101975</v>
          </cell>
          <cell r="Q1002">
            <v>189192.55248579761</v>
          </cell>
          <cell r="R1002">
            <v>39702.596907184845</v>
          </cell>
          <cell r="S1002">
            <v>9450</v>
          </cell>
          <cell r="U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101975</v>
          </cell>
        </row>
        <row r="1004">
          <cell r="C1004" t="str">
            <v>A0057</v>
          </cell>
          <cell r="D1004" t="str">
            <v>PT Pratama Sedaya Finance</v>
          </cell>
          <cell r="E1004" t="str">
            <v>PEB 1</v>
          </cell>
          <cell r="F1004" t="str">
            <v>84PEB 1</v>
          </cell>
          <cell r="G1004">
            <v>0.1</v>
          </cell>
          <cell r="H1004">
            <v>0.1</v>
          </cell>
          <cell r="I1004">
            <v>0.09</v>
          </cell>
          <cell r="J1004">
            <v>7.2087456393248299</v>
          </cell>
          <cell r="K1004">
            <v>7.1392220330447289</v>
          </cell>
          <cell r="L1004">
            <v>0</v>
          </cell>
          <cell r="N1004">
            <v>3706</v>
          </cell>
          <cell r="O1004">
            <v>3790.808</v>
          </cell>
          <cell r="P1004">
            <v>218410</v>
          </cell>
          <cell r="Q1004">
            <v>331669.44215445931</v>
          </cell>
          <cell r="R1004">
            <v>15358.831485666264</v>
          </cell>
          <cell r="S1004">
            <v>2274.0926718230676</v>
          </cell>
          <cell r="U1004">
            <v>-977056</v>
          </cell>
          <cell r="V1004">
            <v>1554576.9693333334</v>
          </cell>
          <cell r="W1004">
            <v>726363</v>
          </cell>
          <cell r="X1004">
            <v>0</v>
          </cell>
          <cell r="Y1004">
            <v>0</v>
          </cell>
          <cell r="Z1004">
            <v>-32283</v>
          </cell>
          <cell r="AB1004">
            <v>0.1</v>
          </cell>
          <cell r="AC1004">
            <v>0</v>
          </cell>
          <cell r="AD1004">
            <v>0.09</v>
          </cell>
          <cell r="AE1004">
            <v>7.2087456393248299</v>
          </cell>
          <cell r="AF1004">
            <v>7.1392220330447289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3542</v>
          </cell>
          <cell r="AL1004">
            <v>10644.548622723161</v>
          </cell>
          <cell r="AM1004">
            <v>493.81628676171488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4560</v>
          </cell>
          <cell r="AS1004">
            <v>-6427</v>
          </cell>
          <cell r="AT1004">
            <v>782</v>
          </cell>
          <cell r="AU1004">
            <v>1675</v>
          </cell>
          <cell r="AW1004">
            <v>0.1</v>
          </cell>
          <cell r="AX1004">
            <v>0</v>
          </cell>
          <cell r="AY1004">
            <v>0.09</v>
          </cell>
          <cell r="AZ1004">
            <v>7.2087456393248299</v>
          </cell>
          <cell r="BA1004">
            <v>7.1392220330447289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711</v>
          </cell>
          <cell r="BG1004">
            <v>11286.314132274932</v>
          </cell>
          <cell r="BH1004">
            <v>527.01690575471991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183475</v>
          </cell>
          <cell r="BN1004">
            <v>-181236</v>
          </cell>
          <cell r="BO1004">
            <v>22053</v>
          </cell>
          <cell r="BP1004">
            <v>2950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 t="str">
            <v xml:space="preserve"> 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  <cell r="CM1004">
            <v>0</v>
          </cell>
          <cell r="CN1004">
            <v>0</v>
          </cell>
          <cell r="CO1004">
            <v>0</v>
          </cell>
          <cell r="CP1004">
            <v>0</v>
          </cell>
          <cell r="CQ1004" t="str">
            <v xml:space="preserve"> </v>
          </cell>
          <cell r="CR1004">
            <v>0</v>
          </cell>
          <cell r="CS1004">
            <v>0</v>
          </cell>
          <cell r="CT1004">
            <v>0</v>
          </cell>
          <cell r="CU1004">
            <v>0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  <cell r="DD1004">
            <v>0</v>
          </cell>
          <cell r="DE1004">
            <v>0</v>
          </cell>
          <cell r="DF1004">
            <v>0</v>
          </cell>
          <cell r="DH1004">
            <v>0</v>
          </cell>
          <cell r="DI1004">
            <v>0</v>
          </cell>
          <cell r="DJ1004">
            <v>0</v>
          </cell>
          <cell r="DK1004">
            <v>0</v>
          </cell>
          <cell r="DL1004">
            <v>0</v>
          </cell>
          <cell r="DM1004">
            <v>0</v>
          </cell>
          <cell r="DN1004">
            <v>0</v>
          </cell>
          <cell r="DO1004">
            <v>0</v>
          </cell>
          <cell r="DP1004">
            <v>0</v>
          </cell>
          <cell r="DQ1004">
            <v>0</v>
          </cell>
          <cell r="DR1004">
            <v>0</v>
          </cell>
          <cell r="DS1004">
            <v>0</v>
          </cell>
          <cell r="DT1004">
            <v>0</v>
          </cell>
          <cell r="DU1004">
            <v>0</v>
          </cell>
          <cell r="DV1004">
            <v>0</v>
          </cell>
          <cell r="DW1004">
            <v>0</v>
          </cell>
          <cell r="DX1004">
            <v>0</v>
          </cell>
          <cell r="DY1004">
            <v>0</v>
          </cell>
          <cell r="DZ1004">
            <v>0</v>
          </cell>
          <cell r="EA1004">
            <v>0</v>
          </cell>
          <cell r="EC1004">
            <v>0.1</v>
          </cell>
          <cell r="ED1004">
            <v>0</v>
          </cell>
          <cell r="EE1004">
            <v>0.09</v>
          </cell>
          <cell r="EF1004">
            <v>7.2087456393248299</v>
          </cell>
          <cell r="EG1004">
            <v>7.1392220330447289</v>
          </cell>
          <cell r="EH1004">
            <v>0</v>
          </cell>
          <cell r="EI1004">
            <v>0</v>
          </cell>
          <cell r="EJ1004">
            <v>0</v>
          </cell>
          <cell r="EK1004">
            <v>0</v>
          </cell>
          <cell r="EL1004">
            <v>5260</v>
          </cell>
          <cell r="EM1004">
            <v>3488.7568286624755</v>
          </cell>
          <cell r="EN1004">
            <v>161.21003482245777</v>
          </cell>
          <cell r="EO1004">
            <v>496.97437476275735</v>
          </cell>
          <cell r="EP1004">
            <v>0</v>
          </cell>
          <cell r="EQ1004">
            <v>0</v>
          </cell>
          <cell r="ER1004">
            <v>0</v>
          </cell>
          <cell r="ES1004">
            <v>-3655</v>
          </cell>
          <cell r="ET1004">
            <v>0</v>
          </cell>
          <cell r="EU1004">
            <v>0</v>
          </cell>
          <cell r="EV1004">
            <v>1605</v>
          </cell>
          <cell r="EX1004">
            <v>0</v>
          </cell>
          <cell r="EY1004">
            <v>0</v>
          </cell>
          <cell r="EZ1004">
            <v>0</v>
          </cell>
          <cell r="FA1004">
            <v>0</v>
          </cell>
          <cell r="FB1004" t="str">
            <v xml:space="preserve"> </v>
          </cell>
          <cell r="FC1004">
            <v>0</v>
          </cell>
          <cell r="FD1004">
            <v>0</v>
          </cell>
          <cell r="FE1004">
            <v>0</v>
          </cell>
          <cell r="FF1004">
            <v>0</v>
          </cell>
          <cell r="FG1004">
            <v>0</v>
          </cell>
          <cell r="FH1004">
            <v>0</v>
          </cell>
          <cell r="FI1004">
            <v>0</v>
          </cell>
          <cell r="FJ1004">
            <v>0</v>
          </cell>
          <cell r="FK1004">
            <v>0</v>
          </cell>
          <cell r="FL1004">
            <v>0</v>
          </cell>
          <cell r="FM1004">
            <v>0</v>
          </cell>
          <cell r="FN1004">
            <v>0</v>
          </cell>
          <cell r="FO1004">
            <v>0</v>
          </cell>
          <cell r="FP1004">
            <v>0</v>
          </cell>
          <cell r="FQ1004">
            <v>0</v>
          </cell>
          <cell r="FS1004">
            <v>0.1</v>
          </cell>
          <cell r="FT1004">
            <v>0</v>
          </cell>
          <cell r="FU1004">
            <v>0.09</v>
          </cell>
          <cell r="FV1004">
            <v>7.2087456393248299</v>
          </cell>
          <cell r="FW1004">
            <v>7.1392220330447289</v>
          </cell>
          <cell r="FX1004">
            <v>0</v>
          </cell>
          <cell r="FY1004">
            <v>0</v>
          </cell>
          <cell r="FZ1004">
            <v>0</v>
          </cell>
          <cell r="GA1004">
            <v>0</v>
          </cell>
          <cell r="GB1004">
            <v>1317</v>
          </cell>
          <cell r="GC1004">
            <v>13596.959534225403</v>
          </cell>
          <cell r="GD1004">
            <v>628.95823180254877</v>
          </cell>
          <cell r="GE1004">
            <v>1600.6948518721192</v>
          </cell>
          <cell r="GF1004">
            <v>0</v>
          </cell>
          <cell r="GG1004">
            <v>0</v>
          </cell>
          <cell r="GH1004">
            <v>0</v>
          </cell>
          <cell r="GI1004">
            <v>0</v>
          </cell>
          <cell r="GJ1004">
            <v>0</v>
          </cell>
          <cell r="GK1004">
            <v>0</v>
          </cell>
          <cell r="GL1004">
            <v>1317</v>
          </cell>
          <cell r="GN1004">
            <v>0.1</v>
          </cell>
          <cell r="GO1004">
            <v>0</v>
          </cell>
          <cell r="GP1004">
            <v>0.09</v>
          </cell>
          <cell r="GQ1004">
            <v>7.2087456393248299</v>
          </cell>
          <cell r="GR1004">
            <v>7.1392220330447289</v>
          </cell>
          <cell r="GS1004">
            <v>0</v>
          </cell>
          <cell r="GT1004">
            <v>0</v>
          </cell>
          <cell r="GU1004">
            <v>0</v>
          </cell>
          <cell r="GV1004">
            <v>0</v>
          </cell>
          <cell r="GW1004">
            <v>7341</v>
          </cell>
          <cell r="GX1004">
            <v>6508.7547623646196</v>
          </cell>
          <cell r="GY1004">
            <v>4084.8490261389807</v>
          </cell>
          <cell r="GZ1004">
            <v>0</v>
          </cell>
          <cell r="HA1004">
            <v>0</v>
          </cell>
          <cell r="HB1004">
            <v>0</v>
          </cell>
          <cell r="HC1004">
            <v>0</v>
          </cell>
          <cell r="HD1004">
            <v>0</v>
          </cell>
          <cell r="HE1004">
            <v>0</v>
          </cell>
          <cell r="HF1004">
            <v>0</v>
          </cell>
          <cell r="HG1004">
            <v>7341</v>
          </cell>
          <cell r="HI1004">
            <v>0.1</v>
          </cell>
          <cell r="HJ1004">
            <v>0</v>
          </cell>
          <cell r="HK1004">
            <v>0.09</v>
          </cell>
          <cell r="HL1004">
            <v>7.2087456393248299</v>
          </cell>
          <cell r="HM1004">
            <v>7.1392220330447289</v>
          </cell>
          <cell r="HN1004">
            <v>0</v>
          </cell>
          <cell r="HO1004">
            <v>0</v>
          </cell>
          <cell r="HP1004">
            <v>0</v>
          </cell>
          <cell r="HQ1004">
            <v>0</v>
          </cell>
          <cell r="HR1004">
            <v>13844</v>
          </cell>
          <cell r="HS1004">
            <v>18384.115641903154</v>
          </cell>
          <cell r="HT1004">
            <v>849.98486051583313</v>
          </cell>
          <cell r="HU1004">
            <v>0</v>
          </cell>
          <cell r="HV1004">
            <v>0</v>
          </cell>
          <cell r="HW1004">
            <v>0</v>
          </cell>
          <cell r="HX1004">
            <v>0</v>
          </cell>
          <cell r="HY1004">
            <v>0</v>
          </cell>
          <cell r="HZ1004">
            <v>0</v>
          </cell>
          <cell r="IA1004">
            <v>0</v>
          </cell>
          <cell r="IB1004">
            <v>13844</v>
          </cell>
        </row>
        <row r="1005">
          <cell r="C1005" t="str">
            <v>A0057</v>
          </cell>
          <cell r="D1005" t="str">
            <v>PT Pratama Sedaya Finance</v>
          </cell>
          <cell r="E1005" t="str">
            <v>PEB 2</v>
          </cell>
          <cell r="F1005" t="str">
            <v>84PEB 2</v>
          </cell>
          <cell r="G1005">
            <v>0.1</v>
          </cell>
          <cell r="I1005">
            <v>0.09</v>
          </cell>
          <cell r="J1005">
            <v>7.2087456393248299</v>
          </cell>
          <cell r="K1005">
            <v>7.1392220330447289</v>
          </cell>
          <cell r="P1005">
            <v>3542</v>
          </cell>
          <cell r="Q1005">
            <v>10644.548622723161</v>
          </cell>
          <cell r="R1005">
            <v>493.81628676171488</v>
          </cell>
          <cell r="S1005">
            <v>0</v>
          </cell>
          <cell r="U1005">
            <v>0</v>
          </cell>
          <cell r="W1005">
            <v>4560</v>
          </cell>
          <cell r="X1005">
            <v>-6427</v>
          </cell>
          <cell r="Y1005">
            <v>782</v>
          </cell>
          <cell r="Z1005">
            <v>1675</v>
          </cell>
        </row>
        <row r="1006">
          <cell r="C1006" t="str">
            <v>A0057</v>
          </cell>
          <cell r="D1006" t="str">
            <v>PT Pratama Sedaya Finance</v>
          </cell>
          <cell r="E1006" t="str">
            <v>PEB 3</v>
          </cell>
          <cell r="F1006" t="str">
            <v>84PEB 3</v>
          </cell>
          <cell r="G1006">
            <v>0.1</v>
          </cell>
          <cell r="I1006">
            <v>0.09</v>
          </cell>
          <cell r="J1006">
            <v>7.2087456393248299</v>
          </cell>
          <cell r="K1006">
            <v>7.1392220330447289</v>
          </cell>
          <cell r="P1006">
            <v>711</v>
          </cell>
          <cell r="Q1006">
            <v>11286.314132274932</v>
          </cell>
          <cell r="R1006">
            <v>527.01690575471991</v>
          </cell>
          <cell r="S1006">
            <v>0</v>
          </cell>
          <cell r="U1006">
            <v>0</v>
          </cell>
          <cell r="W1006">
            <v>183475</v>
          </cell>
          <cell r="X1006">
            <v>-181236</v>
          </cell>
          <cell r="Y1006">
            <v>22053</v>
          </cell>
          <cell r="Z1006">
            <v>2950</v>
          </cell>
        </row>
        <row r="1007">
          <cell r="C1007" t="str">
            <v>A0057</v>
          </cell>
          <cell r="D1007" t="str">
            <v>PT Pratama Sedaya Finance</v>
          </cell>
          <cell r="E1007" t="str">
            <v>PEB 4</v>
          </cell>
          <cell r="F1007" t="str">
            <v>84PEB 4</v>
          </cell>
          <cell r="K1007" t="str">
            <v xml:space="preserve"> </v>
          </cell>
          <cell r="P1007">
            <v>0</v>
          </cell>
          <cell r="U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</row>
        <row r="1008">
          <cell r="C1008" t="str">
            <v>A0057</v>
          </cell>
          <cell r="D1008" t="str">
            <v>PT Pratama Sedaya Finance</v>
          </cell>
          <cell r="E1008" t="str">
            <v>PEB 5</v>
          </cell>
          <cell r="F1008" t="str">
            <v>84PEB 5</v>
          </cell>
          <cell r="K1008" t="str">
            <v xml:space="preserve"> </v>
          </cell>
          <cell r="P1008">
            <v>0</v>
          </cell>
          <cell r="U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</row>
        <row r="1009">
          <cell r="C1009" t="str">
            <v>A0057</v>
          </cell>
          <cell r="D1009" t="str">
            <v>PT Pratama Sedaya Finance</v>
          </cell>
          <cell r="E1009" t="str">
            <v>PEB 6</v>
          </cell>
          <cell r="F1009" t="str">
            <v>84PEB 6</v>
          </cell>
          <cell r="P1009">
            <v>0</v>
          </cell>
          <cell r="U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</row>
        <row r="1010">
          <cell r="C1010" t="str">
            <v>A0057</v>
          </cell>
          <cell r="D1010" t="str">
            <v>PT Pratama Sedaya Finance</v>
          </cell>
          <cell r="E1010" t="str">
            <v>PEB 7</v>
          </cell>
          <cell r="F1010" t="str">
            <v>84PEB 7</v>
          </cell>
          <cell r="G1010">
            <v>0.1</v>
          </cell>
          <cell r="I1010">
            <v>0.09</v>
          </cell>
          <cell r="J1010">
            <v>7.2087456393248299</v>
          </cell>
          <cell r="K1010">
            <v>7.1392220330447289</v>
          </cell>
          <cell r="P1010">
            <v>5260</v>
          </cell>
          <cell r="Q1010">
            <v>3488.7568286624755</v>
          </cell>
          <cell r="R1010">
            <v>161.21003482245777</v>
          </cell>
          <cell r="S1010">
            <v>496.97437476275735</v>
          </cell>
          <cell r="U1010">
            <v>0</v>
          </cell>
          <cell r="W1010">
            <v>-3655</v>
          </cell>
          <cell r="X1010">
            <v>0</v>
          </cell>
          <cell r="Y1010">
            <v>0</v>
          </cell>
          <cell r="Z1010">
            <v>1605</v>
          </cell>
        </row>
        <row r="1011">
          <cell r="C1011" t="str">
            <v>A0057</v>
          </cell>
          <cell r="D1011" t="str">
            <v>PT Pratama Sedaya Finance</v>
          </cell>
          <cell r="E1011" t="str">
            <v>MPP</v>
          </cell>
          <cell r="F1011" t="str">
            <v>84MPP</v>
          </cell>
          <cell r="K1011" t="str">
            <v xml:space="preserve"> </v>
          </cell>
          <cell r="P1011">
            <v>0</v>
          </cell>
          <cell r="U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</row>
        <row r="1012">
          <cell r="C1012" t="str">
            <v>A0057</v>
          </cell>
          <cell r="D1012" t="str">
            <v>PT Pratama Sedaya Finance</v>
          </cell>
          <cell r="E1012" t="str">
            <v>ID</v>
          </cell>
          <cell r="F1012" t="str">
            <v>84ID</v>
          </cell>
          <cell r="G1012">
            <v>0.1</v>
          </cell>
          <cell r="I1012">
            <v>0.09</v>
          </cell>
          <cell r="J1012">
            <v>7.2087456393248299</v>
          </cell>
          <cell r="K1012">
            <v>7.1392220330447289</v>
          </cell>
          <cell r="P1012">
            <v>1317</v>
          </cell>
          <cell r="Q1012">
            <v>13596.959534225403</v>
          </cell>
          <cell r="R1012">
            <v>628.95823180254877</v>
          </cell>
          <cell r="S1012">
            <v>1600.6948518721192</v>
          </cell>
          <cell r="U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1317</v>
          </cell>
        </row>
        <row r="1013">
          <cell r="C1013" t="str">
            <v>A0057</v>
          </cell>
          <cell r="D1013" t="str">
            <v>PT Pratama Sedaya Finance</v>
          </cell>
          <cell r="E1013" t="str">
            <v>LL</v>
          </cell>
          <cell r="F1013" t="str">
            <v>84LL</v>
          </cell>
          <cell r="G1013">
            <v>0.1</v>
          </cell>
          <cell r="I1013">
            <v>0.09</v>
          </cell>
          <cell r="J1013">
            <v>7.2087456393248299</v>
          </cell>
          <cell r="K1013">
            <v>7.1392220330447289</v>
          </cell>
          <cell r="P1013">
            <v>7341</v>
          </cell>
          <cell r="Q1013">
            <v>6508.7547623646196</v>
          </cell>
          <cell r="R1013">
            <v>4084.8490261389807</v>
          </cell>
          <cell r="S1013">
            <v>0</v>
          </cell>
          <cell r="U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7341</v>
          </cell>
        </row>
        <row r="1014">
          <cell r="C1014" t="str">
            <v>A0057</v>
          </cell>
          <cell r="D1014" t="str">
            <v>PT Pratama Sedaya Finance</v>
          </cell>
          <cell r="E1014" t="str">
            <v>PMK</v>
          </cell>
          <cell r="F1014" t="str">
            <v>84PMK</v>
          </cell>
          <cell r="G1014">
            <v>0.1</v>
          </cell>
          <cell r="I1014">
            <v>0.09</v>
          </cell>
          <cell r="J1014">
            <v>7.2087456393248299</v>
          </cell>
          <cell r="K1014">
            <v>7.1392220330447289</v>
          </cell>
          <cell r="P1014">
            <v>13844</v>
          </cell>
          <cell r="Q1014">
            <v>18384.115641903154</v>
          </cell>
          <cell r="R1014">
            <v>849.98486051583313</v>
          </cell>
          <cell r="S1014">
            <v>0</v>
          </cell>
          <cell r="U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13844</v>
          </cell>
        </row>
        <row r="1016">
          <cell r="C1016" t="str">
            <v>A0424</v>
          </cell>
          <cell r="D1016" t="str">
            <v>PT Prima Multi Mineral</v>
          </cell>
          <cell r="E1016" t="str">
            <v>PEB 1</v>
          </cell>
          <cell r="F1016" t="str">
            <v>85PEB 1</v>
          </cell>
          <cell r="N1016">
            <v>0</v>
          </cell>
          <cell r="O1016">
            <v>0</v>
          </cell>
          <cell r="P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B1016">
            <v>0.1</v>
          </cell>
          <cell r="AC1016">
            <v>0</v>
          </cell>
          <cell r="AD1016">
            <v>0.09</v>
          </cell>
          <cell r="AE1016">
            <v>10.497161033836452</v>
          </cell>
          <cell r="AF1016">
            <v>19.726807888961208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31966</v>
          </cell>
          <cell r="AL1016">
            <v>62523.994796233332</v>
          </cell>
          <cell r="AM1016">
            <v>30213.205085321188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-6543</v>
          </cell>
          <cell r="AS1016">
            <v>0</v>
          </cell>
          <cell r="AT1016">
            <v>0</v>
          </cell>
          <cell r="AU1016">
            <v>25423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  <cell r="CM1016">
            <v>0.1</v>
          </cell>
          <cell r="CN1016">
            <v>0</v>
          </cell>
          <cell r="CO1016">
            <v>0.09</v>
          </cell>
          <cell r="CP1016">
            <v>10.497161033836452</v>
          </cell>
          <cell r="CQ1016">
            <v>19.726807888961208</v>
          </cell>
          <cell r="CR1016">
            <v>0</v>
          </cell>
          <cell r="CS1016">
            <v>0</v>
          </cell>
          <cell r="CT1016">
            <v>0</v>
          </cell>
          <cell r="CU1016">
            <v>0</v>
          </cell>
          <cell r="CV1016">
            <v>130944</v>
          </cell>
          <cell r="CW1016">
            <v>236723.83746696837</v>
          </cell>
          <cell r="CX1016">
            <v>106283.88267266973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-25273</v>
          </cell>
          <cell r="DD1016">
            <v>0</v>
          </cell>
          <cell r="DE1016">
            <v>0</v>
          </cell>
          <cell r="DF1016">
            <v>105671</v>
          </cell>
          <cell r="DH1016">
            <v>0</v>
          </cell>
          <cell r="DI1016">
            <v>0</v>
          </cell>
          <cell r="DJ1016">
            <v>0</v>
          </cell>
          <cell r="DK1016">
            <v>0</v>
          </cell>
          <cell r="DL1016">
            <v>0</v>
          </cell>
          <cell r="DM1016">
            <v>0</v>
          </cell>
          <cell r="DN1016">
            <v>0</v>
          </cell>
          <cell r="DO1016">
            <v>0</v>
          </cell>
          <cell r="DP1016">
            <v>0</v>
          </cell>
          <cell r="DQ1016">
            <v>0</v>
          </cell>
          <cell r="DR1016">
            <v>0</v>
          </cell>
          <cell r="DS1016">
            <v>0</v>
          </cell>
          <cell r="DT1016">
            <v>0</v>
          </cell>
          <cell r="DU1016">
            <v>0</v>
          </cell>
          <cell r="DV1016">
            <v>0</v>
          </cell>
          <cell r="DW1016">
            <v>0</v>
          </cell>
          <cell r="DX1016">
            <v>0</v>
          </cell>
          <cell r="DY1016">
            <v>0</v>
          </cell>
          <cell r="DZ1016">
            <v>0</v>
          </cell>
          <cell r="EA1016">
            <v>0</v>
          </cell>
          <cell r="EC1016">
            <v>0.1</v>
          </cell>
          <cell r="ED1016">
            <v>0</v>
          </cell>
          <cell r="EE1016">
            <v>0.09</v>
          </cell>
          <cell r="EF1016">
            <v>10.497161033836452</v>
          </cell>
          <cell r="EG1016">
            <v>19.726807888961208</v>
          </cell>
          <cell r="EH1016">
            <v>0</v>
          </cell>
          <cell r="EI1016">
            <v>0</v>
          </cell>
          <cell r="EJ1016">
            <v>0</v>
          </cell>
          <cell r="EK1016">
            <v>0</v>
          </cell>
          <cell r="EL1016">
            <v>544</v>
          </cell>
          <cell r="EM1016">
            <v>12911.069901537538</v>
          </cell>
          <cell r="EN1016">
            <v>6931.8940011478362</v>
          </cell>
          <cell r="EO1016">
            <v>0</v>
          </cell>
          <cell r="EP1016">
            <v>0</v>
          </cell>
          <cell r="EQ1016">
            <v>0</v>
          </cell>
          <cell r="ER1016">
            <v>0</v>
          </cell>
          <cell r="ES1016">
            <v>-91</v>
          </cell>
          <cell r="ET1016">
            <v>0</v>
          </cell>
          <cell r="EU1016">
            <v>0</v>
          </cell>
          <cell r="EV1016">
            <v>453</v>
          </cell>
          <cell r="EX1016">
            <v>0.1</v>
          </cell>
          <cell r="EY1016">
            <v>0</v>
          </cell>
          <cell r="EZ1016">
            <v>0.09</v>
          </cell>
          <cell r="FA1016">
            <v>10.497161033836452</v>
          </cell>
          <cell r="FB1016">
            <v>19.726807888961208</v>
          </cell>
          <cell r="FC1016">
            <v>0</v>
          </cell>
          <cell r="FD1016">
            <v>0</v>
          </cell>
          <cell r="FE1016">
            <v>0</v>
          </cell>
          <cell r="FF1016">
            <v>0</v>
          </cell>
          <cell r="FG1016">
            <v>0</v>
          </cell>
          <cell r="FH1016">
            <v>27071.483158440966</v>
          </cell>
          <cell r="FI1016">
            <v>11548.114188731193</v>
          </cell>
          <cell r="FJ1016">
            <v>0</v>
          </cell>
          <cell r="FK1016">
            <v>0</v>
          </cell>
          <cell r="FL1016">
            <v>0</v>
          </cell>
          <cell r="FM1016">
            <v>0</v>
          </cell>
          <cell r="FN1016">
            <v>0</v>
          </cell>
          <cell r="FO1016">
            <v>0</v>
          </cell>
          <cell r="FP1016">
            <v>0</v>
          </cell>
          <cell r="FQ1016">
            <v>0</v>
          </cell>
          <cell r="FS1016">
            <v>0.1</v>
          </cell>
          <cell r="FT1016">
            <v>0</v>
          </cell>
          <cell r="FU1016">
            <v>0.09</v>
          </cell>
          <cell r="FV1016">
            <v>10.497161033836452</v>
          </cell>
          <cell r="FW1016">
            <v>19.726807888961208</v>
          </cell>
          <cell r="FX1016">
            <v>0</v>
          </cell>
          <cell r="FY1016">
            <v>0</v>
          </cell>
          <cell r="FZ1016">
            <v>0</v>
          </cell>
          <cell r="GA1016">
            <v>0</v>
          </cell>
          <cell r="GB1016">
            <v>791</v>
          </cell>
          <cell r="GC1016">
            <v>29044.312973833079</v>
          </cell>
          <cell r="GD1016">
            <v>14283.804116222751</v>
          </cell>
          <cell r="GE1016">
            <v>1409.8536690518067</v>
          </cell>
          <cell r="GF1016">
            <v>0</v>
          </cell>
          <cell r="GG1016">
            <v>0</v>
          </cell>
          <cell r="GH1016">
            <v>0</v>
          </cell>
          <cell r="GI1016">
            <v>0</v>
          </cell>
          <cell r="GJ1016">
            <v>0</v>
          </cell>
          <cell r="GK1016">
            <v>0</v>
          </cell>
          <cell r="GL1016">
            <v>791</v>
          </cell>
          <cell r="GN1016">
            <v>0.1</v>
          </cell>
          <cell r="GO1016">
            <v>0</v>
          </cell>
          <cell r="GP1016">
            <v>0.09</v>
          </cell>
          <cell r="GQ1016">
            <v>10.497161033836452</v>
          </cell>
          <cell r="GR1016">
            <v>19.726807888961208</v>
          </cell>
          <cell r="GS1016">
            <v>0</v>
          </cell>
          <cell r="GT1016">
            <v>0</v>
          </cell>
          <cell r="GU1016">
            <v>0</v>
          </cell>
          <cell r="GV1016">
            <v>0</v>
          </cell>
          <cell r="GW1016">
            <v>57285</v>
          </cell>
          <cell r="GX1016">
            <v>87072</v>
          </cell>
          <cell r="GY1016">
            <v>42574</v>
          </cell>
          <cell r="GZ1016">
            <v>0</v>
          </cell>
          <cell r="HA1016">
            <v>0</v>
          </cell>
          <cell r="HB1016">
            <v>0</v>
          </cell>
          <cell r="HC1016">
            <v>0</v>
          </cell>
          <cell r="HD1016">
            <v>0</v>
          </cell>
          <cell r="HE1016">
            <v>0</v>
          </cell>
          <cell r="HF1016">
            <v>0</v>
          </cell>
          <cell r="HG1016">
            <v>57285</v>
          </cell>
          <cell r="HI1016">
            <v>0.1</v>
          </cell>
          <cell r="HJ1016">
            <v>0</v>
          </cell>
          <cell r="HK1016">
            <v>0.09</v>
          </cell>
          <cell r="HL1016">
            <v>10.497161033836452</v>
          </cell>
          <cell r="HM1016">
            <v>19.726807888961208</v>
          </cell>
          <cell r="HN1016">
            <v>0</v>
          </cell>
          <cell r="HO1016">
            <v>0</v>
          </cell>
          <cell r="HP1016">
            <v>0</v>
          </cell>
          <cell r="HQ1016">
            <v>0</v>
          </cell>
          <cell r="HR1016">
            <v>8586</v>
          </cell>
          <cell r="HS1016">
            <v>27999.267035844343</v>
          </cell>
          <cell r="HT1016">
            <v>13576.793731373145</v>
          </cell>
          <cell r="HU1016">
            <v>0</v>
          </cell>
          <cell r="HV1016">
            <v>0</v>
          </cell>
          <cell r="HW1016">
            <v>0</v>
          </cell>
          <cell r="HX1016">
            <v>0</v>
          </cell>
          <cell r="HY1016">
            <v>0</v>
          </cell>
          <cell r="HZ1016">
            <v>0</v>
          </cell>
          <cell r="IA1016">
            <v>0</v>
          </cell>
          <cell r="IB1016">
            <v>8586</v>
          </cell>
        </row>
        <row r="1017">
          <cell r="C1017" t="str">
            <v>A0424</v>
          </cell>
          <cell r="D1017" t="str">
            <v>PT Prima Multi Mineral</v>
          </cell>
          <cell r="E1017" t="str">
            <v>PEB 2</v>
          </cell>
          <cell r="F1017" t="str">
            <v>85PEB 2</v>
          </cell>
          <cell r="G1017">
            <v>0.1</v>
          </cell>
          <cell r="I1017">
            <v>0.09</v>
          </cell>
          <cell r="J1017">
            <v>10.497161033836452</v>
          </cell>
          <cell r="K1017">
            <v>19.726807888961208</v>
          </cell>
          <cell r="P1017">
            <v>31966</v>
          </cell>
          <cell r="Q1017">
            <v>62523.994796233332</v>
          </cell>
          <cell r="R1017">
            <v>30213.205085321188</v>
          </cell>
          <cell r="S1017">
            <v>0</v>
          </cell>
          <cell r="U1017">
            <v>0</v>
          </cell>
          <cell r="W1017">
            <v>-6543</v>
          </cell>
          <cell r="X1017">
            <v>0</v>
          </cell>
          <cell r="Y1017">
            <v>0</v>
          </cell>
          <cell r="Z1017">
            <v>25423</v>
          </cell>
        </row>
        <row r="1018">
          <cell r="C1018" t="str">
            <v>A0424</v>
          </cell>
          <cell r="D1018" t="str">
            <v>PT Prima Multi Mineral</v>
          </cell>
          <cell r="E1018" t="str">
            <v>PEB 3</v>
          </cell>
          <cell r="F1018" t="str">
            <v>85PEB 3</v>
          </cell>
          <cell r="P1018">
            <v>0</v>
          </cell>
          <cell r="U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</row>
        <row r="1019">
          <cell r="C1019" t="str">
            <v>A0424</v>
          </cell>
          <cell r="D1019" t="str">
            <v>PT Prima Multi Mineral</v>
          </cell>
          <cell r="E1019" t="str">
            <v>PEB 4</v>
          </cell>
          <cell r="F1019" t="str">
            <v>85PEB 4</v>
          </cell>
          <cell r="P1019">
            <v>0</v>
          </cell>
          <cell r="U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</row>
        <row r="1020">
          <cell r="C1020" t="str">
            <v>A0424</v>
          </cell>
          <cell r="D1020" t="str">
            <v>PT Prima Multi Mineral</v>
          </cell>
          <cell r="E1020" t="str">
            <v>PEB 5</v>
          </cell>
          <cell r="F1020" t="str">
            <v>85PEB 5</v>
          </cell>
          <cell r="G1020">
            <v>0.1</v>
          </cell>
          <cell r="I1020">
            <v>0.09</v>
          </cell>
          <cell r="J1020">
            <v>10.497161033836452</v>
          </cell>
          <cell r="K1020">
            <v>19.726807888961208</v>
          </cell>
          <cell r="P1020">
            <v>130944</v>
          </cell>
          <cell r="Q1020">
            <v>236723.83746696837</v>
          </cell>
          <cell r="R1020">
            <v>106283.88267266973</v>
          </cell>
          <cell r="S1020">
            <v>0</v>
          </cell>
          <cell r="U1020">
            <v>0</v>
          </cell>
          <cell r="W1020">
            <v>-25273</v>
          </cell>
          <cell r="X1020">
            <v>0</v>
          </cell>
          <cell r="Y1020">
            <v>0</v>
          </cell>
          <cell r="Z1020">
            <v>105671</v>
          </cell>
        </row>
        <row r="1021">
          <cell r="C1021" t="str">
            <v>A0424</v>
          </cell>
          <cell r="D1021" t="str">
            <v>PT Prima Multi Mineral</v>
          </cell>
          <cell r="E1021" t="str">
            <v>PEB 6</v>
          </cell>
          <cell r="F1021" t="str">
            <v>85PEB 6</v>
          </cell>
          <cell r="J1021">
            <v>0</v>
          </cell>
          <cell r="P1021">
            <v>0</v>
          </cell>
          <cell r="U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</row>
        <row r="1022">
          <cell r="C1022" t="str">
            <v>A0424</v>
          </cell>
          <cell r="D1022" t="str">
            <v>PT Prima Multi Mineral</v>
          </cell>
          <cell r="E1022" t="str">
            <v>PEB 7</v>
          </cell>
          <cell r="F1022" t="str">
            <v>85PEB 7</v>
          </cell>
          <cell r="G1022">
            <v>0.1</v>
          </cell>
          <cell r="I1022">
            <v>0.09</v>
          </cell>
          <cell r="J1022">
            <v>10.497161033836452</v>
          </cell>
          <cell r="K1022">
            <v>19.726807888961208</v>
          </cell>
          <cell r="P1022">
            <v>544</v>
          </cell>
          <cell r="Q1022">
            <v>12911.069901537538</v>
          </cell>
          <cell r="R1022">
            <v>6931.8940011478362</v>
          </cell>
          <cell r="S1022">
            <v>0</v>
          </cell>
          <cell r="U1022">
            <v>0</v>
          </cell>
          <cell r="W1022">
            <v>-91</v>
          </cell>
          <cell r="X1022">
            <v>0</v>
          </cell>
          <cell r="Y1022">
            <v>0</v>
          </cell>
          <cell r="Z1022">
            <v>453</v>
          </cell>
        </row>
        <row r="1023">
          <cell r="C1023" t="str">
            <v>A0424</v>
          </cell>
          <cell r="D1023" t="str">
            <v>PT Prima Multi Mineral</v>
          </cell>
          <cell r="E1023" t="str">
            <v>MPP</v>
          </cell>
          <cell r="F1023" t="str">
            <v>85MPP</v>
          </cell>
          <cell r="G1023">
            <v>0.1</v>
          </cell>
          <cell r="I1023">
            <v>0.09</v>
          </cell>
          <cell r="J1023">
            <v>10.497161033836452</v>
          </cell>
          <cell r="K1023">
            <v>19.726807888961208</v>
          </cell>
          <cell r="P1023">
            <v>0</v>
          </cell>
          <cell r="Q1023">
            <v>27071.483158440966</v>
          </cell>
          <cell r="R1023">
            <v>11548.114188731193</v>
          </cell>
          <cell r="S1023">
            <v>0</v>
          </cell>
          <cell r="U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</row>
        <row r="1024">
          <cell r="C1024" t="str">
            <v>A0424</v>
          </cell>
          <cell r="D1024" t="str">
            <v>PT Prima Multi Mineral</v>
          </cell>
          <cell r="E1024" t="str">
            <v>ID</v>
          </cell>
          <cell r="F1024" t="str">
            <v>85ID</v>
          </cell>
          <cell r="G1024">
            <v>0.1</v>
          </cell>
          <cell r="I1024">
            <v>0.09</v>
          </cell>
          <cell r="J1024">
            <v>10.497161033836452</v>
          </cell>
          <cell r="K1024">
            <v>19.726807888961208</v>
          </cell>
          <cell r="P1024">
            <v>791</v>
          </cell>
          <cell r="Q1024">
            <v>29044.312973833079</v>
          </cell>
          <cell r="R1024">
            <v>14283.804116222751</v>
          </cell>
          <cell r="S1024">
            <v>1409.8536690518067</v>
          </cell>
          <cell r="U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791</v>
          </cell>
        </row>
        <row r="1025">
          <cell r="C1025" t="str">
            <v>A0424</v>
          </cell>
          <cell r="D1025" t="str">
            <v>PT Prima Multi Mineral</v>
          </cell>
          <cell r="E1025" t="str">
            <v>LL</v>
          </cell>
          <cell r="F1025" t="str">
            <v>85LL</v>
          </cell>
          <cell r="G1025">
            <v>0.1</v>
          </cell>
          <cell r="I1025">
            <v>0.09</v>
          </cell>
          <cell r="J1025">
            <v>10.497161033836452</v>
          </cell>
          <cell r="K1025">
            <v>19.726807888961208</v>
          </cell>
          <cell r="P1025">
            <v>57285</v>
          </cell>
          <cell r="Q1025">
            <v>87072</v>
          </cell>
          <cell r="R1025">
            <v>42574</v>
          </cell>
          <cell r="S1025">
            <v>0</v>
          </cell>
          <cell r="U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57285</v>
          </cell>
        </row>
        <row r="1026">
          <cell r="C1026" t="str">
            <v>A0424</v>
          </cell>
          <cell r="D1026" t="str">
            <v>PT Prima Multi Mineral</v>
          </cell>
          <cell r="E1026" t="str">
            <v>PMK</v>
          </cell>
          <cell r="F1026" t="str">
            <v>85PMK</v>
          </cell>
          <cell r="G1026">
            <v>0.1</v>
          </cell>
          <cell r="I1026">
            <v>0.09</v>
          </cell>
          <cell r="J1026">
            <v>10.497161033836452</v>
          </cell>
          <cell r="K1026">
            <v>19.726807888961208</v>
          </cell>
          <cell r="P1026">
            <v>8586</v>
          </cell>
          <cell r="Q1026">
            <v>27999.267035844343</v>
          </cell>
          <cell r="R1026">
            <v>13576.793731373145</v>
          </cell>
          <cell r="S1026">
            <v>0</v>
          </cell>
          <cell r="U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8586</v>
          </cell>
        </row>
        <row r="1028">
          <cell r="C1028" t="str">
            <v>A0439</v>
          </cell>
          <cell r="D1028" t="str">
            <v>PT Rimbunan Alam Sentosa</v>
          </cell>
          <cell r="E1028" t="str">
            <v>PEB 1</v>
          </cell>
          <cell r="F1028" t="str">
            <v>86PEB 1</v>
          </cell>
          <cell r="J1028">
            <v>0</v>
          </cell>
          <cell r="N1028">
            <v>0</v>
          </cell>
          <cell r="O1028">
            <v>0</v>
          </cell>
          <cell r="P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10.137347500061541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145975</v>
          </cell>
          <cell r="AL1028">
            <v>272315.48747384915</v>
          </cell>
          <cell r="AM1028">
            <v>38581.361945500576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-40111</v>
          </cell>
          <cell r="AS1028">
            <v>0</v>
          </cell>
          <cell r="AT1028">
            <v>0</v>
          </cell>
          <cell r="AU1028">
            <v>105864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R1028">
            <v>0</v>
          </cell>
          <cell r="BS1028">
            <v>0</v>
          </cell>
          <cell r="BT1028">
            <v>0</v>
          </cell>
          <cell r="BU1028">
            <v>10.137347500061541</v>
          </cell>
          <cell r="BV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187996</v>
          </cell>
          <cell r="CB1028">
            <v>902990.50677618163</v>
          </cell>
          <cell r="CC1028">
            <v>137308.72286454312</v>
          </cell>
          <cell r="CD1028">
            <v>0</v>
          </cell>
          <cell r="CE1028">
            <v>0</v>
          </cell>
          <cell r="CF1028">
            <v>0</v>
          </cell>
          <cell r="CG1028">
            <v>0</v>
          </cell>
          <cell r="CH1028">
            <v>-114067</v>
          </cell>
          <cell r="CI1028">
            <v>0</v>
          </cell>
          <cell r="CJ1028">
            <v>0</v>
          </cell>
          <cell r="CK1028">
            <v>73929</v>
          </cell>
          <cell r="CM1028">
            <v>0</v>
          </cell>
          <cell r="CN1028">
            <v>0</v>
          </cell>
          <cell r="CO1028">
            <v>0</v>
          </cell>
          <cell r="CP1028">
            <v>0</v>
          </cell>
          <cell r="CQ1028">
            <v>0</v>
          </cell>
          <cell r="CR1028">
            <v>0</v>
          </cell>
          <cell r="CS1028">
            <v>0</v>
          </cell>
          <cell r="CT1028">
            <v>0</v>
          </cell>
          <cell r="CU1028">
            <v>0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  <cell r="DD1028">
            <v>0</v>
          </cell>
          <cell r="DE1028">
            <v>0</v>
          </cell>
          <cell r="DF1028">
            <v>0</v>
          </cell>
          <cell r="DH1028">
            <v>0</v>
          </cell>
          <cell r="DI1028">
            <v>0</v>
          </cell>
          <cell r="DJ1028">
            <v>0</v>
          </cell>
          <cell r="DK1028">
            <v>0</v>
          </cell>
          <cell r="DL1028">
            <v>0</v>
          </cell>
          <cell r="DM1028">
            <v>0</v>
          </cell>
          <cell r="DN1028">
            <v>0</v>
          </cell>
          <cell r="DO1028">
            <v>0</v>
          </cell>
          <cell r="DP1028">
            <v>0</v>
          </cell>
          <cell r="DQ1028">
            <v>0</v>
          </cell>
          <cell r="DR1028">
            <v>0</v>
          </cell>
          <cell r="DS1028">
            <v>0</v>
          </cell>
          <cell r="DT1028">
            <v>0</v>
          </cell>
          <cell r="DU1028">
            <v>0</v>
          </cell>
          <cell r="DV1028">
            <v>0</v>
          </cell>
          <cell r="DW1028">
            <v>0</v>
          </cell>
          <cell r="DX1028">
            <v>0</v>
          </cell>
          <cell r="DY1028">
            <v>0</v>
          </cell>
          <cell r="DZ1028">
            <v>0</v>
          </cell>
          <cell r="EA1028">
            <v>0</v>
          </cell>
          <cell r="EC1028">
            <v>0</v>
          </cell>
          <cell r="ED1028">
            <v>0</v>
          </cell>
          <cell r="EE1028">
            <v>0</v>
          </cell>
          <cell r="EF1028">
            <v>10.137347500061541</v>
          </cell>
          <cell r="EG1028">
            <v>0</v>
          </cell>
          <cell r="EH1028">
            <v>0</v>
          </cell>
          <cell r="EI1028">
            <v>0</v>
          </cell>
          <cell r="EJ1028">
            <v>0</v>
          </cell>
          <cell r="EK1028">
            <v>0</v>
          </cell>
          <cell r="EL1028">
            <v>15141</v>
          </cell>
          <cell r="EM1028">
            <v>35012.159439659881</v>
          </cell>
          <cell r="EN1028">
            <v>9108.8550061799251</v>
          </cell>
          <cell r="EO1028">
            <v>2725.0440206892245</v>
          </cell>
          <cell r="EP1028">
            <v>0</v>
          </cell>
          <cell r="EQ1028">
            <v>0</v>
          </cell>
          <cell r="ER1028">
            <v>0</v>
          </cell>
          <cell r="ES1028">
            <v>-11665</v>
          </cell>
          <cell r="ET1028">
            <v>0</v>
          </cell>
          <cell r="EU1028">
            <v>0</v>
          </cell>
          <cell r="EV1028">
            <v>3476</v>
          </cell>
          <cell r="EX1028">
            <v>0</v>
          </cell>
          <cell r="EY1028">
            <v>0</v>
          </cell>
          <cell r="EZ1028">
            <v>0</v>
          </cell>
          <cell r="FA1028">
            <v>0</v>
          </cell>
          <cell r="FB1028">
            <v>0</v>
          </cell>
          <cell r="FC1028">
            <v>0</v>
          </cell>
          <cell r="FD1028">
            <v>0</v>
          </cell>
          <cell r="FE1028">
            <v>0</v>
          </cell>
          <cell r="FF1028">
            <v>0</v>
          </cell>
          <cell r="FG1028">
            <v>0</v>
          </cell>
          <cell r="FH1028">
            <v>42741.137404438756</v>
          </cell>
          <cell r="FI1028">
            <v>6734.7939584940268</v>
          </cell>
          <cell r="FJ1028">
            <v>0</v>
          </cell>
          <cell r="FK1028">
            <v>0</v>
          </cell>
          <cell r="FL1028">
            <v>0</v>
          </cell>
          <cell r="FM1028">
            <v>0</v>
          </cell>
          <cell r="FN1028">
            <v>0</v>
          </cell>
          <cell r="FO1028">
            <v>0</v>
          </cell>
          <cell r="FP1028">
            <v>0</v>
          </cell>
          <cell r="FQ1028">
            <v>0</v>
          </cell>
          <cell r="FS1028">
            <v>0</v>
          </cell>
          <cell r="FT1028">
            <v>0</v>
          </cell>
          <cell r="FU1028">
            <v>0</v>
          </cell>
          <cell r="FV1028">
            <v>10.137347500061541</v>
          </cell>
          <cell r="FW1028">
            <v>0</v>
          </cell>
          <cell r="FX1028">
            <v>0</v>
          </cell>
          <cell r="FY1028">
            <v>0</v>
          </cell>
          <cell r="FZ1028">
            <v>0</v>
          </cell>
          <cell r="GA1028">
            <v>0</v>
          </cell>
          <cell r="GB1028">
            <v>2274</v>
          </cell>
          <cell r="GC1028">
            <v>97017.240117182882</v>
          </cell>
          <cell r="GD1028">
            <v>19502.051850709438</v>
          </cell>
          <cell r="GE1028">
            <v>5356.972499917184</v>
          </cell>
          <cell r="GF1028">
            <v>0</v>
          </cell>
          <cell r="GG1028">
            <v>0</v>
          </cell>
          <cell r="GH1028">
            <v>0</v>
          </cell>
          <cell r="GI1028">
            <v>0</v>
          </cell>
          <cell r="GJ1028">
            <v>0</v>
          </cell>
          <cell r="GK1028">
            <v>0</v>
          </cell>
          <cell r="GL1028">
            <v>2274</v>
          </cell>
          <cell r="GN1028">
            <v>0</v>
          </cell>
          <cell r="GO1028">
            <v>0</v>
          </cell>
          <cell r="GP1028">
            <v>0</v>
          </cell>
          <cell r="GQ1028">
            <v>10.137347500061541</v>
          </cell>
          <cell r="GR1028">
            <v>0</v>
          </cell>
          <cell r="GS1028">
            <v>0</v>
          </cell>
          <cell r="GT1028">
            <v>0</v>
          </cell>
          <cell r="GU1028">
            <v>0</v>
          </cell>
          <cell r="GV1028">
            <v>0</v>
          </cell>
          <cell r="GW1028">
            <v>226740</v>
          </cell>
          <cell r="GX1028">
            <v>130324.54333989222</v>
          </cell>
          <cell r="GY1028">
            <v>67412.627037010214</v>
          </cell>
          <cell r="GZ1028">
            <v>15479.716327410377</v>
          </cell>
          <cell r="HA1028">
            <v>0</v>
          </cell>
          <cell r="HB1028">
            <v>0</v>
          </cell>
          <cell r="HC1028">
            <v>0</v>
          </cell>
          <cell r="HD1028">
            <v>0</v>
          </cell>
          <cell r="HE1028">
            <v>0</v>
          </cell>
          <cell r="HF1028">
            <v>0</v>
          </cell>
          <cell r="HG1028">
            <v>226740</v>
          </cell>
          <cell r="HI1028">
            <v>0</v>
          </cell>
          <cell r="HJ1028">
            <v>0</v>
          </cell>
          <cell r="HK1028">
            <v>0</v>
          </cell>
          <cell r="HL1028">
            <v>10.137347500061541</v>
          </cell>
          <cell r="HM1028">
            <v>0</v>
          </cell>
          <cell r="HN1028">
            <v>0</v>
          </cell>
          <cell r="HO1028">
            <v>0</v>
          </cell>
          <cell r="HP1028">
            <v>0</v>
          </cell>
          <cell r="HQ1028">
            <v>0</v>
          </cell>
          <cell r="HR1028">
            <v>17706</v>
          </cell>
          <cell r="HS1028">
            <v>85111.892241258611</v>
          </cell>
          <cell r="HT1028">
            <v>24648.768441320441</v>
          </cell>
          <cell r="HU1028">
            <v>3150</v>
          </cell>
          <cell r="HV1028">
            <v>0</v>
          </cell>
          <cell r="HW1028">
            <v>0</v>
          </cell>
          <cell r="HX1028">
            <v>0</v>
          </cell>
          <cell r="HY1028">
            <v>0</v>
          </cell>
          <cell r="HZ1028">
            <v>0</v>
          </cell>
          <cell r="IA1028">
            <v>0</v>
          </cell>
          <cell r="IB1028">
            <v>17706</v>
          </cell>
        </row>
        <row r="1029">
          <cell r="C1029" t="str">
            <v>A0439</v>
          </cell>
          <cell r="D1029" t="str">
            <v>PT Rimbunan Alam Sentosa</v>
          </cell>
          <cell r="E1029" t="str">
            <v>PEB 2</v>
          </cell>
          <cell r="F1029" t="str">
            <v>86PEB 2</v>
          </cell>
          <cell r="J1029">
            <v>10.137347500061541</v>
          </cell>
          <cell r="P1029">
            <v>145975</v>
          </cell>
          <cell r="Q1029">
            <v>272315.48747384915</v>
          </cell>
          <cell r="R1029">
            <v>38581.361945500576</v>
          </cell>
          <cell r="S1029">
            <v>0</v>
          </cell>
          <cell r="U1029">
            <v>0</v>
          </cell>
          <cell r="W1029">
            <v>-40111</v>
          </cell>
          <cell r="X1029">
            <v>0</v>
          </cell>
          <cell r="Y1029">
            <v>0</v>
          </cell>
          <cell r="Z1029">
            <v>105864</v>
          </cell>
        </row>
        <row r="1030">
          <cell r="C1030" t="str">
            <v>A0439</v>
          </cell>
          <cell r="D1030" t="str">
            <v>PT Rimbunan Alam Sentosa</v>
          </cell>
          <cell r="E1030" t="str">
            <v>PEB 3</v>
          </cell>
          <cell r="F1030" t="str">
            <v>86PEB 3</v>
          </cell>
          <cell r="J1030">
            <v>0</v>
          </cell>
          <cell r="P1030">
            <v>0</v>
          </cell>
          <cell r="U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</row>
        <row r="1031">
          <cell r="C1031" t="str">
            <v>A0439</v>
          </cell>
          <cell r="D1031" t="str">
            <v>PT Rimbunan Alam Sentosa</v>
          </cell>
          <cell r="E1031" t="str">
            <v>PEB 4</v>
          </cell>
          <cell r="F1031" t="str">
            <v>86PEB 4</v>
          </cell>
          <cell r="J1031">
            <v>10.137347500061541</v>
          </cell>
          <cell r="P1031">
            <v>187996</v>
          </cell>
          <cell r="Q1031">
            <v>902990.50677618163</v>
          </cell>
          <cell r="R1031">
            <v>137308.72286454312</v>
          </cell>
          <cell r="S1031">
            <v>0</v>
          </cell>
          <cell r="U1031">
            <v>0</v>
          </cell>
          <cell r="W1031">
            <v>-114067</v>
          </cell>
          <cell r="X1031">
            <v>0</v>
          </cell>
          <cell r="Y1031">
            <v>0</v>
          </cell>
          <cell r="Z1031">
            <v>73929</v>
          </cell>
        </row>
        <row r="1032">
          <cell r="C1032" t="str">
            <v>A0439</v>
          </cell>
          <cell r="D1032" t="str">
            <v>PT Rimbunan Alam Sentosa</v>
          </cell>
          <cell r="E1032" t="str">
            <v>PEB 5</v>
          </cell>
          <cell r="F1032" t="str">
            <v>86PEB 5</v>
          </cell>
          <cell r="J1032">
            <v>0</v>
          </cell>
          <cell r="P1032">
            <v>0</v>
          </cell>
          <cell r="U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</row>
        <row r="1033">
          <cell r="C1033" t="str">
            <v>A0439</v>
          </cell>
          <cell r="D1033" t="str">
            <v>PT Rimbunan Alam Sentosa</v>
          </cell>
          <cell r="E1033" t="str">
            <v>PEB 6</v>
          </cell>
          <cell r="F1033" t="str">
            <v>86PEB 6</v>
          </cell>
          <cell r="J1033">
            <v>0</v>
          </cell>
          <cell r="P1033">
            <v>0</v>
          </cell>
          <cell r="U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</row>
        <row r="1034">
          <cell r="C1034" t="str">
            <v>A0439</v>
          </cell>
          <cell r="D1034" t="str">
            <v>PT Rimbunan Alam Sentosa</v>
          </cell>
          <cell r="E1034" t="str">
            <v>PEB 7</v>
          </cell>
          <cell r="F1034" t="str">
            <v>86PEB 7</v>
          </cell>
          <cell r="J1034">
            <v>10.137347500061541</v>
          </cell>
          <cell r="P1034">
            <v>15141</v>
          </cell>
          <cell r="Q1034">
            <v>35012.159439659881</v>
          </cell>
          <cell r="R1034">
            <v>9108.8550061799251</v>
          </cell>
          <cell r="S1034">
            <v>2725.0440206892245</v>
          </cell>
          <cell r="U1034">
            <v>0</v>
          </cell>
          <cell r="W1034">
            <v>-11665</v>
          </cell>
          <cell r="X1034">
            <v>0</v>
          </cell>
          <cell r="Y1034">
            <v>0</v>
          </cell>
          <cell r="Z1034">
            <v>3476</v>
          </cell>
        </row>
        <row r="1035">
          <cell r="C1035" t="str">
            <v>A0439</v>
          </cell>
          <cell r="D1035" t="str">
            <v>PT Rimbunan Alam Sentosa</v>
          </cell>
          <cell r="E1035" t="str">
            <v>MPP</v>
          </cell>
          <cell r="F1035" t="str">
            <v>86MPP</v>
          </cell>
          <cell r="J1035">
            <v>0</v>
          </cell>
          <cell r="P1035">
            <v>0</v>
          </cell>
          <cell r="Q1035">
            <v>42741.137404438756</v>
          </cell>
          <cell r="R1035">
            <v>6734.7939584940268</v>
          </cell>
          <cell r="S1035">
            <v>0</v>
          </cell>
          <cell r="U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</row>
        <row r="1036">
          <cell r="C1036" t="str">
            <v>A0439</v>
          </cell>
          <cell r="D1036" t="str">
            <v>PT Rimbunan Alam Sentosa</v>
          </cell>
          <cell r="E1036" t="str">
            <v>ID</v>
          </cell>
          <cell r="F1036" t="str">
            <v>86ID</v>
          </cell>
          <cell r="J1036">
            <v>10.137347500061541</v>
          </cell>
          <cell r="P1036">
            <v>2274</v>
          </cell>
          <cell r="Q1036">
            <v>97017.240117182882</v>
          </cell>
          <cell r="R1036">
            <v>19502.051850709438</v>
          </cell>
          <cell r="S1036">
            <v>5356.972499917184</v>
          </cell>
          <cell r="U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2274</v>
          </cell>
        </row>
        <row r="1037">
          <cell r="C1037" t="str">
            <v>A0439</v>
          </cell>
          <cell r="D1037" t="str">
            <v>PT Rimbunan Alam Sentosa</v>
          </cell>
          <cell r="E1037" t="str">
            <v>LL</v>
          </cell>
          <cell r="F1037" t="str">
            <v>86LL</v>
          </cell>
          <cell r="J1037">
            <v>10.137347500061541</v>
          </cell>
          <cell r="P1037">
            <v>226740</v>
          </cell>
          <cell r="Q1037">
            <v>130324.54333989222</v>
          </cell>
          <cell r="R1037">
            <v>67412.627037010214</v>
          </cell>
          <cell r="S1037">
            <v>15479.716327410377</v>
          </cell>
          <cell r="U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226740</v>
          </cell>
        </row>
        <row r="1038">
          <cell r="C1038" t="str">
            <v>A0439</v>
          </cell>
          <cell r="D1038" t="str">
            <v>PT Rimbunan Alam Sentosa</v>
          </cell>
          <cell r="E1038" t="str">
            <v>PMK</v>
          </cell>
          <cell r="F1038" t="str">
            <v>86PMK</v>
          </cell>
          <cell r="J1038">
            <v>10.137347500061541</v>
          </cell>
          <cell r="P1038">
            <v>17706</v>
          </cell>
          <cell r="Q1038">
            <v>85111.892241258611</v>
          </cell>
          <cell r="R1038">
            <v>24648.768441320441</v>
          </cell>
          <cell r="S1038">
            <v>3150</v>
          </cell>
          <cell r="U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17706</v>
          </cell>
        </row>
        <row r="1040">
          <cell r="C1040" t="str">
            <v>A0126</v>
          </cell>
          <cell r="D1040" t="str">
            <v>PT Sari Aditya Loka</v>
          </cell>
          <cell r="E1040" t="str">
            <v>PEB 1</v>
          </cell>
          <cell r="F1040" t="str">
            <v>87PEB 1</v>
          </cell>
          <cell r="J1040">
            <v>0</v>
          </cell>
          <cell r="N1040">
            <v>0</v>
          </cell>
          <cell r="O1040">
            <v>0</v>
          </cell>
          <cell r="P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10.23758657542858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2896115</v>
          </cell>
          <cell r="AL1040">
            <v>5170141.2230076492</v>
          </cell>
          <cell r="AM1040">
            <v>509979.25091196364</v>
          </cell>
          <cell r="AN1040">
            <v>120400.99016000002</v>
          </cell>
          <cell r="AO1040">
            <v>0</v>
          </cell>
          <cell r="AP1040">
            <v>0</v>
          </cell>
          <cell r="AQ1040">
            <v>0</v>
          </cell>
          <cell r="AR1040">
            <v>-1780373</v>
          </cell>
          <cell r="AS1040">
            <v>0</v>
          </cell>
          <cell r="AT1040">
            <v>0</v>
          </cell>
          <cell r="AU1040">
            <v>1115742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R1040">
            <v>0</v>
          </cell>
          <cell r="BS1040">
            <v>0</v>
          </cell>
          <cell r="BT1040">
            <v>0</v>
          </cell>
          <cell r="BU1040">
            <v>10.243302702755583</v>
          </cell>
          <cell r="BV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4706267</v>
          </cell>
          <cell r="CB1040">
            <v>5398866.7459048098</v>
          </cell>
          <cell r="CC1040">
            <v>645456.80764133716</v>
          </cell>
          <cell r="CD1040">
            <v>671358.80714941304</v>
          </cell>
          <cell r="CE1040">
            <v>0</v>
          </cell>
          <cell r="CF1040">
            <v>0</v>
          </cell>
          <cell r="CG1040">
            <v>0</v>
          </cell>
          <cell r="CH1040">
            <v>-2512199</v>
          </cell>
          <cell r="CI1040">
            <v>-1113243</v>
          </cell>
          <cell r="CJ1040">
            <v>86548</v>
          </cell>
          <cell r="CK1040">
            <v>1080825</v>
          </cell>
          <cell r="CM1040">
            <v>0</v>
          </cell>
          <cell r="CN1040">
            <v>0</v>
          </cell>
          <cell r="CO1040">
            <v>0</v>
          </cell>
          <cell r="CP1040">
            <v>10.553476597026956</v>
          </cell>
          <cell r="CQ1040">
            <v>0</v>
          </cell>
          <cell r="CR1040">
            <v>0</v>
          </cell>
          <cell r="CS1040">
            <v>0</v>
          </cell>
          <cell r="CT1040">
            <v>0</v>
          </cell>
          <cell r="CU1040">
            <v>0</v>
          </cell>
          <cell r="CV1040">
            <v>169819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1967576</v>
          </cell>
          <cell r="DD1040">
            <v>0</v>
          </cell>
          <cell r="DE1040">
            <v>0</v>
          </cell>
          <cell r="DF1040">
            <v>2137395</v>
          </cell>
          <cell r="DH1040">
            <v>0</v>
          </cell>
          <cell r="DI1040">
            <v>0</v>
          </cell>
          <cell r="DJ1040">
            <v>0</v>
          </cell>
          <cell r="DK1040">
            <v>0</v>
          </cell>
          <cell r="DL1040">
            <v>0</v>
          </cell>
          <cell r="DM1040">
            <v>0</v>
          </cell>
          <cell r="DN1040">
            <v>0</v>
          </cell>
          <cell r="DO1040">
            <v>0</v>
          </cell>
          <cell r="DP1040">
            <v>0</v>
          </cell>
          <cell r="DQ1040">
            <v>0</v>
          </cell>
          <cell r="DR1040">
            <v>0</v>
          </cell>
          <cell r="DS1040">
            <v>0</v>
          </cell>
          <cell r="DT1040">
            <v>0</v>
          </cell>
          <cell r="DU1040">
            <v>0</v>
          </cell>
          <cell r="DV1040">
            <v>0</v>
          </cell>
          <cell r="DW1040">
            <v>0</v>
          </cell>
          <cell r="DX1040">
            <v>0</v>
          </cell>
          <cell r="DY1040">
            <v>0</v>
          </cell>
          <cell r="DZ1040">
            <v>0</v>
          </cell>
          <cell r="EA1040">
            <v>0</v>
          </cell>
          <cell r="EC1040">
            <v>0</v>
          </cell>
          <cell r="ED1040">
            <v>0</v>
          </cell>
          <cell r="EE1040">
            <v>0</v>
          </cell>
          <cell r="EF1040">
            <v>10.23758657542858</v>
          </cell>
          <cell r="EG1040">
            <v>0</v>
          </cell>
          <cell r="EH1040">
            <v>0</v>
          </cell>
          <cell r="EI1040">
            <v>0</v>
          </cell>
          <cell r="EJ1040">
            <v>0</v>
          </cell>
          <cell r="EK1040">
            <v>0</v>
          </cell>
          <cell r="EL1040">
            <v>332395</v>
          </cell>
          <cell r="EM1040">
            <v>650072.50189658406</v>
          </cell>
          <cell r="EN1040">
            <v>87302.524215356549</v>
          </cell>
          <cell r="EO1040">
            <v>68526.452907800849</v>
          </cell>
          <cell r="EP1040">
            <v>0</v>
          </cell>
          <cell r="EQ1040">
            <v>0</v>
          </cell>
          <cell r="ER1040">
            <v>0</v>
          </cell>
          <cell r="ES1040">
            <v>-323477</v>
          </cell>
          <cell r="ET1040">
            <v>0</v>
          </cell>
          <cell r="EU1040">
            <v>0</v>
          </cell>
          <cell r="EV1040">
            <v>8918</v>
          </cell>
          <cell r="EX1040">
            <v>0</v>
          </cell>
          <cell r="EY1040">
            <v>0</v>
          </cell>
          <cell r="EZ1040">
            <v>0</v>
          </cell>
          <cell r="FA1040">
            <v>0</v>
          </cell>
          <cell r="FB1040">
            <v>0</v>
          </cell>
          <cell r="FC1040">
            <v>0</v>
          </cell>
          <cell r="FD1040">
            <v>0</v>
          </cell>
          <cell r="FE1040">
            <v>0</v>
          </cell>
          <cell r="FF1040">
            <v>0</v>
          </cell>
          <cell r="FG1040">
            <v>0</v>
          </cell>
          <cell r="FH1040">
            <v>857671.59648768255</v>
          </cell>
          <cell r="FI1040">
            <v>94935.367772281636</v>
          </cell>
          <cell r="FJ1040">
            <v>27346.103556000002</v>
          </cell>
          <cell r="FK1040">
            <v>0</v>
          </cell>
          <cell r="FL1040">
            <v>0</v>
          </cell>
          <cell r="FM1040">
            <v>0</v>
          </cell>
          <cell r="FN1040">
            <v>0</v>
          </cell>
          <cell r="FO1040">
            <v>0</v>
          </cell>
          <cell r="FP1040">
            <v>0</v>
          </cell>
          <cell r="FQ1040">
            <v>0</v>
          </cell>
          <cell r="FS1040">
            <v>0</v>
          </cell>
          <cell r="FT1040">
            <v>0</v>
          </cell>
          <cell r="FU1040">
            <v>0</v>
          </cell>
          <cell r="FV1040">
            <v>10.23758657542858</v>
          </cell>
          <cell r="FW1040">
            <v>0</v>
          </cell>
          <cell r="FX1040">
            <v>0</v>
          </cell>
          <cell r="FY1040">
            <v>0</v>
          </cell>
          <cell r="FZ1040">
            <v>0</v>
          </cell>
          <cell r="GA1040">
            <v>0</v>
          </cell>
          <cell r="GB1040">
            <v>51013</v>
          </cell>
          <cell r="GC1040">
            <v>1749377.3034230121</v>
          </cell>
          <cell r="GD1040">
            <v>211933.27273721801</v>
          </cell>
          <cell r="GE1040">
            <v>108803.7039716922</v>
          </cell>
          <cell r="GF1040">
            <v>0</v>
          </cell>
          <cell r="GG1040">
            <v>0</v>
          </cell>
          <cell r="GH1040">
            <v>0</v>
          </cell>
          <cell r="GI1040">
            <v>0</v>
          </cell>
          <cell r="GJ1040">
            <v>0</v>
          </cell>
          <cell r="GK1040">
            <v>0</v>
          </cell>
          <cell r="GL1040">
            <v>51013</v>
          </cell>
          <cell r="GN1040">
            <v>0</v>
          </cell>
          <cell r="GO1040">
            <v>0</v>
          </cell>
          <cell r="GP1040">
            <v>0</v>
          </cell>
          <cell r="GQ1040">
            <v>10.23758657542858</v>
          </cell>
          <cell r="GR1040">
            <v>0</v>
          </cell>
          <cell r="GS1040">
            <v>0</v>
          </cell>
          <cell r="GT1040">
            <v>0</v>
          </cell>
          <cell r="GU1040">
            <v>0</v>
          </cell>
          <cell r="GV1040">
            <v>0</v>
          </cell>
          <cell r="GW1040">
            <v>1687183</v>
          </cell>
          <cell r="GX1040">
            <v>2114214.14069319</v>
          </cell>
          <cell r="GY1040">
            <v>810981.61798400094</v>
          </cell>
          <cell r="GZ1040">
            <v>979997.49020221725</v>
          </cell>
          <cell r="HA1040">
            <v>0</v>
          </cell>
          <cell r="HB1040">
            <v>0</v>
          </cell>
          <cell r="HC1040">
            <v>0</v>
          </cell>
          <cell r="HD1040">
            <v>0</v>
          </cell>
          <cell r="HE1040">
            <v>0</v>
          </cell>
          <cell r="HF1040">
            <v>0</v>
          </cell>
          <cell r="HG1040">
            <v>1687183</v>
          </cell>
          <cell r="HI1040">
            <v>0</v>
          </cell>
          <cell r="HJ1040">
            <v>0</v>
          </cell>
          <cell r="HK1040">
            <v>0</v>
          </cell>
          <cell r="HL1040">
            <v>10.23758657542858</v>
          </cell>
          <cell r="HM1040">
            <v>0</v>
          </cell>
          <cell r="HN1040">
            <v>0</v>
          </cell>
          <cell r="HO1040">
            <v>0</v>
          </cell>
          <cell r="HP1040">
            <v>0</v>
          </cell>
          <cell r="HQ1040">
            <v>0</v>
          </cell>
          <cell r="HR1040">
            <v>1051183</v>
          </cell>
          <cell r="HS1040">
            <v>2029926.109824365</v>
          </cell>
          <cell r="HT1040">
            <v>316411.76166179072</v>
          </cell>
          <cell r="HU1040">
            <v>176400</v>
          </cell>
          <cell r="HV1040">
            <v>0</v>
          </cell>
          <cell r="HW1040">
            <v>0</v>
          </cell>
          <cell r="HX1040">
            <v>0</v>
          </cell>
          <cell r="HY1040">
            <v>0</v>
          </cell>
          <cell r="HZ1040">
            <v>0</v>
          </cell>
          <cell r="IA1040">
            <v>0</v>
          </cell>
          <cell r="IB1040">
            <v>1051183</v>
          </cell>
        </row>
        <row r="1041">
          <cell r="C1041" t="str">
            <v>A0126</v>
          </cell>
          <cell r="D1041" t="str">
            <v>PT Sari Aditya Loka</v>
          </cell>
          <cell r="E1041" t="str">
            <v>PEB 2</v>
          </cell>
          <cell r="F1041" t="str">
            <v>87PEB 2</v>
          </cell>
          <cell r="J1041">
            <v>10.23758657542858</v>
          </cell>
          <cell r="P1041">
            <v>2896115</v>
          </cell>
          <cell r="Q1041">
            <v>5170141.2230076492</v>
          </cell>
          <cell r="R1041">
            <v>509979.25091196364</v>
          </cell>
          <cell r="S1041">
            <v>120400.99016000002</v>
          </cell>
          <cell r="U1041">
            <v>0</v>
          </cell>
          <cell r="W1041">
            <v>-1780373</v>
          </cell>
          <cell r="X1041">
            <v>0</v>
          </cell>
          <cell r="Y1041">
            <v>0</v>
          </cell>
          <cell r="Z1041">
            <v>1115742</v>
          </cell>
        </row>
        <row r="1042">
          <cell r="C1042" t="str">
            <v>A0126</v>
          </cell>
          <cell r="D1042" t="str">
            <v>PT Sari Aditya Loka</v>
          </cell>
          <cell r="E1042" t="str">
            <v>PEB 3</v>
          </cell>
          <cell r="F1042" t="str">
            <v>87PEB 3</v>
          </cell>
          <cell r="J1042">
            <v>0</v>
          </cell>
          <cell r="P1042">
            <v>0</v>
          </cell>
          <cell r="U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</row>
        <row r="1043">
          <cell r="C1043" t="str">
            <v>A0126</v>
          </cell>
          <cell r="D1043" t="str">
            <v>PT Sari Aditya Loka</v>
          </cell>
          <cell r="E1043" t="str">
            <v>PEB 4</v>
          </cell>
          <cell r="F1043" t="str">
            <v>87PEB 4</v>
          </cell>
          <cell r="J1043">
            <v>10.243302702755583</v>
          </cell>
          <cell r="P1043">
            <v>4706267</v>
          </cell>
          <cell r="Q1043">
            <v>5398866.7459048098</v>
          </cell>
          <cell r="R1043">
            <v>645456.80764133716</v>
          </cell>
          <cell r="S1043">
            <v>671358.80714941304</v>
          </cell>
          <cell r="U1043">
            <v>0</v>
          </cell>
          <cell r="W1043">
            <v>-2512199</v>
          </cell>
          <cell r="X1043">
            <v>-1113243</v>
          </cell>
          <cell r="Y1043">
            <v>86548</v>
          </cell>
          <cell r="Z1043">
            <v>1080825</v>
          </cell>
        </row>
        <row r="1044">
          <cell r="C1044" t="str">
            <v>A0126</v>
          </cell>
          <cell r="D1044" t="str">
            <v>PT Sari Aditya Loka</v>
          </cell>
          <cell r="E1044" t="str">
            <v>PEB 5</v>
          </cell>
          <cell r="F1044" t="str">
            <v>87PEB 5</v>
          </cell>
          <cell r="J1044">
            <v>10.553476597026956</v>
          </cell>
          <cell r="P1044">
            <v>169819</v>
          </cell>
          <cell r="U1044">
            <v>0</v>
          </cell>
          <cell r="W1044">
            <v>1967576</v>
          </cell>
          <cell r="X1044">
            <v>0</v>
          </cell>
          <cell r="Y1044">
            <v>0</v>
          </cell>
          <cell r="Z1044">
            <v>2137395</v>
          </cell>
        </row>
        <row r="1045">
          <cell r="C1045" t="str">
            <v>A0126</v>
          </cell>
          <cell r="D1045" t="str">
            <v>PT Sari Aditya Loka</v>
          </cell>
          <cell r="E1045" t="str">
            <v>PEB 6</v>
          </cell>
          <cell r="F1045" t="str">
            <v>87PEB 6</v>
          </cell>
          <cell r="J1045">
            <v>0</v>
          </cell>
          <cell r="P1045">
            <v>0</v>
          </cell>
          <cell r="U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</row>
        <row r="1046">
          <cell r="C1046" t="str">
            <v>A0126</v>
          </cell>
          <cell r="D1046" t="str">
            <v>PT Sari Aditya Loka</v>
          </cell>
          <cell r="E1046" t="str">
            <v>PEB 7</v>
          </cell>
          <cell r="F1046" t="str">
            <v>87PEB 7</v>
          </cell>
          <cell r="J1046">
            <v>10.23758657542858</v>
          </cell>
          <cell r="P1046">
            <v>332395</v>
          </cell>
          <cell r="Q1046">
            <v>650072.50189658406</v>
          </cell>
          <cell r="R1046">
            <v>87302.524215356549</v>
          </cell>
          <cell r="S1046">
            <v>68526.452907800849</v>
          </cell>
          <cell r="U1046">
            <v>0</v>
          </cell>
          <cell r="W1046">
            <v>-323477</v>
          </cell>
          <cell r="X1046">
            <v>0</v>
          </cell>
          <cell r="Y1046">
            <v>0</v>
          </cell>
          <cell r="Z1046">
            <v>8918</v>
          </cell>
        </row>
        <row r="1047">
          <cell r="C1047" t="str">
            <v>A0126</v>
          </cell>
          <cell r="D1047" t="str">
            <v>PT Sari Aditya Loka</v>
          </cell>
          <cell r="E1047" t="str">
            <v>MPP</v>
          </cell>
          <cell r="F1047" t="str">
            <v>87MPP</v>
          </cell>
          <cell r="J1047">
            <v>0</v>
          </cell>
          <cell r="P1047">
            <v>0</v>
          </cell>
          <cell r="Q1047">
            <v>857671.59648768255</v>
          </cell>
          <cell r="R1047">
            <v>94935.367772281636</v>
          </cell>
          <cell r="S1047">
            <v>27346.103556000002</v>
          </cell>
          <cell r="U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</row>
        <row r="1048">
          <cell r="C1048" t="str">
            <v>A0126</v>
          </cell>
          <cell r="D1048" t="str">
            <v>PT Sari Aditya Loka</v>
          </cell>
          <cell r="E1048" t="str">
            <v>ID</v>
          </cell>
          <cell r="F1048" t="str">
            <v>87ID</v>
          </cell>
          <cell r="J1048">
            <v>10.23758657542858</v>
          </cell>
          <cell r="P1048">
            <v>51013</v>
          </cell>
          <cell r="Q1048">
            <v>1749377.3034230121</v>
          </cell>
          <cell r="R1048">
            <v>211933.27273721801</v>
          </cell>
          <cell r="S1048">
            <v>108803.7039716922</v>
          </cell>
          <cell r="U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51013</v>
          </cell>
        </row>
        <row r="1049">
          <cell r="C1049" t="str">
            <v>A0126</v>
          </cell>
          <cell r="D1049" t="str">
            <v>PT Sari Aditya Loka</v>
          </cell>
          <cell r="E1049" t="str">
            <v>LL</v>
          </cell>
          <cell r="F1049" t="str">
            <v>87LL</v>
          </cell>
          <cell r="J1049">
            <v>10.23758657542858</v>
          </cell>
          <cell r="P1049">
            <v>1687183</v>
          </cell>
          <cell r="Q1049">
            <v>2114214.14069319</v>
          </cell>
          <cell r="R1049">
            <v>810981.61798400094</v>
          </cell>
          <cell r="S1049">
            <v>979997.49020221725</v>
          </cell>
          <cell r="U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1687183</v>
          </cell>
        </row>
        <row r="1050">
          <cell r="C1050" t="str">
            <v>A0126</v>
          </cell>
          <cell r="D1050" t="str">
            <v>PT Sari Aditya Loka</v>
          </cell>
          <cell r="E1050" t="str">
            <v>PMK</v>
          </cell>
          <cell r="F1050" t="str">
            <v>87PMK</v>
          </cell>
          <cell r="J1050">
            <v>10.23758657542858</v>
          </cell>
          <cell r="P1050">
            <v>1051183</v>
          </cell>
          <cell r="Q1050">
            <v>2029926.109824365</v>
          </cell>
          <cell r="R1050">
            <v>316411.76166179072</v>
          </cell>
          <cell r="S1050">
            <v>176400</v>
          </cell>
          <cell r="U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1051183</v>
          </cell>
        </row>
        <row r="1052">
          <cell r="C1052" t="str">
            <v>A0127</v>
          </cell>
          <cell r="D1052" t="str">
            <v>PT Sari Lembah Subur</v>
          </cell>
          <cell r="E1052" t="str">
            <v>PEB 1</v>
          </cell>
          <cell r="F1052" t="str">
            <v>88PEB 1</v>
          </cell>
          <cell r="J1052">
            <v>0</v>
          </cell>
          <cell r="N1052">
            <v>0</v>
          </cell>
          <cell r="O1052">
            <v>0</v>
          </cell>
          <cell r="P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9.9506798579934017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2436029</v>
          </cell>
          <cell r="AL1052">
            <v>4059893.0217320737</v>
          </cell>
          <cell r="AM1052">
            <v>455170.55266963638</v>
          </cell>
          <cell r="AN1052">
            <v>71097.342799999999</v>
          </cell>
          <cell r="AO1052">
            <v>0</v>
          </cell>
          <cell r="AP1052">
            <v>0</v>
          </cell>
          <cell r="AQ1052">
            <v>0</v>
          </cell>
          <cell r="AR1052">
            <v>-1206049</v>
          </cell>
          <cell r="AS1052">
            <v>0</v>
          </cell>
          <cell r="AT1052">
            <v>0</v>
          </cell>
          <cell r="AU1052">
            <v>1229980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R1052">
            <v>0</v>
          </cell>
          <cell r="BS1052">
            <v>0</v>
          </cell>
          <cell r="BT1052">
            <v>0</v>
          </cell>
          <cell r="BU1052">
            <v>9.9482424818815112</v>
          </cell>
          <cell r="BV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3913887</v>
          </cell>
          <cell r="CB1052">
            <v>4398396.5147138098</v>
          </cell>
          <cell r="CC1052">
            <v>609014.88778276881</v>
          </cell>
          <cell r="CD1052">
            <v>438761.56638075848</v>
          </cell>
          <cell r="CE1052">
            <v>0</v>
          </cell>
          <cell r="CF1052">
            <v>0</v>
          </cell>
          <cell r="CG1052">
            <v>0</v>
          </cell>
          <cell r="CH1052">
            <v>-2457051</v>
          </cell>
          <cell r="CI1052">
            <v>-547655</v>
          </cell>
          <cell r="CJ1052">
            <v>39742</v>
          </cell>
          <cell r="CK1052">
            <v>909181</v>
          </cell>
          <cell r="CM1052">
            <v>0</v>
          </cell>
          <cell r="CN1052">
            <v>0</v>
          </cell>
          <cell r="CO1052">
            <v>0</v>
          </cell>
          <cell r="CP1052">
            <v>10.137982837668609</v>
          </cell>
          <cell r="CQ1052">
            <v>0</v>
          </cell>
          <cell r="CR1052">
            <v>0</v>
          </cell>
          <cell r="CS1052">
            <v>0</v>
          </cell>
          <cell r="CT1052">
            <v>0</v>
          </cell>
          <cell r="CU1052">
            <v>0</v>
          </cell>
          <cell r="CV1052">
            <v>95933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1867368</v>
          </cell>
          <cell r="DD1052">
            <v>0</v>
          </cell>
          <cell r="DE1052">
            <v>0</v>
          </cell>
          <cell r="DF1052">
            <v>1963301</v>
          </cell>
          <cell r="DH1052">
            <v>0</v>
          </cell>
          <cell r="DI1052">
            <v>0</v>
          </cell>
          <cell r="DJ1052">
            <v>0</v>
          </cell>
          <cell r="DK1052">
            <v>0</v>
          </cell>
          <cell r="DL1052">
            <v>0</v>
          </cell>
          <cell r="DM1052">
            <v>0</v>
          </cell>
          <cell r="DN1052">
            <v>0</v>
          </cell>
          <cell r="DO1052">
            <v>0</v>
          </cell>
          <cell r="DP1052">
            <v>0</v>
          </cell>
          <cell r="DQ1052">
            <v>0</v>
          </cell>
          <cell r="DR1052">
            <v>0</v>
          </cell>
          <cell r="DS1052">
            <v>0</v>
          </cell>
          <cell r="DT1052">
            <v>0</v>
          </cell>
          <cell r="DU1052">
            <v>0</v>
          </cell>
          <cell r="DV1052">
            <v>0</v>
          </cell>
          <cell r="DW1052">
            <v>0</v>
          </cell>
          <cell r="DX1052">
            <v>0</v>
          </cell>
          <cell r="DY1052">
            <v>0</v>
          </cell>
          <cell r="DZ1052">
            <v>0</v>
          </cell>
          <cell r="EA1052">
            <v>0</v>
          </cell>
          <cell r="EC1052">
            <v>0</v>
          </cell>
          <cell r="ED1052">
            <v>0</v>
          </cell>
          <cell r="EE1052">
            <v>0</v>
          </cell>
          <cell r="EF1052">
            <v>9.9506798579934017</v>
          </cell>
          <cell r="EG1052">
            <v>0</v>
          </cell>
          <cell r="EH1052">
            <v>0</v>
          </cell>
          <cell r="EI1052">
            <v>0</v>
          </cell>
          <cell r="EJ1052">
            <v>0</v>
          </cell>
          <cell r="EK1052">
            <v>0</v>
          </cell>
          <cell r="EL1052">
            <v>261333</v>
          </cell>
          <cell r="EM1052">
            <v>523840.32023820287</v>
          </cell>
          <cell r="EN1052">
            <v>91413.620372153804</v>
          </cell>
          <cell r="EO1052">
            <v>52631.203720148471</v>
          </cell>
          <cell r="EP1052">
            <v>0</v>
          </cell>
          <cell r="EQ1052">
            <v>0</v>
          </cell>
          <cell r="ER1052">
            <v>0</v>
          </cell>
          <cell r="ES1052">
            <v>-258802</v>
          </cell>
          <cell r="ET1052">
            <v>0</v>
          </cell>
          <cell r="EU1052">
            <v>0</v>
          </cell>
          <cell r="EV1052">
            <v>2531</v>
          </cell>
          <cell r="EX1052">
            <v>0</v>
          </cell>
          <cell r="EY1052">
            <v>0</v>
          </cell>
          <cell r="EZ1052">
            <v>0</v>
          </cell>
          <cell r="FA1052">
            <v>0</v>
          </cell>
          <cell r="FB1052">
            <v>0</v>
          </cell>
          <cell r="FC1052">
            <v>0</v>
          </cell>
          <cell r="FD1052">
            <v>0</v>
          </cell>
          <cell r="FE1052">
            <v>0</v>
          </cell>
          <cell r="FF1052">
            <v>0</v>
          </cell>
          <cell r="FG1052">
            <v>0</v>
          </cell>
          <cell r="FH1052">
            <v>677212.0947266263</v>
          </cell>
          <cell r="FI1052">
            <v>80639.242165520162</v>
          </cell>
          <cell r="FJ1052">
            <v>18072.995699999999</v>
          </cell>
          <cell r="FK1052">
            <v>0</v>
          </cell>
          <cell r="FL1052">
            <v>0</v>
          </cell>
          <cell r="FM1052">
            <v>0</v>
          </cell>
          <cell r="FN1052">
            <v>0</v>
          </cell>
          <cell r="FO1052">
            <v>0</v>
          </cell>
          <cell r="FP1052">
            <v>0</v>
          </cell>
          <cell r="FQ1052">
            <v>0</v>
          </cell>
          <cell r="FS1052">
            <v>0</v>
          </cell>
          <cell r="FT1052">
            <v>0</v>
          </cell>
          <cell r="FU1052">
            <v>0</v>
          </cell>
          <cell r="FV1052">
            <v>9.9506798579934017</v>
          </cell>
          <cell r="FW1052">
            <v>0</v>
          </cell>
          <cell r="FX1052">
            <v>0</v>
          </cell>
          <cell r="FY1052">
            <v>0</v>
          </cell>
          <cell r="FZ1052">
            <v>0</v>
          </cell>
          <cell r="GA1052">
            <v>0</v>
          </cell>
          <cell r="GB1052">
            <v>50913</v>
          </cell>
          <cell r="GC1052">
            <v>1344325.7525253331</v>
          </cell>
          <cell r="GD1052">
            <v>199442.49266767604</v>
          </cell>
          <cell r="GE1052">
            <v>91594.926526731986</v>
          </cell>
          <cell r="GF1052">
            <v>0</v>
          </cell>
          <cell r="GG1052">
            <v>0</v>
          </cell>
          <cell r="GH1052">
            <v>0</v>
          </cell>
          <cell r="GI1052">
            <v>0</v>
          </cell>
          <cell r="GJ1052">
            <v>0</v>
          </cell>
          <cell r="GK1052">
            <v>0</v>
          </cell>
          <cell r="GL1052">
            <v>50913</v>
          </cell>
          <cell r="GN1052">
            <v>0</v>
          </cell>
          <cell r="GO1052">
            <v>0</v>
          </cell>
          <cell r="GP1052">
            <v>0</v>
          </cell>
          <cell r="GQ1052">
            <v>9.9506798579934017</v>
          </cell>
          <cell r="GR1052">
            <v>0</v>
          </cell>
          <cell r="GS1052">
            <v>0</v>
          </cell>
          <cell r="GT1052">
            <v>0</v>
          </cell>
          <cell r="GU1052">
            <v>0</v>
          </cell>
          <cell r="GV1052">
            <v>0</v>
          </cell>
          <cell r="GW1052">
            <v>1341917</v>
          </cell>
          <cell r="GX1052">
            <v>1717945.2138520235</v>
          </cell>
          <cell r="GY1052">
            <v>740468.20410533855</v>
          </cell>
          <cell r="GZ1052">
            <v>710235.11578877282</v>
          </cell>
          <cell r="HA1052">
            <v>0</v>
          </cell>
          <cell r="HB1052">
            <v>0</v>
          </cell>
          <cell r="HC1052">
            <v>0</v>
          </cell>
          <cell r="HD1052">
            <v>0</v>
          </cell>
          <cell r="HE1052">
            <v>0</v>
          </cell>
          <cell r="HF1052">
            <v>0</v>
          </cell>
          <cell r="HG1052">
            <v>1341917</v>
          </cell>
          <cell r="HI1052">
            <v>0</v>
          </cell>
          <cell r="HJ1052">
            <v>0</v>
          </cell>
          <cell r="HK1052">
            <v>0</v>
          </cell>
          <cell r="HL1052">
            <v>9.9506798579934017</v>
          </cell>
          <cell r="HM1052">
            <v>0</v>
          </cell>
          <cell r="HN1052">
            <v>0</v>
          </cell>
          <cell r="HO1052">
            <v>0</v>
          </cell>
          <cell r="HP1052">
            <v>0</v>
          </cell>
          <cell r="HQ1052">
            <v>0</v>
          </cell>
          <cell r="HR1052">
            <v>922350</v>
          </cell>
          <cell r="HS1052">
            <v>1738525.4547655315</v>
          </cell>
          <cell r="HT1052">
            <v>304829.67976434925</v>
          </cell>
          <cell r="HU1052">
            <v>134662.5</v>
          </cell>
          <cell r="HV1052">
            <v>0</v>
          </cell>
          <cell r="HW1052">
            <v>0</v>
          </cell>
          <cell r="HX1052">
            <v>0</v>
          </cell>
          <cell r="HY1052">
            <v>0</v>
          </cell>
          <cell r="HZ1052">
            <v>0</v>
          </cell>
          <cell r="IA1052">
            <v>0</v>
          </cell>
          <cell r="IB1052">
            <v>922350</v>
          </cell>
        </row>
        <row r="1053">
          <cell r="C1053" t="str">
            <v>A0127</v>
          </cell>
          <cell r="D1053" t="str">
            <v>PT Sari Lembah Subur</v>
          </cell>
          <cell r="E1053" t="str">
            <v>PEB 2</v>
          </cell>
          <cell r="F1053" t="str">
            <v>88PEB 2</v>
          </cell>
          <cell r="J1053">
            <v>9.9506798579934017</v>
          </cell>
          <cell r="P1053">
            <v>2436029</v>
          </cell>
          <cell r="Q1053">
            <v>4059893.0217320737</v>
          </cell>
          <cell r="R1053">
            <v>455170.55266963638</v>
          </cell>
          <cell r="S1053">
            <v>71097.342799999999</v>
          </cell>
          <cell r="U1053">
            <v>0</v>
          </cell>
          <cell r="W1053">
            <v>-1206049</v>
          </cell>
          <cell r="X1053">
            <v>0</v>
          </cell>
          <cell r="Y1053">
            <v>0</v>
          </cell>
          <cell r="Z1053">
            <v>1229980</v>
          </cell>
        </row>
        <row r="1054">
          <cell r="C1054" t="str">
            <v>A0127</v>
          </cell>
          <cell r="D1054" t="str">
            <v>PT Sari Lembah Subur</v>
          </cell>
          <cell r="E1054" t="str">
            <v>PEB 3</v>
          </cell>
          <cell r="F1054" t="str">
            <v>88PEB 3</v>
          </cell>
          <cell r="J1054">
            <v>0</v>
          </cell>
          <cell r="P1054">
            <v>0</v>
          </cell>
          <cell r="U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</row>
        <row r="1055">
          <cell r="C1055" t="str">
            <v>A0127</v>
          </cell>
          <cell r="D1055" t="str">
            <v>PT Sari Lembah Subur</v>
          </cell>
          <cell r="E1055" t="str">
            <v>PEB 4</v>
          </cell>
          <cell r="F1055" t="str">
            <v>88PEB 4</v>
          </cell>
          <cell r="J1055">
            <v>9.9482424818815112</v>
          </cell>
          <cell r="P1055">
            <v>3913887</v>
          </cell>
          <cell r="Q1055">
            <v>4398396.5147138098</v>
          </cell>
          <cell r="R1055">
            <v>609014.88778276881</v>
          </cell>
          <cell r="S1055">
            <v>438761.56638075848</v>
          </cell>
          <cell r="U1055">
            <v>0</v>
          </cell>
          <cell r="W1055">
            <v>-2457051</v>
          </cell>
          <cell r="X1055">
            <v>-547655</v>
          </cell>
          <cell r="Y1055">
            <v>39742</v>
          </cell>
          <cell r="Z1055">
            <v>909181</v>
          </cell>
        </row>
        <row r="1056">
          <cell r="C1056" t="str">
            <v>A0127</v>
          </cell>
          <cell r="D1056" t="str">
            <v>PT Sari Lembah Subur</v>
          </cell>
          <cell r="E1056" t="str">
            <v>PEB 5</v>
          </cell>
          <cell r="F1056" t="str">
            <v>88PEB 5</v>
          </cell>
          <cell r="J1056">
            <v>10.137982837668609</v>
          </cell>
          <cell r="P1056">
            <v>95933</v>
          </cell>
          <cell r="U1056">
            <v>0</v>
          </cell>
          <cell r="W1056">
            <v>1867368</v>
          </cell>
          <cell r="X1056">
            <v>0</v>
          </cell>
          <cell r="Y1056">
            <v>0</v>
          </cell>
          <cell r="Z1056">
            <v>1963301</v>
          </cell>
        </row>
        <row r="1057">
          <cell r="C1057" t="str">
            <v>A0127</v>
          </cell>
          <cell r="D1057" t="str">
            <v>PT Sari Lembah Subur</v>
          </cell>
          <cell r="E1057" t="str">
            <v>PEB 6</v>
          </cell>
          <cell r="F1057" t="str">
            <v>88PEB 6</v>
          </cell>
          <cell r="J1057">
            <v>0</v>
          </cell>
          <cell r="P1057">
            <v>0</v>
          </cell>
          <cell r="U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</row>
        <row r="1058">
          <cell r="C1058" t="str">
            <v>A0127</v>
          </cell>
          <cell r="D1058" t="str">
            <v>PT Sari Lembah Subur</v>
          </cell>
          <cell r="E1058" t="str">
            <v>PEB 7</v>
          </cell>
          <cell r="F1058" t="str">
            <v>88PEB 7</v>
          </cell>
          <cell r="J1058">
            <v>9.9506798579934017</v>
          </cell>
          <cell r="P1058">
            <v>261333</v>
          </cell>
          <cell r="Q1058">
            <v>523840.32023820287</v>
          </cell>
          <cell r="R1058">
            <v>91413.620372153804</v>
          </cell>
          <cell r="S1058">
            <v>52631.203720148471</v>
          </cell>
          <cell r="U1058">
            <v>0</v>
          </cell>
          <cell r="W1058">
            <v>-258802</v>
          </cell>
          <cell r="X1058">
            <v>0</v>
          </cell>
          <cell r="Y1058">
            <v>0</v>
          </cell>
          <cell r="Z1058">
            <v>2531</v>
          </cell>
        </row>
        <row r="1059">
          <cell r="C1059" t="str">
            <v>A0127</v>
          </cell>
          <cell r="D1059" t="str">
            <v>PT Sari Lembah Subur</v>
          </cell>
          <cell r="E1059" t="str">
            <v>MPP</v>
          </cell>
          <cell r="F1059" t="str">
            <v>88MPP</v>
          </cell>
          <cell r="J1059">
            <v>0</v>
          </cell>
          <cell r="P1059">
            <v>0</v>
          </cell>
          <cell r="Q1059">
            <v>677212.0947266263</v>
          </cell>
          <cell r="R1059">
            <v>80639.242165520162</v>
          </cell>
          <cell r="S1059">
            <v>18072.995699999999</v>
          </cell>
          <cell r="U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</row>
        <row r="1060">
          <cell r="C1060" t="str">
            <v>A0127</v>
          </cell>
          <cell r="D1060" t="str">
            <v>PT Sari Lembah Subur</v>
          </cell>
          <cell r="E1060" t="str">
            <v>ID</v>
          </cell>
          <cell r="F1060" t="str">
            <v>88ID</v>
          </cell>
          <cell r="J1060">
            <v>9.9506798579934017</v>
          </cell>
          <cell r="P1060">
            <v>50913</v>
          </cell>
          <cell r="Q1060">
            <v>1344325.7525253331</v>
          </cell>
          <cell r="R1060">
            <v>199442.49266767604</v>
          </cell>
          <cell r="S1060">
            <v>91594.926526731986</v>
          </cell>
          <cell r="U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50913</v>
          </cell>
        </row>
        <row r="1061">
          <cell r="C1061" t="str">
            <v>A0127</v>
          </cell>
          <cell r="D1061" t="str">
            <v>PT Sari Lembah Subur</v>
          </cell>
          <cell r="E1061" t="str">
            <v>LL</v>
          </cell>
          <cell r="F1061" t="str">
            <v>88LL</v>
          </cell>
          <cell r="J1061">
            <v>9.9506798579934017</v>
          </cell>
          <cell r="P1061">
            <v>1341917</v>
          </cell>
          <cell r="Q1061">
            <v>1717945.2138520235</v>
          </cell>
          <cell r="R1061">
            <v>740468.20410533855</v>
          </cell>
          <cell r="S1061">
            <v>710235.11578877282</v>
          </cell>
          <cell r="U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1341917</v>
          </cell>
        </row>
        <row r="1062">
          <cell r="C1062" t="str">
            <v>A0127</v>
          </cell>
          <cell r="D1062" t="str">
            <v>PT Sari Lembah Subur</v>
          </cell>
          <cell r="E1062" t="str">
            <v>PMK</v>
          </cell>
          <cell r="F1062" t="str">
            <v>88PMK</v>
          </cell>
          <cell r="J1062">
            <v>9.9506798579934017</v>
          </cell>
          <cell r="P1062">
            <v>922350</v>
          </cell>
          <cell r="Q1062">
            <v>1738525.4547655315</v>
          </cell>
          <cell r="R1062">
            <v>304829.67976434925</v>
          </cell>
          <cell r="S1062">
            <v>134662.5</v>
          </cell>
          <cell r="U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922350</v>
          </cell>
        </row>
        <row r="1064">
          <cell r="C1064" t="str">
            <v>A0278</v>
          </cell>
          <cell r="D1064" t="str">
            <v>PT Sawit Asahan Indah</v>
          </cell>
          <cell r="E1064" t="str">
            <v>PEB 1</v>
          </cell>
          <cell r="F1064" t="str">
            <v>89PEB 1</v>
          </cell>
          <cell r="J1064">
            <v>0</v>
          </cell>
          <cell r="N1064">
            <v>0</v>
          </cell>
          <cell r="O1064">
            <v>0</v>
          </cell>
          <cell r="P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10.020478720973333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1507658</v>
          </cell>
          <cell r="AL1064">
            <v>2719871.8206762937</v>
          </cell>
          <cell r="AM1064">
            <v>277633.29486833105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-819309</v>
          </cell>
          <cell r="AS1064">
            <v>0</v>
          </cell>
          <cell r="AT1064">
            <v>0</v>
          </cell>
          <cell r="AU1064">
            <v>688349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R1064">
            <v>0</v>
          </cell>
          <cell r="BS1064">
            <v>0</v>
          </cell>
          <cell r="BT1064">
            <v>0</v>
          </cell>
          <cell r="BU1064">
            <v>10.013345723854137</v>
          </cell>
          <cell r="BV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2614751</v>
          </cell>
          <cell r="CB1064">
            <v>9266896.7425439265</v>
          </cell>
          <cell r="CC1064">
            <v>956842.88431797503</v>
          </cell>
          <cell r="CD1064">
            <v>0</v>
          </cell>
          <cell r="CE1064">
            <v>0</v>
          </cell>
          <cell r="CF1064">
            <v>0</v>
          </cell>
          <cell r="CG1064">
            <v>0</v>
          </cell>
          <cell r="CH1064">
            <v>-1627128</v>
          </cell>
          <cell r="CI1064">
            <v>-529220</v>
          </cell>
          <cell r="CJ1064">
            <v>42460</v>
          </cell>
          <cell r="CK1064">
            <v>458403</v>
          </cell>
          <cell r="CM1064">
            <v>0</v>
          </cell>
          <cell r="CN1064">
            <v>0</v>
          </cell>
          <cell r="CO1064">
            <v>0</v>
          </cell>
          <cell r="CP1064">
            <v>9.4905282510131386</v>
          </cell>
          <cell r="CQ1064">
            <v>0</v>
          </cell>
          <cell r="CR1064">
            <v>0</v>
          </cell>
          <cell r="CS1064">
            <v>0</v>
          </cell>
          <cell r="CT1064">
            <v>0</v>
          </cell>
          <cell r="CU1064">
            <v>0</v>
          </cell>
          <cell r="CV1064">
            <v>1780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1349646</v>
          </cell>
          <cell r="DD1064">
            <v>0</v>
          </cell>
          <cell r="DE1064">
            <v>0</v>
          </cell>
          <cell r="DF1064">
            <v>1351426</v>
          </cell>
          <cell r="DH1064">
            <v>0</v>
          </cell>
          <cell r="DI1064">
            <v>0</v>
          </cell>
          <cell r="DJ1064">
            <v>0</v>
          </cell>
          <cell r="DK1064">
            <v>0</v>
          </cell>
          <cell r="DL1064">
            <v>0</v>
          </cell>
          <cell r="DM1064">
            <v>0</v>
          </cell>
          <cell r="DN1064">
            <v>0</v>
          </cell>
          <cell r="DO1064">
            <v>0</v>
          </cell>
          <cell r="DP1064">
            <v>0</v>
          </cell>
          <cell r="DQ1064">
            <v>0</v>
          </cell>
          <cell r="DR1064">
            <v>0</v>
          </cell>
          <cell r="DS1064">
            <v>0</v>
          </cell>
          <cell r="DT1064">
            <v>0</v>
          </cell>
          <cell r="DU1064">
            <v>0</v>
          </cell>
          <cell r="DV1064">
            <v>0</v>
          </cell>
          <cell r="DW1064">
            <v>0</v>
          </cell>
          <cell r="DX1064">
            <v>0</v>
          </cell>
          <cell r="DY1064">
            <v>0</v>
          </cell>
          <cell r="DZ1064">
            <v>0</v>
          </cell>
          <cell r="EA1064">
            <v>0</v>
          </cell>
          <cell r="EC1064">
            <v>0</v>
          </cell>
          <cell r="ED1064">
            <v>0</v>
          </cell>
          <cell r="EE1064">
            <v>0</v>
          </cell>
          <cell r="EF1064">
            <v>10.020478720973333</v>
          </cell>
          <cell r="EG1064">
            <v>0</v>
          </cell>
          <cell r="EH1064">
            <v>0</v>
          </cell>
          <cell r="EI1064">
            <v>0</v>
          </cell>
          <cell r="EJ1064">
            <v>0</v>
          </cell>
          <cell r="EK1064">
            <v>0</v>
          </cell>
          <cell r="EL1064">
            <v>163664</v>
          </cell>
          <cell r="EM1064">
            <v>328991.90930075414</v>
          </cell>
          <cell r="EN1064">
            <v>51197.344376934852</v>
          </cell>
          <cell r="EO1064">
            <v>34547.611747269169</v>
          </cell>
          <cell r="EP1064">
            <v>0</v>
          </cell>
          <cell r="EQ1064">
            <v>0</v>
          </cell>
          <cell r="ER1064">
            <v>0</v>
          </cell>
          <cell r="ES1064">
            <v>-156367</v>
          </cell>
          <cell r="ET1064">
            <v>0</v>
          </cell>
          <cell r="EU1064">
            <v>0</v>
          </cell>
          <cell r="EV1064">
            <v>7297</v>
          </cell>
          <cell r="EX1064">
            <v>0</v>
          </cell>
          <cell r="EY1064">
            <v>0</v>
          </cell>
          <cell r="EZ1064">
            <v>0</v>
          </cell>
          <cell r="FA1064">
            <v>0</v>
          </cell>
          <cell r="FB1064">
            <v>0</v>
          </cell>
          <cell r="FC1064">
            <v>0</v>
          </cell>
          <cell r="FD1064">
            <v>0</v>
          </cell>
          <cell r="FE1064">
            <v>0</v>
          </cell>
          <cell r="FF1064">
            <v>0</v>
          </cell>
          <cell r="FG1064">
            <v>0</v>
          </cell>
          <cell r="FH1064">
            <v>444858.27164972335</v>
          </cell>
          <cell r="FI1064">
            <v>46200.332986912632</v>
          </cell>
          <cell r="FJ1064">
            <v>0</v>
          </cell>
          <cell r="FK1064">
            <v>0</v>
          </cell>
          <cell r="FL1064">
            <v>0</v>
          </cell>
          <cell r="FM1064">
            <v>0</v>
          </cell>
          <cell r="FN1064">
            <v>0</v>
          </cell>
          <cell r="FO1064">
            <v>0</v>
          </cell>
          <cell r="FP1064">
            <v>0</v>
          </cell>
          <cell r="FQ1064">
            <v>0</v>
          </cell>
          <cell r="FS1064">
            <v>0</v>
          </cell>
          <cell r="FT1064">
            <v>0</v>
          </cell>
          <cell r="FU1064">
            <v>0</v>
          </cell>
          <cell r="FV1064">
            <v>10.020478720973333</v>
          </cell>
          <cell r="FW1064">
            <v>0</v>
          </cell>
          <cell r="FX1064">
            <v>0</v>
          </cell>
          <cell r="FY1064">
            <v>0</v>
          </cell>
          <cell r="FZ1064">
            <v>0</v>
          </cell>
          <cell r="GA1064">
            <v>0</v>
          </cell>
          <cell r="GB1064">
            <v>30026</v>
          </cell>
          <cell r="GC1064">
            <v>866626.92645579262</v>
          </cell>
          <cell r="GD1064">
            <v>114973.81335282813</v>
          </cell>
          <cell r="GE1064">
            <v>64376.031132787983</v>
          </cell>
          <cell r="GF1064">
            <v>0</v>
          </cell>
          <cell r="GG1064">
            <v>0</v>
          </cell>
          <cell r="GH1064">
            <v>0</v>
          </cell>
          <cell r="GI1064">
            <v>0</v>
          </cell>
          <cell r="GJ1064">
            <v>0</v>
          </cell>
          <cell r="GK1064">
            <v>0</v>
          </cell>
          <cell r="GL1064">
            <v>30026</v>
          </cell>
          <cell r="GN1064">
            <v>0</v>
          </cell>
          <cell r="GO1064">
            <v>0</v>
          </cell>
          <cell r="GP1064">
            <v>0</v>
          </cell>
          <cell r="GQ1064">
            <v>10.020478720973333</v>
          </cell>
          <cell r="GR1064">
            <v>0</v>
          </cell>
          <cell r="GS1064">
            <v>0</v>
          </cell>
          <cell r="GT1064">
            <v>0</v>
          </cell>
          <cell r="GU1064">
            <v>0</v>
          </cell>
          <cell r="GV1064">
            <v>0</v>
          </cell>
          <cell r="GW1064">
            <v>919339</v>
          </cell>
          <cell r="GX1064">
            <v>1118926.8958817068</v>
          </cell>
          <cell r="GY1064">
            <v>444262.00732597878</v>
          </cell>
          <cell r="GZ1064">
            <v>482948.62761518481</v>
          </cell>
          <cell r="HA1064">
            <v>0</v>
          </cell>
          <cell r="HB1064">
            <v>0</v>
          </cell>
          <cell r="HC1064">
            <v>0</v>
          </cell>
          <cell r="HD1064">
            <v>0</v>
          </cell>
          <cell r="HE1064">
            <v>0</v>
          </cell>
          <cell r="HF1064">
            <v>0</v>
          </cell>
          <cell r="HG1064">
            <v>919339</v>
          </cell>
          <cell r="HI1064">
            <v>0</v>
          </cell>
          <cell r="HJ1064">
            <v>0</v>
          </cell>
          <cell r="HK1064">
            <v>0</v>
          </cell>
          <cell r="HL1064">
            <v>10.020478720973333</v>
          </cell>
          <cell r="HM1064">
            <v>0</v>
          </cell>
          <cell r="HN1064">
            <v>0</v>
          </cell>
          <cell r="HO1064">
            <v>0</v>
          </cell>
          <cell r="HP1064">
            <v>0</v>
          </cell>
          <cell r="HQ1064">
            <v>0</v>
          </cell>
          <cell r="HR1064">
            <v>549541</v>
          </cell>
          <cell r="HS1064">
            <v>1016236.9637448289</v>
          </cell>
          <cell r="HT1064">
            <v>176848.85836094691</v>
          </cell>
          <cell r="HU1064">
            <v>89775</v>
          </cell>
          <cell r="HV1064">
            <v>0</v>
          </cell>
          <cell r="HW1064">
            <v>0</v>
          </cell>
          <cell r="HX1064">
            <v>0</v>
          </cell>
          <cell r="HY1064">
            <v>0</v>
          </cell>
          <cell r="HZ1064">
            <v>0</v>
          </cell>
          <cell r="IA1064">
            <v>0</v>
          </cell>
          <cell r="IB1064">
            <v>549541</v>
          </cell>
        </row>
        <row r="1065">
          <cell r="C1065" t="str">
            <v>A0278</v>
          </cell>
          <cell r="D1065" t="str">
            <v>PT Sawit Asahan Indah</v>
          </cell>
          <cell r="E1065" t="str">
            <v>PEB 2</v>
          </cell>
          <cell r="F1065" t="str">
            <v>89PEB 2</v>
          </cell>
          <cell r="J1065">
            <v>10.020478720973333</v>
          </cell>
          <cell r="P1065">
            <v>1507658</v>
          </cell>
          <cell r="Q1065">
            <v>2719871.8206762937</v>
          </cell>
          <cell r="R1065">
            <v>277633.29486833105</v>
          </cell>
          <cell r="S1065">
            <v>0</v>
          </cell>
          <cell r="U1065">
            <v>0</v>
          </cell>
          <cell r="W1065">
            <v>-819309</v>
          </cell>
          <cell r="X1065">
            <v>0</v>
          </cell>
          <cell r="Y1065">
            <v>0</v>
          </cell>
          <cell r="Z1065">
            <v>688349</v>
          </cell>
        </row>
        <row r="1066">
          <cell r="C1066" t="str">
            <v>A0278</v>
          </cell>
          <cell r="D1066" t="str">
            <v>PT Sawit Asahan Indah</v>
          </cell>
          <cell r="E1066" t="str">
            <v>PEB 3</v>
          </cell>
          <cell r="F1066" t="str">
            <v>89PEB 3</v>
          </cell>
          <cell r="J1066">
            <v>0</v>
          </cell>
          <cell r="P1066">
            <v>0</v>
          </cell>
          <cell r="U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</row>
        <row r="1067">
          <cell r="C1067" t="str">
            <v>A0278</v>
          </cell>
          <cell r="D1067" t="str">
            <v>PT Sawit Asahan Indah</v>
          </cell>
          <cell r="E1067" t="str">
            <v>PEB 4</v>
          </cell>
          <cell r="F1067" t="str">
            <v>89PEB 4</v>
          </cell>
          <cell r="J1067">
            <v>10.013345723854137</v>
          </cell>
          <cell r="P1067">
            <v>2614751</v>
          </cell>
          <cell r="Q1067">
            <v>9266896.7425439265</v>
          </cell>
          <cell r="R1067">
            <v>956842.88431797503</v>
          </cell>
          <cell r="S1067">
            <v>0</v>
          </cell>
          <cell r="U1067">
            <v>0</v>
          </cell>
          <cell r="W1067">
            <v>-1627128</v>
          </cell>
          <cell r="X1067">
            <v>-529220</v>
          </cell>
          <cell r="Y1067">
            <v>42460</v>
          </cell>
          <cell r="Z1067">
            <v>458403</v>
          </cell>
        </row>
        <row r="1068">
          <cell r="C1068" t="str">
            <v>A0278</v>
          </cell>
          <cell r="D1068" t="str">
            <v>PT Sawit Asahan Indah</v>
          </cell>
          <cell r="E1068" t="str">
            <v>PEB 5</v>
          </cell>
          <cell r="F1068" t="str">
            <v>89PEB 5</v>
          </cell>
          <cell r="J1068">
            <v>9.4905282510131386</v>
          </cell>
          <cell r="P1068">
            <v>1780</v>
          </cell>
          <cell r="U1068">
            <v>0</v>
          </cell>
          <cell r="W1068">
            <v>1349646</v>
          </cell>
          <cell r="X1068">
            <v>0</v>
          </cell>
          <cell r="Y1068">
            <v>0</v>
          </cell>
          <cell r="Z1068">
            <v>1351426</v>
          </cell>
        </row>
        <row r="1069">
          <cell r="C1069" t="str">
            <v>A0278</v>
          </cell>
          <cell r="D1069" t="str">
            <v>PT Sawit Asahan Indah</v>
          </cell>
          <cell r="E1069" t="str">
            <v>PEB 6</v>
          </cell>
          <cell r="F1069" t="str">
            <v>89PEB 6</v>
          </cell>
          <cell r="J1069">
            <v>0</v>
          </cell>
          <cell r="P1069">
            <v>0</v>
          </cell>
          <cell r="U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</row>
        <row r="1070">
          <cell r="C1070" t="str">
            <v>A0278</v>
          </cell>
          <cell r="D1070" t="str">
            <v>PT Sawit Asahan Indah</v>
          </cell>
          <cell r="E1070" t="str">
            <v>PEB 7</v>
          </cell>
          <cell r="F1070" t="str">
            <v>89PEB 7</v>
          </cell>
          <cell r="J1070">
            <v>10.020478720973333</v>
          </cell>
          <cell r="P1070">
            <v>163664</v>
          </cell>
          <cell r="Q1070">
            <v>328991.90930075414</v>
          </cell>
          <cell r="R1070">
            <v>51197.344376934852</v>
          </cell>
          <cell r="S1070">
            <v>34547.611747269169</v>
          </cell>
          <cell r="U1070">
            <v>0</v>
          </cell>
          <cell r="W1070">
            <v>-156367</v>
          </cell>
          <cell r="X1070">
            <v>0</v>
          </cell>
          <cell r="Y1070">
            <v>0</v>
          </cell>
          <cell r="Z1070">
            <v>7297</v>
          </cell>
        </row>
        <row r="1071">
          <cell r="C1071" t="str">
            <v>A0278</v>
          </cell>
          <cell r="D1071" t="str">
            <v>PT Sawit Asahan Indah</v>
          </cell>
          <cell r="E1071" t="str">
            <v>MPP</v>
          </cell>
          <cell r="F1071" t="str">
            <v>89MPP</v>
          </cell>
          <cell r="J1071">
            <v>0</v>
          </cell>
          <cell r="P1071">
            <v>0</v>
          </cell>
          <cell r="Q1071">
            <v>444858.27164972335</v>
          </cell>
          <cell r="R1071">
            <v>46200.332986912632</v>
          </cell>
          <cell r="S1071">
            <v>0</v>
          </cell>
          <cell r="U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</row>
        <row r="1072">
          <cell r="C1072" t="str">
            <v>A0278</v>
          </cell>
          <cell r="D1072" t="str">
            <v>PT Sawit Asahan Indah</v>
          </cell>
          <cell r="E1072" t="str">
            <v>ID</v>
          </cell>
          <cell r="F1072" t="str">
            <v>89ID</v>
          </cell>
          <cell r="J1072">
            <v>10.020478720973333</v>
          </cell>
          <cell r="P1072">
            <v>30026</v>
          </cell>
          <cell r="Q1072">
            <v>866626.92645579262</v>
          </cell>
          <cell r="R1072">
            <v>114973.81335282813</v>
          </cell>
          <cell r="S1072">
            <v>64376.031132787983</v>
          </cell>
          <cell r="U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30026</v>
          </cell>
        </row>
        <row r="1073">
          <cell r="C1073" t="str">
            <v>A0278</v>
          </cell>
          <cell r="D1073" t="str">
            <v>PT Sawit Asahan Indah</v>
          </cell>
          <cell r="E1073" t="str">
            <v>LL</v>
          </cell>
          <cell r="F1073" t="str">
            <v>89LL</v>
          </cell>
          <cell r="J1073">
            <v>10.020478720973333</v>
          </cell>
          <cell r="P1073">
            <v>919339</v>
          </cell>
          <cell r="Q1073">
            <v>1118926.8958817068</v>
          </cell>
          <cell r="R1073">
            <v>444262.00732597878</v>
          </cell>
          <cell r="S1073">
            <v>482948.62761518481</v>
          </cell>
          <cell r="U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919339</v>
          </cell>
        </row>
        <row r="1074">
          <cell r="C1074" t="str">
            <v>A0278</v>
          </cell>
          <cell r="D1074" t="str">
            <v>PT Sawit Asahan Indah</v>
          </cell>
          <cell r="E1074" t="str">
            <v>PMK</v>
          </cell>
          <cell r="F1074" t="str">
            <v>89PMK</v>
          </cell>
          <cell r="J1074">
            <v>10.020478720973333</v>
          </cell>
          <cell r="P1074">
            <v>549541</v>
          </cell>
          <cell r="Q1074">
            <v>1016236.9637448289</v>
          </cell>
          <cell r="R1074">
            <v>176848.85836094691</v>
          </cell>
          <cell r="S1074">
            <v>89775</v>
          </cell>
          <cell r="U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549541</v>
          </cell>
        </row>
        <row r="1076">
          <cell r="C1076" t="str">
            <v>A0436</v>
          </cell>
          <cell r="D1076" t="str">
            <v>PT Sawit Jaya Abadi</v>
          </cell>
          <cell r="E1076" t="str">
            <v>PEB 1</v>
          </cell>
          <cell r="F1076" t="str">
            <v>90PEB 1</v>
          </cell>
          <cell r="J1076">
            <v>0</v>
          </cell>
          <cell r="N1076">
            <v>0</v>
          </cell>
          <cell r="O1076">
            <v>0</v>
          </cell>
          <cell r="P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9.9254876732605002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82049</v>
          </cell>
          <cell r="AL1076">
            <v>264053.66533102613</v>
          </cell>
          <cell r="AM1076">
            <v>39115.495771003829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-33508</v>
          </cell>
          <cell r="AS1076">
            <v>0</v>
          </cell>
          <cell r="AT1076">
            <v>0</v>
          </cell>
          <cell r="AU1076">
            <v>48541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9.9254876732605002</v>
          </cell>
          <cell r="BV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121818</v>
          </cell>
          <cell r="CB1076">
            <v>243532.99242244085</v>
          </cell>
          <cell r="CC1076">
            <v>57478.459519508069</v>
          </cell>
          <cell r="CD1076">
            <v>8717.9836028853242</v>
          </cell>
          <cell r="CE1076">
            <v>0</v>
          </cell>
          <cell r="CF1076">
            <v>0</v>
          </cell>
          <cell r="CG1076">
            <v>0</v>
          </cell>
          <cell r="CH1076">
            <v>-72806</v>
          </cell>
          <cell r="CI1076">
            <v>0</v>
          </cell>
          <cell r="CJ1076">
            <v>0</v>
          </cell>
          <cell r="CK1076">
            <v>49012</v>
          </cell>
          <cell r="CM1076">
            <v>0</v>
          </cell>
          <cell r="CN1076">
            <v>0</v>
          </cell>
          <cell r="CO1076">
            <v>0</v>
          </cell>
          <cell r="CP1076">
            <v>0</v>
          </cell>
          <cell r="CQ1076">
            <v>0</v>
          </cell>
          <cell r="CR1076">
            <v>0</v>
          </cell>
          <cell r="CS1076">
            <v>0</v>
          </cell>
          <cell r="CT1076">
            <v>0</v>
          </cell>
          <cell r="CU1076">
            <v>0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  <cell r="DD1076">
            <v>0</v>
          </cell>
          <cell r="DE1076">
            <v>0</v>
          </cell>
          <cell r="DF1076">
            <v>0</v>
          </cell>
          <cell r="DH1076">
            <v>0</v>
          </cell>
          <cell r="DI1076">
            <v>0</v>
          </cell>
          <cell r="DJ1076">
            <v>0</v>
          </cell>
          <cell r="DK1076">
            <v>0</v>
          </cell>
          <cell r="DL1076">
            <v>0</v>
          </cell>
          <cell r="DM1076">
            <v>0</v>
          </cell>
          <cell r="DN1076">
            <v>0</v>
          </cell>
          <cell r="DO1076">
            <v>0</v>
          </cell>
          <cell r="DP1076">
            <v>0</v>
          </cell>
          <cell r="DQ1076">
            <v>0</v>
          </cell>
          <cell r="DR1076">
            <v>0</v>
          </cell>
          <cell r="DS1076">
            <v>0</v>
          </cell>
          <cell r="DT1076">
            <v>0</v>
          </cell>
          <cell r="DU1076">
            <v>0</v>
          </cell>
          <cell r="DV1076">
            <v>0</v>
          </cell>
          <cell r="DW1076">
            <v>0</v>
          </cell>
          <cell r="DX1076">
            <v>0</v>
          </cell>
          <cell r="DY1076">
            <v>0</v>
          </cell>
          <cell r="DZ1076">
            <v>0</v>
          </cell>
          <cell r="EA1076">
            <v>0</v>
          </cell>
          <cell r="EC1076">
            <v>0</v>
          </cell>
          <cell r="ED1076">
            <v>0</v>
          </cell>
          <cell r="EE1076">
            <v>0</v>
          </cell>
          <cell r="EF1076">
            <v>9.9254876732605002</v>
          </cell>
          <cell r="EG1076">
            <v>0</v>
          </cell>
          <cell r="EH1076">
            <v>0</v>
          </cell>
          <cell r="EI1076">
            <v>0</v>
          </cell>
          <cell r="EJ1076">
            <v>0</v>
          </cell>
          <cell r="EK1076">
            <v>0</v>
          </cell>
          <cell r="EL1076">
            <v>10500</v>
          </cell>
          <cell r="EM1076">
            <v>41366.499071086022</v>
          </cell>
          <cell r="EN1076">
            <v>8764.6890702449437</v>
          </cell>
          <cell r="EO1076">
            <v>3566.1831251439235</v>
          </cell>
          <cell r="EP1076">
            <v>0</v>
          </cell>
          <cell r="EQ1076">
            <v>0</v>
          </cell>
          <cell r="ER1076">
            <v>0</v>
          </cell>
          <cell r="ES1076">
            <v>16905</v>
          </cell>
          <cell r="ET1076">
            <v>0</v>
          </cell>
          <cell r="EU1076">
            <v>0</v>
          </cell>
          <cell r="EV1076">
            <v>27405</v>
          </cell>
          <cell r="EX1076">
            <v>0</v>
          </cell>
          <cell r="EY1076">
            <v>0</v>
          </cell>
          <cell r="EZ1076">
            <v>0</v>
          </cell>
          <cell r="FA1076">
            <v>0</v>
          </cell>
          <cell r="FB1076">
            <v>0</v>
          </cell>
          <cell r="FC1076">
            <v>0</v>
          </cell>
          <cell r="FD1076">
            <v>0</v>
          </cell>
          <cell r="FE1076">
            <v>0</v>
          </cell>
          <cell r="FF1076">
            <v>0</v>
          </cell>
          <cell r="FG1076">
            <v>0</v>
          </cell>
          <cell r="FH1076">
            <v>42076.354578974977</v>
          </cell>
          <cell r="FI1076">
            <v>7141.5362142920994</v>
          </cell>
          <cell r="FJ1076">
            <v>0</v>
          </cell>
          <cell r="FK1076">
            <v>0</v>
          </cell>
          <cell r="FL1076">
            <v>0</v>
          </cell>
          <cell r="FM1076">
            <v>0</v>
          </cell>
          <cell r="FN1076">
            <v>0</v>
          </cell>
          <cell r="FO1076">
            <v>0</v>
          </cell>
          <cell r="FP1076">
            <v>0</v>
          </cell>
          <cell r="FQ1076">
            <v>0</v>
          </cell>
          <cell r="FS1076">
            <v>0</v>
          </cell>
          <cell r="FT1076">
            <v>0</v>
          </cell>
          <cell r="FU1076">
            <v>0</v>
          </cell>
          <cell r="FV1076">
            <v>9.9254876732605002</v>
          </cell>
          <cell r="FW1076">
            <v>0</v>
          </cell>
          <cell r="FX1076">
            <v>0</v>
          </cell>
          <cell r="FY1076">
            <v>0</v>
          </cell>
          <cell r="FZ1076">
            <v>0</v>
          </cell>
          <cell r="GA1076">
            <v>0</v>
          </cell>
          <cell r="GB1076">
            <v>1119</v>
          </cell>
          <cell r="GC1076">
            <v>102361.67055339958</v>
          </cell>
          <cell r="GD1076">
            <v>19303.855788499495</v>
          </cell>
          <cell r="GE1076">
            <v>5193.5695595994111</v>
          </cell>
          <cell r="GF1076">
            <v>0</v>
          </cell>
          <cell r="GG1076">
            <v>0</v>
          </cell>
          <cell r="GH1076">
            <v>0</v>
          </cell>
          <cell r="GI1076">
            <v>0</v>
          </cell>
          <cell r="GJ1076">
            <v>0</v>
          </cell>
          <cell r="GK1076">
            <v>0</v>
          </cell>
          <cell r="GL1076">
            <v>1119</v>
          </cell>
          <cell r="GN1076">
            <v>0</v>
          </cell>
          <cell r="GO1076">
            <v>0</v>
          </cell>
          <cell r="GP1076">
            <v>0</v>
          </cell>
          <cell r="GQ1076">
            <v>9.9254876732605002</v>
          </cell>
          <cell r="GR1076">
            <v>0</v>
          </cell>
          <cell r="GS1076">
            <v>0</v>
          </cell>
          <cell r="GT1076">
            <v>0</v>
          </cell>
          <cell r="GU1076">
            <v>0</v>
          </cell>
          <cell r="GV1076">
            <v>0</v>
          </cell>
          <cell r="GW1076">
            <v>67824</v>
          </cell>
          <cell r="GX1076">
            <v>161291.38557843145</v>
          </cell>
          <cell r="GY1076">
            <v>67946.243746631575</v>
          </cell>
          <cell r="GZ1076">
            <v>67328.135617902706</v>
          </cell>
          <cell r="HA1076">
            <v>0</v>
          </cell>
          <cell r="HB1076">
            <v>0</v>
          </cell>
          <cell r="HC1076">
            <v>0</v>
          </cell>
          <cell r="HD1076">
            <v>0</v>
          </cell>
          <cell r="HE1076">
            <v>0</v>
          </cell>
          <cell r="HF1076">
            <v>0</v>
          </cell>
          <cell r="HG1076">
            <v>67824</v>
          </cell>
          <cell r="HI1076">
            <v>0</v>
          </cell>
          <cell r="HJ1076">
            <v>0</v>
          </cell>
          <cell r="HK1076">
            <v>0</v>
          </cell>
          <cell r="HL1076">
            <v>9.9254876732605002</v>
          </cell>
          <cell r="HM1076">
            <v>0</v>
          </cell>
          <cell r="HN1076">
            <v>0</v>
          </cell>
          <cell r="HO1076">
            <v>0</v>
          </cell>
          <cell r="HP1076">
            <v>0</v>
          </cell>
          <cell r="HQ1076">
            <v>0</v>
          </cell>
          <cell r="HR1076">
            <v>12777</v>
          </cell>
          <cell r="HS1076">
            <v>93520.562896695585</v>
          </cell>
          <cell r="HT1076">
            <v>22772.562095610887</v>
          </cell>
          <cell r="HU1076">
            <v>9450</v>
          </cell>
          <cell r="HV1076">
            <v>0</v>
          </cell>
          <cell r="HW1076">
            <v>0</v>
          </cell>
          <cell r="HX1076">
            <v>0</v>
          </cell>
          <cell r="HY1076">
            <v>0</v>
          </cell>
          <cell r="HZ1076">
            <v>0</v>
          </cell>
          <cell r="IA1076">
            <v>0</v>
          </cell>
          <cell r="IB1076">
            <v>12777</v>
          </cell>
        </row>
        <row r="1077">
          <cell r="C1077" t="str">
            <v>A0436</v>
          </cell>
          <cell r="D1077" t="str">
            <v>PT Sawit Jaya Abadi</v>
          </cell>
          <cell r="E1077" t="str">
            <v>PEB 2</v>
          </cell>
          <cell r="F1077" t="str">
            <v>90PEB 2</v>
          </cell>
          <cell r="J1077">
            <v>9.9254876732605002</v>
          </cell>
          <cell r="P1077">
            <v>82049</v>
          </cell>
          <cell r="Q1077">
            <v>264053.66533102613</v>
          </cell>
          <cell r="R1077">
            <v>39115.495771003829</v>
          </cell>
          <cell r="S1077">
            <v>0</v>
          </cell>
          <cell r="U1077">
            <v>0</v>
          </cell>
          <cell r="W1077">
            <v>-33508</v>
          </cell>
          <cell r="X1077">
            <v>0</v>
          </cell>
          <cell r="Y1077">
            <v>0</v>
          </cell>
          <cell r="Z1077">
            <v>48541</v>
          </cell>
        </row>
        <row r="1078">
          <cell r="C1078" t="str">
            <v>A0436</v>
          </cell>
          <cell r="D1078" t="str">
            <v>PT Sawit Jaya Abadi</v>
          </cell>
          <cell r="E1078" t="str">
            <v>PEB 3</v>
          </cell>
          <cell r="F1078" t="str">
            <v>90PEB 3</v>
          </cell>
          <cell r="J1078">
            <v>0</v>
          </cell>
          <cell r="P1078">
            <v>0</v>
          </cell>
          <cell r="U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</row>
        <row r="1079">
          <cell r="C1079" t="str">
            <v>A0436</v>
          </cell>
          <cell r="D1079" t="str">
            <v>PT Sawit Jaya Abadi</v>
          </cell>
          <cell r="E1079" t="str">
            <v>PEB 4</v>
          </cell>
          <cell r="F1079" t="str">
            <v>90PEB 4</v>
          </cell>
          <cell r="J1079">
            <v>9.9254876732605002</v>
          </cell>
          <cell r="P1079">
            <v>121818</v>
          </cell>
          <cell r="Q1079">
            <v>243532.99242244085</v>
          </cell>
          <cell r="R1079">
            <v>57478.459519508069</v>
          </cell>
          <cell r="S1079">
            <v>8717.9836028853242</v>
          </cell>
          <cell r="U1079">
            <v>0</v>
          </cell>
          <cell r="W1079">
            <v>-72806</v>
          </cell>
          <cell r="X1079">
            <v>0</v>
          </cell>
          <cell r="Y1079">
            <v>0</v>
          </cell>
          <cell r="Z1079">
            <v>49012</v>
          </cell>
        </row>
        <row r="1080">
          <cell r="C1080" t="str">
            <v>A0436</v>
          </cell>
          <cell r="D1080" t="str">
            <v>PT Sawit Jaya Abadi</v>
          </cell>
          <cell r="E1080" t="str">
            <v>PEB 5</v>
          </cell>
          <cell r="F1080" t="str">
            <v>90PEB 5</v>
          </cell>
          <cell r="J1080">
            <v>0</v>
          </cell>
          <cell r="P1080">
            <v>0</v>
          </cell>
          <cell r="U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</row>
        <row r="1081">
          <cell r="C1081" t="str">
            <v>A0436</v>
          </cell>
          <cell r="D1081" t="str">
            <v>PT Sawit Jaya Abadi</v>
          </cell>
          <cell r="E1081" t="str">
            <v>PEB 6</v>
          </cell>
          <cell r="F1081" t="str">
            <v>90PEB 6</v>
          </cell>
          <cell r="J1081">
            <v>0</v>
          </cell>
          <cell r="P1081">
            <v>0</v>
          </cell>
          <cell r="U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</row>
        <row r="1082">
          <cell r="C1082" t="str">
            <v>A0436</v>
          </cell>
          <cell r="D1082" t="str">
            <v>PT Sawit Jaya Abadi</v>
          </cell>
          <cell r="E1082" t="str">
            <v>PEB 7</v>
          </cell>
          <cell r="F1082" t="str">
            <v>90PEB 7</v>
          </cell>
          <cell r="J1082">
            <v>9.9254876732605002</v>
          </cell>
          <cell r="P1082">
            <v>10500</v>
          </cell>
          <cell r="Q1082">
            <v>41366.499071086022</v>
          </cell>
          <cell r="R1082">
            <v>8764.6890702449437</v>
          </cell>
          <cell r="S1082">
            <v>3566.1831251439235</v>
          </cell>
          <cell r="U1082">
            <v>0</v>
          </cell>
          <cell r="W1082">
            <v>16905</v>
          </cell>
          <cell r="X1082">
            <v>0</v>
          </cell>
          <cell r="Y1082">
            <v>0</v>
          </cell>
          <cell r="Z1082">
            <v>27405</v>
          </cell>
        </row>
        <row r="1083">
          <cell r="C1083" t="str">
            <v>A0436</v>
          </cell>
          <cell r="D1083" t="str">
            <v>PT Sawit Jaya Abadi</v>
          </cell>
          <cell r="E1083" t="str">
            <v>MPP</v>
          </cell>
          <cell r="F1083" t="str">
            <v>90MPP</v>
          </cell>
          <cell r="J1083">
            <v>0</v>
          </cell>
          <cell r="P1083">
            <v>0</v>
          </cell>
          <cell r="Q1083">
            <v>42076.354578974977</v>
          </cell>
          <cell r="R1083">
            <v>7141.5362142920994</v>
          </cell>
          <cell r="S1083">
            <v>0</v>
          </cell>
          <cell r="U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</row>
        <row r="1084">
          <cell r="C1084" t="str">
            <v>A0436</v>
          </cell>
          <cell r="D1084" t="str">
            <v>PT Sawit Jaya Abadi</v>
          </cell>
          <cell r="E1084" t="str">
            <v>ID</v>
          </cell>
          <cell r="F1084" t="str">
            <v>90ID</v>
          </cell>
          <cell r="J1084">
            <v>9.9254876732605002</v>
          </cell>
          <cell r="P1084">
            <v>1119</v>
          </cell>
          <cell r="Q1084">
            <v>102361.67055339958</v>
          </cell>
          <cell r="R1084">
            <v>19303.855788499495</v>
          </cell>
          <cell r="S1084">
            <v>5193.5695595994111</v>
          </cell>
          <cell r="U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1119</v>
          </cell>
        </row>
        <row r="1085">
          <cell r="C1085" t="str">
            <v>A0436</v>
          </cell>
          <cell r="D1085" t="str">
            <v>PT Sawit Jaya Abadi</v>
          </cell>
          <cell r="E1085" t="str">
            <v>LL</v>
          </cell>
          <cell r="F1085" t="str">
            <v>90LL</v>
          </cell>
          <cell r="J1085">
            <v>9.9254876732605002</v>
          </cell>
          <cell r="P1085">
            <v>67824</v>
          </cell>
          <cell r="Q1085">
            <v>161291.38557843145</v>
          </cell>
          <cell r="R1085">
            <v>67946.243746631575</v>
          </cell>
          <cell r="S1085">
            <v>67328.135617902706</v>
          </cell>
          <cell r="U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67824</v>
          </cell>
        </row>
        <row r="1086">
          <cell r="C1086" t="str">
            <v>A0436</v>
          </cell>
          <cell r="D1086" t="str">
            <v>PT Sawit Jaya Abadi</v>
          </cell>
          <cell r="E1086" t="str">
            <v>PMK</v>
          </cell>
          <cell r="F1086" t="str">
            <v>90PMK</v>
          </cell>
          <cell r="J1086">
            <v>9.9254876732605002</v>
          </cell>
          <cell r="P1086">
            <v>12777</v>
          </cell>
          <cell r="Q1086">
            <v>93520.562896695585</v>
          </cell>
          <cell r="R1086">
            <v>22772.562095610887</v>
          </cell>
          <cell r="S1086">
            <v>9450</v>
          </cell>
          <cell r="U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12777</v>
          </cell>
        </row>
        <row r="1088">
          <cell r="C1088" t="str">
            <v>A0128</v>
          </cell>
          <cell r="D1088" t="str">
            <v>PT Sedaya Multi Investama</v>
          </cell>
          <cell r="E1088" t="str">
            <v>PEB 1</v>
          </cell>
          <cell r="F1088" t="str">
            <v>91PEB 1</v>
          </cell>
          <cell r="G1088">
            <v>0.1</v>
          </cell>
          <cell r="H1088">
            <v>0.1</v>
          </cell>
          <cell r="I1088">
            <v>0.09</v>
          </cell>
          <cell r="J1088">
            <v>7.2196772113506595</v>
          </cell>
          <cell r="K1088">
            <v>7.5451981366038012</v>
          </cell>
          <cell r="L1088">
            <v>0</v>
          </cell>
          <cell r="N1088">
            <v>203007.77439999999</v>
          </cell>
          <cell r="O1088">
            <v>11368.312</v>
          </cell>
          <cell r="P1088">
            <v>683799</v>
          </cell>
          <cell r="Q1088">
            <v>1005804.586377742</v>
          </cell>
          <cell r="R1088">
            <v>44750.850884665146</v>
          </cell>
          <cell r="S1088">
            <v>5969.5710261598733</v>
          </cell>
          <cell r="U1088">
            <v>-440678</v>
          </cell>
          <cell r="V1088">
            <v>1357840.8954666669</v>
          </cell>
          <cell r="W1088">
            <v>186985</v>
          </cell>
          <cell r="X1088">
            <v>0</v>
          </cell>
          <cell r="Y1088">
            <v>0</v>
          </cell>
          <cell r="Z1088">
            <v>430106</v>
          </cell>
          <cell r="AB1088">
            <v>0.1</v>
          </cell>
          <cell r="AC1088">
            <v>0</v>
          </cell>
          <cell r="AD1088">
            <v>0.09</v>
          </cell>
          <cell r="AE1088">
            <v>8.222583961366281</v>
          </cell>
          <cell r="AF1088">
            <v>8.7381111848537749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191951</v>
          </cell>
          <cell r="AL1088">
            <v>230893.58637459122</v>
          </cell>
          <cell r="AM1088">
            <v>12005.686293225968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12364</v>
          </cell>
          <cell r="AS1088">
            <v>-195923</v>
          </cell>
          <cell r="AT1088">
            <v>19335</v>
          </cell>
          <cell r="AU1088">
            <v>8392</v>
          </cell>
          <cell r="AW1088">
            <v>0.1</v>
          </cell>
          <cell r="AX1088">
            <v>0</v>
          </cell>
          <cell r="AY1088">
            <v>0.09</v>
          </cell>
          <cell r="AZ1088">
            <v>7.2196772113506595</v>
          </cell>
          <cell r="BA1088">
            <v>7.5451981366038012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8545.4822338079539</v>
          </cell>
          <cell r="BH1088">
            <v>420.14233219792101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R1088">
            <v>0.1</v>
          </cell>
          <cell r="BS1088">
            <v>0</v>
          </cell>
          <cell r="BT1088">
            <v>0.09</v>
          </cell>
          <cell r="BU1088">
            <v>8.6465875131961667</v>
          </cell>
          <cell r="BV1088">
            <v>9.4538590138037559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33006</v>
          </cell>
          <cell r="CB1088">
            <v>23060.577293411276</v>
          </cell>
          <cell r="CC1088">
            <v>3180.8443566535002</v>
          </cell>
          <cell r="CD1088">
            <v>2722.6508438547348</v>
          </cell>
          <cell r="CE1088">
            <v>0</v>
          </cell>
          <cell r="CF1088">
            <v>0</v>
          </cell>
          <cell r="CG1088">
            <v>0</v>
          </cell>
          <cell r="CH1088">
            <v>8849</v>
          </cell>
          <cell r="CI1088">
            <v>-41359</v>
          </cell>
          <cell r="CJ1088">
            <v>3658</v>
          </cell>
          <cell r="CK1088">
            <v>496</v>
          </cell>
          <cell r="CM1088">
            <v>0</v>
          </cell>
          <cell r="CN1088">
            <v>0</v>
          </cell>
          <cell r="CO1088">
            <v>0</v>
          </cell>
          <cell r="CP1088">
            <v>0</v>
          </cell>
          <cell r="CQ1088">
            <v>0</v>
          </cell>
          <cell r="CR1088">
            <v>0</v>
          </cell>
          <cell r="CS1088">
            <v>0</v>
          </cell>
          <cell r="CT1088">
            <v>0</v>
          </cell>
          <cell r="CU1088">
            <v>0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  <cell r="DD1088">
            <v>0</v>
          </cell>
          <cell r="DE1088">
            <v>0</v>
          </cell>
          <cell r="DF1088">
            <v>0</v>
          </cell>
          <cell r="DH1088">
            <v>0</v>
          </cell>
          <cell r="DI1088">
            <v>0</v>
          </cell>
          <cell r="DJ1088">
            <v>0</v>
          </cell>
          <cell r="DK1088">
            <v>0</v>
          </cell>
          <cell r="DL1088">
            <v>0</v>
          </cell>
          <cell r="DM1088">
            <v>0</v>
          </cell>
          <cell r="DN1088">
            <v>0</v>
          </cell>
          <cell r="DO1088">
            <v>0</v>
          </cell>
          <cell r="DP1088">
            <v>0</v>
          </cell>
          <cell r="DQ1088">
            <v>0</v>
          </cell>
          <cell r="DR1088">
            <v>0</v>
          </cell>
          <cell r="DS1088">
            <v>0</v>
          </cell>
          <cell r="DT1088">
            <v>0</v>
          </cell>
          <cell r="DU1088">
            <v>0</v>
          </cell>
          <cell r="DV1088">
            <v>0</v>
          </cell>
          <cell r="DW1088">
            <v>0</v>
          </cell>
          <cell r="DX1088">
            <v>0</v>
          </cell>
          <cell r="DY1088">
            <v>0</v>
          </cell>
          <cell r="DZ1088">
            <v>0</v>
          </cell>
          <cell r="EA1088">
            <v>0</v>
          </cell>
          <cell r="EC1088">
            <v>0.1</v>
          </cell>
          <cell r="ED1088">
            <v>0</v>
          </cell>
          <cell r="EE1088">
            <v>0.09</v>
          </cell>
          <cell r="EF1088">
            <v>8.222583961366281</v>
          </cell>
          <cell r="EG1088">
            <v>8.7381111848537749</v>
          </cell>
          <cell r="EH1088">
            <v>0</v>
          </cell>
          <cell r="EI1088">
            <v>0</v>
          </cell>
          <cell r="EJ1088">
            <v>0</v>
          </cell>
          <cell r="EK1088">
            <v>0</v>
          </cell>
          <cell r="EL1088">
            <v>21218</v>
          </cell>
          <cell r="EM1088">
            <v>12761.445795330588</v>
          </cell>
          <cell r="EN1088">
            <v>664.29726002627888</v>
          </cell>
          <cell r="EO1088">
            <v>1577.2488827895147</v>
          </cell>
          <cell r="EP1088">
            <v>0</v>
          </cell>
          <cell r="EQ1088">
            <v>0</v>
          </cell>
          <cell r="ER1088">
            <v>0</v>
          </cell>
          <cell r="ES1088">
            <v>-15556</v>
          </cell>
          <cell r="ET1088">
            <v>0</v>
          </cell>
          <cell r="EU1088">
            <v>0</v>
          </cell>
          <cell r="EV1088">
            <v>5662</v>
          </cell>
          <cell r="EX1088">
            <v>0.1</v>
          </cell>
          <cell r="EY1088">
            <v>0</v>
          </cell>
          <cell r="EZ1088">
            <v>0.09</v>
          </cell>
          <cell r="FA1088">
            <v>8.222583961366281</v>
          </cell>
          <cell r="FB1088">
            <v>8.7381111848537749</v>
          </cell>
          <cell r="FC1088">
            <v>0</v>
          </cell>
          <cell r="FD1088">
            <v>0</v>
          </cell>
          <cell r="FE1088">
            <v>0</v>
          </cell>
          <cell r="FF1088">
            <v>0</v>
          </cell>
          <cell r="FG1088">
            <v>0</v>
          </cell>
          <cell r="FH1088">
            <v>37546.771181165779</v>
          </cell>
          <cell r="FI1088">
            <v>2135.937749080746</v>
          </cell>
          <cell r="FJ1088">
            <v>0</v>
          </cell>
          <cell r="FK1088">
            <v>0</v>
          </cell>
          <cell r="FL1088">
            <v>0</v>
          </cell>
          <cell r="FM1088">
            <v>0</v>
          </cell>
          <cell r="FN1088">
            <v>0</v>
          </cell>
          <cell r="FO1088">
            <v>0</v>
          </cell>
          <cell r="FP1088">
            <v>0</v>
          </cell>
          <cell r="FQ1088">
            <v>0</v>
          </cell>
          <cell r="FS1088">
            <v>0.1</v>
          </cell>
          <cell r="FT1088">
            <v>0</v>
          </cell>
          <cell r="FU1088">
            <v>0.09</v>
          </cell>
          <cell r="FV1088">
            <v>8.222583961366281</v>
          </cell>
          <cell r="FW1088">
            <v>8.7381111848537749</v>
          </cell>
          <cell r="FX1088">
            <v>0</v>
          </cell>
          <cell r="FY1088">
            <v>0</v>
          </cell>
          <cell r="FZ1088">
            <v>0</v>
          </cell>
          <cell r="GA1088">
            <v>0</v>
          </cell>
          <cell r="GB1088">
            <v>4208</v>
          </cell>
          <cell r="GC1088">
            <v>54225.353034124593</v>
          </cell>
          <cell r="GD1088">
            <v>2824.5548178973304</v>
          </cell>
          <cell r="GE1088">
            <v>5199.2721284598492</v>
          </cell>
          <cell r="GF1088">
            <v>0</v>
          </cell>
          <cell r="GG1088">
            <v>0</v>
          </cell>
          <cell r="GH1088">
            <v>0</v>
          </cell>
          <cell r="GI1088">
            <v>0</v>
          </cell>
          <cell r="GJ1088">
            <v>0</v>
          </cell>
          <cell r="GK1088">
            <v>0</v>
          </cell>
          <cell r="GL1088">
            <v>4208</v>
          </cell>
          <cell r="GN1088">
            <v>0.1</v>
          </cell>
          <cell r="GO1088">
            <v>0</v>
          </cell>
          <cell r="GP1088">
            <v>0.09</v>
          </cell>
          <cell r="GQ1088">
            <v>8.222583961366281</v>
          </cell>
          <cell r="GR1088">
            <v>8.7381111848537749</v>
          </cell>
          <cell r="GS1088">
            <v>0</v>
          </cell>
          <cell r="GT1088">
            <v>0</v>
          </cell>
          <cell r="GU1088">
            <v>0</v>
          </cell>
          <cell r="GV1088">
            <v>0</v>
          </cell>
          <cell r="GW1088">
            <v>37625</v>
          </cell>
          <cell r="GX1088">
            <v>38000.517303374501</v>
          </cell>
          <cell r="GY1088">
            <v>14996.967660833841</v>
          </cell>
          <cell r="GZ1088">
            <v>1329.1496665696993</v>
          </cell>
          <cell r="HA1088">
            <v>0</v>
          </cell>
          <cell r="HB1088">
            <v>0</v>
          </cell>
          <cell r="HC1088">
            <v>0</v>
          </cell>
          <cell r="HD1088">
            <v>0</v>
          </cell>
          <cell r="HE1088">
            <v>0</v>
          </cell>
          <cell r="HF1088">
            <v>0</v>
          </cell>
          <cell r="HG1088">
            <v>37625</v>
          </cell>
          <cell r="HI1088">
            <v>0.1</v>
          </cell>
          <cell r="HJ1088">
            <v>0</v>
          </cell>
          <cell r="HK1088">
            <v>0.09</v>
          </cell>
          <cell r="HL1088">
            <v>8.222583961366281</v>
          </cell>
          <cell r="HM1088">
            <v>8.7381111848537749</v>
          </cell>
          <cell r="HN1088">
            <v>0</v>
          </cell>
          <cell r="HO1088">
            <v>0</v>
          </cell>
          <cell r="HP1088">
            <v>0</v>
          </cell>
          <cell r="HQ1088">
            <v>0</v>
          </cell>
          <cell r="HR1088">
            <v>63232</v>
          </cell>
          <cell r="HS1088">
            <v>42340.499080194699</v>
          </cell>
          <cell r="HT1088">
            <v>3665.6675587570257</v>
          </cell>
          <cell r="HU1088">
            <v>5501</v>
          </cell>
          <cell r="HV1088">
            <v>0</v>
          </cell>
          <cell r="HW1088">
            <v>0</v>
          </cell>
          <cell r="HX1088">
            <v>0</v>
          </cell>
          <cell r="HY1088">
            <v>0</v>
          </cell>
          <cell r="HZ1088">
            <v>0</v>
          </cell>
          <cell r="IA1088">
            <v>0</v>
          </cell>
          <cell r="IB1088">
            <v>63232</v>
          </cell>
        </row>
        <row r="1089">
          <cell r="C1089" t="str">
            <v>A0128</v>
          </cell>
          <cell r="D1089" t="str">
            <v>PT Sedaya Multi Investama</v>
          </cell>
          <cell r="E1089" t="str">
            <v>PEB 2</v>
          </cell>
          <cell r="F1089" t="str">
            <v>91PEB 2</v>
          </cell>
          <cell r="G1089">
            <v>0.1</v>
          </cell>
          <cell r="I1089">
            <v>0.09</v>
          </cell>
          <cell r="J1089">
            <v>8.222583961366281</v>
          </cell>
          <cell r="K1089">
            <v>8.7381111848537749</v>
          </cell>
          <cell r="P1089">
            <v>191951</v>
          </cell>
          <cell r="Q1089">
            <v>230893.58637459122</v>
          </cell>
          <cell r="R1089">
            <v>12005.686293225968</v>
          </cell>
          <cell r="S1089">
            <v>0</v>
          </cell>
          <cell r="U1089">
            <v>0</v>
          </cell>
          <cell r="W1089">
            <v>12364</v>
          </cell>
          <cell r="X1089">
            <v>-195923</v>
          </cell>
          <cell r="Y1089">
            <v>19335</v>
          </cell>
          <cell r="Z1089">
            <v>8392</v>
          </cell>
        </row>
        <row r="1090">
          <cell r="C1090" t="str">
            <v>A0128</v>
          </cell>
          <cell r="D1090" t="str">
            <v>PT Sedaya Multi Investama</v>
          </cell>
          <cell r="E1090" t="str">
            <v>PEB 3</v>
          </cell>
          <cell r="F1090" t="str">
            <v>91PEB 3</v>
          </cell>
          <cell r="G1090">
            <v>0.1</v>
          </cell>
          <cell r="I1090">
            <v>0.09</v>
          </cell>
          <cell r="J1090">
            <v>7.2196772113506595</v>
          </cell>
          <cell r="K1090">
            <v>7.5451981366038012</v>
          </cell>
          <cell r="P1090">
            <v>0</v>
          </cell>
          <cell r="Q1090">
            <v>8545.4822338079539</v>
          </cell>
          <cell r="R1090">
            <v>420.14233219792101</v>
          </cell>
          <cell r="S1090">
            <v>0</v>
          </cell>
          <cell r="U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</row>
        <row r="1091">
          <cell r="C1091" t="str">
            <v>A0128</v>
          </cell>
          <cell r="D1091" t="str">
            <v>PT Sedaya Multi Investama</v>
          </cell>
          <cell r="E1091" t="str">
            <v>PEB 4</v>
          </cell>
          <cell r="F1091" t="str">
            <v>91PEB 4</v>
          </cell>
          <cell r="G1091">
            <v>0.1</v>
          </cell>
          <cell r="I1091">
            <v>0.09</v>
          </cell>
          <cell r="J1091">
            <v>8.6465875131961667</v>
          </cell>
          <cell r="K1091">
            <v>9.4538590138037559</v>
          </cell>
          <cell r="P1091">
            <v>33006</v>
          </cell>
          <cell r="Q1091">
            <v>23060.577293411276</v>
          </cell>
          <cell r="R1091">
            <v>3180.8443566535002</v>
          </cell>
          <cell r="S1091">
            <v>2722.6508438547348</v>
          </cell>
          <cell r="U1091">
            <v>0</v>
          </cell>
          <cell r="W1091">
            <v>8849</v>
          </cell>
          <cell r="X1091">
            <v>-41359</v>
          </cell>
          <cell r="Y1091">
            <v>3658</v>
          </cell>
          <cell r="Z1091">
            <v>496</v>
          </cell>
        </row>
        <row r="1092">
          <cell r="C1092" t="str">
            <v>A0128</v>
          </cell>
          <cell r="D1092" t="str">
            <v>PT Sedaya Multi Investama</v>
          </cell>
          <cell r="E1092" t="str">
            <v>PEB 5</v>
          </cell>
          <cell r="F1092" t="str">
            <v>91PEB 5</v>
          </cell>
          <cell r="P1092">
            <v>0</v>
          </cell>
          <cell r="U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</row>
        <row r="1093">
          <cell r="C1093" t="str">
            <v>A0128</v>
          </cell>
          <cell r="D1093" t="str">
            <v>PT Sedaya Multi Investama</v>
          </cell>
          <cell r="E1093" t="str">
            <v>PEB 6</v>
          </cell>
          <cell r="F1093" t="str">
            <v>91PEB 6</v>
          </cell>
          <cell r="P1093">
            <v>0</v>
          </cell>
          <cell r="U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</row>
        <row r="1094">
          <cell r="C1094" t="str">
            <v>A0128</v>
          </cell>
          <cell r="D1094" t="str">
            <v>PT Sedaya Multi Investama</v>
          </cell>
          <cell r="E1094" t="str">
            <v>PEB 7</v>
          </cell>
          <cell r="F1094" t="str">
            <v>91PEB 7</v>
          </cell>
          <cell r="G1094">
            <v>0.1</v>
          </cell>
          <cell r="I1094">
            <v>0.09</v>
          </cell>
          <cell r="J1094">
            <v>8.222583961366281</v>
          </cell>
          <cell r="K1094">
            <v>8.7381111848537749</v>
          </cell>
          <cell r="P1094">
            <v>21218</v>
          </cell>
          <cell r="Q1094">
            <v>12761.445795330588</v>
          </cell>
          <cell r="R1094">
            <v>664.29726002627888</v>
          </cell>
          <cell r="S1094">
            <v>1577.2488827895147</v>
          </cell>
          <cell r="U1094">
            <v>0</v>
          </cell>
          <cell r="W1094">
            <v>-15556</v>
          </cell>
          <cell r="X1094">
            <v>0</v>
          </cell>
          <cell r="Y1094">
            <v>0</v>
          </cell>
          <cell r="Z1094">
            <v>5662</v>
          </cell>
        </row>
        <row r="1095">
          <cell r="C1095" t="str">
            <v>A0128</v>
          </cell>
          <cell r="D1095" t="str">
            <v>PT Sedaya Multi Investama</v>
          </cell>
          <cell r="E1095" t="str">
            <v>MPP</v>
          </cell>
          <cell r="F1095" t="str">
            <v>91MPP</v>
          </cell>
          <cell r="G1095">
            <v>0.1</v>
          </cell>
          <cell r="I1095">
            <v>0.09</v>
          </cell>
          <cell r="J1095">
            <v>8.222583961366281</v>
          </cell>
          <cell r="K1095">
            <v>8.7381111848537749</v>
          </cell>
          <cell r="P1095">
            <v>0</v>
          </cell>
          <cell r="Q1095">
            <v>37546.771181165779</v>
          </cell>
          <cell r="R1095">
            <v>2135.937749080746</v>
          </cell>
          <cell r="S1095">
            <v>0</v>
          </cell>
          <cell r="U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</row>
        <row r="1096">
          <cell r="C1096" t="str">
            <v>A0128</v>
          </cell>
          <cell r="D1096" t="str">
            <v>PT Sedaya Multi Investama</v>
          </cell>
          <cell r="E1096" t="str">
            <v>ID</v>
          </cell>
          <cell r="F1096" t="str">
            <v>91ID</v>
          </cell>
          <cell r="G1096">
            <v>0.1</v>
          </cell>
          <cell r="I1096">
            <v>0.09</v>
          </cell>
          <cell r="J1096">
            <v>8.222583961366281</v>
          </cell>
          <cell r="K1096">
            <v>8.7381111848537749</v>
          </cell>
          <cell r="P1096">
            <v>4208</v>
          </cell>
          <cell r="Q1096">
            <v>54225.353034124593</v>
          </cell>
          <cell r="R1096">
            <v>2824.5548178973304</v>
          </cell>
          <cell r="S1096">
            <v>5199.2721284598492</v>
          </cell>
          <cell r="U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4208</v>
          </cell>
        </row>
        <row r="1097">
          <cell r="C1097" t="str">
            <v>A0128</v>
          </cell>
          <cell r="D1097" t="str">
            <v>PT Sedaya Multi Investama</v>
          </cell>
          <cell r="E1097" t="str">
            <v>LL</v>
          </cell>
          <cell r="F1097" t="str">
            <v>91LL</v>
          </cell>
          <cell r="G1097">
            <v>0.1</v>
          </cell>
          <cell r="I1097">
            <v>0.09</v>
          </cell>
          <cell r="J1097">
            <v>8.222583961366281</v>
          </cell>
          <cell r="K1097">
            <v>8.7381111848537749</v>
          </cell>
          <cell r="P1097">
            <v>37625</v>
          </cell>
          <cell r="Q1097">
            <v>38000.517303374501</v>
          </cell>
          <cell r="R1097">
            <v>14996.967660833841</v>
          </cell>
          <cell r="S1097">
            <v>1329.1496665696993</v>
          </cell>
          <cell r="U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37625</v>
          </cell>
        </row>
        <row r="1098">
          <cell r="C1098" t="str">
            <v>A0128</v>
          </cell>
          <cell r="D1098" t="str">
            <v>PT Sedaya Multi Investama</v>
          </cell>
          <cell r="E1098" t="str">
            <v>PMK</v>
          </cell>
          <cell r="F1098" t="str">
            <v>91PMK</v>
          </cell>
          <cell r="G1098">
            <v>0.1</v>
          </cell>
          <cell r="I1098">
            <v>0.09</v>
          </cell>
          <cell r="J1098">
            <v>8.222583961366281</v>
          </cell>
          <cell r="K1098">
            <v>8.7381111848537749</v>
          </cell>
          <cell r="P1098">
            <v>63232</v>
          </cell>
          <cell r="Q1098">
            <v>42340.499080194699</v>
          </cell>
          <cell r="R1098">
            <v>3665.6675587570257</v>
          </cell>
          <cell r="S1098">
            <v>5501</v>
          </cell>
          <cell r="U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63232</v>
          </cell>
        </row>
        <row r="1100">
          <cell r="C1100" t="str">
            <v>A0240</v>
          </cell>
          <cell r="D1100" t="str">
            <v>PT Sedaya Pratama</v>
          </cell>
          <cell r="E1100" t="str">
            <v>PEB 1</v>
          </cell>
          <cell r="F1100" t="str">
            <v>92PEB 1</v>
          </cell>
          <cell r="J1100">
            <v>0</v>
          </cell>
          <cell r="N1100">
            <v>0</v>
          </cell>
          <cell r="O1100">
            <v>0</v>
          </cell>
          <cell r="P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B1100">
            <v>0.1</v>
          </cell>
          <cell r="AC1100">
            <v>0</v>
          </cell>
          <cell r="AD1100">
            <v>0.09</v>
          </cell>
          <cell r="AE1100">
            <v>8.126189258212019</v>
          </cell>
          <cell r="AF1100">
            <v>8.7628670395515673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18111</v>
          </cell>
          <cell r="AL1100">
            <v>61013.353705934976</v>
          </cell>
          <cell r="AM1100">
            <v>3859.6938264784121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-3215</v>
          </cell>
          <cell r="AS1100">
            <v>-3073</v>
          </cell>
          <cell r="AT1100">
            <v>345</v>
          </cell>
          <cell r="AU1100">
            <v>11823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 xml:space="preserve"> 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R1100">
            <v>0.1</v>
          </cell>
          <cell r="BS1100">
            <v>0</v>
          </cell>
          <cell r="BT1100">
            <v>0.09</v>
          </cell>
          <cell r="BU1100">
            <v>8.126189258212019</v>
          </cell>
          <cell r="BV1100">
            <v>8.7628670395515673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86976</v>
          </cell>
          <cell r="CB1100">
            <v>10742.0790218533</v>
          </cell>
          <cell r="CC1100">
            <v>738.60506107089373</v>
          </cell>
          <cell r="CD1100">
            <v>3210.9956407050909</v>
          </cell>
          <cell r="CE1100">
            <v>0</v>
          </cell>
          <cell r="CF1100">
            <v>0</v>
          </cell>
          <cell r="CG1100">
            <v>0</v>
          </cell>
          <cell r="CH1100">
            <v>-10634</v>
          </cell>
          <cell r="CI1100">
            <v>-34190</v>
          </cell>
          <cell r="CJ1100">
            <v>3479</v>
          </cell>
          <cell r="CK1100">
            <v>42152</v>
          </cell>
          <cell r="CM1100">
            <v>0</v>
          </cell>
          <cell r="CN1100">
            <v>0</v>
          </cell>
          <cell r="CO1100">
            <v>0</v>
          </cell>
          <cell r="CP1100">
            <v>0</v>
          </cell>
          <cell r="CQ1100" t="str">
            <v xml:space="preserve"> </v>
          </cell>
          <cell r="CR1100">
            <v>0</v>
          </cell>
          <cell r="CS1100">
            <v>0</v>
          </cell>
          <cell r="CT1100">
            <v>0</v>
          </cell>
          <cell r="CU1100">
            <v>0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  <cell r="DD1100">
            <v>0</v>
          </cell>
          <cell r="DE1100">
            <v>0</v>
          </cell>
          <cell r="DF1100">
            <v>0</v>
          </cell>
          <cell r="DH1100">
            <v>0</v>
          </cell>
          <cell r="DI1100">
            <v>0</v>
          </cell>
          <cell r="DJ1100">
            <v>0</v>
          </cell>
          <cell r="DK1100">
            <v>0</v>
          </cell>
          <cell r="DL1100">
            <v>0</v>
          </cell>
          <cell r="DM1100">
            <v>0</v>
          </cell>
          <cell r="DN1100">
            <v>0</v>
          </cell>
          <cell r="DO1100">
            <v>0</v>
          </cell>
          <cell r="DP1100">
            <v>0</v>
          </cell>
          <cell r="DQ1100">
            <v>0</v>
          </cell>
          <cell r="DR1100">
            <v>0</v>
          </cell>
          <cell r="DS1100">
            <v>0</v>
          </cell>
          <cell r="DT1100">
            <v>0</v>
          </cell>
          <cell r="DU1100">
            <v>0</v>
          </cell>
          <cell r="DV1100">
            <v>0</v>
          </cell>
          <cell r="DW1100">
            <v>0</v>
          </cell>
          <cell r="DX1100">
            <v>0</v>
          </cell>
          <cell r="DY1100">
            <v>0</v>
          </cell>
          <cell r="DZ1100">
            <v>0</v>
          </cell>
          <cell r="EA1100">
            <v>0</v>
          </cell>
          <cell r="EC1100">
            <v>0.1</v>
          </cell>
          <cell r="ED1100">
            <v>0</v>
          </cell>
          <cell r="EE1100">
            <v>0.09</v>
          </cell>
          <cell r="EF1100">
            <v>8.126189258212019</v>
          </cell>
          <cell r="EG1100">
            <v>8.7628670395515673</v>
          </cell>
          <cell r="EH1100">
            <v>0</v>
          </cell>
          <cell r="EI1100">
            <v>0</v>
          </cell>
          <cell r="EJ1100">
            <v>0</v>
          </cell>
          <cell r="EK1100">
            <v>0</v>
          </cell>
          <cell r="EL1100">
            <v>11167</v>
          </cell>
          <cell r="EM1100">
            <v>7707.6303605350158</v>
          </cell>
          <cell r="EN1100">
            <v>476.43138219038354</v>
          </cell>
          <cell r="EO1100">
            <v>997.86696577353962</v>
          </cell>
          <cell r="EP1100">
            <v>0</v>
          </cell>
          <cell r="EQ1100">
            <v>0</v>
          </cell>
          <cell r="ER1100">
            <v>0</v>
          </cell>
          <cell r="ES1100">
            <v>-8561</v>
          </cell>
          <cell r="ET1100">
            <v>0</v>
          </cell>
          <cell r="EU1100">
            <v>0</v>
          </cell>
          <cell r="EV1100">
            <v>2606</v>
          </cell>
          <cell r="EX1100">
            <v>0</v>
          </cell>
          <cell r="EY1100">
            <v>0</v>
          </cell>
          <cell r="EZ1100">
            <v>0</v>
          </cell>
          <cell r="FA1100">
            <v>0</v>
          </cell>
          <cell r="FB1100" t="str">
            <v xml:space="preserve"> </v>
          </cell>
          <cell r="FC1100">
            <v>0</v>
          </cell>
          <cell r="FD1100">
            <v>0</v>
          </cell>
          <cell r="FE1100">
            <v>0</v>
          </cell>
          <cell r="FF1100">
            <v>0</v>
          </cell>
          <cell r="FG1100">
            <v>0</v>
          </cell>
          <cell r="FH1100">
            <v>0</v>
          </cell>
          <cell r="FI1100">
            <v>0</v>
          </cell>
          <cell r="FJ1100">
            <v>0</v>
          </cell>
          <cell r="FK1100">
            <v>0</v>
          </cell>
          <cell r="FL1100">
            <v>0</v>
          </cell>
          <cell r="FM1100">
            <v>0</v>
          </cell>
          <cell r="FN1100">
            <v>0</v>
          </cell>
          <cell r="FO1100">
            <v>0</v>
          </cell>
          <cell r="FP1100">
            <v>0</v>
          </cell>
          <cell r="FQ1100">
            <v>0</v>
          </cell>
          <cell r="FS1100">
            <v>0.1</v>
          </cell>
          <cell r="FT1100">
            <v>0</v>
          </cell>
          <cell r="FU1100">
            <v>0.09</v>
          </cell>
          <cell r="FV1100">
            <v>8.126189258212019</v>
          </cell>
          <cell r="FW1100">
            <v>8.7628670395515673</v>
          </cell>
          <cell r="FX1100">
            <v>0</v>
          </cell>
          <cell r="FY1100">
            <v>0</v>
          </cell>
          <cell r="FZ1100">
            <v>0</v>
          </cell>
          <cell r="GA1100">
            <v>0</v>
          </cell>
          <cell r="GB1100">
            <v>2477</v>
          </cell>
          <cell r="GC1100">
            <v>31454.773827054189</v>
          </cell>
          <cell r="GD1100">
            <v>1971.5334426547597</v>
          </cell>
          <cell r="GE1100">
            <v>3186.6484950419417</v>
          </cell>
          <cell r="GF1100">
            <v>0</v>
          </cell>
          <cell r="GG1100">
            <v>0</v>
          </cell>
          <cell r="GH1100">
            <v>0</v>
          </cell>
          <cell r="GI1100">
            <v>0</v>
          </cell>
          <cell r="GJ1100">
            <v>0</v>
          </cell>
          <cell r="GK1100">
            <v>0</v>
          </cell>
          <cell r="GL1100">
            <v>2477</v>
          </cell>
          <cell r="GN1100">
            <v>0.1</v>
          </cell>
          <cell r="GO1100">
            <v>0</v>
          </cell>
          <cell r="GP1100">
            <v>0.09</v>
          </cell>
          <cell r="GQ1100">
            <v>8.126189258212019</v>
          </cell>
          <cell r="GR1100">
            <v>8.7628670395515673</v>
          </cell>
          <cell r="GS1100">
            <v>0</v>
          </cell>
          <cell r="GT1100">
            <v>0</v>
          </cell>
          <cell r="GU1100">
            <v>0</v>
          </cell>
          <cell r="GV1100">
            <v>0</v>
          </cell>
          <cell r="GW1100">
            <v>32478</v>
          </cell>
          <cell r="GX1100">
            <v>34039.743007343212</v>
          </cell>
          <cell r="GY1100">
            <v>10480.482977916819</v>
          </cell>
          <cell r="GZ1100">
            <v>8944.0760848099744</v>
          </cell>
          <cell r="HA1100">
            <v>0</v>
          </cell>
          <cell r="HB1100">
            <v>0</v>
          </cell>
          <cell r="HC1100">
            <v>0</v>
          </cell>
          <cell r="HD1100">
            <v>0</v>
          </cell>
          <cell r="HE1100">
            <v>0</v>
          </cell>
          <cell r="HF1100">
            <v>0</v>
          </cell>
          <cell r="HG1100">
            <v>32478</v>
          </cell>
          <cell r="HI1100">
            <v>0.1</v>
          </cell>
          <cell r="HJ1100">
            <v>0</v>
          </cell>
          <cell r="HK1100">
            <v>0.09</v>
          </cell>
          <cell r="HL1100">
            <v>8.126189258212019</v>
          </cell>
          <cell r="HM1100">
            <v>8.7628670395515673</v>
          </cell>
          <cell r="HN1100">
            <v>0</v>
          </cell>
          <cell r="HO1100">
            <v>0</v>
          </cell>
          <cell r="HP1100">
            <v>0</v>
          </cell>
          <cell r="HQ1100">
            <v>0</v>
          </cell>
          <cell r="HR1100">
            <v>88378</v>
          </cell>
          <cell r="HS1100">
            <v>126514.79194800273</v>
          </cell>
          <cell r="HT1100">
            <v>12050.711904670221</v>
          </cell>
          <cell r="HU1100">
            <v>0</v>
          </cell>
          <cell r="HV1100">
            <v>0</v>
          </cell>
          <cell r="HW1100">
            <v>0</v>
          </cell>
          <cell r="HX1100">
            <v>0</v>
          </cell>
          <cell r="HY1100">
            <v>0</v>
          </cell>
          <cell r="HZ1100">
            <v>0</v>
          </cell>
          <cell r="IA1100">
            <v>0</v>
          </cell>
          <cell r="IB1100">
            <v>88378</v>
          </cell>
        </row>
        <row r="1101">
          <cell r="C1101" t="str">
            <v>A0240</v>
          </cell>
          <cell r="D1101" t="str">
            <v>PT Sedaya Pratama</v>
          </cell>
          <cell r="E1101" t="str">
            <v>PEB 2</v>
          </cell>
          <cell r="F1101" t="str">
            <v>92PEB 2</v>
          </cell>
          <cell r="G1101">
            <v>0.1</v>
          </cell>
          <cell r="I1101">
            <v>0.09</v>
          </cell>
          <cell r="J1101">
            <v>8.126189258212019</v>
          </cell>
          <cell r="K1101">
            <v>8.7628670395515673</v>
          </cell>
          <cell r="P1101">
            <v>18111</v>
          </cell>
          <cell r="Q1101">
            <v>61013.353705934976</v>
          </cell>
          <cell r="R1101">
            <v>3859.6938264784121</v>
          </cell>
          <cell r="S1101">
            <v>0</v>
          </cell>
          <cell r="U1101">
            <v>0</v>
          </cell>
          <cell r="W1101">
            <v>-3215</v>
          </cell>
          <cell r="X1101">
            <v>-3073</v>
          </cell>
          <cell r="Y1101">
            <v>345</v>
          </cell>
          <cell r="Z1101">
            <v>11823</v>
          </cell>
        </row>
        <row r="1102">
          <cell r="C1102" t="str">
            <v>A0240</v>
          </cell>
          <cell r="D1102" t="str">
            <v>PT Sedaya Pratama</v>
          </cell>
          <cell r="E1102" t="str">
            <v>PEB 3</v>
          </cell>
          <cell r="F1102" t="str">
            <v>92PEB 3</v>
          </cell>
          <cell r="K1102" t="str">
            <v xml:space="preserve"> </v>
          </cell>
          <cell r="P1102">
            <v>0</v>
          </cell>
          <cell r="U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</row>
        <row r="1103">
          <cell r="C1103" t="str">
            <v>A0240</v>
          </cell>
          <cell r="D1103" t="str">
            <v>PT Sedaya Pratama</v>
          </cell>
          <cell r="E1103" t="str">
            <v>PEB 4</v>
          </cell>
          <cell r="F1103" t="str">
            <v>92PEB 4</v>
          </cell>
          <cell r="G1103">
            <v>0.1</v>
          </cell>
          <cell r="I1103">
            <v>0.09</v>
          </cell>
          <cell r="J1103">
            <v>8.126189258212019</v>
          </cell>
          <cell r="K1103">
            <v>8.7628670395515673</v>
          </cell>
          <cell r="P1103">
            <v>86976</v>
          </cell>
          <cell r="Q1103">
            <v>10742.0790218533</v>
          </cell>
          <cell r="R1103">
            <v>738.60506107089373</v>
          </cell>
          <cell r="S1103">
            <v>3210.9956407050909</v>
          </cell>
          <cell r="U1103">
            <v>0</v>
          </cell>
          <cell r="W1103">
            <v>-10634</v>
          </cell>
          <cell r="X1103">
            <v>-34190</v>
          </cell>
          <cell r="Y1103">
            <v>3479</v>
          </cell>
          <cell r="Z1103">
            <v>42152</v>
          </cell>
        </row>
        <row r="1104">
          <cell r="C1104" t="str">
            <v>A0240</v>
          </cell>
          <cell r="D1104" t="str">
            <v>PT Sedaya Pratama</v>
          </cell>
          <cell r="E1104" t="str">
            <v>PEB 5</v>
          </cell>
          <cell r="F1104" t="str">
            <v>92PEB 5</v>
          </cell>
          <cell r="J1104">
            <v>0</v>
          </cell>
          <cell r="K1104" t="str">
            <v xml:space="preserve"> </v>
          </cell>
          <cell r="P1104">
            <v>0</v>
          </cell>
          <cell r="U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</row>
        <row r="1105">
          <cell r="C1105" t="str">
            <v>A0240</v>
          </cell>
          <cell r="D1105" t="str">
            <v>PT Sedaya Pratama</v>
          </cell>
          <cell r="E1105" t="str">
            <v>PEB 6</v>
          </cell>
          <cell r="F1105" t="str">
            <v>92PEB 6</v>
          </cell>
          <cell r="J1105">
            <v>0</v>
          </cell>
          <cell r="P1105">
            <v>0</v>
          </cell>
          <cell r="U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</row>
        <row r="1106">
          <cell r="C1106" t="str">
            <v>A0240</v>
          </cell>
          <cell r="D1106" t="str">
            <v>PT Sedaya Pratama</v>
          </cell>
          <cell r="E1106" t="str">
            <v>PEB 7</v>
          </cell>
          <cell r="F1106" t="str">
            <v>92PEB 7</v>
          </cell>
          <cell r="G1106">
            <v>0.1</v>
          </cell>
          <cell r="I1106">
            <v>0.09</v>
          </cell>
          <cell r="J1106">
            <v>8.126189258212019</v>
          </cell>
          <cell r="K1106">
            <v>8.7628670395515673</v>
          </cell>
          <cell r="P1106">
            <v>11167</v>
          </cell>
          <cell r="Q1106">
            <v>7707.6303605350158</v>
          </cell>
          <cell r="R1106">
            <v>476.43138219038354</v>
          </cell>
          <cell r="S1106">
            <v>997.86696577353962</v>
          </cell>
          <cell r="U1106">
            <v>0</v>
          </cell>
          <cell r="W1106">
            <v>-8561</v>
          </cell>
          <cell r="X1106">
            <v>0</v>
          </cell>
          <cell r="Y1106">
            <v>0</v>
          </cell>
          <cell r="Z1106">
            <v>2606</v>
          </cell>
        </row>
        <row r="1107">
          <cell r="C1107" t="str">
            <v>A0240</v>
          </cell>
          <cell r="D1107" t="str">
            <v>PT Sedaya Pratama</v>
          </cell>
          <cell r="E1107" t="str">
            <v>MPP</v>
          </cell>
          <cell r="F1107" t="str">
            <v>92MPP</v>
          </cell>
          <cell r="K1107" t="str">
            <v xml:space="preserve"> </v>
          </cell>
          <cell r="P1107">
            <v>0</v>
          </cell>
          <cell r="U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</row>
        <row r="1108">
          <cell r="C1108" t="str">
            <v>A0240</v>
          </cell>
          <cell r="D1108" t="str">
            <v>PT Sedaya Pratama</v>
          </cell>
          <cell r="E1108" t="str">
            <v>ID</v>
          </cell>
          <cell r="F1108" t="str">
            <v>92ID</v>
          </cell>
          <cell r="G1108">
            <v>0.1</v>
          </cell>
          <cell r="I1108">
            <v>0.09</v>
          </cell>
          <cell r="J1108">
            <v>8.126189258212019</v>
          </cell>
          <cell r="K1108">
            <v>8.7628670395515673</v>
          </cell>
          <cell r="P1108">
            <v>2477</v>
          </cell>
          <cell r="Q1108">
            <v>31454.773827054189</v>
          </cell>
          <cell r="R1108">
            <v>1971.5334426547597</v>
          </cell>
          <cell r="S1108">
            <v>3186.6484950419417</v>
          </cell>
          <cell r="U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2477</v>
          </cell>
        </row>
        <row r="1109">
          <cell r="C1109" t="str">
            <v>A0240</v>
          </cell>
          <cell r="D1109" t="str">
            <v>PT Sedaya Pratama</v>
          </cell>
          <cell r="E1109" t="str">
            <v>LL</v>
          </cell>
          <cell r="F1109" t="str">
            <v>92LL</v>
          </cell>
          <cell r="G1109">
            <v>0.1</v>
          </cell>
          <cell r="I1109">
            <v>0.09</v>
          </cell>
          <cell r="J1109">
            <v>8.126189258212019</v>
          </cell>
          <cell r="K1109">
            <v>8.7628670395515673</v>
          </cell>
          <cell r="P1109">
            <v>32478</v>
          </cell>
          <cell r="Q1109">
            <v>34039.743007343212</v>
          </cell>
          <cell r="R1109">
            <v>10480.482977916819</v>
          </cell>
          <cell r="S1109">
            <v>8944.0760848099744</v>
          </cell>
          <cell r="U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32478</v>
          </cell>
        </row>
        <row r="1110">
          <cell r="C1110" t="str">
            <v>A0240</v>
          </cell>
          <cell r="D1110" t="str">
            <v>PT Sedaya Pratama</v>
          </cell>
          <cell r="E1110" t="str">
            <v>PMK</v>
          </cell>
          <cell r="F1110" t="str">
            <v>92PMK</v>
          </cell>
          <cell r="G1110">
            <v>0.1</v>
          </cell>
          <cell r="I1110">
            <v>0.09</v>
          </cell>
          <cell r="J1110">
            <v>8.126189258212019</v>
          </cell>
          <cell r="K1110">
            <v>8.7628670395515673</v>
          </cell>
          <cell r="P1110">
            <v>88378</v>
          </cell>
          <cell r="Q1110">
            <v>126514.79194800273</v>
          </cell>
          <cell r="R1110">
            <v>12050.711904670221</v>
          </cell>
          <cell r="S1110">
            <v>0</v>
          </cell>
          <cell r="U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88378</v>
          </cell>
        </row>
        <row r="1112">
          <cell r="C1112" t="str">
            <v>A0209</v>
          </cell>
          <cell r="D1112" t="str">
            <v>PT Serasi Auto Raya</v>
          </cell>
          <cell r="E1112" t="str">
            <v>PEB 1</v>
          </cell>
          <cell r="F1112" t="str">
            <v>93PEB 1</v>
          </cell>
          <cell r="G1112">
            <v>0.1</v>
          </cell>
          <cell r="H1112">
            <v>0.1</v>
          </cell>
          <cell r="I1112">
            <v>0.09</v>
          </cell>
          <cell r="J1112">
            <v>8.2942925424247083</v>
          </cell>
          <cell r="K1112">
            <v>9.0246361069730803</v>
          </cell>
          <cell r="L1112">
            <v>32747</v>
          </cell>
          <cell r="N1112">
            <v>1085007.5016000001</v>
          </cell>
          <cell r="O1112">
            <v>155688.576</v>
          </cell>
          <cell r="P1112">
            <v>7568626</v>
          </cell>
          <cell r="Q1112">
            <v>14310015.643674312</v>
          </cell>
          <cell r="R1112">
            <v>650129.16183360328</v>
          </cell>
          <cell r="S1112">
            <v>185419.85503667625</v>
          </cell>
          <cell r="U1112">
            <v>-5770526</v>
          </cell>
          <cell r="V1112">
            <v>11379779.192533335</v>
          </cell>
          <cell r="W1112">
            <v>490100</v>
          </cell>
          <cell r="X1112">
            <v>0</v>
          </cell>
          <cell r="Y1112">
            <v>0</v>
          </cell>
          <cell r="Z1112">
            <v>2288200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W1112">
            <v>0.1</v>
          </cell>
          <cell r="AX1112">
            <v>0</v>
          </cell>
          <cell r="AY1112">
            <v>0.09</v>
          </cell>
          <cell r="AZ1112">
            <v>8.2942925424247083</v>
          </cell>
          <cell r="BA1112">
            <v>9.0246361069730803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57165</v>
          </cell>
          <cell r="BG1112">
            <v>49173.640509344688</v>
          </cell>
          <cell r="BH1112">
            <v>2570.4806061055447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139552</v>
          </cell>
          <cell r="BN1112">
            <v>0</v>
          </cell>
          <cell r="BO1112">
            <v>0</v>
          </cell>
          <cell r="BP1112">
            <v>196717</v>
          </cell>
          <cell r="BR1112">
            <v>0.1</v>
          </cell>
          <cell r="BS1112">
            <v>0</v>
          </cell>
          <cell r="BT1112">
            <v>0.09</v>
          </cell>
          <cell r="BU1112">
            <v>9.8872499960588431</v>
          </cell>
          <cell r="BV1112">
            <v>19.336068825903585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6500232</v>
          </cell>
          <cell r="CB1112">
            <v>6704235.1491937554</v>
          </cell>
          <cell r="CC1112">
            <v>855061.00431805477</v>
          </cell>
          <cell r="CD1112">
            <v>289763.76742640982</v>
          </cell>
          <cell r="CE1112">
            <v>0</v>
          </cell>
          <cell r="CF1112">
            <v>0</v>
          </cell>
          <cell r="CG1112">
            <v>0</v>
          </cell>
          <cell r="CH1112">
            <v>-2651056</v>
          </cell>
          <cell r="CI1112">
            <v>-961122</v>
          </cell>
          <cell r="CJ1112">
            <v>50303</v>
          </cell>
          <cell r="CK1112">
            <v>2888054</v>
          </cell>
          <cell r="CM1112">
            <v>0</v>
          </cell>
          <cell r="CN1112">
            <v>0</v>
          </cell>
          <cell r="CO1112">
            <v>0</v>
          </cell>
          <cell r="CP1112">
            <v>0</v>
          </cell>
          <cell r="CQ1112">
            <v>0</v>
          </cell>
          <cell r="CR1112">
            <v>0</v>
          </cell>
          <cell r="CS1112">
            <v>0</v>
          </cell>
          <cell r="CT1112">
            <v>0</v>
          </cell>
          <cell r="CU1112">
            <v>0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  <cell r="DD1112">
            <v>0</v>
          </cell>
          <cell r="DE1112">
            <v>0</v>
          </cell>
          <cell r="DF1112">
            <v>0</v>
          </cell>
          <cell r="DH1112">
            <v>0</v>
          </cell>
          <cell r="DI1112">
            <v>0</v>
          </cell>
          <cell r="DJ1112">
            <v>0</v>
          </cell>
          <cell r="DK1112">
            <v>0</v>
          </cell>
          <cell r="DL1112">
            <v>0</v>
          </cell>
          <cell r="DM1112">
            <v>0</v>
          </cell>
          <cell r="DN1112">
            <v>0</v>
          </cell>
          <cell r="DO1112">
            <v>0</v>
          </cell>
          <cell r="DP1112">
            <v>0</v>
          </cell>
          <cell r="DQ1112">
            <v>0</v>
          </cell>
          <cell r="DR1112">
            <v>0</v>
          </cell>
          <cell r="DS1112">
            <v>0</v>
          </cell>
          <cell r="DT1112">
            <v>0</v>
          </cell>
          <cell r="DU1112">
            <v>0</v>
          </cell>
          <cell r="DV1112">
            <v>0</v>
          </cell>
          <cell r="DW1112">
            <v>0</v>
          </cell>
          <cell r="DX1112">
            <v>0</v>
          </cell>
          <cell r="DY1112">
            <v>0</v>
          </cell>
          <cell r="DZ1112">
            <v>0</v>
          </cell>
          <cell r="EA1112">
            <v>0</v>
          </cell>
          <cell r="EC1112">
            <v>0.1</v>
          </cell>
          <cell r="ED1112">
            <v>0</v>
          </cell>
          <cell r="EE1112">
            <v>0.09</v>
          </cell>
          <cell r="EF1112">
            <v>10.216331112269216</v>
          </cell>
          <cell r="EG1112">
            <v>18.725523467545852</v>
          </cell>
          <cell r="EH1112">
            <v>0</v>
          </cell>
          <cell r="EI1112">
            <v>0</v>
          </cell>
          <cell r="EJ1112">
            <v>0</v>
          </cell>
          <cell r="EK1112">
            <v>0</v>
          </cell>
          <cell r="EL1112">
            <v>640538</v>
          </cell>
          <cell r="EM1112">
            <v>1145610.6323465777</v>
          </cell>
          <cell r="EN1112">
            <v>151366.09932500153</v>
          </cell>
          <cell r="EO1112">
            <v>125654.55629394147</v>
          </cell>
          <cell r="EP1112">
            <v>0</v>
          </cell>
          <cell r="EQ1112">
            <v>0</v>
          </cell>
          <cell r="ER1112">
            <v>0</v>
          </cell>
          <cell r="ES1112">
            <v>-649082</v>
          </cell>
          <cell r="ET1112">
            <v>0</v>
          </cell>
          <cell r="EU1112">
            <v>0</v>
          </cell>
          <cell r="EV1112">
            <v>-8544</v>
          </cell>
          <cell r="EX1112">
            <v>0</v>
          </cell>
          <cell r="EY1112">
            <v>0</v>
          </cell>
          <cell r="EZ1112">
            <v>0</v>
          </cell>
          <cell r="FA1112">
            <v>0</v>
          </cell>
          <cell r="FB1112">
            <v>0</v>
          </cell>
          <cell r="FC1112">
            <v>0</v>
          </cell>
          <cell r="FD1112">
            <v>0</v>
          </cell>
          <cell r="FE1112">
            <v>0</v>
          </cell>
          <cell r="FF1112">
            <v>0</v>
          </cell>
          <cell r="FG1112">
            <v>0</v>
          </cell>
          <cell r="FH1112">
            <v>0</v>
          </cell>
          <cell r="FI1112">
            <v>0</v>
          </cell>
          <cell r="FJ1112">
            <v>0</v>
          </cell>
          <cell r="FK1112">
            <v>0</v>
          </cell>
          <cell r="FL1112">
            <v>0</v>
          </cell>
          <cell r="FM1112">
            <v>0</v>
          </cell>
          <cell r="FN1112">
            <v>0</v>
          </cell>
          <cell r="FO1112">
            <v>0</v>
          </cell>
          <cell r="FP1112">
            <v>0</v>
          </cell>
          <cell r="FQ1112">
            <v>0</v>
          </cell>
          <cell r="FS1112">
            <v>0.1</v>
          </cell>
          <cell r="FT1112">
            <v>0</v>
          </cell>
          <cell r="FU1112">
            <v>0.09</v>
          </cell>
          <cell r="FV1112">
            <v>10.216331112269216</v>
          </cell>
          <cell r="FW1112">
            <v>18.725523467545852</v>
          </cell>
          <cell r="FX1112">
            <v>0</v>
          </cell>
          <cell r="FY1112">
            <v>0</v>
          </cell>
          <cell r="FZ1112">
            <v>0</v>
          </cell>
          <cell r="GA1112">
            <v>0</v>
          </cell>
          <cell r="GB1112">
            <v>117857</v>
          </cell>
          <cell r="GC1112">
            <v>2875643.386026484</v>
          </cell>
          <cell r="GD1112">
            <v>317088.64765551698</v>
          </cell>
          <cell r="GE1112">
            <v>205133.94959614208</v>
          </cell>
          <cell r="GF1112">
            <v>0</v>
          </cell>
          <cell r="GG1112">
            <v>0</v>
          </cell>
          <cell r="GH1112">
            <v>0</v>
          </cell>
          <cell r="GI1112">
            <v>0</v>
          </cell>
          <cell r="GJ1112">
            <v>0</v>
          </cell>
          <cell r="GK1112">
            <v>0</v>
          </cell>
          <cell r="GL1112">
            <v>117857</v>
          </cell>
          <cell r="GN1112">
            <v>0.1</v>
          </cell>
          <cell r="GO1112">
            <v>0</v>
          </cell>
          <cell r="GP1112">
            <v>0.09</v>
          </cell>
          <cell r="GQ1112">
            <v>10.216331112269216</v>
          </cell>
          <cell r="GR1112">
            <v>18.725523467545852</v>
          </cell>
          <cell r="GS1112">
            <v>0</v>
          </cell>
          <cell r="GT1112">
            <v>0</v>
          </cell>
          <cell r="GU1112">
            <v>0</v>
          </cell>
          <cell r="GV1112">
            <v>0</v>
          </cell>
          <cell r="GW1112">
            <v>3124514</v>
          </cell>
          <cell r="GX1112">
            <v>3560882</v>
          </cell>
          <cell r="GY1112">
            <v>1271999</v>
          </cell>
          <cell r="GZ1112">
            <v>1433299.7432986272</v>
          </cell>
          <cell r="HA1112">
            <v>0</v>
          </cell>
          <cell r="HB1112">
            <v>0</v>
          </cell>
          <cell r="HC1112">
            <v>0</v>
          </cell>
          <cell r="HD1112">
            <v>0</v>
          </cell>
          <cell r="HE1112">
            <v>0</v>
          </cell>
          <cell r="HF1112">
            <v>0</v>
          </cell>
          <cell r="HG1112">
            <v>3124514</v>
          </cell>
          <cell r="HI1112">
            <v>0.1</v>
          </cell>
          <cell r="HJ1112">
            <v>0</v>
          </cell>
          <cell r="HK1112">
            <v>0.09</v>
          </cell>
          <cell r="HL1112">
            <v>10.216331112269216</v>
          </cell>
          <cell r="HM1112">
            <v>18.725523467545852</v>
          </cell>
          <cell r="HN1112">
            <v>0</v>
          </cell>
          <cell r="HO1112">
            <v>0</v>
          </cell>
          <cell r="HP1112">
            <v>0</v>
          </cell>
          <cell r="HQ1112">
            <v>0</v>
          </cell>
          <cell r="HR1112">
            <v>4505561</v>
          </cell>
          <cell r="HS1112">
            <v>11177695.404785531</v>
          </cell>
          <cell r="HT1112">
            <v>1581456.8595734991</v>
          </cell>
          <cell r="HU1112">
            <v>711900</v>
          </cell>
          <cell r="HV1112">
            <v>0</v>
          </cell>
          <cell r="HW1112">
            <v>0</v>
          </cell>
          <cell r="HX1112">
            <v>0</v>
          </cell>
          <cell r="HY1112">
            <v>0</v>
          </cell>
          <cell r="HZ1112">
            <v>0</v>
          </cell>
          <cell r="IA1112">
            <v>0</v>
          </cell>
          <cell r="IB1112">
            <v>4505561</v>
          </cell>
        </row>
        <row r="1113">
          <cell r="C1113" t="str">
            <v>A0209</v>
          </cell>
          <cell r="D1113" t="str">
            <v>PT Serasi Auto Raya</v>
          </cell>
          <cell r="E1113" t="str">
            <v>PEB 2</v>
          </cell>
          <cell r="F1113" t="str">
            <v>93PEB 2</v>
          </cell>
          <cell r="P1113">
            <v>0</v>
          </cell>
          <cell r="U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</row>
        <row r="1114">
          <cell r="C1114" t="str">
            <v>A0209</v>
          </cell>
          <cell r="D1114" t="str">
            <v>PT Serasi Auto Raya</v>
          </cell>
          <cell r="E1114" t="str">
            <v>PEB 3</v>
          </cell>
          <cell r="F1114" t="str">
            <v>93PEB 3</v>
          </cell>
          <cell r="G1114">
            <v>0.1</v>
          </cell>
          <cell r="I1114">
            <v>0.09</v>
          </cell>
          <cell r="J1114">
            <v>8.2942925424247083</v>
          </cell>
          <cell r="K1114">
            <v>9.0246361069730803</v>
          </cell>
          <cell r="P1114">
            <v>57165</v>
          </cell>
          <cell r="Q1114">
            <v>49173.640509344688</v>
          </cell>
          <cell r="R1114">
            <v>2570.4806061055447</v>
          </cell>
          <cell r="S1114">
            <v>0</v>
          </cell>
          <cell r="U1114">
            <v>0</v>
          </cell>
          <cell r="W1114">
            <v>139552</v>
          </cell>
          <cell r="X1114">
            <v>0</v>
          </cell>
          <cell r="Y1114">
            <v>0</v>
          </cell>
          <cell r="Z1114">
            <v>196717</v>
          </cell>
        </row>
        <row r="1115">
          <cell r="C1115" t="str">
            <v>A0209</v>
          </cell>
          <cell r="D1115" t="str">
            <v>PT Serasi Auto Raya</v>
          </cell>
          <cell r="E1115" t="str">
            <v>PEB 4</v>
          </cell>
          <cell r="F1115" t="str">
            <v>93PEB 4</v>
          </cell>
          <cell r="G1115">
            <v>0.1</v>
          </cell>
          <cell r="I1115">
            <v>0.09</v>
          </cell>
          <cell r="J1115">
            <v>9.8872499960588431</v>
          </cell>
          <cell r="K1115">
            <v>19.336068825903585</v>
          </cell>
          <cell r="P1115">
            <v>6500232</v>
          </cell>
          <cell r="Q1115">
            <v>6704235.1491937554</v>
          </cell>
          <cell r="R1115">
            <v>855061.00431805477</v>
          </cell>
          <cell r="S1115">
            <v>289763.76742640982</v>
          </cell>
          <cell r="U1115">
            <v>0</v>
          </cell>
          <cell r="W1115">
            <v>-2651056</v>
          </cell>
          <cell r="X1115">
            <v>-961122</v>
          </cell>
          <cell r="Y1115">
            <v>50303</v>
          </cell>
          <cell r="Z1115">
            <v>2888054</v>
          </cell>
        </row>
        <row r="1116">
          <cell r="C1116" t="str">
            <v>A0209</v>
          </cell>
          <cell r="D1116" t="str">
            <v>PT Serasi Auto Raya</v>
          </cell>
          <cell r="E1116" t="str">
            <v>PEB 5</v>
          </cell>
          <cell r="F1116" t="str">
            <v>93PEB 5</v>
          </cell>
          <cell r="P1116">
            <v>0</v>
          </cell>
          <cell r="U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</row>
        <row r="1117">
          <cell r="C1117" t="str">
            <v>A0209</v>
          </cell>
          <cell r="D1117" t="str">
            <v>PT Serasi Auto Raya</v>
          </cell>
          <cell r="E1117" t="str">
            <v>PEB 6</v>
          </cell>
          <cell r="F1117" t="str">
            <v>93PEB 6</v>
          </cell>
          <cell r="P1117">
            <v>0</v>
          </cell>
          <cell r="U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</row>
        <row r="1118">
          <cell r="C1118" t="str">
            <v>A0209</v>
          </cell>
          <cell r="D1118" t="str">
            <v>PT Serasi Auto Raya</v>
          </cell>
          <cell r="E1118" t="str">
            <v>PEB 7</v>
          </cell>
          <cell r="F1118" t="str">
            <v>93PEB 7</v>
          </cell>
          <cell r="G1118">
            <v>0.1</v>
          </cell>
          <cell r="I1118">
            <v>0.09</v>
          </cell>
          <cell r="J1118">
            <v>10.216331112269216</v>
          </cell>
          <cell r="K1118">
            <v>18.725523467545852</v>
          </cell>
          <cell r="P1118">
            <v>640538</v>
          </cell>
          <cell r="Q1118">
            <v>1145610.6323465777</v>
          </cell>
          <cell r="R1118">
            <v>151366.09932500153</v>
          </cell>
          <cell r="S1118">
            <v>125654.55629394147</v>
          </cell>
          <cell r="U1118">
            <v>0</v>
          </cell>
          <cell r="W1118">
            <v>-649082</v>
          </cell>
          <cell r="X1118">
            <v>0</v>
          </cell>
          <cell r="Y1118">
            <v>0</v>
          </cell>
          <cell r="Z1118">
            <v>-8544</v>
          </cell>
        </row>
        <row r="1119">
          <cell r="C1119" t="str">
            <v>A0209</v>
          </cell>
          <cell r="D1119" t="str">
            <v>PT Serasi Auto Raya</v>
          </cell>
          <cell r="E1119" t="str">
            <v>MPP</v>
          </cell>
          <cell r="F1119" t="str">
            <v>93MPP</v>
          </cell>
          <cell r="P1119">
            <v>0</v>
          </cell>
          <cell r="U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</row>
        <row r="1120">
          <cell r="C1120" t="str">
            <v>A0209</v>
          </cell>
          <cell r="D1120" t="str">
            <v>PT Serasi Auto Raya</v>
          </cell>
          <cell r="E1120" t="str">
            <v>ID</v>
          </cell>
          <cell r="F1120" t="str">
            <v>93ID</v>
          </cell>
          <cell r="G1120">
            <v>0.1</v>
          </cell>
          <cell r="I1120">
            <v>0.09</v>
          </cell>
          <cell r="J1120">
            <v>10.216331112269216</v>
          </cell>
          <cell r="K1120">
            <v>18.725523467545852</v>
          </cell>
          <cell r="P1120">
            <v>117857</v>
          </cell>
          <cell r="Q1120">
            <v>2875643.386026484</v>
          </cell>
          <cell r="R1120">
            <v>317088.64765551698</v>
          </cell>
          <cell r="S1120">
            <v>205133.94959614208</v>
          </cell>
          <cell r="U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117857</v>
          </cell>
        </row>
        <row r="1121">
          <cell r="C1121" t="str">
            <v>A0209</v>
          </cell>
          <cell r="D1121" t="str">
            <v>PT Serasi Auto Raya</v>
          </cell>
          <cell r="E1121" t="str">
            <v>LL</v>
          </cell>
          <cell r="F1121" t="str">
            <v>93LL</v>
          </cell>
          <cell r="G1121">
            <v>0.1</v>
          </cell>
          <cell r="I1121">
            <v>0.09</v>
          </cell>
          <cell r="J1121">
            <v>10.216331112269216</v>
          </cell>
          <cell r="K1121">
            <v>18.725523467545852</v>
          </cell>
          <cell r="P1121">
            <v>3124514</v>
          </cell>
          <cell r="Q1121">
            <v>3560882</v>
          </cell>
          <cell r="R1121">
            <v>1271999</v>
          </cell>
          <cell r="S1121">
            <v>1433299.7432986272</v>
          </cell>
          <cell r="U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3124514</v>
          </cell>
        </row>
        <row r="1122">
          <cell r="C1122" t="str">
            <v>A0209</v>
          </cell>
          <cell r="D1122" t="str">
            <v>PT Serasi Auto Raya</v>
          </cell>
          <cell r="E1122" t="str">
            <v>PMK</v>
          </cell>
          <cell r="F1122" t="str">
            <v>93PMK</v>
          </cell>
          <cell r="G1122">
            <v>0.1</v>
          </cell>
          <cell r="I1122">
            <v>0.09</v>
          </cell>
          <cell r="J1122">
            <v>10.216331112269216</v>
          </cell>
          <cell r="K1122">
            <v>18.725523467545852</v>
          </cell>
          <cell r="P1122">
            <v>4505561</v>
          </cell>
          <cell r="Q1122">
            <v>11177695.404785531</v>
          </cell>
          <cell r="R1122">
            <v>1581456.8595734991</v>
          </cell>
          <cell r="S1122">
            <v>711900</v>
          </cell>
          <cell r="U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4505561</v>
          </cell>
        </row>
        <row r="1124">
          <cell r="C1124" t="str">
            <v>A0373</v>
          </cell>
          <cell r="D1124" t="str">
            <v>PT Serasi Transportasi Nusantara</v>
          </cell>
          <cell r="E1124" t="str">
            <v>PEB 1</v>
          </cell>
          <cell r="F1124" t="str">
            <v>94PEB 1</v>
          </cell>
          <cell r="O1124">
            <v>0</v>
          </cell>
          <cell r="P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R1124">
            <v>0.1</v>
          </cell>
          <cell r="BS1124">
            <v>0</v>
          </cell>
          <cell r="BT1124">
            <v>0.09</v>
          </cell>
          <cell r="BU1124">
            <v>9.9739875501613025</v>
          </cell>
          <cell r="BV1124">
            <v>19.209580958215163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72024</v>
          </cell>
          <cell r="CB1124">
            <v>319895.68289926794</v>
          </cell>
          <cell r="CC1124">
            <v>73487.479308583541</v>
          </cell>
          <cell r="CD1124">
            <v>2323.7879923500814</v>
          </cell>
          <cell r="CE1124">
            <v>0</v>
          </cell>
          <cell r="CF1124">
            <v>0</v>
          </cell>
          <cell r="CG1124">
            <v>0</v>
          </cell>
          <cell r="CH1124">
            <v>-56673</v>
          </cell>
          <cell r="CI1124">
            <v>0</v>
          </cell>
          <cell r="CJ1124">
            <v>0</v>
          </cell>
          <cell r="CK1124">
            <v>15351</v>
          </cell>
          <cell r="CM1124">
            <v>0.1</v>
          </cell>
          <cell r="CN1124">
            <v>0</v>
          </cell>
          <cell r="CO1124">
            <v>0.09</v>
          </cell>
          <cell r="CP1124">
            <v>9.534458486142384</v>
          </cell>
          <cell r="CQ1124">
            <v>0</v>
          </cell>
          <cell r="CR1124">
            <v>0</v>
          </cell>
          <cell r="CS1124">
            <v>0</v>
          </cell>
          <cell r="CT1124">
            <v>0</v>
          </cell>
          <cell r="CU1124">
            <v>0</v>
          </cell>
          <cell r="CV1124">
            <v>28634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19323</v>
          </cell>
          <cell r="DD1124">
            <v>0</v>
          </cell>
          <cell r="DE1124">
            <v>0</v>
          </cell>
          <cell r="DF1124">
            <v>47957</v>
          </cell>
          <cell r="DH1124">
            <v>0</v>
          </cell>
          <cell r="DI1124">
            <v>0</v>
          </cell>
          <cell r="DJ1124">
            <v>0</v>
          </cell>
          <cell r="DK1124">
            <v>0</v>
          </cell>
          <cell r="DL1124">
            <v>0</v>
          </cell>
          <cell r="DM1124">
            <v>0</v>
          </cell>
          <cell r="DN1124">
            <v>0</v>
          </cell>
          <cell r="DO1124">
            <v>0</v>
          </cell>
          <cell r="DP1124">
            <v>0</v>
          </cell>
          <cell r="DQ1124">
            <v>0</v>
          </cell>
          <cell r="DR1124">
            <v>0</v>
          </cell>
          <cell r="DS1124">
            <v>0</v>
          </cell>
          <cell r="DT1124">
            <v>0</v>
          </cell>
          <cell r="DU1124">
            <v>0</v>
          </cell>
          <cell r="DV1124">
            <v>0</v>
          </cell>
          <cell r="DW1124">
            <v>0</v>
          </cell>
          <cell r="DX1124">
            <v>0</v>
          </cell>
          <cell r="DY1124">
            <v>0</v>
          </cell>
          <cell r="DZ1124">
            <v>0</v>
          </cell>
          <cell r="EA1124">
            <v>0</v>
          </cell>
          <cell r="EC1124">
            <v>0.1</v>
          </cell>
          <cell r="ED1124">
            <v>0</v>
          </cell>
          <cell r="EE1124">
            <v>0.09</v>
          </cell>
          <cell r="EF1124">
            <v>9.7649926339550355</v>
          </cell>
          <cell r="EG1124">
            <v>19.209580958215163</v>
          </cell>
          <cell r="EH1124">
            <v>0</v>
          </cell>
          <cell r="EI1124">
            <v>0</v>
          </cell>
          <cell r="EJ1124">
            <v>0</v>
          </cell>
          <cell r="EK1124">
            <v>0</v>
          </cell>
          <cell r="EL1124">
            <v>6091</v>
          </cell>
          <cell r="EM1124">
            <v>26034.492640652712</v>
          </cell>
          <cell r="EN1124">
            <v>6272.9779800255874</v>
          </cell>
          <cell r="EO1124">
            <v>2253.4067425284734</v>
          </cell>
          <cell r="EP1124">
            <v>0</v>
          </cell>
          <cell r="EQ1124">
            <v>0</v>
          </cell>
          <cell r="ER1124">
            <v>0</v>
          </cell>
          <cell r="ES1124">
            <v>-4180</v>
          </cell>
          <cell r="ET1124">
            <v>0</v>
          </cell>
          <cell r="EU1124">
            <v>0</v>
          </cell>
          <cell r="EV1124">
            <v>1911</v>
          </cell>
          <cell r="EX1124">
            <v>0</v>
          </cell>
          <cell r="EY1124">
            <v>0</v>
          </cell>
          <cell r="EZ1124">
            <v>0</v>
          </cell>
          <cell r="FA1124">
            <v>0</v>
          </cell>
          <cell r="FB1124">
            <v>0</v>
          </cell>
          <cell r="FC1124">
            <v>0</v>
          </cell>
          <cell r="FD1124">
            <v>0</v>
          </cell>
          <cell r="FE1124">
            <v>0</v>
          </cell>
          <cell r="FF1124">
            <v>0</v>
          </cell>
          <cell r="FG1124">
            <v>0</v>
          </cell>
          <cell r="FH1124">
            <v>0</v>
          </cell>
          <cell r="FI1124">
            <v>0</v>
          </cell>
          <cell r="FJ1124">
            <v>0</v>
          </cell>
          <cell r="FK1124">
            <v>0</v>
          </cell>
          <cell r="FL1124">
            <v>0</v>
          </cell>
          <cell r="FM1124">
            <v>0</v>
          </cell>
          <cell r="FN1124">
            <v>0</v>
          </cell>
          <cell r="FO1124">
            <v>0</v>
          </cell>
          <cell r="FP1124">
            <v>0</v>
          </cell>
          <cell r="FQ1124">
            <v>0</v>
          </cell>
          <cell r="FS1124">
            <v>0.1</v>
          </cell>
          <cell r="FT1124">
            <v>0</v>
          </cell>
          <cell r="FU1124">
            <v>0.09</v>
          </cell>
          <cell r="FV1124">
            <v>9.7649926339550355</v>
          </cell>
          <cell r="FW1124">
            <v>19.209580958215163</v>
          </cell>
          <cell r="FX1124">
            <v>0</v>
          </cell>
          <cell r="FY1124">
            <v>0</v>
          </cell>
          <cell r="FZ1124">
            <v>0</v>
          </cell>
          <cell r="GA1124">
            <v>0</v>
          </cell>
          <cell r="GB1124">
            <v>581</v>
          </cell>
          <cell r="GC1124">
            <v>62954.112959963524</v>
          </cell>
          <cell r="GD1124">
            <v>13968.811749765284</v>
          </cell>
          <cell r="GE1124">
            <v>3144.9386444866141</v>
          </cell>
          <cell r="GF1124">
            <v>0</v>
          </cell>
          <cell r="GG1124">
            <v>0</v>
          </cell>
          <cell r="GH1124">
            <v>0</v>
          </cell>
          <cell r="GI1124">
            <v>0</v>
          </cell>
          <cell r="GJ1124">
            <v>0</v>
          </cell>
          <cell r="GK1124">
            <v>0</v>
          </cell>
          <cell r="GL1124">
            <v>581</v>
          </cell>
          <cell r="GN1124">
            <v>0.1</v>
          </cell>
          <cell r="GO1124">
            <v>0</v>
          </cell>
          <cell r="GP1124">
            <v>0.09</v>
          </cell>
          <cell r="GQ1124">
            <v>9.7649926339550355</v>
          </cell>
          <cell r="GR1124">
            <v>19.209580958215163</v>
          </cell>
          <cell r="GS1124">
            <v>0</v>
          </cell>
          <cell r="GT1124">
            <v>0</v>
          </cell>
          <cell r="GU1124">
            <v>0</v>
          </cell>
          <cell r="GV1124">
            <v>0</v>
          </cell>
          <cell r="GW1124">
            <v>84481</v>
          </cell>
          <cell r="GX1124">
            <v>151521</v>
          </cell>
          <cell r="GY1124">
            <v>46431</v>
          </cell>
          <cell r="GZ1124">
            <v>92385.684740536133</v>
          </cell>
          <cell r="HA1124">
            <v>0</v>
          </cell>
          <cell r="HB1124">
            <v>0</v>
          </cell>
          <cell r="HC1124">
            <v>0</v>
          </cell>
          <cell r="HD1124">
            <v>0</v>
          </cell>
          <cell r="HE1124">
            <v>0</v>
          </cell>
          <cell r="HF1124">
            <v>0</v>
          </cell>
          <cell r="HG1124">
            <v>84481</v>
          </cell>
          <cell r="HI1124">
            <v>0.1</v>
          </cell>
          <cell r="HJ1124">
            <v>0</v>
          </cell>
          <cell r="HK1124">
            <v>0.09</v>
          </cell>
          <cell r="HL1124">
            <v>9.7649926339550355</v>
          </cell>
          <cell r="HM1124">
            <v>19.209580958215163</v>
          </cell>
          <cell r="HN1124">
            <v>0</v>
          </cell>
          <cell r="HO1124">
            <v>0</v>
          </cell>
          <cell r="HP1124">
            <v>0</v>
          </cell>
          <cell r="HQ1124">
            <v>0</v>
          </cell>
          <cell r="HR1124">
            <v>41861</v>
          </cell>
          <cell r="HS1124">
            <v>256553.67639825607</v>
          </cell>
          <cell r="HT1124">
            <v>68113.200344782366</v>
          </cell>
          <cell r="HU1124">
            <v>0</v>
          </cell>
          <cell r="HV1124">
            <v>0</v>
          </cell>
          <cell r="HW1124">
            <v>0</v>
          </cell>
          <cell r="HX1124">
            <v>0</v>
          </cell>
          <cell r="HY1124">
            <v>0</v>
          </cell>
          <cell r="HZ1124">
            <v>0</v>
          </cell>
          <cell r="IA1124">
            <v>0</v>
          </cell>
          <cell r="IB1124">
            <v>41861</v>
          </cell>
        </row>
        <row r="1125">
          <cell r="C1125" t="str">
            <v>A0373</v>
          </cell>
          <cell r="D1125" t="str">
            <v>PT Serasi Transportasi Nusantara</v>
          </cell>
          <cell r="E1125" t="str">
            <v>PEB 2</v>
          </cell>
          <cell r="F1125" t="str">
            <v>94PEB 2</v>
          </cell>
          <cell r="P1125">
            <v>0</v>
          </cell>
          <cell r="U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</row>
        <row r="1126">
          <cell r="C1126" t="str">
            <v>A0373</v>
          </cell>
          <cell r="D1126" t="str">
            <v>PT Serasi Transportasi Nusantara</v>
          </cell>
          <cell r="E1126" t="str">
            <v>PEB 3</v>
          </cell>
          <cell r="F1126" t="str">
            <v>94PEB 3</v>
          </cell>
          <cell r="P1126">
            <v>0</v>
          </cell>
          <cell r="U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</row>
        <row r="1127">
          <cell r="C1127" t="str">
            <v>A0373</v>
          </cell>
          <cell r="D1127" t="str">
            <v>PT Serasi Transportasi Nusantara</v>
          </cell>
          <cell r="E1127" t="str">
            <v>PEB 4</v>
          </cell>
          <cell r="F1127" t="str">
            <v>94PEB 4</v>
          </cell>
          <cell r="G1127">
            <v>0.1</v>
          </cell>
          <cell r="I1127">
            <v>0.09</v>
          </cell>
          <cell r="J1127">
            <v>9.9739875501613025</v>
          </cell>
          <cell r="K1127">
            <v>19.209580958215163</v>
          </cell>
          <cell r="P1127">
            <v>72024</v>
          </cell>
          <cell r="Q1127">
            <v>319895.68289926794</v>
          </cell>
          <cell r="R1127">
            <v>73487.479308583541</v>
          </cell>
          <cell r="S1127">
            <v>2323.7879923500814</v>
          </cell>
          <cell r="U1127">
            <v>0</v>
          </cell>
          <cell r="W1127">
            <v>-56673</v>
          </cell>
          <cell r="X1127">
            <v>0</v>
          </cell>
          <cell r="Y1127">
            <v>0</v>
          </cell>
          <cell r="Z1127">
            <v>15351</v>
          </cell>
        </row>
        <row r="1128">
          <cell r="C1128" t="str">
            <v>A0373</v>
          </cell>
          <cell r="D1128" t="str">
            <v>PT Serasi Transportasi Nusantara</v>
          </cell>
          <cell r="E1128" t="str">
            <v>PEB 5</v>
          </cell>
          <cell r="F1128" t="str">
            <v>94PEB 5</v>
          </cell>
          <cell r="G1128">
            <v>0.1</v>
          </cell>
          <cell r="I1128">
            <v>0.09</v>
          </cell>
          <cell r="J1128">
            <v>9.534458486142384</v>
          </cell>
          <cell r="P1128">
            <v>28634</v>
          </cell>
          <cell r="U1128">
            <v>0</v>
          </cell>
          <cell r="W1128">
            <v>19323</v>
          </cell>
          <cell r="X1128">
            <v>0</v>
          </cell>
          <cell r="Y1128">
            <v>0</v>
          </cell>
          <cell r="Z1128">
            <v>47957</v>
          </cell>
        </row>
        <row r="1129">
          <cell r="C1129" t="str">
            <v>A0373</v>
          </cell>
          <cell r="D1129" t="str">
            <v>PT Serasi Transportasi Nusantara</v>
          </cell>
          <cell r="E1129" t="str">
            <v>PEB 6</v>
          </cell>
          <cell r="F1129" t="str">
            <v>94PEB 6</v>
          </cell>
          <cell r="P1129">
            <v>0</v>
          </cell>
          <cell r="U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</row>
        <row r="1130">
          <cell r="C1130" t="str">
            <v>A0373</v>
          </cell>
          <cell r="D1130" t="str">
            <v>PT Serasi Transportasi Nusantara</v>
          </cell>
          <cell r="E1130" t="str">
            <v>PEB 7</v>
          </cell>
          <cell r="F1130" t="str">
            <v>94PEB 7</v>
          </cell>
          <cell r="G1130">
            <v>0.1</v>
          </cell>
          <cell r="I1130">
            <v>0.09</v>
          </cell>
          <cell r="J1130">
            <v>9.7649926339550355</v>
          </cell>
          <cell r="K1130">
            <v>19.209580958215163</v>
          </cell>
          <cell r="P1130">
            <v>6091</v>
          </cell>
          <cell r="Q1130">
            <v>26034.492640652712</v>
          </cell>
          <cell r="R1130">
            <v>6272.9779800255874</v>
          </cell>
          <cell r="S1130">
            <v>2253.4067425284734</v>
          </cell>
          <cell r="U1130">
            <v>0</v>
          </cell>
          <cell r="W1130">
            <v>-4180</v>
          </cell>
          <cell r="X1130">
            <v>0</v>
          </cell>
          <cell r="Y1130">
            <v>0</v>
          </cell>
          <cell r="Z1130">
            <v>1911</v>
          </cell>
        </row>
        <row r="1131">
          <cell r="C1131" t="str">
            <v>A0373</v>
          </cell>
          <cell r="D1131" t="str">
            <v>PT Serasi Transportasi Nusantara</v>
          </cell>
          <cell r="E1131" t="str">
            <v>MPP</v>
          </cell>
          <cell r="F1131" t="str">
            <v>94MPP</v>
          </cell>
          <cell r="P1131">
            <v>0</v>
          </cell>
          <cell r="U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</row>
        <row r="1132">
          <cell r="C1132" t="str">
            <v>A0373</v>
          </cell>
          <cell r="D1132" t="str">
            <v>PT Serasi Transportasi Nusantara</v>
          </cell>
          <cell r="E1132" t="str">
            <v>ID</v>
          </cell>
          <cell r="F1132" t="str">
            <v>94ID</v>
          </cell>
          <cell r="G1132">
            <v>0.1</v>
          </cell>
          <cell r="I1132">
            <v>0.09</v>
          </cell>
          <cell r="J1132">
            <v>9.7649926339550355</v>
          </cell>
          <cell r="K1132">
            <v>19.209580958215163</v>
          </cell>
          <cell r="P1132">
            <v>581</v>
          </cell>
          <cell r="Q1132">
            <v>62954.112959963524</v>
          </cell>
          <cell r="R1132">
            <v>13968.811749765284</v>
          </cell>
          <cell r="S1132">
            <v>3144.9386444866141</v>
          </cell>
          <cell r="U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581</v>
          </cell>
        </row>
        <row r="1133">
          <cell r="C1133" t="str">
            <v>A0373</v>
          </cell>
          <cell r="D1133" t="str">
            <v>PT Serasi Transportasi Nusantara</v>
          </cell>
          <cell r="E1133" t="str">
            <v>LL</v>
          </cell>
          <cell r="F1133" t="str">
            <v>94LL</v>
          </cell>
          <cell r="G1133">
            <v>0.1</v>
          </cell>
          <cell r="I1133">
            <v>0.09</v>
          </cell>
          <cell r="J1133">
            <v>9.7649926339550355</v>
          </cell>
          <cell r="K1133">
            <v>19.209580958215163</v>
          </cell>
          <cell r="P1133">
            <v>84481</v>
          </cell>
          <cell r="Q1133">
            <v>151521</v>
          </cell>
          <cell r="R1133">
            <v>46431</v>
          </cell>
          <cell r="S1133">
            <v>92385.684740536133</v>
          </cell>
          <cell r="U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84481</v>
          </cell>
        </row>
        <row r="1134">
          <cell r="C1134" t="str">
            <v>A0373</v>
          </cell>
          <cell r="D1134" t="str">
            <v>PT Serasi Transportasi Nusantara</v>
          </cell>
          <cell r="E1134" t="str">
            <v>PMK</v>
          </cell>
          <cell r="F1134" t="str">
            <v>94PMK</v>
          </cell>
          <cell r="G1134">
            <v>0.1</v>
          </cell>
          <cell r="I1134">
            <v>0.09</v>
          </cell>
          <cell r="J1134">
            <v>9.7649926339550355</v>
          </cell>
          <cell r="K1134">
            <v>19.209580958215163</v>
          </cell>
          <cell r="P1134">
            <v>41861</v>
          </cell>
          <cell r="Q1134">
            <v>256553.67639825607</v>
          </cell>
          <cell r="R1134">
            <v>68113.200344782366</v>
          </cell>
          <cell r="S1134">
            <v>0</v>
          </cell>
          <cell r="U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41861</v>
          </cell>
        </row>
        <row r="1136">
          <cell r="C1136" t="str">
            <v>A0132</v>
          </cell>
          <cell r="D1136" t="str">
            <v>PT Showa Indonesia</v>
          </cell>
          <cell r="E1136" t="str">
            <v>PEB 1</v>
          </cell>
          <cell r="F1136" t="str">
            <v>95PEB 1</v>
          </cell>
          <cell r="G1136">
            <v>0.1</v>
          </cell>
          <cell r="H1136">
            <v>0.1</v>
          </cell>
          <cell r="I1136">
            <v>0.09</v>
          </cell>
          <cell r="J1136">
            <v>8.4411873320523902</v>
          </cell>
          <cell r="K1136">
            <v>8.4411873320523902</v>
          </cell>
          <cell r="L1136">
            <v>1624638</v>
          </cell>
          <cell r="N1136">
            <v>3877050.6159999999</v>
          </cell>
          <cell r="O1136">
            <v>334250.49599999998</v>
          </cell>
          <cell r="P1136">
            <v>17745471</v>
          </cell>
          <cell r="Q1136">
            <v>27429894.138413109</v>
          </cell>
          <cell r="R1136">
            <v>1099949.5710668012</v>
          </cell>
          <cell r="S1136">
            <v>1576062.5495520905</v>
          </cell>
          <cell r="U1136">
            <v>-13893921</v>
          </cell>
          <cell r="V1136">
            <v>24521955.037333336</v>
          </cell>
          <cell r="W1136">
            <v>-2114855</v>
          </cell>
          <cell r="X1136">
            <v>0</v>
          </cell>
          <cell r="Y1136">
            <v>0</v>
          </cell>
          <cell r="Z1136">
            <v>1736695</v>
          </cell>
          <cell r="AB1136">
            <v>0.1</v>
          </cell>
          <cell r="AC1136">
            <v>0</v>
          </cell>
          <cell r="AD1136">
            <v>0.09</v>
          </cell>
          <cell r="AE1136">
            <v>19.179513236930703</v>
          </cell>
          <cell r="AF1136">
            <v>19.179513236930703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7871945.6112759896</v>
          </cell>
          <cell r="AM1136">
            <v>591224.96678777668</v>
          </cell>
          <cell r="AN1136">
            <v>191188.73534654162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W1136">
            <v>0.1</v>
          </cell>
          <cell r="AX1136">
            <v>0</v>
          </cell>
          <cell r="AY1136">
            <v>0.09</v>
          </cell>
          <cell r="AZ1136">
            <v>8.4411873320523902</v>
          </cell>
          <cell r="BA1136">
            <v>8.4411873320523902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1434976.7616234617</v>
          </cell>
          <cell r="BH1136">
            <v>64913.158328070116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R1136">
            <v>0.1</v>
          </cell>
          <cell r="BS1136">
            <v>0</v>
          </cell>
          <cell r="BT1136">
            <v>0.09</v>
          </cell>
          <cell r="BU1136">
            <v>20.434688510336237</v>
          </cell>
          <cell r="BV1136">
            <v>20.434688510336237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3417696</v>
          </cell>
          <cell r="CB1136">
            <v>7418565.2700066222</v>
          </cell>
          <cell r="CC1136">
            <v>840566.44271283492</v>
          </cell>
          <cell r="CD1136">
            <v>243312.37279576564</v>
          </cell>
          <cell r="CE1136">
            <v>0</v>
          </cell>
          <cell r="CF1136">
            <v>0</v>
          </cell>
          <cell r="CG1136">
            <v>0</v>
          </cell>
          <cell r="CH1136">
            <v>-1165483</v>
          </cell>
          <cell r="CI1136">
            <v>-715299</v>
          </cell>
          <cell r="CJ1136">
            <v>29507</v>
          </cell>
          <cell r="CK1136">
            <v>1536914</v>
          </cell>
          <cell r="CM1136">
            <v>0.1</v>
          </cell>
          <cell r="CN1136">
            <v>0</v>
          </cell>
          <cell r="CO1136">
            <v>0.09</v>
          </cell>
          <cell r="CP1136">
            <v>0</v>
          </cell>
          <cell r="CQ1136">
            <v>0</v>
          </cell>
          <cell r="CR1136">
            <v>0</v>
          </cell>
          <cell r="CS1136">
            <v>0</v>
          </cell>
          <cell r="CT1136">
            <v>0</v>
          </cell>
          <cell r="CU1136">
            <v>0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1090130</v>
          </cell>
          <cell r="DD1136">
            <v>0</v>
          </cell>
          <cell r="DE1136">
            <v>0</v>
          </cell>
          <cell r="DF1136">
            <v>1090130</v>
          </cell>
          <cell r="DH1136">
            <v>0</v>
          </cell>
          <cell r="DI1136">
            <v>0</v>
          </cell>
          <cell r="DJ1136">
            <v>0</v>
          </cell>
          <cell r="DK1136">
            <v>0</v>
          </cell>
          <cell r="DL1136">
            <v>0</v>
          </cell>
          <cell r="DM1136">
            <v>0</v>
          </cell>
          <cell r="DN1136">
            <v>0</v>
          </cell>
          <cell r="DO1136">
            <v>0</v>
          </cell>
          <cell r="DP1136">
            <v>0</v>
          </cell>
          <cell r="DQ1136">
            <v>0</v>
          </cell>
          <cell r="DR1136">
            <v>0</v>
          </cell>
          <cell r="DS1136">
            <v>0</v>
          </cell>
          <cell r="DT1136">
            <v>0</v>
          </cell>
          <cell r="DU1136">
            <v>0</v>
          </cell>
          <cell r="DV1136">
            <v>0</v>
          </cell>
          <cell r="DW1136">
            <v>0</v>
          </cell>
          <cell r="DX1136">
            <v>0</v>
          </cell>
          <cell r="DY1136">
            <v>0</v>
          </cell>
          <cell r="DZ1136">
            <v>0</v>
          </cell>
          <cell r="EA1136">
            <v>0</v>
          </cell>
          <cell r="EC1136">
            <v>0.1</v>
          </cell>
          <cell r="ED1136">
            <v>0</v>
          </cell>
          <cell r="EE1136">
            <v>0.09</v>
          </cell>
          <cell r="EF1136">
            <v>19.179513236930703</v>
          </cell>
          <cell r="EG1136">
            <v>19.179513236930703</v>
          </cell>
          <cell r="EH1136">
            <v>0</v>
          </cell>
          <cell r="EI1136">
            <v>0</v>
          </cell>
          <cell r="EJ1136">
            <v>0</v>
          </cell>
          <cell r="EK1136">
            <v>0</v>
          </cell>
          <cell r="EL1136">
            <v>2983008</v>
          </cell>
          <cell r="EM1136">
            <v>1820092.7239621859</v>
          </cell>
          <cell r="EN1136">
            <v>211742.48049426006</v>
          </cell>
          <cell r="EO1136">
            <v>204164.86387316772</v>
          </cell>
          <cell r="EP1136">
            <v>0</v>
          </cell>
          <cell r="EQ1136">
            <v>0</v>
          </cell>
          <cell r="ER1136">
            <v>0</v>
          </cell>
          <cell r="ES1136">
            <v>-2764152</v>
          </cell>
          <cell r="ET1136">
            <v>0</v>
          </cell>
          <cell r="EU1136">
            <v>0</v>
          </cell>
          <cell r="EV1136">
            <v>218856</v>
          </cell>
          <cell r="EX1136">
            <v>0.1</v>
          </cell>
          <cell r="EY1136">
            <v>0</v>
          </cell>
          <cell r="EZ1136">
            <v>0.09</v>
          </cell>
          <cell r="FA1136">
            <v>19.179513236930703</v>
          </cell>
          <cell r="FB1136">
            <v>19.179513236930703</v>
          </cell>
          <cell r="FC1136">
            <v>0</v>
          </cell>
          <cell r="FD1136">
            <v>0</v>
          </cell>
          <cell r="FE1136">
            <v>0</v>
          </cell>
          <cell r="FF1136">
            <v>0</v>
          </cell>
          <cell r="FG1136">
            <v>0</v>
          </cell>
          <cell r="FH1136">
            <v>2003857.9234766359</v>
          </cell>
          <cell r="FI1136">
            <v>152994.80072876642</v>
          </cell>
          <cell r="FJ1136">
            <v>47797.183836635406</v>
          </cell>
          <cell r="FK1136">
            <v>0</v>
          </cell>
          <cell r="FL1136">
            <v>0</v>
          </cell>
          <cell r="FM1136">
            <v>0</v>
          </cell>
          <cell r="FN1136">
            <v>0</v>
          </cell>
          <cell r="FO1136">
            <v>0</v>
          </cell>
          <cell r="FP1136">
            <v>0</v>
          </cell>
          <cell r="FQ1136">
            <v>0</v>
          </cell>
          <cell r="FS1136">
            <v>0.1</v>
          </cell>
          <cell r="FT1136">
            <v>0</v>
          </cell>
          <cell r="FU1136">
            <v>0.09</v>
          </cell>
          <cell r="FV1136">
            <v>19.179513236930703</v>
          </cell>
          <cell r="FW1136">
            <v>19.179513236930703</v>
          </cell>
          <cell r="FX1136">
            <v>0</v>
          </cell>
          <cell r="FY1136">
            <v>0</v>
          </cell>
          <cell r="FZ1136">
            <v>0</v>
          </cell>
          <cell r="GA1136">
            <v>0</v>
          </cell>
          <cell r="GB1136">
            <v>3421750</v>
          </cell>
          <cell r="GC1136">
            <v>3943351.3656867323</v>
          </cell>
          <cell r="GD1136">
            <v>377349.20223511982</v>
          </cell>
          <cell r="GE1136">
            <v>288188.90562608634</v>
          </cell>
          <cell r="GF1136">
            <v>0</v>
          </cell>
          <cell r="GG1136">
            <v>0</v>
          </cell>
          <cell r="GH1136">
            <v>0</v>
          </cell>
          <cell r="GI1136">
            <v>0</v>
          </cell>
          <cell r="GJ1136">
            <v>0</v>
          </cell>
          <cell r="GK1136">
            <v>0</v>
          </cell>
          <cell r="GL1136">
            <v>3421750</v>
          </cell>
          <cell r="GN1136">
            <v>0.1</v>
          </cell>
          <cell r="GO1136">
            <v>0</v>
          </cell>
          <cell r="GP1136">
            <v>0.09</v>
          </cell>
          <cell r="GQ1136">
            <v>19.179513236930703</v>
          </cell>
          <cell r="GR1136">
            <v>19.179513236930703</v>
          </cell>
          <cell r="GS1136">
            <v>0</v>
          </cell>
          <cell r="GT1136">
            <v>0</v>
          </cell>
          <cell r="GU1136">
            <v>0</v>
          </cell>
          <cell r="GV1136">
            <v>0</v>
          </cell>
          <cell r="GW1136">
            <v>4037726</v>
          </cell>
          <cell r="GX1136">
            <v>4516574</v>
          </cell>
          <cell r="GY1136">
            <v>1630322</v>
          </cell>
          <cell r="GZ1136">
            <v>1571373.9839466719</v>
          </cell>
          <cell r="HA1136">
            <v>0</v>
          </cell>
          <cell r="HB1136">
            <v>0</v>
          </cell>
          <cell r="HC1136">
            <v>0</v>
          </cell>
          <cell r="HD1136">
            <v>0</v>
          </cell>
          <cell r="HE1136">
            <v>0</v>
          </cell>
          <cell r="HF1136">
            <v>0</v>
          </cell>
          <cell r="HG1136">
            <v>4037726</v>
          </cell>
          <cell r="HI1136">
            <v>0.1</v>
          </cell>
          <cell r="HJ1136">
            <v>0</v>
          </cell>
          <cell r="HK1136">
            <v>0.09</v>
          </cell>
          <cell r="HL1136">
            <v>19.179513236930703</v>
          </cell>
          <cell r="HM1136">
            <v>19.179513236930703</v>
          </cell>
          <cell r="HN1136">
            <v>0</v>
          </cell>
          <cell r="HO1136">
            <v>0</v>
          </cell>
          <cell r="HP1136">
            <v>0</v>
          </cell>
          <cell r="HQ1136">
            <v>0</v>
          </cell>
          <cell r="HR1136">
            <v>3427236</v>
          </cell>
          <cell r="HS1136">
            <v>7872955.1606399221</v>
          </cell>
          <cell r="HT1136">
            <v>1017638.0756323568</v>
          </cell>
          <cell r="HU1136">
            <v>347150</v>
          </cell>
          <cell r="HV1136">
            <v>0</v>
          </cell>
          <cell r="HW1136">
            <v>0</v>
          </cell>
          <cell r="HX1136">
            <v>0</v>
          </cell>
          <cell r="HY1136">
            <v>0</v>
          </cell>
          <cell r="HZ1136">
            <v>0</v>
          </cell>
          <cell r="IA1136">
            <v>0</v>
          </cell>
          <cell r="IB1136">
            <v>3427236</v>
          </cell>
        </row>
        <row r="1137">
          <cell r="C1137" t="str">
            <v>A0132</v>
          </cell>
          <cell r="D1137" t="str">
            <v>PT Showa Indonesia</v>
          </cell>
          <cell r="E1137" t="str">
            <v>PEB 2</v>
          </cell>
          <cell r="F1137" t="str">
            <v>95PEB 2</v>
          </cell>
          <cell r="G1137">
            <v>0.1</v>
          </cell>
          <cell r="I1137">
            <v>0.09</v>
          </cell>
          <cell r="J1137">
            <v>19.179513236930703</v>
          </cell>
          <cell r="K1137">
            <v>19.179513236930703</v>
          </cell>
          <cell r="P1137">
            <v>0</v>
          </cell>
          <cell r="Q1137">
            <v>7871945.6112759896</v>
          </cell>
          <cell r="R1137">
            <v>591224.96678777668</v>
          </cell>
          <cell r="S1137">
            <v>191188.73534654162</v>
          </cell>
          <cell r="U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</row>
        <row r="1138">
          <cell r="C1138" t="str">
            <v>A0132</v>
          </cell>
          <cell r="D1138" t="str">
            <v>PT Showa Indonesia</v>
          </cell>
          <cell r="E1138" t="str">
            <v>PEB 3</v>
          </cell>
          <cell r="F1138" t="str">
            <v>95PEB 3</v>
          </cell>
          <cell r="G1138">
            <v>0.1</v>
          </cell>
          <cell r="I1138">
            <v>0.09</v>
          </cell>
          <cell r="J1138">
            <v>8.4411873320523902</v>
          </cell>
          <cell r="K1138">
            <v>8.4411873320523902</v>
          </cell>
          <cell r="P1138">
            <v>0</v>
          </cell>
          <cell r="Q1138">
            <v>1434976.7616234617</v>
          </cell>
          <cell r="R1138">
            <v>64913.158328070116</v>
          </cell>
          <cell r="S1138">
            <v>0</v>
          </cell>
          <cell r="U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</row>
        <row r="1139">
          <cell r="C1139" t="str">
            <v>A0132</v>
          </cell>
          <cell r="D1139" t="str">
            <v>PT Showa Indonesia</v>
          </cell>
          <cell r="E1139" t="str">
            <v>PEB 4</v>
          </cell>
          <cell r="F1139" t="str">
            <v>95PEB 4</v>
          </cell>
          <cell r="G1139">
            <v>0.1</v>
          </cell>
          <cell r="I1139">
            <v>0.09</v>
          </cell>
          <cell r="J1139">
            <v>20.434688510336237</v>
          </cell>
          <cell r="K1139">
            <v>20.434688510336237</v>
          </cell>
          <cell r="P1139">
            <v>3417696</v>
          </cell>
          <cell r="Q1139">
            <v>7418565.2700066222</v>
          </cell>
          <cell r="R1139">
            <v>840566.44271283492</v>
          </cell>
          <cell r="S1139">
            <v>243312.37279576564</v>
          </cell>
          <cell r="U1139">
            <v>0</v>
          </cell>
          <cell r="W1139">
            <v>-1165483</v>
          </cell>
          <cell r="X1139">
            <v>-715299</v>
          </cell>
          <cell r="Y1139">
            <v>29507</v>
          </cell>
          <cell r="Z1139">
            <v>1536914</v>
          </cell>
        </row>
        <row r="1140">
          <cell r="C1140" t="str">
            <v>A0132</v>
          </cell>
          <cell r="D1140" t="str">
            <v>PT Showa Indonesia</v>
          </cell>
          <cell r="E1140" t="str">
            <v>PEB 5</v>
          </cell>
          <cell r="F1140" t="str">
            <v>95PEB 5</v>
          </cell>
          <cell r="G1140">
            <v>0.1</v>
          </cell>
          <cell r="I1140">
            <v>0.09</v>
          </cell>
          <cell r="J1140">
            <v>0</v>
          </cell>
          <cell r="K1140">
            <v>0</v>
          </cell>
          <cell r="P1140">
            <v>0</v>
          </cell>
          <cell r="U1140">
            <v>0</v>
          </cell>
          <cell r="W1140">
            <v>1090130</v>
          </cell>
          <cell r="X1140">
            <v>0</v>
          </cell>
          <cell r="Y1140">
            <v>0</v>
          </cell>
          <cell r="Z1140">
            <v>1090130</v>
          </cell>
        </row>
        <row r="1141">
          <cell r="C1141" t="str">
            <v>A0132</v>
          </cell>
          <cell r="D1141" t="str">
            <v>PT Showa Indonesia</v>
          </cell>
          <cell r="E1141" t="str">
            <v>PEB 6</v>
          </cell>
          <cell r="F1141" t="str">
            <v>95PEB 6</v>
          </cell>
          <cell r="P1141">
            <v>0</v>
          </cell>
          <cell r="U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</row>
        <row r="1142">
          <cell r="C1142" t="str">
            <v>A0132</v>
          </cell>
          <cell r="D1142" t="str">
            <v>PT Showa Indonesia</v>
          </cell>
          <cell r="E1142" t="str">
            <v>PEB 7</v>
          </cell>
          <cell r="F1142" t="str">
            <v>95PEB 7</v>
          </cell>
          <cell r="G1142">
            <v>0.1</v>
          </cell>
          <cell r="I1142">
            <v>0.09</v>
          </cell>
          <cell r="J1142">
            <v>19.179513236930703</v>
          </cell>
          <cell r="K1142">
            <v>19.179513236930703</v>
          </cell>
          <cell r="P1142">
            <v>2983008</v>
          </cell>
          <cell r="Q1142">
            <v>1820092.7239621859</v>
          </cell>
          <cell r="R1142">
            <v>211742.48049426006</v>
          </cell>
          <cell r="S1142">
            <v>204164.86387316772</v>
          </cell>
          <cell r="U1142">
            <v>0</v>
          </cell>
          <cell r="W1142">
            <v>-2764152</v>
          </cell>
          <cell r="X1142">
            <v>0</v>
          </cell>
          <cell r="Y1142">
            <v>0</v>
          </cell>
          <cell r="Z1142">
            <v>218856</v>
          </cell>
        </row>
        <row r="1143">
          <cell r="C1143" t="str">
            <v>A0132</v>
          </cell>
          <cell r="D1143" t="str">
            <v>PT Showa Indonesia</v>
          </cell>
          <cell r="E1143" t="str">
            <v>MPP</v>
          </cell>
          <cell r="F1143" t="str">
            <v>95MPP</v>
          </cell>
          <cell r="G1143">
            <v>0.1</v>
          </cell>
          <cell r="I1143">
            <v>0.09</v>
          </cell>
          <cell r="J1143">
            <v>19.179513236930703</v>
          </cell>
          <cell r="K1143">
            <v>19.179513236930703</v>
          </cell>
          <cell r="P1143">
            <v>0</v>
          </cell>
          <cell r="Q1143">
            <v>2003857.9234766359</v>
          </cell>
          <cell r="R1143">
            <v>152994.80072876642</v>
          </cell>
          <cell r="S1143">
            <v>47797.183836635406</v>
          </cell>
          <cell r="U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</row>
        <row r="1144">
          <cell r="C1144" t="str">
            <v>A0132</v>
          </cell>
          <cell r="D1144" t="str">
            <v>PT Showa Indonesia</v>
          </cell>
          <cell r="E1144" t="str">
            <v>ID</v>
          </cell>
          <cell r="F1144" t="str">
            <v>95ID</v>
          </cell>
          <cell r="G1144">
            <v>0.1</v>
          </cell>
          <cell r="I1144">
            <v>0.09</v>
          </cell>
          <cell r="J1144">
            <v>19.179513236930703</v>
          </cell>
          <cell r="K1144">
            <v>19.179513236930703</v>
          </cell>
          <cell r="P1144">
            <v>3421750</v>
          </cell>
          <cell r="Q1144">
            <v>3943351.3656867323</v>
          </cell>
          <cell r="R1144">
            <v>377349.20223511982</v>
          </cell>
          <cell r="S1144">
            <v>288188.90562608634</v>
          </cell>
          <cell r="U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3421750</v>
          </cell>
        </row>
        <row r="1145">
          <cell r="C1145" t="str">
            <v>A0132</v>
          </cell>
          <cell r="D1145" t="str">
            <v>PT Showa Indonesia</v>
          </cell>
          <cell r="E1145" t="str">
            <v>LL</v>
          </cell>
          <cell r="F1145" t="str">
            <v>95LL</v>
          </cell>
          <cell r="G1145">
            <v>0.1</v>
          </cell>
          <cell r="I1145">
            <v>0.09</v>
          </cell>
          <cell r="J1145">
            <v>19.179513236930703</v>
          </cell>
          <cell r="K1145">
            <v>19.179513236930703</v>
          </cell>
          <cell r="P1145">
            <v>4037726</v>
          </cell>
          <cell r="Q1145">
            <v>4516574</v>
          </cell>
          <cell r="R1145">
            <v>1630322</v>
          </cell>
          <cell r="S1145">
            <v>1571373.9839466719</v>
          </cell>
          <cell r="U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4037726</v>
          </cell>
        </row>
        <row r="1146">
          <cell r="C1146" t="str">
            <v>A0132</v>
          </cell>
          <cell r="D1146" t="str">
            <v>PT Showa Indonesia</v>
          </cell>
          <cell r="E1146" t="str">
            <v>PMK</v>
          </cell>
          <cell r="F1146" t="str">
            <v>95PMK</v>
          </cell>
          <cell r="G1146">
            <v>0.1</v>
          </cell>
          <cell r="I1146">
            <v>0.09</v>
          </cell>
          <cell r="J1146">
            <v>19.179513236930703</v>
          </cell>
          <cell r="K1146">
            <v>19.179513236930703</v>
          </cell>
          <cell r="P1146">
            <v>3427236</v>
          </cell>
          <cell r="Q1146">
            <v>7872955.1606399221</v>
          </cell>
          <cell r="R1146">
            <v>1017638.0756323568</v>
          </cell>
          <cell r="S1146">
            <v>347150</v>
          </cell>
          <cell r="U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3427236</v>
          </cell>
        </row>
        <row r="1148">
          <cell r="C1148" t="str">
            <v>A0135</v>
          </cell>
          <cell r="D1148" t="str">
            <v>PT Staco Estika Sedaya Finance</v>
          </cell>
          <cell r="E1148" t="str">
            <v>PEB 1</v>
          </cell>
          <cell r="F1148" t="str">
            <v>96PEB 1</v>
          </cell>
          <cell r="G1148">
            <v>0.1</v>
          </cell>
          <cell r="H1148">
            <v>0.1</v>
          </cell>
          <cell r="I1148">
            <v>0.09</v>
          </cell>
          <cell r="J1148">
            <v>8.7433248476239047</v>
          </cell>
          <cell r="K1148">
            <v>10.139368169166573</v>
          </cell>
          <cell r="L1148">
            <v>0</v>
          </cell>
          <cell r="N1148">
            <v>44149.982400000001</v>
          </cell>
          <cell r="O1148">
            <v>19556.832000000002</v>
          </cell>
          <cell r="P1148">
            <v>892293</v>
          </cell>
          <cell r="Q1148">
            <v>1568360.2604619355</v>
          </cell>
          <cell r="R1148">
            <v>66830.760714188</v>
          </cell>
          <cell r="S1148">
            <v>7358.7305131047387</v>
          </cell>
          <cell r="U1148">
            <v>-1180792</v>
          </cell>
          <cell r="V1148">
            <v>1753627.2048000002</v>
          </cell>
          <cell r="W1148">
            <v>1574991</v>
          </cell>
          <cell r="X1148">
            <v>0</v>
          </cell>
          <cell r="Y1148">
            <v>0</v>
          </cell>
          <cell r="Z1148">
            <v>1286492</v>
          </cell>
          <cell r="AB1148">
            <v>0.1</v>
          </cell>
          <cell r="AC1148">
            <v>0</v>
          </cell>
          <cell r="AD1148">
            <v>0.09</v>
          </cell>
          <cell r="AE1148">
            <v>9.7874019232623901</v>
          </cell>
          <cell r="AF1148">
            <v>13.469120157355693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26418</v>
          </cell>
          <cell r="AL1148">
            <v>125742.52272878101</v>
          </cell>
          <cell r="AM1148">
            <v>8515.5502865345243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118289</v>
          </cell>
          <cell r="AS1148">
            <v>-8921</v>
          </cell>
          <cell r="AT1148">
            <v>626</v>
          </cell>
          <cell r="AU1148">
            <v>135786</v>
          </cell>
          <cell r="AW1148">
            <v>0.1</v>
          </cell>
          <cell r="AX1148">
            <v>0</v>
          </cell>
          <cell r="AY1148">
            <v>0.09</v>
          </cell>
          <cell r="AZ1148">
            <v>8.7433248476239047</v>
          </cell>
          <cell r="BA1148">
            <v>10.139368169166573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159677</v>
          </cell>
          <cell r="BG1148">
            <v>73587.640408795443</v>
          </cell>
          <cell r="BH1148">
            <v>3863.8448120720413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67460</v>
          </cell>
          <cell r="BN1148">
            <v>-78333</v>
          </cell>
          <cell r="BO1148">
            <v>5521</v>
          </cell>
          <cell r="BP1148">
            <v>148804</v>
          </cell>
          <cell r="BR1148">
            <v>0.1</v>
          </cell>
          <cell r="BS1148">
            <v>0</v>
          </cell>
          <cell r="BT1148">
            <v>0.09</v>
          </cell>
          <cell r="BU1148">
            <v>10.232810643765839</v>
          </cell>
          <cell r="BV1148">
            <v>14.650645056390539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278246</v>
          </cell>
          <cell r="CB1148">
            <v>48599.64826710851</v>
          </cell>
          <cell r="CC1148">
            <v>4664.941912831744</v>
          </cell>
          <cell r="CD1148">
            <v>9850.8879524491731</v>
          </cell>
          <cell r="CE1148">
            <v>0</v>
          </cell>
          <cell r="CF1148">
            <v>0</v>
          </cell>
          <cell r="CG1148">
            <v>0</v>
          </cell>
          <cell r="CH1148">
            <v>-111193</v>
          </cell>
          <cell r="CI1148">
            <v>-66555</v>
          </cell>
          <cell r="CJ1148">
            <v>4176</v>
          </cell>
          <cell r="CK1148">
            <v>100498</v>
          </cell>
          <cell r="CM1148">
            <v>0</v>
          </cell>
          <cell r="CN1148">
            <v>0</v>
          </cell>
          <cell r="CO1148">
            <v>0</v>
          </cell>
          <cell r="CP1148">
            <v>0</v>
          </cell>
          <cell r="CQ1148" t="str">
            <v xml:space="preserve"> </v>
          </cell>
          <cell r="CR1148">
            <v>0</v>
          </cell>
          <cell r="CS1148">
            <v>0</v>
          </cell>
          <cell r="CT1148">
            <v>0</v>
          </cell>
          <cell r="CU1148">
            <v>0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  <cell r="DD1148">
            <v>0</v>
          </cell>
          <cell r="DE1148">
            <v>0</v>
          </cell>
          <cell r="DF1148">
            <v>0</v>
          </cell>
          <cell r="DH1148">
            <v>0</v>
          </cell>
          <cell r="DI1148">
            <v>0</v>
          </cell>
          <cell r="DJ1148">
            <v>0</v>
          </cell>
          <cell r="DK1148">
            <v>0</v>
          </cell>
          <cell r="DL1148">
            <v>0</v>
          </cell>
          <cell r="DM1148">
            <v>0</v>
          </cell>
          <cell r="DN1148">
            <v>0</v>
          </cell>
          <cell r="DO1148">
            <v>0</v>
          </cell>
          <cell r="DP1148">
            <v>0</v>
          </cell>
          <cell r="DQ1148">
            <v>0</v>
          </cell>
          <cell r="DR1148">
            <v>0</v>
          </cell>
          <cell r="DS1148">
            <v>0</v>
          </cell>
          <cell r="DT1148">
            <v>0</v>
          </cell>
          <cell r="DU1148">
            <v>0</v>
          </cell>
          <cell r="DV1148">
            <v>0</v>
          </cell>
          <cell r="DW1148">
            <v>0</v>
          </cell>
          <cell r="DX1148">
            <v>0</v>
          </cell>
          <cell r="DY1148">
            <v>0</v>
          </cell>
          <cell r="DZ1148">
            <v>0</v>
          </cell>
          <cell r="EA1148">
            <v>0</v>
          </cell>
          <cell r="EC1148">
            <v>0.1</v>
          </cell>
          <cell r="ED1148">
            <v>0</v>
          </cell>
          <cell r="EE1148">
            <v>0.09</v>
          </cell>
          <cell r="EF1148">
            <v>9.7874019232623901</v>
          </cell>
          <cell r="EG1148">
            <v>13.469120157355693</v>
          </cell>
          <cell r="EH1148">
            <v>0</v>
          </cell>
          <cell r="EI1148">
            <v>0</v>
          </cell>
          <cell r="EJ1148">
            <v>0</v>
          </cell>
          <cell r="EK1148">
            <v>0</v>
          </cell>
          <cell r="EL1148">
            <v>66342</v>
          </cell>
          <cell r="EM1148">
            <v>55663.590846770938</v>
          </cell>
          <cell r="EN1148">
            <v>3847.2702093763965</v>
          </cell>
          <cell r="EO1148">
            <v>6391.6665244381056</v>
          </cell>
          <cell r="EP1148">
            <v>0</v>
          </cell>
          <cell r="EQ1148">
            <v>0</v>
          </cell>
          <cell r="ER1148">
            <v>0</v>
          </cell>
          <cell r="ES1148">
            <v>-44656</v>
          </cell>
          <cell r="ET1148">
            <v>0</v>
          </cell>
          <cell r="EU1148">
            <v>0</v>
          </cell>
          <cell r="EV1148">
            <v>21686</v>
          </cell>
          <cell r="EX1148">
            <v>0</v>
          </cell>
          <cell r="EY1148">
            <v>0</v>
          </cell>
          <cell r="EZ1148">
            <v>0</v>
          </cell>
          <cell r="FA1148">
            <v>0</v>
          </cell>
          <cell r="FB1148" t="str">
            <v xml:space="preserve"> </v>
          </cell>
          <cell r="FC1148">
            <v>0</v>
          </cell>
          <cell r="FD1148">
            <v>0</v>
          </cell>
          <cell r="FE1148">
            <v>0</v>
          </cell>
          <cell r="FF1148">
            <v>0</v>
          </cell>
          <cell r="FG1148">
            <v>0</v>
          </cell>
          <cell r="FH1148">
            <v>0</v>
          </cell>
          <cell r="FI1148">
            <v>0</v>
          </cell>
          <cell r="FJ1148">
            <v>0</v>
          </cell>
          <cell r="FK1148">
            <v>0</v>
          </cell>
          <cell r="FL1148">
            <v>0</v>
          </cell>
          <cell r="FM1148">
            <v>0</v>
          </cell>
          <cell r="FN1148">
            <v>0</v>
          </cell>
          <cell r="FO1148">
            <v>0</v>
          </cell>
          <cell r="FP1148">
            <v>0</v>
          </cell>
          <cell r="FQ1148">
            <v>0</v>
          </cell>
          <cell r="FS1148">
            <v>0.1</v>
          </cell>
          <cell r="FT1148">
            <v>0</v>
          </cell>
          <cell r="FU1148">
            <v>0.09</v>
          </cell>
          <cell r="FV1148">
            <v>9.7874019232623901</v>
          </cell>
          <cell r="FW1148">
            <v>13.469120157355693</v>
          </cell>
          <cell r="FX1148">
            <v>0</v>
          </cell>
          <cell r="FY1148">
            <v>0</v>
          </cell>
          <cell r="FZ1148">
            <v>0</v>
          </cell>
          <cell r="GA1148">
            <v>0</v>
          </cell>
          <cell r="GB1148">
            <v>8447</v>
          </cell>
          <cell r="GC1148">
            <v>180064.35914048503</v>
          </cell>
          <cell r="GD1148">
            <v>11799.822096282756</v>
          </cell>
          <cell r="GE1148">
            <v>12386.972598997187</v>
          </cell>
          <cell r="GF1148">
            <v>0</v>
          </cell>
          <cell r="GG1148">
            <v>0</v>
          </cell>
          <cell r="GH1148">
            <v>0</v>
          </cell>
          <cell r="GI1148">
            <v>0</v>
          </cell>
          <cell r="GJ1148">
            <v>0</v>
          </cell>
          <cell r="GK1148">
            <v>0</v>
          </cell>
          <cell r="GL1148">
            <v>8447</v>
          </cell>
          <cell r="GN1148">
            <v>0.1</v>
          </cell>
          <cell r="GO1148">
            <v>0</v>
          </cell>
          <cell r="GP1148">
            <v>0.09</v>
          </cell>
          <cell r="GQ1148">
            <v>9.7874019232623901</v>
          </cell>
          <cell r="GR1148">
            <v>13.469120157355693</v>
          </cell>
          <cell r="GS1148">
            <v>0</v>
          </cell>
          <cell r="GT1148">
            <v>0</v>
          </cell>
          <cell r="GU1148">
            <v>0</v>
          </cell>
          <cell r="GV1148">
            <v>0</v>
          </cell>
          <cell r="GW1148">
            <v>232066</v>
          </cell>
          <cell r="GX1148">
            <v>187607.84394101947</v>
          </cell>
          <cell r="GY1148">
            <v>53835.305659623409</v>
          </cell>
          <cell r="GZ1148">
            <v>111669.60843996663</v>
          </cell>
          <cell r="HA1148">
            <v>0</v>
          </cell>
          <cell r="HB1148">
            <v>0</v>
          </cell>
          <cell r="HC1148">
            <v>0</v>
          </cell>
          <cell r="HD1148">
            <v>0</v>
          </cell>
          <cell r="HE1148">
            <v>0</v>
          </cell>
          <cell r="HF1148">
            <v>0</v>
          </cell>
          <cell r="HG1148">
            <v>232066</v>
          </cell>
          <cell r="HI1148">
            <v>0.1</v>
          </cell>
          <cell r="HJ1148">
            <v>0</v>
          </cell>
          <cell r="HK1148">
            <v>0.09</v>
          </cell>
          <cell r="HL1148">
            <v>9.7874019232623901</v>
          </cell>
          <cell r="HM1148">
            <v>13.469120157355693</v>
          </cell>
          <cell r="HN1148">
            <v>0</v>
          </cell>
          <cell r="HO1148">
            <v>0</v>
          </cell>
          <cell r="HP1148">
            <v>0</v>
          </cell>
          <cell r="HQ1148">
            <v>0</v>
          </cell>
          <cell r="HR1148">
            <v>309229</v>
          </cell>
          <cell r="HS1148">
            <v>403897.44412362424</v>
          </cell>
          <cell r="HT1148">
            <v>38146.577325107457</v>
          </cell>
          <cell r="HU1148">
            <v>52000</v>
          </cell>
          <cell r="HV1148">
            <v>0</v>
          </cell>
          <cell r="HW1148">
            <v>0</v>
          </cell>
          <cell r="HX1148">
            <v>0</v>
          </cell>
          <cell r="HY1148">
            <v>0</v>
          </cell>
          <cell r="HZ1148">
            <v>0</v>
          </cell>
          <cell r="IA1148">
            <v>0</v>
          </cell>
          <cell r="IB1148">
            <v>309229</v>
          </cell>
        </row>
        <row r="1149">
          <cell r="C1149" t="str">
            <v>A0135</v>
          </cell>
          <cell r="D1149" t="str">
            <v>PT Staco Estika Sedaya Finance</v>
          </cell>
          <cell r="E1149" t="str">
            <v>PEB 2</v>
          </cell>
          <cell r="F1149" t="str">
            <v>96PEB 2</v>
          </cell>
          <cell r="G1149">
            <v>0.1</v>
          </cell>
          <cell r="I1149">
            <v>0.09</v>
          </cell>
          <cell r="J1149">
            <v>9.7874019232623901</v>
          </cell>
          <cell r="K1149">
            <v>13.469120157355693</v>
          </cell>
          <cell r="P1149">
            <v>26418</v>
          </cell>
          <cell r="Q1149">
            <v>125742.52272878101</v>
          </cell>
          <cell r="R1149">
            <v>8515.5502865345243</v>
          </cell>
          <cell r="S1149">
            <v>0</v>
          </cell>
          <cell r="U1149">
            <v>0</v>
          </cell>
          <cell r="W1149">
            <v>118289</v>
          </cell>
          <cell r="X1149">
            <v>-8921</v>
          </cell>
          <cell r="Y1149">
            <v>626</v>
          </cell>
          <cell r="Z1149">
            <v>135786</v>
          </cell>
        </row>
        <row r="1150">
          <cell r="C1150" t="str">
            <v>A0135</v>
          </cell>
          <cell r="D1150" t="str">
            <v>PT Staco Estika Sedaya Finance</v>
          </cell>
          <cell r="E1150" t="str">
            <v>PEB 3</v>
          </cell>
          <cell r="F1150" t="str">
            <v>96PEB 3</v>
          </cell>
          <cell r="G1150">
            <v>0.1</v>
          </cell>
          <cell r="I1150">
            <v>0.09</v>
          </cell>
          <cell r="J1150">
            <v>8.7433248476239047</v>
          </cell>
          <cell r="K1150">
            <v>10.139368169166573</v>
          </cell>
          <cell r="P1150">
            <v>159677</v>
          </cell>
          <cell r="Q1150">
            <v>73587.640408795443</v>
          </cell>
          <cell r="R1150">
            <v>3863.8448120720413</v>
          </cell>
          <cell r="S1150">
            <v>0</v>
          </cell>
          <cell r="U1150">
            <v>0</v>
          </cell>
          <cell r="W1150">
            <v>67460</v>
          </cell>
          <cell r="X1150">
            <v>-78333</v>
          </cell>
          <cell r="Y1150">
            <v>5521</v>
          </cell>
          <cell r="Z1150">
            <v>148804</v>
          </cell>
        </row>
        <row r="1151">
          <cell r="C1151" t="str">
            <v>A0135</v>
          </cell>
          <cell r="D1151" t="str">
            <v>PT Staco Estika Sedaya Finance</v>
          </cell>
          <cell r="E1151" t="str">
            <v>PEB 4</v>
          </cell>
          <cell r="F1151" t="str">
            <v>96PEB 4</v>
          </cell>
          <cell r="G1151">
            <v>0.1</v>
          </cell>
          <cell r="I1151">
            <v>0.09</v>
          </cell>
          <cell r="J1151">
            <v>10.232810643765839</v>
          </cell>
          <cell r="K1151">
            <v>14.650645056390539</v>
          </cell>
          <cell r="P1151">
            <v>278246</v>
          </cell>
          <cell r="Q1151">
            <v>48599.64826710851</v>
          </cell>
          <cell r="R1151">
            <v>4664.941912831744</v>
          </cell>
          <cell r="S1151">
            <v>9850.8879524491731</v>
          </cell>
          <cell r="U1151">
            <v>0</v>
          </cell>
          <cell r="W1151">
            <v>-111193</v>
          </cell>
          <cell r="X1151">
            <v>-66555</v>
          </cell>
          <cell r="Y1151">
            <v>4176</v>
          </cell>
          <cell r="Z1151">
            <v>100498</v>
          </cell>
        </row>
        <row r="1152">
          <cell r="C1152" t="str">
            <v>A0135</v>
          </cell>
          <cell r="D1152" t="str">
            <v>PT Staco Estika Sedaya Finance</v>
          </cell>
          <cell r="E1152" t="str">
            <v>PEB 5</v>
          </cell>
          <cell r="F1152" t="str">
            <v>96PEB 5</v>
          </cell>
          <cell r="J1152">
            <v>0</v>
          </cell>
          <cell r="K1152" t="str">
            <v xml:space="preserve"> </v>
          </cell>
          <cell r="P1152">
            <v>0</v>
          </cell>
          <cell r="U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</row>
        <row r="1153">
          <cell r="C1153" t="str">
            <v>A0135</v>
          </cell>
          <cell r="D1153" t="str">
            <v>PT Staco Estika Sedaya Finance</v>
          </cell>
          <cell r="E1153" t="str">
            <v>PEB 6</v>
          </cell>
          <cell r="F1153" t="str">
            <v>96PEB 6</v>
          </cell>
          <cell r="J1153">
            <v>0</v>
          </cell>
          <cell r="P1153">
            <v>0</v>
          </cell>
          <cell r="U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</row>
        <row r="1154">
          <cell r="C1154" t="str">
            <v>A0135</v>
          </cell>
          <cell r="D1154" t="str">
            <v>PT Staco Estika Sedaya Finance</v>
          </cell>
          <cell r="E1154" t="str">
            <v>PEB 7</v>
          </cell>
          <cell r="F1154" t="str">
            <v>96PEB 7</v>
          </cell>
          <cell r="G1154">
            <v>0.1</v>
          </cell>
          <cell r="I1154">
            <v>0.09</v>
          </cell>
          <cell r="J1154">
            <v>9.7874019232623901</v>
          </cell>
          <cell r="K1154">
            <v>13.469120157355693</v>
          </cell>
          <cell r="P1154">
            <v>66342</v>
          </cell>
          <cell r="Q1154">
            <v>55663.590846770938</v>
          </cell>
          <cell r="R1154">
            <v>3847.2702093763965</v>
          </cell>
          <cell r="S1154">
            <v>6391.6665244381056</v>
          </cell>
          <cell r="U1154">
            <v>0</v>
          </cell>
          <cell r="W1154">
            <v>-44656</v>
          </cell>
          <cell r="X1154">
            <v>0</v>
          </cell>
          <cell r="Y1154">
            <v>0</v>
          </cell>
          <cell r="Z1154">
            <v>21686</v>
          </cell>
        </row>
        <row r="1155">
          <cell r="C1155" t="str">
            <v>A0135</v>
          </cell>
          <cell r="D1155" t="str">
            <v>PT Staco Estika Sedaya Finance</v>
          </cell>
          <cell r="E1155" t="str">
            <v>MPP</v>
          </cell>
          <cell r="F1155" t="str">
            <v>96MPP</v>
          </cell>
          <cell r="K1155" t="str">
            <v xml:space="preserve"> </v>
          </cell>
          <cell r="P1155">
            <v>0</v>
          </cell>
          <cell r="U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</row>
        <row r="1156">
          <cell r="C1156" t="str">
            <v>A0135</v>
          </cell>
          <cell r="D1156" t="str">
            <v>PT Staco Estika Sedaya Finance</v>
          </cell>
          <cell r="E1156" t="str">
            <v>ID</v>
          </cell>
          <cell r="F1156" t="str">
            <v>96ID</v>
          </cell>
          <cell r="G1156">
            <v>0.1</v>
          </cell>
          <cell r="I1156">
            <v>0.09</v>
          </cell>
          <cell r="J1156">
            <v>9.7874019232623901</v>
          </cell>
          <cell r="K1156">
            <v>13.469120157355693</v>
          </cell>
          <cell r="P1156">
            <v>8447</v>
          </cell>
          <cell r="Q1156">
            <v>180064.35914048503</v>
          </cell>
          <cell r="R1156">
            <v>11799.822096282756</v>
          </cell>
          <cell r="S1156">
            <v>12386.972598997187</v>
          </cell>
          <cell r="U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8447</v>
          </cell>
        </row>
        <row r="1157">
          <cell r="C1157" t="str">
            <v>A0135</v>
          </cell>
          <cell r="D1157" t="str">
            <v>PT Staco Estika Sedaya Finance</v>
          </cell>
          <cell r="E1157" t="str">
            <v>LL</v>
          </cell>
          <cell r="F1157" t="str">
            <v>96LL</v>
          </cell>
          <cell r="G1157">
            <v>0.1</v>
          </cell>
          <cell r="I1157">
            <v>0.09</v>
          </cell>
          <cell r="J1157">
            <v>9.7874019232623901</v>
          </cell>
          <cell r="K1157">
            <v>13.469120157355693</v>
          </cell>
          <cell r="P1157">
            <v>232066</v>
          </cell>
          <cell r="Q1157">
            <v>187607.84394101947</v>
          </cell>
          <cell r="R1157">
            <v>53835.305659623409</v>
          </cell>
          <cell r="S1157">
            <v>111669.60843996663</v>
          </cell>
          <cell r="U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232066</v>
          </cell>
        </row>
        <row r="1158">
          <cell r="C1158" t="str">
            <v>A0135</v>
          </cell>
          <cell r="D1158" t="str">
            <v>PT Staco Estika Sedaya Finance</v>
          </cell>
          <cell r="E1158" t="str">
            <v>PMK</v>
          </cell>
          <cell r="F1158" t="str">
            <v>96PMK</v>
          </cell>
          <cell r="G1158">
            <v>0.1</v>
          </cell>
          <cell r="I1158">
            <v>0.09</v>
          </cell>
          <cell r="J1158">
            <v>9.7874019232623901</v>
          </cell>
          <cell r="K1158">
            <v>13.469120157355693</v>
          </cell>
          <cell r="P1158">
            <v>309229</v>
          </cell>
          <cell r="Q1158">
            <v>403897.44412362424</v>
          </cell>
          <cell r="R1158">
            <v>38146.577325107457</v>
          </cell>
          <cell r="S1158">
            <v>52000</v>
          </cell>
          <cell r="U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309229</v>
          </cell>
        </row>
        <row r="1160">
          <cell r="C1160" t="str">
            <v>A0273</v>
          </cell>
          <cell r="D1160" t="str">
            <v>PT Stacomitra Graha</v>
          </cell>
          <cell r="E1160" t="str">
            <v>PEB 1</v>
          </cell>
          <cell r="F1160" t="str">
            <v>97PEB 1</v>
          </cell>
          <cell r="N1160">
            <v>0</v>
          </cell>
          <cell r="O1160">
            <v>0</v>
          </cell>
          <cell r="P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B1160">
            <v>0.1</v>
          </cell>
          <cell r="AC1160">
            <v>0</v>
          </cell>
          <cell r="AD1160">
            <v>0.09</v>
          </cell>
          <cell r="AE1160">
            <v>8.9585575778467685</v>
          </cell>
          <cell r="AF1160">
            <v>10.81135939061085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1225</v>
          </cell>
          <cell r="AL1160">
            <v>7219.9632467578886</v>
          </cell>
          <cell r="AM1160">
            <v>473.45754290573234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-416</v>
          </cell>
          <cell r="AS1160">
            <v>-304</v>
          </cell>
          <cell r="AT1160">
            <v>24</v>
          </cell>
          <cell r="AU1160">
            <v>505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 xml:space="preserve"> 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R1160">
            <v>0.1</v>
          </cell>
          <cell r="BS1160">
            <v>0</v>
          </cell>
          <cell r="BT1160">
            <v>0.09</v>
          </cell>
          <cell r="BU1160">
            <v>8.9585575778467685</v>
          </cell>
          <cell r="BV1160">
            <v>10.81135939061085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6132</v>
          </cell>
          <cell r="CB1160">
            <v>0</v>
          </cell>
          <cell r="CC1160">
            <v>0</v>
          </cell>
          <cell r="CD1160">
            <v>508.69229879350121</v>
          </cell>
          <cell r="CE1160">
            <v>0</v>
          </cell>
          <cell r="CF1160">
            <v>0</v>
          </cell>
          <cell r="CG1160">
            <v>0</v>
          </cell>
          <cell r="CH1160">
            <v>-2833</v>
          </cell>
          <cell r="CI1160">
            <v>-3059</v>
          </cell>
          <cell r="CJ1160">
            <v>235</v>
          </cell>
          <cell r="CK1160">
            <v>240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 t="str">
            <v xml:space="preserve"> 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H1160">
            <v>0</v>
          </cell>
          <cell r="DI1160">
            <v>0</v>
          </cell>
          <cell r="DJ1160">
            <v>0</v>
          </cell>
          <cell r="DK1160">
            <v>0</v>
          </cell>
          <cell r="DL1160">
            <v>0</v>
          </cell>
          <cell r="DM1160">
            <v>0</v>
          </cell>
          <cell r="DN1160">
            <v>0</v>
          </cell>
          <cell r="DO1160">
            <v>0</v>
          </cell>
          <cell r="DP1160">
            <v>0</v>
          </cell>
          <cell r="DQ1160">
            <v>0</v>
          </cell>
          <cell r="DR1160">
            <v>0</v>
          </cell>
          <cell r="DS1160">
            <v>0</v>
          </cell>
          <cell r="DT1160">
            <v>0</v>
          </cell>
          <cell r="DU1160">
            <v>0</v>
          </cell>
          <cell r="DV1160">
            <v>0</v>
          </cell>
          <cell r="DW1160">
            <v>0</v>
          </cell>
          <cell r="DX1160">
            <v>0</v>
          </cell>
          <cell r="DY1160">
            <v>0</v>
          </cell>
          <cell r="DZ1160">
            <v>0</v>
          </cell>
          <cell r="EA1160">
            <v>0</v>
          </cell>
          <cell r="EC1160">
            <v>0.1</v>
          </cell>
          <cell r="ED1160">
            <v>0</v>
          </cell>
          <cell r="EE1160">
            <v>0.09</v>
          </cell>
          <cell r="EF1160">
            <v>8.9585575778467685</v>
          </cell>
          <cell r="EG1160">
            <v>10.81135939061085</v>
          </cell>
          <cell r="EH1160">
            <v>0</v>
          </cell>
          <cell r="EI1160">
            <v>0</v>
          </cell>
          <cell r="EJ1160">
            <v>0</v>
          </cell>
          <cell r="EK1160">
            <v>0</v>
          </cell>
          <cell r="EL1160">
            <v>1459</v>
          </cell>
          <cell r="EM1160">
            <v>1349.0409160635322</v>
          </cell>
          <cell r="EN1160">
            <v>82.5200349816174</v>
          </cell>
          <cell r="EO1160">
            <v>162.60633144795869</v>
          </cell>
          <cell r="EP1160">
            <v>0</v>
          </cell>
          <cell r="EQ1160">
            <v>0</v>
          </cell>
          <cell r="ER1160">
            <v>0</v>
          </cell>
          <cell r="ES1160">
            <v>-1183</v>
          </cell>
          <cell r="ET1160">
            <v>0</v>
          </cell>
          <cell r="EU1160">
            <v>0</v>
          </cell>
          <cell r="EV1160">
            <v>276</v>
          </cell>
          <cell r="EX1160">
            <v>0</v>
          </cell>
          <cell r="EY1160">
            <v>0</v>
          </cell>
          <cell r="EZ1160">
            <v>0</v>
          </cell>
          <cell r="FA1160">
            <v>0</v>
          </cell>
          <cell r="FB1160" t="str">
            <v xml:space="preserve"> </v>
          </cell>
          <cell r="FC1160">
            <v>0</v>
          </cell>
          <cell r="FD1160">
            <v>0</v>
          </cell>
          <cell r="FE1160">
            <v>0</v>
          </cell>
          <cell r="FF1160">
            <v>0</v>
          </cell>
          <cell r="FG1160">
            <v>0</v>
          </cell>
          <cell r="FH1160">
            <v>0</v>
          </cell>
          <cell r="FI1160">
            <v>0</v>
          </cell>
          <cell r="FJ1160">
            <v>0</v>
          </cell>
          <cell r="FK1160">
            <v>0</v>
          </cell>
          <cell r="FL1160">
            <v>0</v>
          </cell>
          <cell r="FM1160">
            <v>0</v>
          </cell>
          <cell r="FN1160">
            <v>0</v>
          </cell>
          <cell r="FO1160">
            <v>0</v>
          </cell>
          <cell r="FP1160">
            <v>0</v>
          </cell>
          <cell r="FQ1160">
            <v>0</v>
          </cell>
          <cell r="FS1160">
            <v>0.1</v>
          </cell>
          <cell r="FT1160">
            <v>0</v>
          </cell>
          <cell r="FU1160">
            <v>0.09</v>
          </cell>
          <cell r="FV1160">
            <v>8.9585575778467685</v>
          </cell>
          <cell r="FW1160">
            <v>10.81135939061085</v>
          </cell>
          <cell r="FX1160">
            <v>0</v>
          </cell>
          <cell r="FY1160">
            <v>0</v>
          </cell>
          <cell r="FZ1160">
            <v>0</v>
          </cell>
          <cell r="GA1160">
            <v>0</v>
          </cell>
          <cell r="GB1160">
            <v>145</v>
          </cell>
          <cell r="GC1160">
            <v>4757.1551904046728</v>
          </cell>
          <cell r="GD1160">
            <v>298.15904306342838</v>
          </cell>
          <cell r="GE1160">
            <v>311.54671070729</v>
          </cell>
          <cell r="GF1160">
            <v>0</v>
          </cell>
          <cell r="GG1160">
            <v>0</v>
          </cell>
          <cell r="GH1160">
            <v>0</v>
          </cell>
          <cell r="GI1160">
            <v>0</v>
          </cell>
          <cell r="GJ1160">
            <v>0</v>
          </cell>
          <cell r="GK1160">
            <v>0</v>
          </cell>
          <cell r="GL1160">
            <v>145</v>
          </cell>
          <cell r="GN1160">
            <v>0.1</v>
          </cell>
          <cell r="GO1160">
            <v>0</v>
          </cell>
          <cell r="GP1160">
            <v>0.09</v>
          </cell>
          <cell r="GQ1160">
            <v>8.9585575778467685</v>
          </cell>
          <cell r="GR1160">
            <v>10.81135939061085</v>
          </cell>
          <cell r="GS1160">
            <v>0</v>
          </cell>
          <cell r="GT1160">
            <v>0</v>
          </cell>
          <cell r="GU1160">
            <v>0</v>
          </cell>
          <cell r="GV1160">
            <v>0</v>
          </cell>
          <cell r="GW1160">
            <v>3137</v>
          </cell>
          <cell r="GX1160">
            <v>4536.1508685204335</v>
          </cell>
          <cell r="GY1160">
            <v>1423.4679070366315</v>
          </cell>
          <cell r="GZ1160">
            <v>0</v>
          </cell>
          <cell r="HA1160">
            <v>0</v>
          </cell>
          <cell r="HB1160">
            <v>0</v>
          </cell>
          <cell r="HC1160">
            <v>0</v>
          </cell>
          <cell r="HD1160">
            <v>0</v>
          </cell>
          <cell r="HE1160">
            <v>0</v>
          </cell>
          <cell r="HF1160">
            <v>0</v>
          </cell>
          <cell r="HG1160">
            <v>3137</v>
          </cell>
          <cell r="HI1160">
            <v>0.1</v>
          </cell>
          <cell r="HJ1160">
            <v>0</v>
          </cell>
          <cell r="HK1160">
            <v>0.09</v>
          </cell>
          <cell r="HL1160">
            <v>8.9585575778467685</v>
          </cell>
          <cell r="HM1160">
            <v>10.81135939061085</v>
          </cell>
          <cell r="HN1160">
            <v>0</v>
          </cell>
          <cell r="HO1160">
            <v>0</v>
          </cell>
          <cell r="HP1160">
            <v>0</v>
          </cell>
          <cell r="HQ1160">
            <v>0</v>
          </cell>
          <cell r="HR1160">
            <v>13589</v>
          </cell>
          <cell r="HS1160">
            <v>19397.270580824843</v>
          </cell>
          <cell r="HT1160">
            <v>1826.412791787252</v>
          </cell>
          <cell r="HU1160">
            <v>0</v>
          </cell>
          <cell r="HV1160">
            <v>0</v>
          </cell>
          <cell r="HW1160">
            <v>0</v>
          </cell>
          <cell r="HX1160">
            <v>0</v>
          </cell>
          <cell r="HY1160">
            <v>0</v>
          </cell>
          <cell r="HZ1160">
            <v>0</v>
          </cell>
          <cell r="IA1160">
            <v>0</v>
          </cell>
          <cell r="IB1160">
            <v>13589</v>
          </cell>
        </row>
        <row r="1161">
          <cell r="C1161" t="str">
            <v>A0273</v>
          </cell>
          <cell r="D1161" t="str">
            <v>PT Stacomitra Graha</v>
          </cell>
          <cell r="E1161" t="str">
            <v>PEB 2</v>
          </cell>
          <cell r="F1161" t="str">
            <v>97PEB 2</v>
          </cell>
          <cell r="G1161">
            <v>0.1</v>
          </cell>
          <cell r="I1161">
            <v>0.09</v>
          </cell>
          <cell r="J1161">
            <v>8.9585575778467685</v>
          </cell>
          <cell r="K1161">
            <v>10.81135939061085</v>
          </cell>
          <cell r="P1161">
            <v>1225</v>
          </cell>
          <cell r="Q1161">
            <v>7219.9632467578886</v>
          </cell>
          <cell r="R1161">
            <v>473.45754290573234</v>
          </cell>
          <cell r="S1161">
            <v>0</v>
          </cell>
          <cell r="U1161">
            <v>0</v>
          </cell>
          <cell r="W1161">
            <v>-416</v>
          </cell>
          <cell r="X1161">
            <v>-304</v>
          </cell>
          <cell r="Y1161">
            <v>24</v>
          </cell>
          <cell r="Z1161">
            <v>505</v>
          </cell>
        </row>
        <row r="1162">
          <cell r="C1162" t="str">
            <v>A0273</v>
          </cell>
          <cell r="D1162" t="str">
            <v>PT Stacomitra Graha</v>
          </cell>
          <cell r="E1162" t="str">
            <v>PEB 3</v>
          </cell>
          <cell r="F1162" t="str">
            <v>97PEB 3</v>
          </cell>
          <cell r="K1162" t="str">
            <v xml:space="preserve"> </v>
          </cell>
          <cell r="P1162">
            <v>0</v>
          </cell>
          <cell r="U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</row>
        <row r="1163">
          <cell r="C1163" t="str">
            <v>A0273</v>
          </cell>
          <cell r="D1163" t="str">
            <v>PT Stacomitra Graha</v>
          </cell>
          <cell r="E1163" t="str">
            <v>PEB 4</v>
          </cell>
          <cell r="F1163" t="str">
            <v>97PEB 4</v>
          </cell>
          <cell r="G1163">
            <v>0.1</v>
          </cell>
          <cell r="I1163">
            <v>0.09</v>
          </cell>
          <cell r="J1163">
            <v>8.9585575778467685</v>
          </cell>
          <cell r="K1163">
            <v>10.81135939061085</v>
          </cell>
          <cell r="P1163">
            <v>6132</v>
          </cell>
          <cell r="Q1163">
            <v>0</v>
          </cell>
          <cell r="R1163">
            <v>0</v>
          </cell>
          <cell r="S1163">
            <v>508.69229879350121</v>
          </cell>
          <cell r="U1163">
            <v>0</v>
          </cell>
          <cell r="W1163">
            <v>-2833</v>
          </cell>
          <cell r="X1163">
            <v>-3059</v>
          </cell>
          <cell r="Y1163">
            <v>235</v>
          </cell>
          <cell r="Z1163">
            <v>240</v>
          </cell>
        </row>
        <row r="1164">
          <cell r="C1164" t="str">
            <v>A0273</v>
          </cell>
          <cell r="D1164" t="str">
            <v>PT Stacomitra Graha</v>
          </cell>
          <cell r="E1164" t="str">
            <v>PEB 5</v>
          </cell>
          <cell r="F1164" t="str">
            <v>97PEB 5</v>
          </cell>
          <cell r="K1164" t="str">
            <v xml:space="preserve"> </v>
          </cell>
          <cell r="P1164">
            <v>0</v>
          </cell>
          <cell r="U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</row>
        <row r="1165">
          <cell r="C1165" t="str">
            <v>A0273</v>
          </cell>
          <cell r="D1165" t="str">
            <v>PT Stacomitra Graha</v>
          </cell>
          <cell r="E1165" t="str">
            <v>PEB 6</v>
          </cell>
          <cell r="F1165" t="str">
            <v>97PEB 6</v>
          </cell>
          <cell r="P1165">
            <v>0</v>
          </cell>
          <cell r="U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</row>
        <row r="1166">
          <cell r="C1166" t="str">
            <v>A0273</v>
          </cell>
          <cell r="D1166" t="str">
            <v>PT Stacomitra Graha</v>
          </cell>
          <cell r="E1166" t="str">
            <v>PEB 7</v>
          </cell>
          <cell r="F1166" t="str">
            <v>97PEB 7</v>
          </cell>
          <cell r="G1166">
            <v>0.1</v>
          </cell>
          <cell r="I1166">
            <v>0.09</v>
          </cell>
          <cell r="J1166">
            <v>8.9585575778467685</v>
          </cell>
          <cell r="K1166">
            <v>10.81135939061085</v>
          </cell>
          <cell r="P1166">
            <v>1459</v>
          </cell>
          <cell r="Q1166">
            <v>1349.0409160635322</v>
          </cell>
          <cell r="R1166">
            <v>82.5200349816174</v>
          </cell>
          <cell r="S1166">
            <v>162.60633144795869</v>
          </cell>
          <cell r="U1166">
            <v>0</v>
          </cell>
          <cell r="W1166">
            <v>-1183</v>
          </cell>
          <cell r="X1166">
            <v>0</v>
          </cell>
          <cell r="Y1166">
            <v>0</v>
          </cell>
          <cell r="Z1166">
            <v>276</v>
          </cell>
        </row>
        <row r="1167">
          <cell r="C1167" t="str">
            <v>A0273</v>
          </cell>
          <cell r="D1167" t="str">
            <v>PT Stacomitra Graha</v>
          </cell>
          <cell r="E1167" t="str">
            <v>MPP</v>
          </cell>
          <cell r="F1167" t="str">
            <v>97MPP</v>
          </cell>
          <cell r="K1167" t="str">
            <v xml:space="preserve"> </v>
          </cell>
          <cell r="P1167">
            <v>0</v>
          </cell>
          <cell r="U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</row>
        <row r="1168">
          <cell r="C1168" t="str">
            <v>A0273</v>
          </cell>
          <cell r="D1168" t="str">
            <v>PT Stacomitra Graha</v>
          </cell>
          <cell r="E1168" t="str">
            <v>ID</v>
          </cell>
          <cell r="F1168" t="str">
            <v>97ID</v>
          </cell>
          <cell r="G1168">
            <v>0.1</v>
          </cell>
          <cell r="I1168">
            <v>0.09</v>
          </cell>
          <cell r="J1168">
            <v>8.9585575778467685</v>
          </cell>
          <cell r="K1168">
            <v>10.81135939061085</v>
          </cell>
          <cell r="P1168">
            <v>145</v>
          </cell>
          <cell r="Q1168">
            <v>4757.1551904046728</v>
          </cell>
          <cell r="R1168">
            <v>298.15904306342838</v>
          </cell>
          <cell r="S1168">
            <v>311.54671070729</v>
          </cell>
          <cell r="U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145</v>
          </cell>
        </row>
        <row r="1169">
          <cell r="C1169" t="str">
            <v>A0273</v>
          </cell>
          <cell r="D1169" t="str">
            <v>PT Stacomitra Graha</v>
          </cell>
          <cell r="E1169" t="str">
            <v>LL</v>
          </cell>
          <cell r="F1169" t="str">
            <v>97LL</v>
          </cell>
          <cell r="G1169">
            <v>0.1</v>
          </cell>
          <cell r="I1169">
            <v>0.09</v>
          </cell>
          <cell r="J1169">
            <v>8.9585575778467685</v>
          </cell>
          <cell r="K1169">
            <v>10.81135939061085</v>
          </cell>
          <cell r="P1169">
            <v>3137</v>
          </cell>
          <cell r="Q1169">
            <v>4536.1508685204335</v>
          </cell>
          <cell r="R1169">
            <v>1423.4679070366315</v>
          </cell>
          <cell r="S1169">
            <v>0</v>
          </cell>
          <cell r="U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3137</v>
          </cell>
        </row>
        <row r="1170">
          <cell r="C1170" t="str">
            <v>A0273</v>
          </cell>
          <cell r="D1170" t="str">
            <v>PT Stacomitra Graha</v>
          </cell>
          <cell r="E1170" t="str">
            <v>PMK</v>
          </cell>
          <cell r="F1170" t="str">
            <v>97PMK</v>
          </cell>
          <cell r="G1170">
            <v>0.1</v>
          </cell>
          <cell r="I1170">
            <v>0.09</v>
          </cell>
          <cell r="J1170">
            <v>8.9585575778467685</v>
          </cell>
          <cell r="K1170">
            <v>10.81135939061085</v>
          </cell>
          <cell r="P1170">
            <v>13589</v>
          </cell>
          <cell r="Q1170">
            <v>19397.270580824843</v>
          </cell>
          <cell r="R1170">
            <v>1826.412791787252</v>
          </cell>
          <cell r="S1170">
            <v>0</v>
          </cell>
          <cell r="U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13589</v>
          </cell>
        </row>
        <row r="1172">
          <cell r="C1172" t="str">
            <v>A0435</v>
          </cell>
          <cell r="D1172" t="str">
            <v>PT Subur Abadi Plantation</v>
          </cell>
          <cell r="E1172" t="str">
            <v>PEB 1</v>
          </cell>
          <cell r="F1172" t="str">
            <v>98PEB 1</v>
          </cell>
          <cell r="J1172">
            <v>0</v>
          </cell>
          <cell r="N1172">
            <v>0</v>
          </cell>
          <cell r="O1172">
            <v>0</v>
          </cell>
          <cell r="P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10.28129686041216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156530</v>
          </cell>
          <cell r="AL1172">
            <v>160594.67865511929</v>
          </cell>
          <cell r="AM1172">
            <v>18672.145882592671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-62960</v>
          </cell>
          <cell r="AS1172">
            <v>0</v>
          </cell>
          <cell r="AT1172">
            <v>0</v>
          </cell>
          <cell r="AU1172">
            <v>93570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10.28129686041216</v>
          </cell>
          <cell r="BV1172">
            <v>0</v>
          </cell>
          <cell r="BW1172">
            <v>0</v>
          </cell>
          <cell r="BX1172">
            <v>0</v>
          </cell>
          <cell r="BY1172">
            <v>0</v>
          </cell>
          <cell r="BZ1172">
            <v>0</v>
          </cell>
          <cell r="CA1172">
            <v>274711</v>
          </cell>
          <cell r="CB1172">
            <v>538689.99131760024</v>
          </cell>
          <cell r="CC1172">
            <v>70118.09272817547</v>
          </cell>
          <cell r="CD1172">
            <v>0</v>
          </cell>
          <cell r="CE1172">
            <v>0</v>
          </cell>
          <cell r="CF1172">
            <v>0</v>
          </cell>
          <cell r="CG1172">
            <v>0</v>
          </cell>
          <cell r="CH1172">
            <v>-166393</v>
          </cell>
          <cell r="CI1172">
            <v>0</v>
          </cell>
          <cell r="CJ1172">
            <v>0</v>
          </cell>
          <cell r="CK1172">
            <v>108318</v>
          </cell>
          <cell r="CM1172">
            <v>0</v>
          </cell>
          <cell r="CN1172">
            <v>0</v>
          </cell>
          <cell r="CO1172">
            <v>0</v>
          </cell>
          <cell r="CP1172">
            <v>0</v>
          </cell>
          <cell r="CQ1172">
            <v>0</v>
          </cell>
          <cell r="CR1172">
            <v>0</v>
          </cell>
          <cell r="CS1172">
            <v>0</v>
          </cell>
          <cell r="CT1172">
            <v>0</v>
          </cell>
          <cell r="CU1172">
            <v>0</v>
          </cell>
          <cell r="CV1172">
            <v>0</v>
          </cell>
          <cell r="CW1172">
            <v>0</v>
          </cell>
          <cell r="CX1172">
            <v>0</v>
          </cell>
          <cell r="CY1172">
            <v>0</v>
          </cell>
          <cell r="CZ1172">
            <v>0</v>
          </cell>
          <cell r="DA1172">
            <v>0</v>
          </cell>
          <cell r="DB1172">
            <v>0</v>
          </cell>
          <cell r="DC1172">
            <v>0</v>
          </cell>
          <cell r="DD1172">
            <v>0</v>
          </cell>
          <cell r="DE1172">
            <v>0</v>
          </cell>
          <cell r="DF1172">
            <v>0</v>
          </cell>
          <cell r="DH1172">
            <v>0</v>
          </cell>
          <cell r="DI1172">
            <v>0</v>
          </cell>
          <cell r="DJ1172">
            <v>0</v>
          </cell>
          <cell r="DK1172">
            <v>0</v>
          </cell>
          <cell r="DL1172">
            <v>0</v>
          </cell>
          <cell r="DM1172">
            <v>0</v>
          </cell>
          <cell r="DN1172">
            <v>0</v>
          </cell>
          <cell r="DO1172">
            <v>0</v>
          </cell>
          <cell r="DP1172">
            <v>0</v>
          </cell>
          <cell r="DQ1172">
            <v>0</v>
          </cell>
          <cell r="DR1172">
            <v>0</v>
          </cell>
          <cell r="DS1172">
            <v>0</v>
          </cell>
          <cell r="DT1172">
            <v>0</v>
          </cell>
          <cell r="DU1172">
            <v>0</v>
          </cell>
          <cell r="DV1172">
            <v>0</v>
          </cell>
          <cell r="DW1172">
            <v>0</v>
          </cell>
          <cell r="DX1172">
            <v>0</v>
          </cell>
          <cell r="DY1172">
            <v>0</v>
          </cell>
          <cell r="DZ1172">
            <v>0</v>
          </cell>
          <cell r="EA1172">
            <v>0</v>
          </cell>
          <cell r="EC1172">
            <v>0</v>
          </cell>
          <cell r="ED1172">
            <v>0</v>
          </cell>
          <cell r="EE1172">
            <v>0</v>
          </cell>
          <cell r="EF1172">
            <v>10.28129686041216</v>
          </cell>
          <cell r="EG1172">
            <v>0</v>
          </cell>
          <cell r="EH1172">
            <v>0</v>
          </cell>
          <cell r="EI1172">
            <v>0</v>
          </cell>
          <cell r="EJ1172">
            <v>0</v>
          </cell>
          <cell r="EK1172">
            <v>0</v>
          </cell>
          <cell r="EL1172">
            <v>19388</v>
          </cell>
          <cell r="EM1172">
            <v>20363.083087078689</v>
          </cell>
          <cell r="EN1172">
            <v>3020.0491468515643</v>
          </cell>
          <cell r="EO1172">
            <v>2028.9265557307247</v>
          </cell>
          <cell r="EP1172">
            <v>0</v>
          </cell>
          <cell r="EQ1172">
            <v>0</v>
          </cell>
          <cell r="ER1172">
            <v>0</v>
          </cell>
          <cell r="ES1172">
            <v>4681</v>
          </cell>
          <cell r="ET1172">
            <v>0</v>
          </cell>
          <cell r="EU1172">
            <v>0</v>
          </cell>
          <cell r="EV1172">
            <v>24069</v>
          </cell>
          <cell r="EX1172">
            <v>0</v>
          </cell>
          <cell r="EY1172">
            <v>0</v>
          </cell>
          <cell r="EZ1172">
            <v>0</v>
          </cell>
          <cell r="FA1172">
            <v>0</v>
          </cell>
          <cell r="FB1172">
            <v>0</v>
          </cell>
          <cell r="FC1172">
            <v>0</v>
          </cell>
          <cell r="FD1172">
            <v>0</v>
          </cell>
          <cell r="FE1172">
            <v>0</v>
          </cell>
          <cell r="FF1172">
            <v>0</v>
          </cell>
          <cell r="FG1172">
            <v>0</v>
          </cell>
          <cell r="FH1172">
            <v>25652.616729290799</v>
          </cell>
          <cell r="FI1172">
            <v>3525.0090553039054</v>
          </cell>
          <cell r="FJ1172">
            <v>0</v>
          </cell>
          <cell r="FK1172">
            <v>0</v>
          </cell>
          <cell r="FL1172">
            <v>0</v>
          </cell>
          <cell r="FM1172">
            <v>0</v>
          </cell>
          <cell r="FN1172">
            <v>0</v>
          </cell>
          <cell r="FO1172">
            <v>0</v>
          </cell>
          <cell r="FP1172">
            <v>0</v>
          </cell>
          <cell r="FQ1172">
            <v>0</v>
          </cell>
          <cell r="FS1172">
            <v>0</v>
          </cell>
          <cell r="FT1172">
            <v>0</v>
          </cell>
          <cell r="FU1172">
            <v>0</v>
          </cell>
          <cell r="FV1172">
            <v>10.28129686041216</v>
          </cell>
          <cell r="FW1172">
            <v>0</v>
          </cell>
          <cell r="FX1172">
            <v>0</v>
          </cell>
          <cell r="FY1172">
            <v>0</v>
          </cell>
          <cell r="FZ1172">
            <v>0</v>
          </cell>
          <cell r="GA1172">
            <v>0</v>
          </cell>
          <cell r="GB1172">
            <v>1839</v>
          </cell>
          <cell r="GC1172">
            <v>59787.413394813972</v>
          </cell>
          <cell r="GD1172">
            <v>8451.1213366933807</v>
          </cell>
          <cell r="GE1172">
            <v>2966.74416987212</v>
          </cell>
          <cell r="GF1172">
            <v>0</v>
          </cell>
          <cell r="GG1172">
            <v>0</v>
          </cell>
          <cell r="GH1172">
            <v>0</v>
          </cell>
          <cell r="GI1172">
            <v>0</v>
          </cell>
          <cell r="GJ1172">
            <v>0</v>
          </cell>
          <cell r="GK1172">
            <v>0</v>
          </cell>
          <cell r="GL1172">
            <v>1839</v>
          </cell>
          <cell r="GN1172">
            <v>0</v>
          </cell>
          <cell r="GO1172">
            <v>0</v>
          </cell>
          <cell r="GP1172">
            <v>0</v>
          </cell>
          <cell r="GQ1172">
            <v>10.28129686041216</v>
          </cell>
          <cell r="GR1172">
            <v>0</v>
          </cell>
          <cell r="GS1172">
            <v>0</v>
          </cell>
          <cell r="GT1172">
            <v>0</v>
          </cell>
          <cell r="GU1172">
            <v>0</v>
          </cell>
          <cell r="GV1172">
            <v>0</v>
          </cell>
          <cell r="GW1172">
            <v>262692</v>
          </cell>
          <cell r="GX1172">
            <v>68273.122478444697</v>
          </cell>
          <cell r="GY1172">
            <v>29980.826633336164</v>
          </cell>
          <cell r="GZ1172">
            <v>28138.522261508344</v>
          </cell>
          <cell r="HA1172">
            <v>0</v>
          </cell>
          <cell r="HB1172">
            <v>0</v>
          </cell>
          <cell r="HC1172">
            <v>0</v>
          </cell>
          <cell r="HD1172">
            <v>0</v>
          </cell>
          <cell r="HE1172">
            <v>0</v>
          </cell>
          <cell r="HF1172">
            <v>0</v>
          </cell>
          <cell r="HG1172">
            <v>262692</v>
          </cell>
          <cell r="HI1172">
            <v>0</v>
          </cell>
          <cell r="HJ1172">
            <v>0</v>
          </cell>
          <cell r="HK1172">
            <v>0</v>
          </cell>
          <cell r="HL1172">
            <v>10.28129686041216</v>
          </cell>
          <cell r="HM1172">
            <v>0</v>
          </cell>
          <cell r="HN1172">
            <v>0</v>
          </cell>
          <cell r="HO1172">
            <v>0</v>
          </cell>
          <cell r="HP1172">
            <v>0</v>
          </cell>
          <cell r="HQ1172">
            <v>0</v>
          </cell>
          <cell r="HR1172">
            <v>20177</v>
          </cell>
          <cell r="HS1172">
            <v>38293.478434567449</v>
          </cell>
          <cell r="HT1172">
            <v>5704.0423160704686</v>
          </cell>
          <cell r="HU1172">
            <v>0</v>
          </cell>
          <cell r="HV1172">
            <v>0</v>
          </cell>
          <cell r="HW1172">
            <v>0</v>
          </cell>
          <cell r="HX1172">
            <v>0</v>
          </cell>
          <cell r="HY1172">
            <v>0</v>
          </cell>
          <cell r="HZ1172">
            <v>0</v>
          </cell>
          <cell r="IA1172">
            <v>0</v>
          </cell>
          <cell r="IB1172">
            <v>20177</v>
          </cell>
        </row>
        <row r="1173">
          <cell r="C1173" t="str">
            <v>A0435</v>
          </cell>
          <cell r="D1173" t="str">
            <v>PT Subur Abadi Plantation</v>
          </cell>
          <cell r="E1173" t="str">
            <v>PEB 2</v>
          </cell>
          <cell r="F1173" t="str">
            <v>98PEB 2</v>
          </cell>
          <cell r="J1173">
            <v>10.28129686041216</v>
          </cell>
          <cell r="P1173">
            <v>156530</v>
          </cell>
          <cell r="Q1173">
            <v>160594.67865511929</v>
          </cell>
          <cell r="R1173">
            <v>18672.145882592671</v>
          </cell>
          <cell r="S1173">
            <v>0</v>
          </cell>
          <cell r="U1173">
            <v>0</v>
          </cell>
          <cell r="W1173">
            <v>-62960</v>
          </cell>
          <cell r="X1173">
            <v>0</v>
          </cell>
          <cell r="Y1173">
            <v>0</v>
          </cell>
          <cell r="Z1173">
            <v>93570</v>
          </cell>
        </row>
        <row r="1174">
          <cell r="C1174" t="str">
            <v>A0435</v>
          </cell>
          <cell r="D1174" t="str">
            <v>PT Subur Abadi Plantation</v>
          </cell>
          <cell r="E1174" t="str">
            <v>PEB 3</v>
          </cell>
          <cell r="F1174" t="str">
            <v>98PEB 3</v>
          </cell>
          <cell r="J1174">
            <v>0</v>
          </cell>
          <cell r="P1174">
            <v>0</v>
          </cell>
          <cell r="U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</row>
        <row r="1175">
          <cell r="C1175" t="str">
            <v>A0435</v>
          </cell>
          <cell r="D1175" t="str">
            <v>PT Subur Abadi Plantation</v>
          </cell>
          <cell r="E1175" t="str">
            <v>PEB 4</v>
          </cell>
          <cell r="F1175" t="str">
            <v>98PEB 4</v>
          </cell>
          <cell r="J1175">
            <v>10.28129686041216</v>
          </cell>
          <cell r="P1175">
            <v>274711</v>
          </cell>
          <cell r="Q1175">
            <v>538689.99131760024</v>
          </cell>
          <cell r="R1175">
            <v>70118.09272817547</v>
          </cell>
          <cell r="S1175">
            <v>0</v>
          </cell>
          <cell r="U1175">
            <v>0</v>
          </cell>
          <cell r="W1175">
            <v>-166393</v>
          </cell>
          <cell r="X1175">
            <v>0</v>
          </cell>
          <cell r="Y1175">
            <v>0</v>
          </cell>
          <cell r="Z1175">
            <v>108318</v>
          </cell>
        </row>
        <row r="1176">
          <cell r="C1176" t="str">
            <v>A0435</v>
          </cell>
          <cell r="D1176" t="str">
            <v>PT Subur Abadi Plantation</v>
          </cell>
          <cell r="E1176" t="str">
            <v>PEB 5</v>
          </cell>
          <cell r="F1176" t="str">
            <v>98PEB 5</v>
          </cell>
          <cell r="J1176">
            <v>0</v>
          </cell>
          <cell r="P1176">
            <v>0</v>
          </cell>
          <cell r="U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</row>
        <row r="1177">
          <cell r="C1177" t="str">
            <v>A0435</v>
          </cell>
          <cell r="D1177" t="str">
            <v>PT Subur Abadi Plantation</v>
          </cell>
          <cell r="E1177" t="str">
            <v>PEB 6</v>
          </cell>
          <cell r="F1177" t="str">
            <v>98PEB 6</v>
          </cell>
          <cell r="J1177">
            <v>0</v>
          </cell>
          <cell r="P1177">
            <v>0</v>
          </cell>
          <cell r="U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</row>
        <row r="1178">
          <cell r="C1178" t="str">
            <v>A0435</v>
          </cell>
          <cell r="D1178" t="str">
            <v>PT Subur Abadi Plantation</v>
          </cell>
          <cell r="E1178" t="str">
            <v>PEB 7</v>
          </cell>
          <cell r="F1178" t="str">
            <v>98PEB 7</v>
          </cell>
          <cell r="J1178">
            <v>10.28129686041216</v>
          </cell>
          <cell r="P1178">
            <v>19388</v>
          </cell>
          <cell r="Q1178">
            <v>20363.083087078689</v>
          </cell>
          <cell r="R1178">
            <v>3020.0491468515643</v>
          </cell>
          <cell r="S1178">
            <v>2028.9265557307247</v>
          </cell>
          <cell r="U1178">
            <v>0</v>
          </cell>
          <cell r="W1178">
            <v>4681</v>
          </cell>
          <cell r="X1178">
            <v>0</v>
          </cell>
          <cell r="Y1178">
            <v>0</v>
          </cell>
          <cell r="Z1178">
            <v>24069</v>
          </cell>
        </row>
        <row r="1179">
          <cell r="C1179" t="str">
            <v>A0435</v>
          </cell>
          <cell r="D1179" t="str">
            <v>PT Subur Abadi Plantation</v>
          </cell>
          <cell r="E1179" t="str">
            <v>MPP</v>
          </cell>
          <cell r="F1179" t="str">
            <v>98MPP</v>
          </cell>
          <cell r="J1179">
            <v>0</v>
          </cell>
          <cell r="P1179">
            <v>0</v>
          </cell>
          <cell r="Q1179">
            <v>25652.616729290799</v>
          </cell>
          <cell r="R1179">
            <v>3525.0090553039054</v>
          </cell>
          <cell r="S1179">
            <v>0</v>
          </cell>
          <cell r="U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</row>
        <row r="1180">
          <cell r="C1180" t="str">
            <v>A0435</v>
          </cell>
          <cell r="D1180" t="str">
            <v>PT Subur Abadi Plantation</v>
          </cell>
          <cell r="E1180" t="str">
            <v>ID</v>
          </cell>
          <cell r="F1180" t="str">
            <v>98ID</v>
          </cell>
          <cell r="J1180">
            <v>10.28129686041216</v>
          </cell>
          <cell r="P1180">
            <v>1839</v>
          </cell>
          <cell r="Q1180">
            <v>59787.413394813972</v>
          </cell>
          <cell r="R1180">
            <v>8451.1213366933807</v>
          </cell>
          <cell r="S1180">
            <v>2966.74416987212</v>
          </cell>
          <cell r="U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1839</v>
          </cell>
        </row>
        <row r="1181">
          <cell r="C1181" t="str">
            <v>A0435</v>
          </cell>
          <cell r="D1181" t="str">
            <v>PT Subur Abadi Plantation</v>
          </cell>
          <cell r="E1181" t="str">
            <v>LL</v>
          </cell>
          <cell r="F1181" t="str">
            <v>98LL</v>
          </cell>
          <cell r="J1181">
            <v>10.28129686041216</v>
          </cell>
          <cell r="P1181">
            <v>262692</v>
          </cell>
          <cell r="Q1181">
            <v>68273.122478444697</v>
          </cell>
          <cell r="R1181">
            <v>29980.826633336164</v>
          </cell>
          <cell r="S1181">
            <v>28138.522261508344</v>
          </cell>
          <cell r="U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262692</v>
          </cell>
        </row>
        <row r="1182">
          <cell r="C1182" t="str">
            <v>A0435</v>
          </cell>
          <cell r="D1182" t="str">
            <v>PT Subur Abadi Plantation</v>
          </cell>
          <cell r="E1182" t="str">
            <v>PMK</v>
          </cell>
          <cell r="F1182" t="str">
            <v>98PMK</v>
          </cell>
          <cell r="J1182">
            <v>10.28129686041216</v>
          </cell>
          <cell r="P1182">
            <v>20177</v>
          </cell>
          <cell r="Q1182">
            <v>38293.478434567449</v>
          </cell>
          <cell r="R1182">
            <v>5704.0423160704686</v>
          </cell>
          <cell r="S1182">
            <v>0</v>
          </cell>
          <cell r="U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20177</v>
          </cell>
        </row>
        <row r="1184">
          <cell r="C1184" t="str">
            <v>A0169</v>
          </cell>
          <cell r="D1184" t="str">
            <v>PT Sukses Tani Nusa Subur</v>
          </cell>
          <cell r="E1184" t="str">
            <v>PEB 1</v>
          </cell>
          <cell r="F1184" t="str">
            <v>99PEB 1</v>
          </cell>
          <cell r="J1184">
            <v>0</v>
          </cell>
          <cell r="N1184">
            <v>0</v>
          </cell>
          <cell r="O1184">
            <v>0</v>
          </cell>
          <cell r="P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10.102029442705101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779474</v>
          </cell>
          <cell r="AL1184">
            <v>1574377.5231139362</v>
          </cell>
          <cell r="AM1184">
            <v>186824.56518198011</v>
          </cell>
          <cell r="AN1184">
            <v>99236.793699999995</v>
          </cell>
          <cell r="AO1184">
            <v>0</v>
          </cell>
          <cell r="AP1184">
            <v>0</v>
          </cell>
          <cell r="AQ1184">
            <v>0</v>
          </cell>
          <cell r="AR1184">
            <v>-238535</v>
          </cell>
          <cell r="AS1184">
            <v>0</v>
          </cell>
          <cell r="AT1184">
            <v>0</v>
          </cell>
          <cell r="AU1184">
            <v>540939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R1184">
            <v>0</v>
          </cell>
          <cell r="BS1184">
            <v>0</v>
          </cell>
          <cell r="BT1184">
            <v>0</v>
          </cell>
          <cell r="BU1184">
            <v>10.124586856732137</v>
          </cell>
          <cell r="BV1184">
            <v>0</v>
          </cell>
          <cell r="BW1184">
            <v>0</v>
          </cell>
          <cell r="BX1184">
            <v>0</v>
          </cell>
          <cell r="BY1184">
            <v>0</v>
          </cell>
          <cell r="BZ1184">
            <v>0</v>
          </cell>
          <cell r="CA1184">
            <v>1438132</v>
          </cell>
          <cell r="CB1184">
            <v>2194518.0042925845</v>
          </cell>
          <cell r="CC1184">
            <v>290298.21466028073</v>
          </cell>
          <cell r="CD1184">
            <v>570499.92299367953</v>
          </cell>
          <cell r="CE1184">
            <v>0</v>
          </cell>
          <cell r="CF1184">
            <v>0</v>
          </cell>
          <cell r="CG1184">
            <v>0</v>
          </cell>
          <cell r="CH1184">
            <v>-1035956</v>
          </cell>
          <cell r="CI1184">
            <v>-140497</v>
          </cell>
          <cell r="CJ1184">
            <v>7388</v>
          </cell>
          <cell r="CK1184">
            <v>261679</v>
          </cell>
          <cell r="CM1184">
            <v>0</v>
          </cell>
          <cell r="CN1184">
            <v>0</v>
          </cell>
          <cell r="CO1184">
            <v>0</v>
          </cell>
          <cell r="CP1184">
            <v>10.154049014500417</v>
          </cell>
          <cell r="CQ1184">
            <v>0</v>
          </cell>
          <cell r="CR1184">
            <v>0</v>
          </cell>
          <cell r="CS1184">
            <v>0</v>
          </cell>
          <cell r="CT1184">
            <v>0</v>
          </cell>
          <cell r="CU1184">
            <v>0</v>
          </cell>
          <cell r="CV1184">
            <v>257102</v>
          </cell>
          <cell r="CW1184">
            <v>0</v>
          </cell>
          <cell r="CX1184">
            <v>0</v>
          </cell>
          <cell r="CY1184">
            <v>0</v>
          </cell>
          <cell r="CZ1184">
            <v>0</v>
          </cell>
          <cell r="DA1184">
            <v>0</v>
          </cell>
          <cell r="DB1184">
            <v>0</v>
          </cell>
          <cell r="DC1184">
            <v>1119783</v>
          </cell>
          <cell r="DD1184">
            <v>0</v>
          </cell>
          <cell r="DE1184">
            <v>0</v>
          </cell>
          <cell r="DF1184">
            <v>1376885</v>
          </cell>
          <cell r="DH1184">
            <v>0</v>
          </cell>
          <cell r="DI1184">
            <v>0</v>
          </cell>
          <cell r="DJ1184">
            <v>0</v>
          </cell>
          <cell r="DK1184">
            <v>0</v>
          </cell>
          <cell r="DL1184">
            <v>0</v>
          </cell>
          <cell r="DM1184">
            <v>0</v>
          </cell>
          <cell r="DN1184">
            <v>0</v>
          </cell>
          <cell r="DO1184">
            <v>0</v>
          </cell>
          <cell r="DP1184">
            <v>0</v>
          </cell>
          <cell r="DQ1184">
            <v>0</v>
          </cell>
          <cell r="DR1184">
            <v>0</v>
          </cell>
          <cell r="DS1184">
            <v>0</v>
          </cell>
          <cell r="DT1184">
            <v>0</v>
          </cell>
          <cell r="DU1184">
            <v>0</v>
          </cell>
          <cell r="DV1184">
            <v>0</v>
          </cell>
          <cell r="DW1184">
            <v>0</v>
          </cell>
          <cell r="DX1184">
            <v>0</v>
          </cell>
          <cell r="DY1184">
            <v>0</v>
          </cell>
          <cell r="DZ1184">
            <v>0</v>
          </cell>
          <cell r="EA1184">
            <v>0</v>
          </cell>
          <cell r="EC1184">
            <v>0</v>
          </cell>
          <cell r="ED1184">
            <v>0</v>
          </cell>
          <cell r="EE1184">
            <v>0</v>
          </cell>
          <cell r="EF1184">
            <v>10.102029442705101</v>
          </cell>
          <cell r="EG1184">
            <v>0</v>
          </cell>
          <cell r="EH1184">
            <v>0</v>
          </cell>
          <cell r="EI1184">
            <v>0</v>
          </cell>
          <cell r="EJ1184">
            <v>0</v>
          </cell>
          <cell r="EK1184">
            <v>0</v>
          </cell>
          <cell r="EL1184">
            <v>97496</v>
          </cell>
          <cell r="EM1184">
            <v>241433.06474025571</v>
          </cell>
          <cell r="EN1184">
            <v>37692.958411067899</v>
          </cell>
          <cell r="EO1184">
            <v>24906.971058830288</v>
          </cell>
          <cell r="EP1184">
            <v>0</v>
          </cell>
          <cell r="EQ1184">
            <v>0</v>
          </cell>
          <cell r="ER1184">
            <v>0</v>
          </cell>
          <cell r="ES1184">
            <v>-93973</v>
          </cell>
          <cell r="ET1184">
            <v>0</v>
          </cell>
          <cell r="EU1184">
            <v>0</v>
          </cell>
          <cell r="EV1184">
            <v>3523</v>
          </cell>
          <cell r="EX1184">
            <v>0</v>
          </cell>
          <cell r="EY1184">
            <v>0</v>
          </cell>
          <cell r="EZ1184">
            <v>0</v>
          </cell>
          <cell r="FA1184">
            <v>0</v>
          </cell>
          <cell r="FB1184">
            <v>0</v>
          </cell>
          <cell r="FC1184">
            <v>0</v>
          </cell>
          <cell r="FD1184">
            <v>0</v>
          </cell>
          <cell r="FE1184">
            <v>0</v>
          </cell>
          <cell r="FF1184">
            <v>0</v>
          </cell>
          <cell r="FG1184">
            <v>0</v>
          </cell>
          <cell r="FH1184">
            <v>274546.79233917774</v>
          </cell>
          <cell r="FI1184">
            <v>33630.677259904864</v>
          </cell>
          <cell r="FJ1184">
            <v>30120.60111</v>
          </cell>
          <cell r="FK1184">
            <v>0</v>
          </cell>
          <cell r="FL1184">
            <v>0</v>
          </cell>
          <cell r="FM1184">
            <v>0</v>
          </cell>
          <cell r="FN1184">
            <v>0</v>
          </cell>
          <cell r="FO1184">
            <v>0</v>
          </cell>
          <cell r="FP1184">
            <v>0</v>
          </cell>
          <cell r="FQ1184">
            <v>0</v>
          </cell>
          <cell r="FS1184">
            <v>0</v>
          </cell>
          <cell r="FT1184">
            <v>0</v>
          </cell>
          <cell r="FU1184">
            <v>0</v>
          </cell>
          <cell r="FV1184">
            <v>10.102029442705101</v>
          </cell>
          <cell r="FW1184">
            <v>0</v>
          </cell>
          <cell r="FX1184">
            <v>0</v>
          </cell>
          <cell r="FY1184">
            <v>0</v>
          </cell>
          <cell r="FZ1184">
            <v>0</v>
          </cell>
          <cell r="GA1184">
            <v>0</v>
          </cell>
          <cell r="GB1184">
            <v>15664</v>
          </cell>
          <cell r="GC1184">
            <v>574094.20842265338</v>
          </cell>
          <cell r="GD1184">
            <v>81957.206349952336</v>
          </cell>
          <cell r="GE1184">
            <v>32985.090085097145</v>
          </cell>
          <cell r="GF1184">
            <v>0</v>
          </cell>
          <cell r="GG1184">
            <v>0</v>
          </cell>
          <cell r="GH1184">
            <v>0</v>
          </cell>
          <cell r="GI1184">
            <v>0</v>
          </cell>
          <cell r="GJ1184">
            <v>0</v>
          </cell>
          <cell r="GK1184">
            <v>0</v>
          </cell>
          <cell r="GL1184">
            <v>15664</v>
          </cell>
          <cell r="GN1184">
            <v>0</v>
          </cell>
          <cell r="GO1184">
            <v>0</v>
          </cell>
          <cell r="GP1184">
            <v>0</v>
          </cell>
          <cell r="GQ1184">
            <v>10.102029442705101</v>
          </cell>
          <cell r="GR1184">
            <v>0</v>
          </cell>
          <cell r="GS1184">
            <v>0</v>
          </cell>
          <cell r="GT1184">
            <v>0</v>
          </cell>
          <cell r="GU1184">
            <v>0</v>
          </cell>
          <cell r="GV1184">
            <v>0</v>
          </cell>
          <cell r="GW1184">
            <v>678175</v>
          </cell>
          <cell r="GX1184">
            <v>826447.95353677031</v>
          </cell>
          <cell r="GY1184">
            <v>303949.45240685582</v>
          </cell>
          <cell r="GZ1184">
            <v>453990.00061713479</v>
          </cell>
          <cell r="HA1184">
            <v>0</v>
          </cell>
          <cell r="HB1184">
            <v>0</v>
          </cell>
          <cell r="HC1184">
            <v>0</v>
          </cell>
          <cell r="HD1184">
            <v>0</v>
          </cell>
          <cell r="HE1184">
            <v>0</v>
          </cell>
          <cell r="HF1184">
            <v>0</v>
          </cell>
          <cell r="HG1184">
            <v>678175</v>
          </cell>
          <cell r="HI1184">
            <v>0</v>
          </cell>
          <cell r="HJ1184">
            <v>0</v>
          </cell>
          <cell r="HK1184">
            <v>0</v>
          </cell>
          <cell r="HL1184">
            <v>10.102029442705101</v>
          </cell>
          <cell r="HM1184">
            <v>0</v>
          </cell>
          <cell r="HN1184">
            <v>0</v>
          </cell>
          <cell r="HO1184">
            <v>0</v>
          </cell>
          <cell r="HP1184">
            <v>0</v>
          </cell>
          <cell r="HQ1184">
            <v>0</v>
          </cell>
          <cell r="HR1184">
            <v>354113</v>
          </cell>
          <cell r="HS1184">
            <v>816256.63261963392</v>
          </cell>
          <cell r="HT1184">
            <v>131030.61151774482</v>
          </cell>
          <cell r="HU1184">
            <v>133875</v>
          </cell>
          <cell r="HV1184">
            <v>0</v>
          </cell>
          <cell r="HW1184">
            <v>0</v>
          </cell>
          <cell r="HX1184">
            <v>0</v>
          </cell>
          <cell r="HY1184">
            <v>0</v>
          </cell>
          <cell r="HZ1184">
            <v>0</v>
          </cell>
          <cell r="IA1184">
            <v>0</v>
          </cell>
          <cell r="IB1184">
            <v>354113</v>
          </cell>
        </row>
        <row r="1185">
          <cell r="C1185" t="str">
            <v>A0169</v>
          </cell>
          <cell r="D1185" t="str">
            <v>PT Sukses Tani Nusa Subur</v>
          </cell>
          <cell r="E1185" t="str">
            <v>PEB 2</v>
          </cell>
          <cell r="F1185" t="str">
            <v>99PEB 2</v>
          </cell>
          <cell r="J1185">
            <v>10.102029442705101</v>
          </cell>
          <cell r="P1185">
            <v>779474</v>
          </cell>
          <cell r="Q1185">
            <v>1574377.5231139362</v>
          </cell>
          <cell r="R1185">
            <v>186824.56518198011</v>
          </cell>
          <cell r="S1185">
            <v>99236.793699999995</v>
          </cell>
          <cell r="U1185">
            <v>0</v>
          </cell>
          <cell r="W1185">
            <v>-238535</v>
          </cell>
          <cell r="X1185">
            <v>0</v>
          </cell>
          <cell r="Y1185">
            <v>0</v>
          </cell>
          <cell r="Z1185">
            <v>540939</v>
          </cell>
        </row>
        <row r="1186">
          <cell r="C1186" t="str">
            <v>A0169</v>
          </cell>
          <cell r="D1186" t="str">
            <v>PT Sukses Tani Nusa Subur</v>
          </cell>
          <cell r="E1186" t="str">
            <v>PEB 3</v>
          </cell>
          <cell r="F1186" t="str">
            <v>99PEB 3</v>
          </cell>
          <cell r="J1186">
            <v>0</v>
          </cell>
          <cell r="P1186">
            <v>0</v>
          </cell>
          <cell r="U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</row>
        <row r="1187">
          <cell r="C1187" t="str">
            <v>A0169</v>
          </cell>
          <cell r="D1187" t="str">
            <v>PT Sukses Tani Nusa Subur</v>
          </cell>
          <cell r="E1187" t="str">
            <v>PEB 4</v>
          </cell>
          <cell r="F1187" t="str">
            <v>99PEB 4</v>
          </cell>
          <cell r="J1187">
            <v>10.124586856732137</v>
          </cell>
          <cell r="P1187">
            <v>1438132</v>
          </cell>
          <cell r="Q1187">
            <v>2194518.0042925845</v>
          </cell>
          <cell r="R1187">
            <v>290298.21466028073</v>
          </cell>
          <cell r="S1187">
            <v>570499.92299367953</v>
          </cell>
          <cell r="U1187">
            <v>0</v>
          </cell>
          <cell r="W1187">
            <v>-1035956</v>
          </cell>
          <cell r="X1187">
            <v>-140497</v>
          </cell>
          <cell r="Y1187">
            <v>7388</v>
          </cell>
          <cell r="Z1187">
            <v>261679</v>
          </cell>
        </row>
        <row r="1188">
          <cell r="C1188" t="str">
            <v>A0169</v>
          </cell>
          <cell r="D1188" t="str">
            <v>PT Sukses Tani Nusa Subur</v>
          </cell>
          <cell r="E1188" t="str">
            <v>PEB 5</v>
          </cell>
          <cell r="F1188" t="str">
            <v>99PEB 5</v>
          </cell>
          <cell r="J1188">
            <v>10.154049014500417</v>
          </cell>
          <cell r="P1188">
            <v>257102</v>
          </cell>
          <cell r="U1188">
            <v>0</v>
          </cell>
          <cell r="W1188">
            <v>1119783</v>
          </cell>
          <cell r="X1188">
            <v>0</v>
          </cell>
          <cell r="Y1188">
            <v>0</v>
          </cell>
          <cell r="Z1188">
            <v>1376885</v>
          </cell>
        </row>
        <row r="1189">
          <cell r="C1189" t="str">
            <v>A0169</v>
          </cell>
          <cell r="D1189" t="str">
            <v>PT Sukses Tani Nusa Subur</v>
          </cell>
          <cell r="E1189" t="str">
            <v>PEB 6</v>
          </cell>
          <cell r="F1189" t="str">
            <v>99PEB 6</v>
          </cell>
          <cell r="J1189">
            <v>0</v>
          </cell>
          <cell r="P1189">
            <v>0</v>
          </cell>
          <cell r="U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</row>
        <row r="1190">
          <cell r="C1190" t="str">
            <v>A0169</v>
          </cell>
          <cell r="D1190" t="str">
            <v>PT Sukses Tani Nusa Subur</v>
          </cell>
          <cell r="E1190" t="str">
            <v>PEB 7</v>
          </cell>
          <cell r="F1190" t="str">
            <v>99PEB 7</v>
          </cell>
          <cell r="J1190">
            <v>10.102029442705101</v>
          </cell>
          <cell r="P1190">
            <v>97496</v>
          </cell>
          <cell r="Q1190">
            <v>241433.06474025571</v>
          </cell>
          <cell r="R1190">
            <v>37692.958411067899</v>
          </cell>
          <cell r="S1190">
            <v>24906.971058830288</v>
          </cell>
          <cell r="U1190">
            <v>0</v>
          </cell>
          <cell r="W1190">
            <v>-93973</v>
          </cell>
          <cell r="X1190">
            <v>0</v>
          </cell>
          <cell r="Y1190">
            <v>0</v>
          </cell>
          <cell r="Z1190">
            <v>3523</v>
          </cell>
        </row>
        <row r="1191">
          <cell r="C1191" t="str">
            <v>A0169</v>
          </cell>
          <cell r="D1191" t="str">
            <v>PT Sukses Tani Nusa Subur</v>
          </cell>
          <cell r="E1191" t="str">
            <v>MPP</v>
          </cell>
          <cell r="F1191" t="str">
            <v>99MPP</v>
          </cell>
          <cell r="J1191">
            <v>0</v>
          </cell>
          <cell r="P1191">
            <v>0</v>
          </cell>
          <cell r="Q1191">
            <v>274546.79233917774</v>
          </cell>
          <cell r="R1191">
            <v>33630.677259904864</v>
          </cell>
          <cell r="S1191">
            <v>30120.60111</v>
          </cell>
          <cell r="U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</row>
        <row r="1192">
          <cell r="C1192" t="str">
            <v>A0169</v>
          </cell>
          <cell r="D1192" t="str">
            <v>PT Sukses Tani Nusa Subur</v>
          </cell>
          <cell r="E1192" t="str">
            <v>ID</v>
          </cell>
          <cell r="F1192" t="str">
            <v>99ID</v>
          </cell>
          <cell r="J1192">
            <v>10.102029442705101</v>
          </cell>
          <cell r="P1192">
            <v>15664</v>
          </cell>
          <cell r="Q1192">
            <v>574094.20842265338</v>
          </cell>
          <cell r="R1192">
            <v>81957.206349952336</v>
          </cell>
          <cell r="S1192">
            <v>32985.090085097145</v>
          </cell>
          <cell r="U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15664</v>
          </cell>
        </row>
        <row r="1193">
          <cell r="C1193" t="str">
            <v>A0169</v>
          </cell>
          <cell r="D1193" t="str">
            <v>PT Sukses Tani Nusa Subur</v>
          </cell>
          <cell r="E1193" t="str">
            <v>LL</v>
          </cell>
          <cell r="F1193" t="str">
            <v>99LL</v>
          </cell>
          <cell r="J1193">
            <v>10.102029442705101</v>
          </cell>
          <cell r="P1193">
            <v>678175</v>
          </cell>
          <cell r="Q1193">
            <v>826447.95353677031</v>
          </cell>
          <cell r="R1193">
            <v>303949.45240685582</v>
          </cell>
          <cell r="S1193">
            <v>453990.00061713479</v>
          </cell>
          <cell r="U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678175</v>
          </cell>
        </row>
        <row r="1194">
          <cell r="C1194" t="str">
            <v>A0169</v>
          </cell>
          <cell r="D1194" t="str">
            <v>PT Sukses Tani Nusa Subur</v>
          </cell>
          <cell r="E1194" t="str">
            <v>PMK</v>
          </cell>
          <cell r="F1194" t="str">
            <v>99PMK</v>
          </cell>
          <cell r="J1194">
            <v>10.102029442705101</v>
          </cell>
          <cell r="P1194">
            <v>354113</v>
          </cell>
          <cell r="Q1194">
            <v>816256.63261963392</v>
          </cell>
          <cell r="R1194">
            <v>131030.61151774482</v>
          </cell>
          <cell r="S1194">
            <v>133875</v>
          </cell>
          <cell r="U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354113</v>
          </cell>
        </row>
        <row r="1196">
          <cell r="C1196" t="str">
            <v>A0377</v>
          </cell>
          <cell r="D1196" t="str">
            <v>PT Sumber Kharisma Persada</v>
          </cell>
          <cell r="E1196" t="str">
            <v>PEB 1</v>
          </cell>
          <cell r="F1196" t="str">
            <v>100PEB 1</v>
          </cell>
          <cell r="J1196">
            <v>0</v>
          </cell>
          <cell r="N1196">
            <v>0</v>
          </cell>
          <cell r="O1196">
            <v>0</v>
          </cell>
          <cell r="P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10.064071612845789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305979</v>
          </cell>
          <cell r="AL1196">
            <v>491333.16616228281</v>
          </cell>
          <cell r="AM1196">
            <v>83837.693394066271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-157629</v>
          </cell>
          <cell r="AS1196">
            <v>0</v>
          </cell>
          <cell r="AT1196">
            <v>0</v>
          </cell>
          <cell r="AU1196">
            <v>148350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10.10814813403239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427445</v>
          </cell>
          <cell r="CB1196">
            <v>691352.56873377773</v>
          </cell>
          <cell r="CC1196">
            <v>160582.61067997053</v>
          </cell>
          <cell r="CD1196">
            <v>13239.585356393796</v>
          </cell>
          <cell r="CE1196">
            <v>0</v>
          </cell>
          <cell r="CF1196">
            <v>0</v>
          </cell>
          <cell r="CG1196">
            <v>0</v>
          </cell>
          <cell r="CH1196">
            <v>-301435</v>
          </cell>
          <cell r="CI1196">
            <v>0</v>
          </cell>
          <cell r="CJ1196">
            <v>0</v>
          </cell>
          <cell r="CK1196">
            <v>126010</v>
          </cell>
          <cell r="CM1196">
            <v>0</v>
          </cell>
          <cell r="CN1196">
            <v>0</v>
          </cell>
          <cell r="CO1196">
            <v>0</v>
          </cell>
          <cell r="CP1196">
            <v>10.36161190251315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222225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63058</v>
          </cell>
          <cell r="DD1196">
            <v>0</v>
          </cell>
          <cell r="DE1196">
            <v>0</v>
          </cell>
          <cell r="DF1196">
            <v>285283</v>
          </cell>
          <cell r="DH1196">
            <v>0</v>
          </cell>
          <cell r="DI1196">
            <v>0</v>
          </cell>
          <cell r="DJ1196">
            <v>0</v>
          </cell>
          <cell r="DK1196">
            <v>0</v>
          </cell>
          <cell r="DL1196">
            <v>0</v>
          </cell>
          <cell r="DM1196">
            <v>0</v>
          </cell>
          <cell r="DN1196">
            <v>0</v>
          </cell>
          <cell r="DO1196">
            <v>0</v>
          </cell>
          <cell r="DP1196">
            <v>0</v>
          </cell>
          <cell r="DQ1196">
            <v>0</v>
          </cell>
          <cell r="DR1196">
            <v>0</v>
          </cell>
          <cell r="DS1196">
            <v>0</v>
          </cell>
          <cell r="DT1196">
            <v>0</v>
          </cell>
          <cell r="DU1196">
            <v>0</v>
          </cell>
          <cell r="DV1196">
            <v>0</v>
          </cell>
          <cell r="DW1196">
            <v>0</v>
          </cell>
          <cell r="DX1196">
            <v>0</v>
          </cell>
          <cell r="DY1196">
            <v>0</v>
          </cell>
          <cell r="DZ1196">
            <v>0</v>
          </cell>
          <cell r="EA1196">
            <v>0</v>
          </cell>
          <cell r="EC1196">
            <v>0</v>
          </cell>
          <cell r="ED1196">
            <v>0</v>
          </cell>
          <cell r="EE1196">
            <v>0</v>
          </cell>
          <cell r="EF1196">
            <v>10.064071612845789</v>
          </cell>
          <cell r="EG1196">
            <v>0</v>
          </cell>
          <cell r="EH1196">
            <v>0</v>
          </cell>
          <cell r="EI1196">
            <v>0</v>
          </cell>
          <cell r="EJ1196">
            <v>0</v>
          </cell>
          <cell r="EK1196">
            <v>0</v>
          </cell>
          <cell r="EL1196">
            <v>40769</v>
          </cell>
          <cell r="EM1196">
            <v>87770.78198470283</v>
          </cell>
          <cell r="EN1196">
            <v>19283.231400012781</v>
          </cell>
          <cell r="EO1196">
            <v>9376.7129620254927</v>
          </cell>
          <cell r="EP1196">
            <v>0</v>
          </cell>
          <cell r="EQ1196">
            <v>0</v>
          </cell>
          <cell r="ER1196">
            <v>0</v>
          </cell>
          <cell r="ES1196">
            <v>-37935</v>
          </cell>
          <cell r="ET1196">
            <v>0</v>
          </cell>
          <cell r="EU1196">
            <v>0</v>
          </cell>
          <cell r="EV1196">
            <v>2834</v>
          </cell>
          <cell r="EX1196">
            <v>0</v>
          </cell>
          <cell r="EY1196">
            <v>0</v>
          </cell>
          <cell r="EZ1196">
            <v>0</v>
          </cell>
          <cell r="FA1196">
            <v>0</v>
          </cell>
          <cell r="FB1196">
            <v>0</v>
          </cell>
          <cell r="FC1196">
            <v>0</v>
          </cell>
          <cell r="FD1196">
            <v>0</v>
          </cell>
          <cell r="FE1196">
            <v>0</v>
          </cell>
          <cell r="FF1196">
            <v>0</v>
          </cell>
          <cell r="FG1196">
            <v>0</v>
          </cell>
          <cell r="FH1196">
            <v>82958.000912799092</v>
          </cell>
          <cell r="FI1196">
            <v>15212.31769379789</v>
          </cell>
          <cell r="FJ1196">
            <v>0</v>
          </cell>
          <cell r="FK1196">
            <v>0</v>
          </cell>
          <cell r="FL1196">
            <v>0</v>
          </cell>
          <cell r="FM1196">
            <v>0</v>
          </cell>
          <cell r="FN1196">
            <v>0</v>
          </cell>
          <cell r="FO1196">
            <v>0</v>
          </cell>
          <cell r="FP1196">
            <v>0</v>
          </cell>
          <cell r="FQ1196">
            <v>0</v>
          </cell>
          <cell r="FS1196">
            <v>0</v>
          </cell>
          <cell r="FT1196">
            <v>0</v>
          </cell>
          <cell r="FU1196">
            <v>0</v>
          </cell>
          <cell r="FV1196">
            <v>10.064071612845789</v>
          </cell>
          <cell r="FW1196">
            <v>0</v>
          </cell>
          <cell r="FX1196">
            <v>0</v>
          </cell>
          <cell r="FY1196">
            <v>0</v>
          </cell>
          <cell r="FZ1196">
            <v>0</v>
          </cell>
          <cell r="GA1196">
            <v>0</v>
          </cell>
          <cell r="GB1196">
            <v>3828</v>
          </cell>
          <cell r="GC1196">
            <v>211058.77128814982</v>
          </cell>
          <cell r="GD1196">
            <v>42157.771309998738</v>
          </cell>
          <cell r="GE1196">
            <v>10908.600189657178</v>
          </cell>
          <cell r="GF1196">
            <v>0</v>
          </cell>
          <cell r="GG1196">
            <v>0</v>
          </cell>
          <cell r="GH1196">
            <v>0</v>
          </cell>
          <cell r="GI1196">
            <v>0</v>
          </cell>
          <cell r="GJ1196">
            <v>0</v>
          </cell>
          <cell r="GK1196">
            <v>0</v>
          </cell>
          <cell r="GL1196">
            <v>3828</v>
          </cell>
          <cell r="GN1196">
            <v>0</v>
          </cell>
          <cell r="GO1196">
            <v>0</v>
          </cell>
          <cell r="GP1196">
            <v>0</v>
          </cell>
          <cell r="GQ1196">
            <v>10.064071612845789</v>
          </cell>
          <cell r="GR1196">
            <v>0</v>
          </cell>
          <cell r="GS1196">
            <v>0</v>
          </cell>
          <cell r="GT1196">
            <v>0</v>
          </cell>
          <cell r="GU1196">
            <v>0</v>
          </cell>
          <cell r="GV1196">
            <v>0</v>
          </cell>
          <cell r="GW1196">
            <v>303927</v>
          </cell>
          <cell r="GX1196">
            <v>460398.90177431935</v>
          </cell>
          <cell r="GY1196">
            <v>143241.00510586138</v>
          </cell>
          <cell r="GZ1196">
            <v>192898.45627104896</v>
          </cell>
          <cell r="HA1196">
            <v>0</v>
          </cell>
          <cell r="HB1196">
            <v>0</v>
          </cell>
          <cell r="HC1196">
            <v>0</v>
          </cell>
          <cell r="HD1196">
            <v>0</v>
          </cell>
          <cell r="HE1196">
            <v>0</v>
          </cell>
          <cell r="HF1196">
            <v>0</v>
          </cell>
          <cell r="HG1196">
            <v>303927</v>
          </cell>
          <cell r="HI1196">
            <v>0</v>
          </cell>
          <cell r="HJ1196">
            <v>0</v>
          </cell>
          <cell r="HK1196">
            <v>0</v>
          </cell>
          <cell r="HL1196">
            <v>10.064071612845789</v>
          </cell>
          <cell r="HM1196">
            <v>0</v>
          </cell>
          <cell r="HN1196">
            <v>0</v>
          </cell>
          <cell r="HO1196">
            <v>0</v>
          </cell>
          <cell r="HP1196">
            <v>0</v>
          </cell>
          <cell r="HQ1196">
            <v>0</v>
          </cell>
          <cell r="HR1196">
            <v>82513</v>
          </cell>
          <cell r="HS1196">
            <v>256125.82869991293</v>
          </cell>
          <cell r="HT1196">
            <v>59793.588054881657</v>
          </cell>
          <cell r="HU1196">
            <v>11025</v>
          </cell>
          <cell r="HV1196">
            <v>0</v>
          </cell>
          <cell r="HW1196">
            <v>0</v>
          </cell>
          <cell r="HX1196">
            <v>0</v>
          </cell>
          <cell r="HY1196">
            <v>0</v>
          </cell>
          <cell r="HZ1196">
            <v>0</v>
          </cell>
          <cell r="IA1196">
            <v>0</v>
          </cell>
          <cell r="IB1196">
            <v>82513</v>
          </cell>
        </row>
        <row r="1197">
          <cell r="C1197" t="str">
            <v>A0377</v>
          </cell>
          <cell r="D1197" t="str">
            <v>PT Sumber Kharisma Persada</v>
          </cell>
          <cell r="E1197" t="str">
            <v>PEB 2</v>
          </cell>
          <cell r="F1197" t="str">
            <v>100PEB 2</v>
          </cell>
          <cell r="J1197">
            <v>10.064071612845789</v>
          </cell>
          <cell r="P1197">
            <v>305979</v>
          </cell>
          <cell r="Q1197">
            <v>491333.16616228281</v>
          </cell>
          <cell r="R1197">
            <v>83837.693394066271</v>
          </cell>
          <cell r="S1197">
            <v>0</v>
          </cell>
          <cell r="U1197">
            <v>0</v>
          </cell>
          <cell r="W1197">
            <v>-157629</v>
          </cell>
          <cell r="X1197">
            <v>0</v>
          </cell>
          <cell r="Y1197">
            <v>0</v>
          </cell>
          <cell r="Z1197">
            <v>148350</v>
          </cell>
        </row>
        <row r="1198">
          <cell r="C1198" t="str">
            <v>A0377</v>
          </cell>
          <cell r="D1198" t="str">
            <v>PT Sumber Kharisma Persada</v>
          </cell>
          <cell r="E1198" t="str">
            <v>PEB 3</v>
          </cell>
          <cell r="F1198" t="str">
            <v>100PEB 3</v>
          </cell>
          <cell r="J1198">
            <v>0</v>
          </cell>
          <cell r="P1198">
            <v>0</v>
          </cell>
          <cell r="U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</row>
        <row r="1199">
          <cell r="C1199" t="str">
            <v>A0377</v>
          </cell>
          <cell r="D1199" t="str">
            <v>PT Sumber Kharisma Persada</v>
          </cell>
          <cell r="E1199" t="str">
            <v>PEB 4</v>
          </cell>
          <cell r="F1199" t="str">
            <v>100PEB 4</v>
          </cell>
          <cell r="J1199">
            <v>10.10814813403239</v>
          </cell>
          <cell r="P1199">
            <v>427445</v>
          </cell>
          <cell r="Q1199">
            <v>691352.56873377773</v>
          </cell>
          <cell r="R1199">
            <v>160582.61067997053</v>
          </cell>
          <cell r="S1199">
            <v>13239.585356393796</v>
          </cell>
          <cell r="U1199">
            <v>0</v>
          </cell>
          <cell r="W1199">
            <v>-301435</v>
          </cell>
          <cell r="X1199">
            <v>0</v>
          </cell>
          <cell r="Y1199">
            <v>0</v>
          </cell>
          <cell r="Z1199">
            <v>126010</v>
          </cell>
        </row>
        <row r="1200">
          <cell r="C1200" t="str">
            <v>A0377</v>
          </cell>
          <cell r="D1200" t="str">
            <v>PT Sumber Kharisma Persada</v>
          </cell>
          <cell r="E1200" t="str">
            <v>PEB 5</v>
          </cell>
          <cell r="F1200" t="str">
            <v>100PEB 5</v>
          </cell>
          <cell r="J1200">
            <v>10.36161190251315</v>
          </cell>
          <cell r="P1200">
            <v>222225</v>
          </cell>
          <cell r="U1200">
            <v>0</v>
          </cell>
          <cell r="W1200">
            <v>63058</v>
          </cell>
          <cell r="X1200">
            <v>0</v>
          </cell>
          <cell r="Y1200">
            <v>0</v>
          </cell>
          <cell r="Z1200">
            <v>285283</v>
          </cell>
        </row>
        <row r="1201">
          <cell r="C1201" t="str">
            <v>A0377</v>
          </cell>
          <cell r="D1201" t="str">
            <v>PT Sumber Kharisma Persada</v>
          </cell>
          <cell r="E1201" t="str">
            <v>PEB 6</v>
          </cell>
          <cell r="F1201" t="str">
            <v>100PEB 6</v>
          </cell>
          <cell r="J1201">
            <v>0</v>
          </cell>
          <cell r="P1201">
            <v>0</v>
          </cell>
          <cell r="U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</row>
        <row r="1202">
          <cell r="C1202" t="str">
            <v>A0377</v>
          </cell>
          <cell r="D1202" t="str">
            <v>PT Sumber Kharisma Persada</v>
          </cell>
          <cell r="E1202" t="str">
            <v>PEB 7</v>
          </cell>
          <cell r="F1202" t="str">
            <v>100PEB 7</v>
          </cell>
          <cell r="J1202">
            <v>10.064071612845789</v>
          </cell>
          <cell r="P1202">
            <v>40769</v>
          </cell>
          <cell r="Q1202">
            <v>87770.78198470283</v>
          </cell>
          <cell r="R1202">
            <v>19283.231400012781</v>
          </cell>
          <cell r="S1202">
            <v>9376.7129620254927</v>
          </cell>
          <cell r="U1202">
            <v>0</v>
          </cell>
          <cell r="W1202">
            <v>-37935</v>
          </cell>
          <cell r="X1202">
            <v>0</v>
          </cell>
          <cell r="Y1202">
            <v>0</v>
          </cell>
          <cell r="Z1202">
            <v>2834</v>
          </cell>
        </row>
        <row r="1203">
          <cell r="C1203" t="str">
            <v>A0377</v>
          </cell>
          <cell r="D1203" t="str">
            <v>PT Sumber Kharisma Persada</v>
          </cell>
          <cell r="E1203" t="str">
            <v>MPP</v>
          </cell>
          <cell r="F1203" t="str">
            <v>100MPP</v>
          </cell>
          <cell r="J1203">
            <v>0</v>
          </cell>
          <cell r="P1203">
            <v>0</v>
          </cell>
          <cell r="Q1203">
            <v>82958.000912799092</v>
          </cell>
          <cell r="R1203">
            <v>15212.31769379789</v>
          </cell>
          <cell r="S1203">
            <v>0</v>
          </cell>
          <cell r="U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</row>
        <row r="1204">
          <cell r="C1204" t="str">
            <v>A0377</v>
          </cell>
          <cell r="D1204" t="str">
            <v>PT Sumber Kharisma Persada</v>
          </cell>
          <cell r="E1204" t="str">
            <v>ID</v>
          </cell>
          <cell r="F1204" t="str">
            <v>100ID</v>
          </cell>
          <cell r="J1204">
            <v>10.064071612845789</v>
          </cell>
          <cell r="P1204">
            <v>3828</v>
          </cell>
          <cell r="Q1204">
            <v>211058.77128814982</v>
          </cell>
          <cell r="R1204">
            <v>42157.771309998738</v>
          </cell>
          <cell r="S1204">
            <v>10908.600189657178</v>
          </cell>
          <cell r="U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3828</v>
          </cell>
        </row>
        <row r="1205">
          <cell r="C1205" t="str">
            <v>A0377</v>
          </cell>
          <cell r="D1205" t="str">
            <v>PT Sumber Kharisma Persada</v>
          </cell>
          <cell r="E1205" t="str">
            <v>LL</v>
          </cell>
          <cell r="F1205" t="str">
            <v>100LL</v>
          </cell>
          <cell r="J1205">
            <v>10.064071612845789</v>
          </cell>
          <cell r="P1205">
            <v>303927</v>
          </cell>
          <cell r="Q1205">
            <v>460398.90177431935</v>
          </cell>
          <cell r="R1205">
            <v>143241.00510586138</v>
          </cell>
          <cell r="S1205">
            <v>192898.45627104896</v>
          </cell>
          <cell r="U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303927</v>
          </cell>
        </row>
        <row r="1206">
          <cell r="C1206" t="str">
            <v>A0377</v>
          </cell>
          <cell r="D1206" t="str">
            <v>PT Sumber Kharisma Persada</v>
          </cell>
          <cell r="E1206" t="str">
            <v>PMK</v>
          </cell>
          <cell r="F1206" t="str">
            <v>100PMK</v>
          </cell>
          <cell r="J1206">
            <v>10.064071612845789</v>
          </cell>
          <cell r="P1206">
            <v>82513</v>
          </cell>
          <cell r="Q1206">
            <v>256125.82869991293</v>
          </cell>
          <cell r="R1206">
            <v>59793.588054881657</v>
          </cell>
          <cell r="S1206">
            <v>11025</v>
          </cell>
          <cell r="U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82513</v>
          </cell>
        </row>
        <row r="1208">
          <cell r="C1208" t="str">
            <v>A0421</v>
          </cell>
          <cell r="D1208" t="str">
            <v>PT Sumber Utama Makmur</v>
          </cell>
          <cell r="E1208" t="str">
            <v>PEB 1</v>
          </cell>
          <cell r="F1208" t="str">
            <v>101PEB 1</v>
          </cell>
          <cell r="J1208">
            <v>0</v>
          </cell>
          <cell r="N1208">
            <v>0</v>
          </cell>
          <cell r="O1208">
            <v>0</v>
          </cell>
          <cell r="P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10.507167860370135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7213</v>
          </cell>
          <cell r="AL1208">
            <v>139901.98211259727</v>
          </cell>
          <cell r="AM1208">
            <v>16736.411298417363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-1523</v>
          </cell>
          <cell r="AS1208">
            <v>0</v>
          </cell>
          <cell r="AT1208">
            <v>0</v>
          </cell>
          <cell r="AU1208">
            <v>5690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10.507167860370135</v>
          </cell>
          <cell r="BV1208">
            <v>0</v>
          </cell>
          <cell r="BW1208">
            <v>0</v>
          </cell>
          <cell r="BX1208">
            <v>0</v>
          </cell>
          <cell r="BY1208">
            <v>0</v>
          </cell>
          <cell r="BZ1208">
            <v>0</v>
          </cell>
          <cell r="CA1208">
            <v>13631</v>
          </cell>
          <cell r="CB1208">
            <v>457799.81442484498</v>
          </cell>
          <cell r="CC1208">
            <v>60886.515690504049</v>
          </cell>
          <cell r="CD1208">
            <v>0</v>
          </cell>
          <cell r="CE1208">
            <v>0</v>
          </cell>
          <cell r="CF1208">
            <v>0</v>
          </cell>
          <cell r="CG1208">
            <v>0</v>
          </cell>
          <cell r="CH1208">
            <v>-12293</v>
          </cell>
          <cell r="CI1208">
            <v>0</v>
          </cell>
          <cell r="CJ1208">
            <v>0</v>
          </cell>
          <cell r="CK1208">
            <v>1338</v>
          </cell>
          <cell r="CM1208">
            <v>0</v>
          </cell>
          <cell r="CN1208">
            <v>0</v>
          </cell>
          <cell r="CO1208">
            <v>0</v>
          </cell>
          <cell r="CP1208">
            <v>0</v>
          </cell>
          <cell r="CQ1208">
            <v>0</v>
          </cell>
          <cell r="CR1208">
            <v>0</v>
          </cell>
          <cell r="CS1208">
            <v>0</v>
          </cell>
          <cell r="CT1208">
            <v>0</v>
          </cell>
          <cell r="CU1208">
            <v>0</v>
          </cell>
          <cell r="CV1208">
            <v>0</v>
          </cell>
          <cell r="CW1208">
            <v>0</v>
          </cell>
          <cell r="CX1208">
            <v>0</v>
          </cell>
          <cell r="CY1208">
            <v>0</v>
          </cell>
          <cell r="CZ1208">
            <v>0</v>
          </cell>
          <cell r="DA1208">
            <v>0</v>
          </cell>
          <cell r="DB1208">
            <v>0</v>
          </cell>
          <cell r="DC1208">
            <v>0</v>
          </cell>
          <cell r="DD1208">
            <v>0</v>
          </cell>
          <cell r="DE1208">
            <v>0</v>
          </cell>
          <cell r="DF1208">
            <v>0</v>
          </cell>
          <cell r="DH1208">
            <v>0</v>
          </cell>
          <cell r="DI1208">
            <v>0</v>
          </cell>
          <cell r="DJ1208">
            <v>0</v>
          </cell>
          <cell r="DK1208">
            <v>0</v>
          </cell>
          <cell r="DL1208">
            <v>0</v>
          </cell>
          <cell r="DM1208">
            <v>0</v>
          </cell>
          <cell r="DN1208">
            <v>0</v>
          </cell>
          <cell r="DO1208">
            <v>0</v>
          </cell>
          <cell r="DP1208">
            <v>0</v>
          </cell>
          <cell r="DQ1208">
            <v>0</v>
          </cell>
          <cell r="DR1208">
            <v>0</v>
          </cell>
          <cell r="DS1208">
            <v>0</v>
          </cell>
          <cell r="DT1208">
            <v>0</v>
          </cell>
          <cell r="DU1208">
            <v>0</v>
          </cell>
          <cell r="DV1208">
            <v>0</v>
          </cell>
          <cell r="DW1208">
            <v>0</v>
          </cell>
          <cell r="DX1208">
            <v>0</v>
          </cell>
          <cell r="DY1208">
            <v>0</v>
          </cell>
          <cell r="DZ1208">
            <v>0</v>
          </cell>
          <cell r="EA1208">
            <v>0</v>
          </cell>
          <cell r="EC1208">
            <v>0</v>
          </cell>
          <cell r="ED1208">
            <v>0</v>
          </cell>
          <cell r="EE1208">
            <v>0</v>
          </cell>
          <cell r="EF1208">
            <v>10.507167860370135</v>
          </cell>
          <cell r="EG1208">
            <v>0</v>
          </cell>
          <cell r="EH1208">
            <v>0</v>
          </cell>
          <cell r="EI1208">
            <v>0</v>
          </cell>
          <cell r="EJ1208">
            <v>0</v>
          </cell>
          <cell r="EK1208">
            <v>0</v>
          </cell>
          <cell r="EL1208">
            <v>1134</v>
          </cell>
          <cell r="EM1208">
            <v>17609.589403899612</v>
          </cell>
          <cell r="EN1208">
            <v>2703.6344178786894</v>
          </cell>
          <cell r="EO1208">
            <v>1795.5577474836741</v>
          </cell>
          <cell r="EP1208">
            <v>0</v>
          </cell>
          <cell r="EQ1208">
            <v>0</v>
          </cell>
          <cell r="ER1208">
            <v>0</v>
          </cell>
          <cell r="ES1208">
            <v>-804</v>
          </cell>
          <cell r="ET1208">
            <v>0</v>
          </cell>
          <cell r="EU1208">
            <v>0</v>
          </cell>
          <cell r="EV1208">
            <v>330</v>
          </cell>
          <cell r="EX1208">
            <v>0</v>
          </cell>
          <cell r="EY1208">
            <v>0</v>
          </cell>
          <cell r="EZ1208">
            <v>0</v>
          </cell>
          <cell r="FA1208">
            <v>0</v>
          </cell>
          <cell r="FB1208">
            <v>0</v>
          </cell>
          <cell r="FC1208">
            <v>0</v>
          </cell>
          <cell r="FD1208">
            <v>0</v>
          </cell>
          <cell r="FE1208">
            <v>0</v>
          </cell>
          <cell r="FF1208">
            <v>0</v>
          </cell>
          <cell r="FG1208">
            <v>0</v>
          </cell>
          <cell r="FH1208">
            <v>21515.401086620153</v>
          </cell>
          <cell r="FI1208">
            <v>3017.3654128495714</v>
          </cell>
          <cell r="FJ1208">
            <v>0</v>
          </cell>
          <cell r="FK1208">
            <v>0</v>
          </cell>
          <cell r="FL1208">
            <v>0</v>
          </cell>
          <cell r="FM1208">
            <v>0</v>
          </cell>
          <cell r="FN1208">
            <v>0</v>
          </cell>
          <cell r="FO1208">
            <v>0</v>
          </cell>
          <cell r="FP1208">
            <v>0</v>
          </cell>
          <cell r="FQ1208">
            <v>0</v>
          </cell>
          <cell r="FS1208">
            <v>0</v>
          </cell>
          <cell r="FT1208">
            <v>0</v>
          </cell>
          <cell r="FU1208">
            <v>0</v>
          </cell>
          <cell r="FV1208">
            <v>10.507167860370135</v>
          </cell>
          <cell r="FW1208">
            <v>0</v>
          </cell>
          <cell r="FX1208">
            <v>0</v>
          </cell>
          <cell r="FY1208">
            <v>0</v>
          </cell>
          <cell r="FZ1208">
            <v>0</v>
          </cell>
          <cell r="GA1208">
            <v>0</v>
          </cell>
          <cell r="GB1208">
            <v>62</v>
          </cell>
          <cell r="GC1208">
            <v>49775.893690973979</v>
          </cell>
          <cell r="GD1208">
            <v>7699.1253207450536</v>
          </cell>
          <cell r="GE1208">
            <v>2571.1841502083766</v>
          </cell>
          <cell r="GF1208">
            <v>0</v>
          </cell>
          <cell r="GG1208">
            <v>0</v>
          </cell>
          <cell r="GH1208">
            <v>0</v>
          </cell>
          <cell r="GI1208">
            <v>0</v>
          </cell>
          <cell r="GJ1208">
            <v>0</v>
          </cell>
          <cell r="GK1208">
            <v>0</v>
          </cell>
          <cell r="GL1208">
            <v>62</v>
          </cell>
          <cell r="GN1208">
            <v>0</v>
          </cell>
          <cell r="GO1208">
            <v>0</v>
          </cell>
          <cell r="GP1208">
            <v>0</v>
          </cell>
          <cell r="GQ1208">
            <v>10.507167860370135</v>
          </cell>
          <cell r="GR1208">
            <v>0</v>
          </cell>
          <cell r="GS1208">
            <v>0</v>
          </cell>
          <cell r="GT1208">
            <v>0</v>
          </cell>
          <cell r="GU1208">
            <v>0</v>
          </cell>
          <cell r="GV1208">
            <v>0</v>
          </cell>
          <cell r="GW1208">
            <v>7177</v>
          </cell>
          <cell r="GX1208">
            <v>44794.658185432832</v>
          </cell>
          <cell r="GY1208">
            <v>27014.639001592917</v>
          </cell>
          <cell r="GZ1208">
            <v>14431.325764613379</v>
          </cell>
          <cell r="HA1208">
            <v>0</v>
          </cell>
          <cell r="HB1208">
            <v>0</v>
          </cell>
          <cell r="HC1208">
            <v>0</v>
          </cell>
          <cell r="HD1208">
            <v>0</v>
          </cell>
          <cell r="HE1208">
            <v>0</v>
          </cell>
          <cell r="HF1208">
            <v>0</v>
          </cell>
          <cell r="HG1208">
            <v>7177</v>
          </cell>
          <cell r="HI1208">
            <v>0</v>
          </cell>
          <cell r="HJ1208">
            <v>0</v>
          </cell>
          <cell r="HK1208">
            <v>0</v>
          </cell>
          <cell r="HL1208">
            <v>10.507167860370135</v>
          </cell>
          <cell r="HM1208">
            <v>0</v>
          </cell>
          <cell r="HN1208">
            <v>0</v>
          </cell>
          <cell r="HO1208">
            <v>0</v>
          </cell>
          <cell r="HP1208">
            <v>0</v>
          </cell>
          <cell r="HQ1208">
            <v>0</v>
          </cell>
          <cell r="HR1208">
            <v>6297</v>
          </cell>
          <cell r="HS1208">
            <v>41098.670919265511</v>
          </cell>
          <cell r="HT1208">
            <v>7195.5098980584262</v>
          </cell>
          <cell r="HU1208">
            <v>6300</v>
          </cell>
          <cell r="HV1208">
            <v>0</v>
          </cell>
          <cell r="HW1208">
            <v>0</v>
          </cell>
          <cell r="HX1208">
            <v>0</v>
          </cell>
          <cell r="HY1208">
            <v>0</v>
          </cell>
          <cell r="HZ1208">
            <v>0</v>
          </cell>
          <cell r="IA1208">
            <v>0</v>
          </cell>
          <cell r="IB1208">
            <v>6297</v>
          </cell>
        </row>
        <row r="1209">
          <cell r="C1209" t="str">
            <v>A0421</v>
          </cell>
          <cell r="D1209" t="str">
            <v>PT Sumber Utama Makmur</v>
          </cell>
          <cell r="E1209" t="str">
            <v>PEB 2</v>
          </cell>
          <cell r="F1209" t="str">
            <v>101PEB 2</v>
          </cell>
          <cell r="J1209">
            <v>10.507167860370135</v>
          </cell>
          <cell r="P1209">
            <v>7213</v>
          </cell>
          <cell r="Q1209">
            <v>139901.98211259727</v>
          </cell>
          <cell r="R1209">
            <v>16736.411298417363</v>
          </cell>
          <cell r="S1209">
            <v>0</v>
          </cell>
          <cell r="U1209">
            <v>0</v>
          </cell>
          <cell r="W1209">
            <v>-1523</v>
          </cell>
          <cell r="X1209">
            <v>0</v>
          </cell>
          <cell r="Y1209">
            <v>0</v>
          </cell>
          <cell r="Z1209">
            <v>5690</v>
          </cell>
        </row>
        <row r="1210">
          <cell r="C1210" t="str">
            <v>A0421</v>
          </cell>
          <cell r="D1210" t="str">
            <v>PT Sumber Utama Makmur</v>
          </cell>
          <cell r="E1210" t="str">
            <v>PEB 3</v>
          </cell>
          <cell r="F1210" t="str">
            <v>101PEB 3</v>
          </cell>
          <cell r="J1210">
            <v>0</v>
          </cell>
          <cell r="P1210">
            <v>0</v>
          </cell>
          <cell r="U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</row>
        <row r="1211">
          <cell r="C1211" t="str">
            <v>A0421</v>
          </cell>
          <cell r="D1211" t="str">
            <v>PT Sumber Utama Makmur</v>
          </cell>
          <cell r="E1211" t="str">
            <v>PEB 4</v>
          </cell>
          <cell r="F1211" t="str">
            <v>101PEB 4</v>
          </cell>
          <cell r="J1211">
            <v>10.507167860370135</v>
          </cell>
          <cell r="P1211">
            <v>13631</v>
          </cell>
          <cell r="Q1211">
            <v>457799.81442484498</v>
          </cell>
          <cell r="R1211">
            <v>60886.515690504049</v>
          </cell>
          <cell r="S1211">
            <v>0</v>
          </cell>
          <cell r="U1211">
            <v>0</v>
          </cell>
          <cell r="W1211">
            <v>-12293</v>
          </cell>
          <cell r="X1211">
            <v>0</v>
          </cell>
          <cell r="Y1211">
            <v>0</v>
          </cell>
          <cell r="Z1211">
            <v>1338</v>
          </cell>
        </row>
        <row r="1212">
          <cell r="C1212" t="str">
            <v>A0421</v>
          </cell>
          <cell r="D1212" t="str">
            <v>PT Sumber Utama Makmur</v>
          </cell>
          <cell r="E1212" t="str">
            <v>PEB 5</v>
          </cell>
          <cell r="F1212" t="str">
            <v>101PEB 5</v>
          </cell>
          <cell r="J1212">
            <v>0</v>
          </cell>
          <cell r="P1212">
            <v>0</v>
          </cell>
          <cell r="U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</row>
        <row r="1213">
          <cell r="C1213" t="str">
            <v>A0421</v>
          </cell>
          <cell r="D1213" t="str">
            <v>PT Sumber Utama Makmur</v>
          </cell>
          <cell r="E1213" t="str">
            <v>PEB 6</v>
          </cell>
          <cell r="F1213" t="str">
            <v>101PEB 6</v>
          </cell>
          <cell r="J1213">
            <v>0</v>
          </cell>
          <cell r="P1213">
            <v>0</v>
          </cell>
          <cell r="U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</row>
        <row r="1214">
          <cell r="C1214" t="str">
            <v>A0421</v>
          </cell>
          <cell r="D1214" t="str">
            <v>PT Sumber Utama Makmur</v>
          </cell>
          <cell r="E1214" t="str">
            <v>PEB 7</v>
          </cell>
          <cell r="F1214" t="str">
            <v>101PEB 7</v>
          </cell>
          <cell r="J1214">
            <v>10.507167860370135</v>
          </cell>
          <cell r="P1214">
            <v>1134</v>
          </cell>
          <cell r="Q1214">
            <v>17609.589403899612</v>
          </cell>
          <cell r="R1214">
            <v>2703.6344178786894</v>
          </cell>
          <cell r="S1214">
            <v>1795.5577474836741</v>
          </cell>
          <cell r="U1214">
            <v>0</v>
          </cell>
          <cell r="W1214">
            <v>-804</v>
          </cell>
          <cell r="X1214">
            <v>0</v>
          </cell>
          <cell r="Y1214">
            <v>0</v>
          </cell>
          <cell r="Z1214">
            <v>330</v>
          </cell>
        </row>
        <row r="1215">
          <cell r="C1215" t="str">
            <v>A0421</v>
          </cell>
          <cell r="D1215" t="str">
            <v>PT Sumber Utama Makmur</v>
          </cell>
          <cell r="E1215" t="str">
            <v>MPP</v>
          </cell>
          <cell r="F1215" t="str">
            <v>101MPP</v>
          </cell>
          <cell r="J1215">
            <v>0</v>
          </cell>
          <cell r="P1215">
            <v>0</v>
          </cell>
          <cell r="Q1215">
            <v>21515.401086620153</v>
          </cell>
          <cell r="R1215">
            <v>3017.3654128495714</v>
          </cell>
          <cell r="S1215">
            <v>0</v>
          </cell>
          <cell r="U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</row>
        <row r="1216">
          <cell r="C1216" t="str">
            <v>A0421</v>
          </cell>
          <cell r="D1216" t="str">
            <v>PT Sumber Utama Makmur</v>
          </cell>
          <cell r="E1216" t="str">
            <v>ID</v>
          </cell>
          <cell r="F1216" t="str">
            <v>101ID</v>
          </cell>
          <cell r="J1216">
            <v>10.507167860370135</v>
          </cell>
          <cell r="P1216">
            <v>62</v>
          </cell>
          <cell r="Q1216">
            <v>49775.893690973979</v>
          </cell>
          <cell r="R1216">
            <v>7699.1253207450536</v>
          </cell>
          <cell r="S1216">
            <v>2571.1841502083766</v>
          </cell>
          <cell r="U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62</v>
          </cell>
        </row>
        <row r="1217">
          <cell r="C1217" t="str">
            <v>A0421</v>
          </cell>
          <cell r="D1217" t="str">
            <v>PT Sumber Utama Makmur</v>
          </cell>
          <cell r="E1217" t="str">
            <v>LL</v>
          </cell>
          <cell r="F1217" t="str">
            <v>101LL</v>
          </cell>
          <cell r="J1217">
            <v>10.507167860370135</v>
          </cell>
          <cell r="P1217">
            <v>7177</v>
          </cell>
          <cell r="Q1217">
            <v>44794.658185432832</v>
          </cell>
          <cell r="R1217">
            <v>27014.639001592917</v>
          </cell>
          <cell r="S1217">
            <v>14431.325764613379</v>
          </cell>
          <cell r="U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7177</v>
          </cell>
        </row>
        <row r="1218">
          <cell r="C1218" t="str">
            <v>A0421</v>
          </cell>
          <cell r="D1218" t="str">
            <v>PT Sumber Utama Makmur</v>
          </cell>
          <cell r="E1218" t="str">
            <v>PMK</v>
          </cell>
          <cell r="F1218" t="str">
            <v>101PMK</v>
          </cell>
          <cell r="J1218">
            <v>10.507167860370135</v>
          </cell>
          <cell r="P1218">
            <v>6297</v>
          </cell>
          <cell r="Q1218">
            <v>41098.670919265511</v>
          </cell>
          <cell r="R1218">
            <v>7195.5098980584262</v>
          </cell>
          <cell r="S1218">
            <v>6300</v>
          </cell>
          <cell r="U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6297</v>
          </cell>
        </row>
        <row r="1220">
          <cell r="C1220" t="str">
            <v>A0142</v>
          </cell>
          <cell r="D1220" t="str">
            <v>PT Surya Artha Nusantara Finance</v>
          </cell>
          <cell r="E1220" t="str">
            <v>PEB 1</v>
          </cell>
          <cell r="F1220" t="str">
            <v>102PEB 1</v>
          </cell>
          <cell r="G1220">
            <v>0.1</v>
          </cell>
          <cell r="H1220">
            <v>0.1</v>
          </cell>
          <cell r="I1220">
            <v>0.09</v>
          </cell>
          <cell r="J1220">
            <v>7.2853106405447559</v>
          </cell>
          <cell r="K1220">
            <v>8.2558927498612817</v>
          </cell>
          <cell r="L1220">
            <v>1411</v>
          </cell>
          <cell r="N1220">
            <v>263253.1544</v>
          </cell>
          <cell r="O1220">
            <v>35724.664000000004</v>
          </cell>
          <cell r="P1220">
            <v>2015998</v>
          </cell>
          <cell r="Q1220">
            <v>2747991.7324989783</v>
          </cell>
          <cell r="R1220">
            <v>133347.65955146617</v>
          </cell>
          <cell r="S1220">
            <v>17879.727286736059</v>
          </cell>
          <cell r="U1220">
            <v>-1536360</v>
          </cell>
          <cell r="V1220">
            <v>2620659.8728</v>
          </cell>
          <cell r="W1220">
            <v>-240908</v>
          </cell>
          <cell r="X1220">
            <v>0</v>
          </cell>
          <cell r="Y1220">
            <v>0</v>
          </cell>
          <cell r="Z1220">
            <v>238730</v>
          </cell>
          <cell r="AB1220">
            <v>0.1</v>
          </cell>
          <cell r="AC1220">
            <v>0</v>
          </cell>
          <cell r="AD1220">
            <v>0.09</v>
          </cell>
          <cell r="AE1220">
            <v>9.8441261689111901</v>
          </cell>
          <cell r="AF1220">
            <v>18.566403545205088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17472</v>
          </cell>
          <cell r="AL1220">
            <v>77606.128706039395</v>
          </cell>
          <cell r="AM1220">
            <v>13229.623036185572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-10382</v>
          </cell>
          <cell r="AS1220">
            <v>-3553</v>
          </cell>
          <cell r="AT1220">
            <v>305</v>
          </cell>
          <cell r="AU1220">
            <v>3537</v>
          </cell>
          <cell r="AW1220">
            <v>0.1</v>
          </cell>
          <cell r="AX1220">
            <v>0</v>
          </cell>
          <cell r="AY1220">
            <v>0.09</v>
          </cell>
          <cell r="AZ1220">
            <v>7.2853106405447559</v>
          </cell>
          <cell r="BA1220">
            <v>8.2558927498612817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16298</v>
          </cell>
          <cell r="BG1220">
            <v>43251.72685752617</v>
          </cell>
          <cell r="BH1220">
            <v>2290.184580271301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1003834</v>
          </cell>
          <cell r="BN1220">
            <v>-55155</v>
          </cell>
          <cell r="BO1220">
            <v>4962</v>
          </cell>
          <cell r="BP1220">
            <v>964977</v>
          </cell>
          <cell r="BR1220">
            <v>0.1</v>
          </cell>
          <cell r="BS1220">
            <v>0</v>
          </cell>
          <cell r="BT1220">
            <v>0.09</v>
          </cell>
          <cell r="BU1220">
            <v>9.3182323796757167</v>
          </cell>
          <cell r="BV1220">
            <v>19.810775537746586</v>
          </cell>
          <cell r="BW1220">
            <v>0</v>
          </cell>
          <cell r="BX1220">
            <v>0</v>
          </cell>
          <cell r="BY1220">
            <v>0</v>
          </cell>
          <cell r="BZ1220">
            <v>0</v>
          </cell>
          <cell r="CA1220">
            <v>390930</v>
          </cell>
          <cell r="CB1220">
            <v>473627.45928340475</v>
          </cell>
          <cell r="CC1220">
            <v>106938.79656801175</v>
          </cell>
          <cell r="CD1220">
            <v>15475.736856384088</v>
          </cell>
          <cell r="CE1220">
            <v>0</v>
          </cell>
          <cell r="CF1220">
            <v>0</v>
          </cell>
          <cell r="CG1220">
            <v>0</v>
          </cell>
          <cell r="CH1220">
            <v>-142912</v>
          </cell>
          <cell r="CI1220">
            <v>-28056</v>
          </cell>
          <cell r="CJ1220">
            <v>1893</v>
          </cell>
          <cell r="CK1220">
            <v>219962</v>
          </cell>
          <cell r="CM1220">
            <v>0</v>
          </cell>
          <cell r="CN1220">
            <v>0</v>
          </cell>
          <cell r="CO1220">
            <v>0</v>
          </cell>
          <cell r="CP1220">
            <v>0</v>
          </cell>
          <cell r="CQ1220">
            <v>0</v>
          </cell>
          <cell r="CR1220">
            <v>0</v>
          </cell>
          <cell r="CS1220">
            <v>0</v>
          </cell>
          <cell r="CT1220">
            <v>0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0</v>
          </cell>
          <cell r="DA1220">
            <v>0</v>
          </cell>
          <cell r="DB1220">
            <v>0</v>
          </cell>
          <cell r="DC1220">
            <v>0</v>
          </cell>
          <cell r="DD1220">
            <v>0</v>
          </cell>
          <cell r="DE1220">
            <v>0</v>
          </cell>
          <cell r="DF1220">
            <v>0</v>
          </cell>
          <cell r="DH1220">
            <v>0</v>
          </cell>
          <cell r="DI1220">
            <v>0</v>
          </cell>
          <cell r="DJ1220">
            <v>0</v>
          </cell>
          <cell r="DK1220">
            <v>0</v>
          </cell>
          <cell r="DL1220">
            <v>0</v>
          </cell>
          <cell r="DM1220">
            <v>0</v>
          </cell>
          <cell r="DN1220">
            <v>0</v>
          </cell>
          <cell r="DO1220">
            <v>0</v>
          </cell>
          <cell r="DP1220">
            <v>0</v>
          </cell>
          <cell r="DQ1220">
            <v>0</v>
          </cell>
          <cell r="DR1220">
            <v>0</v>
          </cell>
          <cell r="DS1220">
            <v>0</v>
          </cell>
          <cell r="DT1220">
            <v>0</v>
          </cell>
          <cell r="DU1220">
            <v>0</v>
          </cell>
          <cell r="DV1220">
            <v>0</v>
          </cell>
          <cell r="DW1220">
            <v>0</v>
          </cell>
          <cell r="DX1220">
            <v>0</v>
          </cell>
          <cell r="DY1220">
            <v>0</v>
          </cell>
          <cell r="DZ1220">
            <v>0</v>
          </cell>
          <cell r="EA1220">
            <v>0</v>
          </cell>
          <cell r="EC1220">
            <v>0.1</v>
          </cell>
          <cell r="ED1220">
            <v>0</v>
          </cell>
          <cell r="EE1220">
            <v>0.09</v>
          </cell>
          <cell r="EF1220">
            <v>9.8441261689111901</v>
          </cell>
          <cell r="EG1220">
            <v>18.566403545205088</v>
          </cell>
          <cell r="EH1220">
            <v>0</v>
          </cell>
          <cell r="EI1220">
            <v>0</v>
          </cell>
          <cell r="EJ1220">
            <v>0</v>
          </cell>
          <cell r="EK1220">
            <v>0</v>
          </cell>
          <cell r="EL1220">
            <v>96117</v>
          </cell>
          <cell r="EM1220">
            <v>111707.02727885038</v>
          </cell>
          <cell r="EN1220">
            <v>19835.623229236677</v>
          </cell>
          <cell r="EO1220">
            <v>12621.29883992541</v>
          </cell>
          <cell r="EP1220">
            <v>0</v>
          </cell>
          <cell r="EQ1220">
            <v>0</v>
          </cell>
          <cell r="ER1220">
            <v>0</v>
          </cell>
          <cell r="ES1220">
            <v>-66802</v>
          </cell>
          <cell r="ET1220">
            <v>0</v>
          </cell>
          <cell r="EU1220">
            <v>0</v>
          </cell>
          <cell r="EV1220">
            <v>29315</v>
          </cell>
          <cell r="EX1220">
            <v>0</v>
          </cell>
          <cell r="EY1220">
            <v>0</v>
          </cell>
          <cell r="EZ1220">
            <v>0</v>
          </cell>
          <cell r="FA1220">
            <v>0</v>
          </cell>
          <cell r="FB1220">
            <v>0</v>
          </cell>
          <cell r="FC1220">
            <v>0</v>
          </cell>
          <cell r="FD1220">
            <v>0</v>
          </cell>
          <cell r="FE1220">
            <v>0</v>
          </cell>
          <cell r="FF1220">
            <v>0</v>
          </cell>
          <cell r="FG1220">
            <v>0</v>
          </cell>
          <cell r="FH1220">
            <v>0</v>
          </cell>
          <cell r="FI1220">
            <v>0</v>
          </cell>
          <cell r="FJ1220">
            <v>0</v>
          </cell>
          <cell r="FK1220">
            <v>0</v>
          </cell>
          <cell r="FL1220">
            <v>0</v>
          </cell>
          <cell r="FM1220">
            <v>0</v>
          </cell>
          <cell r="FN1220">
            <v>0</v>
          </cell>
          <cell r="FO1220">
            <v>0</v>
          </cell>
          <cell r="FP1220">
            <v>0</v>
          </cell>
          <cell r="FQ1220">
            <v>0</v>
          </cell>
          <cell r="FS1220">
            <v>0.1</v>
          </cell>
          <cell r="FT1220">
            <v>0</v>
          </cell>
          <cell r="FU1220">
            <v>0.09</v>
          </cell>
          <cell r="FV1220">
            <v>9.8441261689111901</v>
          </cell>
          <cell r="FW1220">
            <v>18.566403545205088</v>
          </cell>
          <cell r="FX1220">
            <v>0</v>
          </cell>
          <cell r="FY1220">
            <v>0</v>
          </cell>
          <cell r="FZ1220">
            <v>0</v>
          </cell>
          <cell r="GA1220">
            <v>0</v>
          </cell>
          <cell r="GB1220">
            <v>14916</v>
          </cell>
          <cell r="GC1220">
            <v>319065.33463544038</v>
          </cell>
          <cell r="GD1220">
            <v>46422.411651498594</v>
          </cell>
          <cell r="GE1220">
            <v>23239.216609681182</v>
          </cell>
          <cell r="GF1220">
            <v>0</v>
          </cell>
          <cell r="GG1220">
            <v>0</v>
          </cell>
          <cell r="GH1220">
            <v>0</v>
          </cell>
          <cell r="GI1220">
            <v>0</v>
          </cell>
          <cell r="GJ1220">
            <v>0</v>
          </cell>
          <cell r="GK1220">
            <v>0</v>
          </cell>
          <cell r="GL1220">
            <v>14916</v>
          </cell>
          <cell r="GN1220">
            <v>0.1</v>
          </cell>
          <cell r="GO1220">
            <v>0</v>
          </cell>
          <cell r="GP1220">
            <v>0.09</v>
          </cell>
          <cell r="GQ1220">
            <v>9.8441261689111901</v>
          </cell>
          <cell r="GR1220">
            <v>18.566403545205088</v>
          </cell>
          <cell r="GS1220">
            <v>0</v>
          </cell>
          <cell r="GT1220">
            <v>0</v>
          </cell>
          <cell r="GU1220">
            <v>0</v>
          </cell>
          <cell r="GV1220">
            <v>0</v>
          </cell>
          <cell r="GW1220">
            <v>340589</v>
          </cell>
          <cell r="GX1220">
            <v>550782.48295090138</v>
          </cell>
          <cell r="GY1220">
            <v>173443.34913093955</v>
          </cell>
          <cell r="GZ1220">
            <v>43195.741564284428</v>
          </cell>
          <cell r="HA1220">
            <v>0</v>
          </cell>
          <cell r="HB1220">
            <v>0</v>
          </cell>
          <cell r="HC1220">
            <v>0</v>
          </cell>
          <cell r="HD1220">
            <v>0</v>
          </cell>
          <cell r="HE1220">
            <v>0</v>
          </cell>
          <cell r="HF1220">
            <v>0</v>
          </cell>
          <cell r="HG1220">
            <v>340589</v>
          </cell>
          <cell r="HI1220">
            <v>0.1</v>
          </cell>
          <cell r="HJ1220">
            <v>0</v>
          </cell>
          <cell r="HK1220">
            <v>0.09</v>
          </cell>
          <cell r="HL1220">
            <v>9.8441261689111901</v>
          </cell>
          <cell r="HM1220">
            <v>18.566403545205088</v>
          </cell>
          <cell r="HN1220">
            <v>0</v>
          </cell>
          <cell r="HO1220">
            <v>0</v>
          </cell>
          <cell r="HP1220">
            <v>0</v>
          </cell>
          <cell r="HQ1220">
            <v>0</v>
          </cell>
          <cell r="HR1220">
            <v>170089</v>
          </cell>
          <cell r="HS1220">
            <v>210072.92151169726</v>
          </cell>
          <cell r="HT1220">
            <v>40452.779819180621</v>
          </cell>
          <cell r="HU1220">
            <v>18888.5</v>
          </cell>
          <cell r="HV1220">
            <v>0</v>
          </cell>
          <cell r="HW1220">
            <v>0</v>
          </cell>
          <cell r="HX1220">
            <v>0</v>
          </cell>
          <cell r="HY1220">
            <v>0</v>
          </cell>
          <cell r="HZ1220">
            <v>0</v>
          </cell>
          <cell r="IA1220">
            <v>0</v>
          </cell>
          <cell r="IB1220">
            <v>170089</v>
          </cell>
        </row>
        <row r="1221">
          <cell r="C1221" t="str">
            <v>A0142</v>
          </cell>
          <cell r="D1221" t="str">
            <v>PT Surya Artha Nusantara Finance</v>
          </cell>
          <cell r="E1221" t="str">
            <v>PEB 2</v>
          </cell>
          <cell r="F1221" t="str">
            <v>102PEB 2</v>
          </cell>
          <cell r="G1221">
            <v>0.1</v>
          </cell>
          <cell r="I1221">
            <v>0.09</v>
          </cell>
          <cell r="J1221">
            <v>9.8441261689111901</v>
          </cell>
          <cell r="K1221">
            <v>18.566403545205088</v>
          </cell>
          <cell r="P1221">
            <v>17472</v>
          </cell>
          <cell r="Q1221">
            <v>77606.128706039395</v>
          </cell>
          <cell r="R1221">
            <v>13229.623036185572</v>
          </cell>
          <cell r="S1221">
            <v>0</v>
          </cell>
          <cell r="U1221">
            <v>0</v>
          </cell>
          <cell r="W1221">
            <v>-10382</v>
          </cell>
          <cell r="X1221">
            <v>-3553</v>
          </cell>
          <cell r="Y1221">
            <v>305</v>
          </cell>
          <cell r="Z1221">
            <v>3537</v>
          </cell>
        </row>
        <row r="1222">
          <cell r="C1222" t="str">
            <v>A0142</v>
          </cell>
          <cell r="D1222" t="str">
            <v>PT Surya Artha Nusantara Finance</v>
          </cell>
          <cell r="E1222" t="str">
            <v>PEB 3</v>
          </cell>
          <cell r="F1222" t="str">
            <v>102PEB 3</v>
          </cell>
          <cell r="G1222">
            <v>0.1</v>
          </cell>
          <cell r="I1222">
            <v>0.09</v>
          </cell>
          <cell r="J1222">
            <v>7.2853106405447559</v>
          </cell>
          <cell r="K1222">
            <v>8.2558927498612817</v>
          </cell>
          <cell r="P1222">
            <v>16298</v>
          </cell>
          <cell r="Q1222">
            <v>43251.72685752617</v>
          </cell>
          <cell r="R1222">
            <v>2290.184580271301</v>
          </cell>
          <cell r="S1222">
            <v>0</v>
          </cell>
          <cell r="U1222">
            <v>0</v>
          </cell>
          <cell r="W1222">
            <v>1003834</v>
          </cell>
          <cell r="X1222">
            <v>-55155</v>
          </cell>
          <cell r="Y1222">
            <v>4962</v>
          </cell>
          <cell r="Z1222">
            <v>964977</v>
          </cell>
        </row>
        <row r="1223">
          <cell r="C1223" t="str">
            <v>A0142</v>
          </cell>
          <cell r="D1223" t="str">
            <v>PT Surya Artha Nusantara Finance</v>
          </cell>
          <cell r="E1223" t="str">
            <v>PEB 4</v>
          </cell>
          <cell r="F1223" t="str">
            <v>102PEB 4</v>
          </cell>
          <cell r="G1223">
            <v>0.1</v>
          </cell>
          <cell r="I1223">
            <v>0.09</v>
          </cell>
          <cell r="J1223">
            <v>9.3182323796757167</v>
          </cell>
          <cell r="K1223">
            <v>19.810775537746586</v>
          </cell>
          <cell r="P1223">
            <v>390930</v>
          </cell>
          <cell r="Q1223">
            <v>473627.45928340475</v>
          </cell>
          <cell r="R1223">
            <v>106938.79656801175</v>
          </cell>
          <cell r="S1223">
            <v>15475.736856384088</v>
          </cell>
          <cell r="U1223">
            <v>0</v>
          </cell>
          <cell r="W1223">
            <v>-142912</v>
          </cell>
          <cell r="X1223">
            <v>-28056</v>
          </cell>
          <cell r="Y1223">
            <v>1893</v>
          </cell>
          <cell r="Z1223">
            <v>219962</v>
          </cell>
        </row>
        <row r="1224">
          <cell r="C1224" t="str">
            <v>A0142</v>
          </cell>
          <cell r="D1224" t="str">
            <v>PT Surya Artha Nusantara Finance</v>
          </cell>
          <cell r="E1224" t="str">
            <v>PEB 5</v>
          </cell>
          <cell r="F1224" t="str">
            <v>102PEB 5</v>
          </cell>
          <cell r="P1224">
            <v>0</v>
          </cell>
          <cell r="U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</row>
        <row r="1225">
          <cell r="C1225" t="str">
            <v>A0142</v>
          </cell>
          <cell r="D1225" t="str">
            <v>PT Surya Artha Nusantara Finance</v>
          </cell>
          <cell r="E1225" t="str">
            <v>PEB 6</v>
          </cell>
          <cell r="F1225" t="str">
            <v>102PEB 6</v>
          </cell>
          <cell r="P1225">
            <v>0</v>
          </cell>
          <cell r="U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</row>
        <row r="1226">
          <cell r="C1226" t="str">
            <v>A0142</v>
          </cell>
          <cell r="D1226" t="str">
            <v>PT Surya Artha Nusantara Finance</v>
          </cell>
          <cell r="E1226" t="str">
            <v>PEB 7</v>
          </cell>
          <cell r="F1226" t="str">
            <v>102PEB 7</v>
          </cell>
          <cell r="G1226">
            <v>0.1</v>
          </cell>
          <cell r="I1226">
            <v>0.09</v>
          </cell>
          <cell r="J1226">
            <v>9.8441261689111901</v>
          </cell>
          <cell r="K1226">
            <v>18.566403545205088</v>
          </cell>
          <cell r="P1226">
            <v>96117</v>
          </cell>
          <cell r="Q1226">
            <v>111707.02727885038</v>
          </cell>
          <cell r="R1226">
            <v>19835.623229236677</v>
          </cell>
          <cell r="S1226">
            <v>12621.29883992541</v>
          </cell>
          <cell r="U1226">
            <v>0</v>
          </cell>
          <cell r="W1226">
            <v>-66802</v>
          </cell>
          <cell r="X1226">
            <v>0</v>
          </cell>
          <cell r="Y1226">
            <v>0</v>
          </cell>
          <cell r="Z1226">
            <v>29315</v>
          </cell>
        </row>
        <row r="1227">
          <cell r="C1227" t="str">
            <v>A0142</v>
          </cell>
          <cell r="D1227" t="str">
            <v>PT Surya Artha Nusantara Finance</v>
          </cell>
          <cell r="E1227" t="str">
            <v>MPP</v>
          </cell>
          <cell r="F1227" t="str">
            <v>102MPP</v>
          </cell>
          <cell r="P1227">
            <v>0</v>
          </cell>
          <cell r="U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</row>
        <row r="1228">
          <cell r="C1228" t="str">
            <v>A0142</v>
          </cell>
          <cell r="D1228" t="str">
            <v>PT Surya Artha Nusantara Finance</v>
          </cell>
          <cell r="E1228" t="str">
            <v>ID</v>
          </cell>
          <cell r="F1228" t="str">
            <v>102ID</v>
          </cell>
          <cell r="G1228">
            <v>0.1</v>
          </cell>
          <cell r="I1228">
            <v>0.09</v>
          </cell>
          <cell r="J1228">
            <v>9.8441261689111901</v>
          </cell>
          <cell r="K1228">
            <v>18.566403545205088</v>
          </cell>
          <cell r="P1228">
            <v>14916</v>
          </cell>
          <cell r="Q1228">
            <v>319065.33463544038</v>
          </cell>
          <cell r="R1228">
            <v>46422.411651498594</v>
          </cell>
          <cell r="S1228">
            <v>23239.216609681182</v>
          </cell>
          <cell r="U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14916</v>
          </cell>
        </row>
        <row r="1229">
          <cell r="C1229" t="str">
            <v>A0142</v>
          </cell>
          <cell r="D1229" t="str">
            <v>PT Surya Artha Nusantara Finance</v>
          </cell>
          <cell r="E1229" t="str">
            <v>LL</v>
          </cell>
          <cell r="F1229" t="str">
            <v>102LL</v>
          </cell>
          <cell r="G1229">
            <v>0.1</v>
          </cell>
          <cell r="I1229">
            <v>0.09</v>
          </cell>
          <cell r="J1229">
            <v>9.8441261689111901</v>
          </cell>
          <cell r="K1229">
            <v>18.566403545205088</v>
          </cell>
          <cell r="P1229">
            <v>340589</v>
          </cell>
          <cell r="Q1229">
            <v>550782.48295090138</v>
          </cell>
          <cell r="R1229">
            <v>173443.34913093955</v>
          </cell>
          <cell r="S1229">
            <v>43195.741564284428</v>
          </cell>
          <cell r="U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340589</v>
          </cell>
        </row>
        <row r="1230">
          <cell r="C1230" t="str">
            <v>A0142</v>
          </cell>
          <cell r="D1230" t="str">
            <v>PT Surya Artha Nusantara Finance</v>
          </cell>
          <cell r="E1230" t="str">
            <v>PMK</v>
          </cell>
          <cell r="F1230" t="str">
            <v>102PMK</v>
          </cell>
          <cell r="G1230">
            <v>0.1</v>
          </cell>
          <cell r="I1230">
            <v>0.09</v>
          </cell>
          <cell r="J1230">
            <v>9.8441261689111901</v>
          </cell>
          <cell r="K1230">
            <v>18.566403545205088</v>
          </cell>
          <cell r="P1230">
            <v>170089</v>
          </cell>
          <cell r="Q1230">
            <v>210072.92151169726</v>
          </cell>
          <cell r="R1230">
            <v>40452.779819180621</v>
          </cell>
          <cell r="S1230">
            <v>18888.5</v>
          </cell>
          <cell r="U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170089</v>
          </cell>
        </row>
        <row r="1232">
          <cell r="C1232" t="str">
            <v>A0251</v>
          </cell>
          <cell r="D1232" t="str">
            <v>PT Surya Indah Nusantara Pagi</v>
          </cell>
          <cell r="E1232" t="str">
            <v>PEB 1</v>
          </cell>
          <cell r="F1232" t="str">
            <v>103PEB 1</v>
          </cell>
          <cell r="J1232">
            <v>0</v>
          </cell>
          <cell r="N1232">
            <v>0</v>
          </cell>
          <cell r="O1232">
            <v>0</v>
          </cell>
          <cell r="P1232">
            <v>0</v>
          </cell>
          <cell r="Q1232" t="str">
            <v xml:space="preserve"> </v>
          </cell>
          <cell r="R1232" t="str">
            <v xml:space="preserve"> </v>
          </cell>
          <cell r="S1232" t="str">
            <v xml:space="preserve"> 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10.063199620847865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773842</v>
          </cell>
          <cell r="AL1232">
            <v>1274163.6669878946</v>
          </cell>
          <cell r="AM1232">
            <v>186651.79747467962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-391733</v>
          </cell>
          <cell r="AS1232">
            <v>0</v>
          </cell>
          <cell r="AT1232">
            <v>0</v>
          </cell>
          <cell r="AU1232">
            <v>382109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 t="str">
            <v xml:space="preserve"> </v>
          </cell>
          <cell r="BH1232" t="str">
            <v xml:space="preserve"> </v>
          </cell>
          <cell r="BI1232" t="str">
            <v xml:space="preserve"> 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10.018835622137928</v>
          </cell>
          <cell r="BV1232">
            <v>0</v>
          </cell>
          <cell r="BW1232">
            <v>0</v>
          </cell>
          <cell r="BX1232">
            <v>0</v>
          </cell>
          <cell r="BY1232">
            <v>0</v>
          </cell>
          <cell r="BZ1232">
            <v>0</v>
          </cell>
          <cell r="CA1232">
            <v>1350182</v>
          </cell>
          <cell r="CB1232">
            <v>4426583.1254511653</v>
          </cell>
          <cell r="CC1232">
            <v>680679.62053654355</v>
          </cell>
          <cell r="CD1232">
            <v>0</v>
          </cell>
          <cell r="CE1232">
            <v>0</v>
          </cell>
          <cell r="CF1232">
            <v>0</v>
          </cell>
          <cell r="CG1232">
            <v>0</v>
          </cell>
          <cell r="CH1232">
            <v>-992078</v>
          </cell>
          <cell r="CI1232">
            <v>-107620</v>
          </cell>
          <cell r="CJ1232">
            <v>8473</v>
          </cell>
          <cell r="CK1232">
            <v>250484</v>
          </cell>
          <cell r="CM1232">
            <v>0</v>
          </cell>
          <cell r="CN1232">
            <v>0</v>
          </cell>
          <cell r="CO1232">
            <v>0</v>
          </cell>
          <cell r="CP1232">
            <v>9.4865345932741167</v>
          </cell>
          <cell r="CQ1232">
            <v>0</v>
          </cell>
          <cell r="CR1232">
            <v>0</v>
          </cell>
          <cell r="CS1232">
            <v>0</v>
          </cell>
          <cell r="CT1232">
            <v>0</v>
          </cell>
          <cell r="CU1232">
            <v>0</v>
          </cell>
          <cell r="CV1232">
            <v>29724</v>
          </cell>
          <cell r="CW1232">
            <v>0</v>
          </cell>
          <cell r="CX1232">
            <v>0</v>
          </cell>
          <cell r="CY1232">
            <v>0</v>
          </cell>
          <cell r="CZ1232">
            <v>0</v>
          </cell>
          <cell r="DA1232">
            <v>0</v>
          </cell>
          <cell r="DB1232">
            <v>0</v>
          </cell>
          <cell r="DC1232">
            <v>632695</v>
          </cell>
          <cell r="DD1232">
            <v>0</v>
          </cell>
          <cell r="DE1232">
            <v>0</v>
          </cell>
          <cell r="DF1232">
            <v>662419</v>
          </cell>
          <cell r="DH1232">
            <v>0</v>
          </cell>
          <cell r="DI1232">
            <v>0</v>
          </cell>
          <cell r="DJ1232">
            <v>0</v>
          </cell>
          <cell r="DK1232">
            <v>0</v>
          </cell>
          <cell r="DL1232">
            <v>0</v>
          </cell>
          <cell r="DM1232">
            <v>0</v>
          </cell>
          <cell r="DN1232">
            <v>0</v>
          </cell>
          <cell r="DO1232">
            <v>0</v>
          </cell>
          <cell r="DP1232">
            <v>0</v>
          </cell>
          <cell r="DQ1232">
            <v>0</v>
          </cell>
          <cell r="DR1232" t="str">
            <v xml:space="preserve"> </v>
          </cell>
          <cell r="DS1232" t="str">
            <v xml:space="preserve">  </v>
          </cell>
          <cell r="DT1232" t="str">
            <v xml:space="preserve"> </v>
          </cell>
          <cell r="DU1232">
            <v>0</v>
          </cell>
          <cell r="DV1232">
            <v>0</v>
          </cell>
          <cell r="DW1232">
            <v>0</v>
          </cell>
          <cell r="DX1232">
            <v>0</v>
          </cell>
          <cell r="DY1232">
            <v>0</v>
          </cell>
          <cell r="DZ1232">
            <v>0</v>
          </cell>
          <cell r="EA1232">
            <v>0</v>
          </cell>
          <cell r="EC1232">
            <v>0</v>
          </cell>
          <cell r="ED1232">
            <v>0</v>
          </cell>
          <cell r="EE1232">
            <v>0</v>
          </cell>
          <cell r="EF1232">
            <v>10.063199620847865</v>
          </cell>
          <cell r="EG1232">
            <v>0</v>
          </cell>
          <cell r="EH1232">
            <v>0</v>
          </cell>
          <cell r="EI1232">
            <v>0</v>
          </cell>
          <cell r="EJ1232">
            <v>0</v>
          </cell>
          <cell r="EK1232">
            <v>0</v>
          </cell>
          <cell r="EL1232">
            <v>88710</v>
          </cell>
          <cell r="EM1232">
            <v>198440.4974651876</v>
          </cell>
          <cell r="EN1232">
            <v>41765.556578754404</v>
          </cell>
          <cell r="EO1232">
            <v>18828.0774390568</v>
          </cell>
          <cell r="EP1232">
            <v>0</v>
          </cell>
          <cell r="EQ1232">
            <v>0</v>
          </cell>
          <cell r="ER1232">
            <v>0</v>
          </cell>
          <cell r="ES1232">
            <v>-63382</v>
          </cell>
          <cell r="ET1232">
            <v>0</v>
          </cell>
          <cell r="EU1232">
            <v>0</v>
          </cell>
          <cell r="EV1232">
            <v>25328</v>
          </cell>
          <cell r="EX1232">
            <v>0</v>
          </cell>
          <cell r="EY1232">
            <v>0</v>
          </cell>
          <cell r="EZ1232">
            <v>0</v>
          </cell>
          <cell r="FA1232">
            <v>0</v>
          </cell>
          <cell r="FB1232">
            <v>0</v>
          </cell>
          <cell r="FC1232">
            <v>0</v>
          </cell>
          <cell r="FD1232">
            <v>0</v>
          </cell>
          <cell r="FE1232">
            <v>0</v>
          </cell>
          <cell r="FF1232">
            <v>0</v>
          </cell>
          <cell r="FG1232">
            <v>0</v>
          </cell>
          <cell r="FH1232">
            <v>215285.23834060531</v>
          </cell>
          <cell r="FI1232">
            <v>34157.90971178186</v>
          </cell>
          <cell r="FJ1232">
            <v>0</v>
          </cell>
          <cell r="FK1232">
            <v>0</v>
          </cell>
          <cell r="FL1232">
            <v>0</v>
          </cell>
          <cell r="FM1232">
            <v>0</v>
          </cell>
          <cell r="FN1232">
            <v>0</v>
          </cell>
          <cell r="FO1232">
            <v>0</v>
          </cell>
          <cell r="FP1232">
            <v>0</v>
          </cell>
          <cell r="FQ1232">
            <v>0</v>
          </cell>
          <cell r="FS1232">
            <v>0</v>
          </cell>
          <cell r="FT1232">
            <v>0</v>
          </cell>
          <cell r="FU1232">
            <v>0</v>
          </cell>
          <cell r="FV1232">
            <v>10.063199620847865</v>
          </cell>
          <cell r="FW1232">
            <v>0</v>
          </cell>
          <cell r="FX1232">
            <v>0</v>
          </cell>
          <cell r="FY1232">
            <v>0</v>
          </cell>
          <cell r="FZ1232">
            <v>0</v>
          </cell>
          <cell r="GA1232">
            <v>0</v>
          </cell>
          <cell r="GB1232">
            <v>14835</v>
          </cell>
          <cell r="GC1232">
            <v>473537.17097917403</v>
          </cell>
          <cell r="GD1232">
            <v>90060.818875287005</v>
          </cell>
          <cell r="GE1232">
            <v>30726.113189153857</v>
          </cell>
          <cell r="GF1232">
            <v>0</v>
          </cell>
          <cell r="GG1232">
            <v>0</v>
          </cell>
          <cell r="GH1232">
            <v>0</v>
          </cell>
          <cell r="GI1232">
            <v>0</v>
          </cell>
          <cell r="GJ1232">
            <v>0</v>
          </cell>
          <cell r="GK1232">
            <v>0</v>
          </cell>
          <cell r="GL1232">
            <v>14835</v>
          </cell>
          <cell r="GN1232">
            <v>0</v>
          </cell>
          <cell r="GO1232">
            <v>0</v>
          </cell>
          <cell r="GP1232">
            <v>0</v>
          </cell>
          <cell r="GQ1232">
            <v>10.063199620847865</v>
          </cell>
          <cell r="GR1232">
            <v>0</v>
          </cell>
          <cell r="GS1232">
            <v>0</v>
          </cell>
          <cell r="GT1232">
            <v>0</v>
          </cell>
          <cell r="GU1232">
            <v>0</v>
          </cell>
          <cell r="GV1232">
            <v>0</v>
          </cell>
          <cell r="GW1232">
            <v>540497</v>
          </cell>
          <cell r="GX1232">
            <v>661371.68386680319</v>
          </cell>
          <cell r="GY1232">
            <v>313905.18136920274</v>
          </cell>
          <cell r="GZ1232">
            <v>147132.92912247407</v>
          </cell>
          <cell r="HA1232">
            <v>0</v>
          </cell>
          <cell r="HB1232">
            <v>0</v>
          </cell>
          <cell r="HC1232">
            <v>0</v>
          </cell>
          <cell r="HD1232">
            <v>0</v>
          </cell>
          <cell r="HE1232">
            <v>0</v>
          </cell>
          <cell r="HF1232">
            <v>0</v>
          </cell>
          <cell r="HG1232">
            <v>540497</v>
          </cell>
          <cell r="HI1232">
            <v>0</v>
          </cell>
          <cell r="HJ1232">
            <v>0</v>
          </cell>
          <cell r="HK1232">
            <v>0</v>
          </cell>
          <cell r="HL1232">
            <v>10.063199620847865</v>
          </cell>
          <cell r="HM1232">
            <v>0</v>
          </cell>
          <cell r="HN1232">
            <v>0</v>
          </cell>
          <cell r="HO1232">
            <v>0</v>
          </cell>
          <cell r="HP1232">
            <v>0</v>
          </cell>
          <cell r="HQ1232">
            <v>0</v>
          </cell>
          <cell r="HR1232">
            <v>277401</v>
          </cell>
          <cell r="HS1232">
            <v>605862.87250873121</v>
          </cell>
          <cell r="HT1232">
            <v>137466.99762424192</v>
          </cell>
          <cell r="HU1232">
            <v>15750</v>
          </cell>
          <cell r="HV1232">
            <v>0</v>
          </cell>
          <cell r="HW1232">
            <v>0</v>
          </cell>
          <cell r="HX1232">
            <v>0</v>
          </cell>
          <cell r="HY1232">
            <v>0</v>
          </cell>
          <cell r="HZ1232">
            <v>0</v>
          </cell>
          <cell r="IA1232">
            <v>0</v>
          </cell>
          <cell r="IB1232">
            <v>277401</v>
          </cell>
        </row>
        <row r="1233">
          <cell r="C1233" t="str">
            <v>A0251</v>
          </cell>
          <cell r="D1233" t="str">
            <v>PT Surya Indah Nusantara Pagi</v>
          </cell>
          <cell r="E1233" t="str">
            <v>PEB 2</v>
          </cell>
          <cell r="F1233" t="str">
            <v>103PEB 2</v>
          </cell>
          <cell r="J1233">
            <v>10.063199620847865</v>
          </cell>
          <cell r="P1233">
            <v>773842</v>
          </cell>
          <cell r="Q1233">
            <v>1274163.6669878946</v>
          </cell>
          <cell r="R1233">
            <v>186651.79747467962</v>
          </cell>
          <cell r="S1233">
            <v>0</v>
          </cell>
          <cell r="U1233">
            <v>0</v>
          </cell>
          <cell r="W1233">
            <v>-391733</v>
          </cell>
          <cell r="X1233">
            <v>0</v>
          </cell>
          <cell r="Y1233">
            <v>0</v>
          </cell>
          <cell r="Z1233">
            <v>382109</v>
          </cell>
        </row>
        <row r="1234">
          <cell r="C1234" t="str">
            <v>A0251</v>
          </cell>
          <cell r="D1234" t="str">
            <v>PT Surya Indah Nusantara Pagi</v>
          </cell>
          <cell r="E1234" t="str">
            <v>PEB 3</v>
          </cell>
          <cell r="F1234" t="str">
            <v>103PEB 3</v>
          </cell>
          <cell r="J1234">
            <v>0</v>
          </cell>
          <cell r="P1234">
            <v>0</v>
          </cell>
          <cell r="Q1234" t="str">
            <v xml:space="preserve"> </v>
          </cell>
          <cell r="R1234" t="str">
            <v xml:space="preserve"> </v>
          </cell>
          <cell r="S1234" t="str">
            <v xml:space="preserve"> </v>
          </cell>
          <cell r="U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</row>
        <row r="1235">
          <cell r="C1235" t="str">
            <v>A0251</v>
          </cell>
          <cell r="D1235" t="str">
            <v>PT Surya Indah Nusantara Pagi</v>
          </cell>
          <cell r="E1235" t="str">
            <v>PEB 4</v>
          </cell>
          <cell r="F1235" t="str">
            <v>103PEB 4</v>
          </cell>
          <cell r="J1235">
            <v>10.018835622137928</v>
          </cell>
          <cell r="P1235">
            <v>1350182</v>
          </cell>
          <cell r="Q1235">
            <v>4426583.1254511653</v>
          </cell>
          <cell r="R1235">
            <v>680679.62053654355</v>
          </cell>
          <cell r="S1235">
            <v>0</v>
          </cell>
          <cell r="U1235">
            <v>0</v>
          </cell>
          <cell r="W1235">
            <v>-992078</v>
          </cell>
          <cell r="X1235">
            <v>-107620</v>
          </cell>
          <cell r="Y1235">
            <v>8473</v>
          </cell>
          <cell r="Z1235">
            <v>250484</v>
          </cell>
        </row>
        <row r="1236">
          <cell r="C1236" t="str">
            <v>A0251</v>
          </cell>
          <cell r="D1236" t="str">
            <v>PT Surya Indah Nusantara Pagi</v>
          </cell>
          <cell r="E1236" t="str">
            <v>PEB 5</v>
          </cell>
          <cell r="F1236" t="str">
            <v>103PEB 5</v>
          </cell>
          <cell r="J1236">
            <v>9.4865345932741167</v>
          </cell>
          <cell r="P1236">
            <v>29724</v>
          </cell>
          <cell r="U1236">
            <v>0</v>
          </cell>
          <cell r="W1236">
            <v>632695</v>
          </cell>
          <cell r="X1236">
            <v>0</v>
          </cell>
          <cell r="Y1236">
            <v>0</v>
          </cell>
          <cell r="Z1236">
            <v>662419</v>
          </cell>
        </row>
        <row r="1237">
          <cell r="C1237" t="str">
            <v>A0251</v>
          </cell>
          <cell r="D1237" t="str">
            <v>PT Surya Indah Nusantara Pagi</v>
          </cell>
          <cell r="E1237" t="str">
            <v>PEB 6</v>
          </cell>
          <cell r="F1237" t="str">
            <v>103PEB 6</v>
          </cell>
          <cell r="J1237">
            <v>0</v>
          </cell>
          <cell r="P1237">
            <v>0</v>
          </cell>
          <cell r="Q1237" t="str">
            <v xml:space="preserve"> </v>
          </cell>
          <cell r="R1237" t="str">
            <v xml:space="preserve">  </v>
          </cell>
          <cell r="S1237" t="str">
            <v xml:space="preserve"> </v>
          </cell>
          <cell r="U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</row>
        <row r="1238">
          <cell r="C1238" t="str">
            <v>A0251</v>
          </cell>
          <cell r="D1238" t="str">
            <v>PT Surya Indah Nusantara Pagi</v>
          </cell>
          <cell r="E1238" t="str">
            <v>PEB 7</v>
          </cell>
          <cell r="F1238" t="str">
            <v>103PEB 7</v>
          </cell>
          <cell r="J1238">
            <v>10.063199620847865</v>
          </cell>
          <cell r="P1238">
            <v>88710</v>
          </cell>
          <cell r="Q1238">
            <v>198440.4974651876</v>
          </cell>
          <cell r="R1238">
            <v>41765.556578754404</v>
          </cell>
          <cell r="S1238">
            <v>18828.0774390568</v>
          </cell>
          <cell r="U1238">
            <v>0</v>
          </cell>
          <cell r="W1238">
            <v>-63382</v>
          </cell>
          <cell r="X1238">
            <v>0</v>
          </cell>
          <cell r="Y1238">
            <v>0</v>
          </cell>
          <cell r="Z1238">
            <v>25328</v>
          </cell>
        </row>
        <row r="1239">
          <cell r="C1239" t="str">
            <v>A0251</v>
          </cell>
          <cell r="D1239" t="str">
            <v>PT Surya Indah Nusantara Pagi</v>
          </cell>
          <cell r="E1239" t="str">
            <v>MPP</v>
          </cell>
          <cell r="F1239" t="str">
            <v>103MPP</v>
          </cell>
          <cell r="J1239">
            <v>0</v>
          </cell>
          <cell r="P1239">
            <v>0</v>
          </cell>
          <cell r="Q1239">
            <v>215285.23834060531</v>
          </cell>
          <cell r="R1239">
            <v>34157.90971178186</v>
          </cell>
          <cell r="S1239">
            <v>0</v>
          </cell>
          <cell r="U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</row>
        <row r="1240">
          <cell r="C1240" t="str">
            <v>A0251</v>
          </cell>
          <cell r="D1240" t="str">
            <v>PT Surya Indah Nusantara Pagi</v>
          </cell>
          <cell r="E1240" t="str">
            <v>ID</v>
          </cell>
          <cell r="F1240" t="str">
            <v>103ID</v>
          </cell>
          <cell r="J1240">
            <v>10.063199620847865</v>
          </cell>
          <cell r="P1240">
            <v>14835</v>
          </cell>
          <cell r="Q1240">
            <v>473537.17097917403</v>
          </cell>
          <cell r="R1240">
            <v>90060.818875287005</v>
          </cell>
          <cell r="S1240">
            <v>30726.113189153857</v>
          </cell>
          <cell r="U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14835</v>
          </cell>
        </row>
        <row r="1241">
          <cell r="C1241" t="str">
            <v>A0251</v>
          </cell>
          <cell r="D1241" t="str">
            <v>PT Surya Indah Nusantara Pagi</v>
          </cell>
          <cell r="E1241" t="str">
            <v>LL</v>
          </cell>
          <cell r="F1241" t="str">
            <v>103LL</v>
          </cell>
          <cell r="J1241">
            <v>10.063199620847865</v>
          </cell>
          <cell r="P1241">
            <v>540497</v>
          </cell>
          <cell r="Q1241">
            <v>661371.68386680319</v>
          </cell>
          <cell r="R1241">
            <v>313905.18136920274</v>
          </cell>
          <cell r="S1241">
            <v>147132.92912247407</v>
          </cell>
          <cell r="U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540497</v>
          </cell>
        </row>
        <row r="1242">
          <cell r="C1242" t="str">
            <v>A0251</v>
          </cell>
          <cell r="D1242" t="str">
            <v>PT Surya Indah Nusantara Pagi</v>
          </cell>
          <cell r="E1242" t="str">
            <v>PMK</v>
          </cell>
          <cell r="F1242" t="str">
            <v>103PMK</v>
          </cell>
          <cell r="J1242">
            <v>10.063199620847865</v>
          </cell>
          <cell r="P1242">
            <v>277401</v>
          </cell>
          <cell r="Q1242">
            <v>605862.87250873121</v>
          </cell>
          <cell r="R1242">
            <v>137466.99762424192</v>
          </cell>
          <cell r="S1242">
            <v>15750</v>
          </cell>
          <cell r="U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277401</v>
          </cell>
        </row>
        <row r="1244">
          <cell r="C1244" t="str">
            <v>A0259</v>
          </cell>
          <cell r="D1244" t="str">
            <v>PT Surya Panen Subur</v>
          </cell>
          <cell r="E1244" t="str">
            <v>PEB 1</v>
          </cell>
          <cell r="F1244" t="str">
            <v>104PEB 1</v>
          </cell>
          <cell r="J1244">
            <v>0</v>
          </cell>
          <cell r="N1244">
            <v>0</v>
          </cell>
          <cell r="O1244">
            <v>0</v>
          </cell>
          <cell r="P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10.522830719292429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415633</v>
          </cell>
          <cell r="AL1244">
            <v>274164.29942536092</v>
          </cell>
          <cell r="AM1244">
            <v>36512.126691300939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-128622</v>
          </cell>
          <cell r="AS1244">
            <v>0</v>
          </cell>
          <cell r="AT1244">
            <v>0</v>
          </cell>
          <cell r="AU1244">
            <v>287011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10.477413048730151</v>
          </cell>
          <cell r="BV1244">
            <v>0</v>
          </cell>
          <cell r="BW1244">
            <v>0</v>
          </cell>
          <cell r="BX1244">
            <v>0</v>
          </cell>
          <cell r="BY1244">
            <v>0</v>
          </cell>
          <cell r="BZ1244">
            <v>0</v>
          </cell>
          <cell r="CA1244">
            <v>821491</v>
          </cell>
          <cell r="CB1244">
            <v>1048528.3166141514</v>
          </cell>
          <cell r="CC1244">
            <v>157333.35464023607</v>
          </cell>
          <cell r="CD1244">
            <v>0</v>
          </cell>
          <cell r="CE1244">
            <v>0</v>
          </cell>
          <cell r="CF1244">
            <v>0</v>
          </cell>
          <cell r="CG1244">
            <v>0</v>
          </cell>
          <cell r="CH1244">
            <v>-420792</v>
          </cell>
          <cell r="CI1244">
            <v>0</v>
          </cell>
          <cell r="CJ1244">
            <v>0</v>
          </cell>
          <cell r="CK1244">
            <v>400699</v>
          </cell>
          <cell r="CM1244">
            <v>0</v>
          </cell>
          <cell r="CN1244">
            <v>0</v>
          </cell>
          <cell r="CO1244">
            <v>0</v>
          </cell>
          <cell r="CP1244">
            <v>8.7664022324138458</v>
          </cell>
          <cell r="CQ1244">
            <v>0</v>
          </cell>
          <cell r="CR1244">
            <v>0</v>
          </cell>
          <cell r="CS1244">
            <v>0</v>
          </cell>
          <cell r="CT1244">
            <v>0</v>
          </cell>
          <cell r="CU1244">
            <v>0</v>
          </cell>
          <cell r="CV1244">
            <v>7781</v>
          </cell>
          <cell r="CW1244">
            <v>0</v>
          </cell>
          <cell r="CX1244">
            <v>0</v>
          </cell>
          <cell r="CY1244">
            <v>0</v>
          </cell>
          <cell r="CZ1244">
            <v>0</v>
          </cell>
          <cell r="DA1244">
            <v>0</v>
          </cell>
          <cell r="DB1244">
            <v>0</v>
          </cell>
          <cell r="DC1244">
            <v>88049</v>
          </cell>
          <cell r="DD1244">
            <v>0</v>
          </cell>
          <cell r="DE1244">
            <v>0</v>
          </cell>
          <cell r="DF1244">
            <v>95830</v>
          </cell>
          <cell r="DH1244">
            <v>0</v>
          </cell>
          <cell r="DI1244">
            <v>0</v>
          </cell>
          <cell r="DJ1244">
            <v>0</v>
          </cell>
          <cell r="DK1244">
            <v>0</v>
          </cell>
          <cell r="DL1244">
            <v>0</v>
          </cell>
          <cell r="DM1244">
            <v>0</v>
          </cell>
          <cell r="DN1244">
            <v>0</v>
          </cell>
          <cell r="DO1244">
            <v>0</v>
          </cell>
          <cell r="DP1244">
            <v>0</v>
          </cell>
          <cell r="DQ1244">
            <v>0</v>
          </cell>
          <cell r="DR1244">
            <v>0</v>
          </cell>
          <cell r="DS1244">
            <v>0</v>
          </cell>
          <cell r="DT1244">
            <v>0</v>
          </cell>
          <cell r="DU1244">
            <v>0</v>
          </cell>
          <cell r="DV1244">
            <v>0</v>
          </cell>
          <cell r="DW1244">
            <v>0</v>
          </cell>
          <cell r="DX1244">
            <v>0</v>
          </cell>
          <cell r="DY1244">
            <v>0</v>
          </cell>
          <cell r="DZ1244">
            <v>0</v>
          </cell>
          <cell r="EA1244">
            <v>0</v>
          </cell>
          <cell r="EC1244">
            <v>0</v>
          </cell>
          <cell r="ED1244">
            <v>0</v>
          </cell>
          <cell r="EE1244">
            <v>0</v>
          </cell>
          <cell r="EF1244">
            <v>10.522830719292429</v>
          </cell>
          <cell r="EG1244">
            <v>0</v>
          </cell>
          <cell r="EH1244">
            <v>0</v>
          </cell>
          <cell r="EI1244">
            <v>0</v>
          </cell>
          <cell r="EJ1244">
            <v>0</v>
          </cell>
          <cell r="EK1244">
            <v>0</v>
          </cell>
          <cell r="EL1244">
            <v>50879</v>
          </cell>
          <cell r="EM1244">
            <v>29760.210182493403</v>
          </cell>
          <cell r="EN1244">
            <v>4990.2614954428027</v>
          </cell>
          <cell r="EO1244">
            <v>2767.6118635013627</v>
          </cell>
          <cell r="EP1244">
            <v>0</v>
          </cell>
          <cell r="EQ1244">
            <v>0</v>
          </cell>
          <cell r="ER1244">
            <v>0</v>
          </cell>
          <cell r="ES1244">
            <v>-36507</v>
          </cell>
          <cell r="ET1244">
            <v>0</v>
          </cell>
          <cell r="EU1244">
            <v>0</v>
          </cell>
          <cell r="EV1244">
            <v>14372</v>
          </cell>
          <cell r="EX1244">
            <v>0</v>
          </cell>
          <cell r="EY1244">
            <v>0</v>
          </cell>
          <cell r="EZ1244">
            <v>0</v>
          </cell>
          <cell r="FA1244">
            <v>0</v>
          </cell>
          <cell r="FB1244">
            <v>0</v>
          </cell>
          <cell r="FC1244">
            <v>0</v>
          </cell>
          <cell r="FD1244">
            <v>0</v>
          </cell>
          <cell r="FE1244">
            <v>0</v>
          </cell>
          <cell r="FF1244">
            <v>0</v>
          </cell>
          <cell r="FG1244">
            <v>0</v>
          </cell>
          <cell r="FH1244">
            <v>53133.287846013496</v>
          </cell>
          <cell r="FI1244">
            <v>8358.2905032782619</v>
          </cell>
          <cell r="FJ1244">
            <v>0</v>
          </cell>
          <cell r="FK1244">
            <v>0</v>
          </cell>
          <cell r="FL1244">
            <v>0</v>
          </cell>
          <cell r="FM1244">
            <v>0</v>
          </cell>
          <cell r="FN1244">
            <v>0</v>
          </cell>
          <cell r="FO1244">
            <v>0</v>
          </cell>
          <cell r="FP1244">
            <v>0</v>
          </cell>
          <cell r="FQ1244">
            <v>0</v>
          </cell>
          <cell r="FS1244">
            <v>0</v>
          </cell>
          <cell r="FT1244">
            <v>0</v>
          </cell>
          <cell r="FU1244">
            <v>0</v>
          </cell>
          <cell r="FV1244">
            <v>10.522830719292429</v>
          </cell>
          <cell r="FW1244">
            <v>0</v>
          </cell>
          <cell r="FX1244">
            <v>0</v>
          </cell>
          <cell r="FY1244">
            <v>0</v>
          </cell>
          <cell r="FZ1244">
            <v>0</v>
          </cell>
          <cell r="GA1244">
            <v>0</v>
          </cell>
          <cell r="GB1244">
            <v>6323</v>
          </cell>
          <cell r="GC1244">
            <v>90281.340639697199</v>
          </cell>
          <cell r="GD1244">
            <v>15874.361519892012</v>
          </cell>
          <cell r="GE1244">
            <v>6900.514990519292</v>
          </cell>
          <cell r="GF1244">
            <v>0</v>
          </cell>
          <cell r="GG1244">
            <v>0</v>
          </cell>
          <cell r="GH1244">
            <v>0</v>
          </cell>
          <cell r="GI1244">
            <v>0</v>
          </cell>
          <cell r="GJ1244">
            <v>0</v>
          </cell>
          <cell r="GK1244">
            <v>0</v>
          </cell>
          <cell r="GL1244">
            <v>6323</v>
          </cell>
          <cell r="GN1244">
            <v>0</v>
          </cell>
          <cell r="GO1244">
            <v>0</v>
          </cell>
          <cell r="GP1244">
            <v>0</v>
          </cell>
          <cell r="GQ1244">
            <v>10.522830719292429</v>
          </cell>
          <cell r="GR1244">
            <v>0</v>
          </cell>
          <cell r="GS1244">
            <v>0</v>
          </cell>
          <cell r="GT1244">
            <v>0</v>
          </cell>
          <cell r="GU1244">
            <v>0</v>
          </cell>
          <cell r="GV1244">
            <v>0</v>
          </cell>
          <cell r="GW1244">
            <v>330551</v>
          </cell>
          <cell r="GX1244">
            <v>128735.51769803325</v>
          </cell>
          <cell r="GY1244">
            <v>55321.729342408646</v>
          </cell>
          <cell r="GZ1244">
            <v>15639.039416068887</v>
          </cell>
          <cell r="HA1244">
            <v>0</v>
          </cell>
          <cell r="HB1244">
            <v>0</v>
          </cell>
          <cell r="HC1244">
            <v>0</v>
          </cell>
          <cell r="HD1244">
            <v>0</v>
          </cell>
          <cell r="HE1244">
            <v>0</v>
          </cell>
          <cell r="HF1244">
            <v>0</v>
          </cell>
          <cell r="HG1244">
            <v>330551</v>
          </cell>
          <cell r="HI1244">
            <v>0</v>
          </cell>
          <cell r="HJ1244">
            <v>0</v>
          </cell>
          <cell r="HK1244">
            <v>0</v>
          </cell>
          <cell r="HL1244">
            <v>10.522830719292429</v>
          </cell>
          <cell r="HM1244">
            <v>0</v>
          </cell>
          <cell r="HN1244">
            <v>0</v>
          </cell>
          <cell r="HO1244">
            <v>0</v>
          </cell>
          <cell r="HP1244">
            <v>0</v>
          </cell>
          <cell r="HQ1244">
            <v>0</v>
          </cell>
          <cell r="HR1244">
            <v>57933</v>
          </cell>
          <cell r="HS1244">
            <v>45062.574449975713</v>
          </cell>
          <cell r="HT1244">
            <v>6314.4890213715762</v>
          </cell>
          <cell r="HU1244">
            <v>0</v>
          </cell>
          <cell r="HV1244">
            <v>0</v>
          </cell>
          <cell r="HW1244">
            <v>0</v>
          </cell>
          <cell r="HX1244">
            <v>0</v>
          </cell>
          <cell r="HY1244">
            <v>0</v>
          </cell>
          <cell r="HZ1244">
            <v>0</v>
          </cell>
          <cell r="IA1244">
            <v>0</v>
          </cell>
          <cell r="IB1244">
            <v>57933</v>
          </cell>
        </row>
        <row r="1245">
          <cell r="C1245" t="str">
            <v>A0259</v>
          </cell>
          <cell r="D1245" t="str">
            <v>PT Surya Panen Subur</v>
          </cell>
          <cell r="E1245" t="str">
            <v>PEB 2</v>
          </cell>
          <cell r="F1245" t="str">
            <v>104PEB 2</v>
          </cell>
          <cell r="J1245">
            <v>10.522830719292429</v>
          </cell>
          <cell r="P1245">
            <v>415633</v>
          </cell>
          <cell r="Q1245">
            <v>274164.29942536092</v>
          </cell>
          <cell r="R1245">
            <v>36512.126691300939</v>
          </cell>
          <cell r="S1245">
            <v>0</v>
          </cell>
          <cell r="U1245">
            <v>0</v>
          </cell>
          <cell r="W1245">
            <v>-128622</v>
          </cell>
          <cell r="X1245">
            <v>0</v>
          </cell>
          <cell r="Y1245">
            <v>0</v>
          </cell>
          <cell r="Z1245">
            <v>287011</v>
          </cell>
        </row>
        <row r="1246">
          <cell r="C1246" t="str">
            <v>A0259</v>
          </cell>
          <cell r="D1246" t="str">
            <v>PT Surya Panen Subur</v>
          </cell>
          <cell r="E1246" t="str">
            <v>PEB 3</v>
          </cell>
          <cell r="F1246" t="str">
            <v>104PEB 3</v>
          </cell>
          <cell r="J1246">
            <v>0</v>
          </cell>
          <cell r="P1246">
            <v>0</v>
          </cell>
          <cell r="U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</row>
        <row r="1247">
          <cell r="C1247" t="str">
            <v>A0259</v>
          </cell>
          <cell r="D1247" t="str">
            <v>PT Surya Panen Subur</v>
          </cell>
          <cell r="E1247" t="str">
            <v>PEB 4</v>
          </cell>
          <cell r="F1247" t="str">
            <v>104PEB 4</v>
          </cell>
          <cell r="J1247">
            <v>10.477413048730151</v>
          </cell>
          <cell r="P1247">
            <v>821491</v>
          </cell>
          <cell r="Q1247">
            <v>1048528.3166141514</v>
          </cell>
          <cell r="R1247">
            <v>157333.35464023607</v>
          </cell>
          <cell r="S1247">
            <v>0</v>
          </cell>
          <cell r="U1247">
            <v>0</v>
          </cell>
          <cell r="W1247">
            <v>-420792</v>
          </cell>
          <cell r="X1247">
            <v>0</v>
          </cell>
          <cell r="Y1247">
            <v>0</v>
          </cell>
          <cell r="Z1247">
            <v>400699</v>
          </cell>
        </row>
        <row r="1248">
          <cell r="C1248" t="str">
            <v>A0259</v>
          </cell>
          <cell r="D1248" t="str">
            <v>PT Surya Panen Subur</v>
          </cell>
          <cell r="E1248" t="str">
            <v>PEB 5</v>
          </cell>
          <cell r="F1248" t="str">
            <v>104PEB 5</v>
          </cell>
          <cell r="J1248">
            <v>8.7664022324138458</v>
          </cell>
          <cell r="P1248">
            <v>7781</v>
          </cell>
          <cell r="U1248">
            <v>0</v>
          </cell>
          <cell r="W1248">
            <v>88049</v>
          </cell>
          <cell r="X1248">
            <v>0</v>
          </cell>
          <cell r="Y1248">
            <v>0</v>
          </cell>
          <cell r="Z1248">
            <v>95830</v>
          </cell>
        </row>
        <row r="1249">
          <cell r="C1249" t="str">
            <v>A0259</v>
          </cell>
          <cell r="D1249" t="str">
            <v>PT Surya Panen Subur</v>
          </cell>
          <cell r="E1249" t="str">
            <v>PEB 6</v>
          </cell>
          <cell r="F1249" t="str">
            <v>104PEB 6</v>
          </cell>
          <cell r="J1249">
            <v>0</v>
          </cell>
          <cell r="P1249">
            <v>0</v>
          </cell>
          <cell r="U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</row>
        <row r="1250">
          <cell r="C1250" t="str">
            <v>A0259</v>
          </cell>
          <cell r="D1250" t="str">
            <v>PT Surya Panen Subur</v>
          </cell>
          <cell r="E1250" t="str">
            <v>PEB 7</v>
          </cell>
          <cell r="F1250" t="str">
            <v>104PEB 7</v>
          </cell>
          <cell r="J1250">
            <v>10.522830719292429</v>
          </cell>
          <cell r="P1250">
            <v>50879</v>
          </cell>
          <cell r="Q1250">
            <v>29760.210182493403</v>
          </cell>
          <cell r="R1250">
            <v>4990.2614954428027</v>
          </cell>
          <cell r="S1250">
            <v>2767.6118635013627</v>
          </cell>
          <cell r="U1250">
            <v>0</v>
          </cell>
          <cell r="W1250">
            <v>-36507</v>
          </cell>
          <cell r="X1250">
            <v>0</v>
          </cell>
          <cell r="Y1250">
            <v>0</v>
          </cell>
          <cell r="Z1250">
            <v>14372</v>
          </cell>
        </row>
        <row r="1251">
          <cell r="C1251" t="str">
            <v>A0259</v>
          </cell>
          <cell r="D1251" t="str">
            <v>PT Surya Panen Subur</v>
          </cell>
          <cell r="E1251" t="str">
            <v>MPP</v>
          </cell>
          <cell r="F1251" t="str">
            <v>104MPP</v>
          </cell>
          <cell r="J1251">
            <v>0</v>
          </cell>
          <cell r="P1251">
            <v>0</v>
          </cell>
          <cell r="Q1251">
            <v>53133.287846013496</v>
          </cell>
          <cell r="R1251">
            <v>8358.2905032782619</v>
          </cell>
          <cell r="S1251">
            <v>0</v>
          </cell>
          <cell r="U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</row>
        <row r="1252">
          <cell r="C1252" t="str">
            <v>A0259</v>
          </cell>
          <cell r="D1252" t="str">
            <v>PT Surya Panen Subur</v>
          </cell>
          <cell r="E1252" t="str">
            <v>ID</v>
          </cell>
          <cell r="F1252" t="str">
            <v>104ID</v>
          </cell>
          <cell r="J1252">
            <v>10.522830719292429</v>
          </cell>
          <cell r="P1252">
            <v>6323</v>
          </cell>
          <cell r="Q1252">
            <v>90281.340639697199</v>
          </cell>
          <cell r="R1252">
            <v>15874.361519892012</v>
          </cell>
          <cell r="S1252">
            <v>6900.514990519292</v>
          </cell>
          <cell r="U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6323</v>
          </cell>
        </row>
        <row r="1253">
          <cell r="C1253" t="str">
            <v>A0259</v>
          </cell>
          <cell r="D1253" t="str">
            <v>PT Surya Panen Subur</v>
          </cell>
          <cell r="E1253" t="str">
            <v>LL</v>
          </cell>
          <cell r="F1253" t="str">
            <v>104LL</v>
          </cell>
          <cell r="J1253">
            <v>10.522830719292429</v>
          </cell>
          <cell r="P1253">
            <v>330551</v>
          </cell>
          <cell r="Q1253">
            <v>128735.51769803325</v>
          </cell>
          <cell r="R1253">
            <v>55321.729342408646</v>
          </cell>
          <cell r="S1253">
            <v>15639.039416068887</v>
          </cell>
          <cell r="U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330551</v>
          </cell>
        </row>
        <row r="1254">
          <cell r="C1254" t="str">
            <v>A0259</v>
          </cell>
          <cell r="D1254" t="str">
            <v>PT Surya Panen Subur</v>
          </cell>
          <cell r="E1254" t="str">
            <v>PMK</v>
          </cell>
          <cell r="F1254" t="str">
            <v>104PMK</v>
          </cell>
          <cell r="J1254">
            <v>10.522830719292429</v>
          </cell>
          <cell r="P1254">
            <v>57933</v>
          </cell>
          <cell r="Q1254">
            <v>45062.574449975713</v>
          </cell>
          <cell r="R1254">
            <v>6314.4890213715762</v>
          </cell>
          <cell r="S1254">
            <v>0</v>
          </cell>
          <cell r="U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57933</v>
          </cell>
        </row>
        <row r="1256">
          <cell r="C1256" t="str">
            <v>A0170</v>
          </cell>
          <cell r="D1256" t="str">
            <v>PT Suryaraya Lestari</v>
          </cell>
          <cell r="E1256" t="str">
            <v>PEB 1</v>
          </cell>
          <cell r="F1256" t="str">
            <v>105PEB 1</v>
          </cell>
          <cell r="J1256">
            <v>0</v>
          </cell>
          <cell r="N1256">
            <v>0</v>
          </cell>
          <cell r="O1256">
            <v>0</v>
          </cell>
          <cell r="P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10.432379356290344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899935</v>
          </cell>
          <cell r="AL1256">
            <v>1605723.70577866</v>
          </cell>
          <cell r="AM1256">
            <v>166521.53802974548</v>
          </cell>
          <cell r="AN1256">
            <v>3158.82</v>
          </cell>
          <cell r="AO1256">
            <v>0</v>
          </cell>
          <cell r="AP1256">
            <v>0</v>
          </cell>
          <cell r="AQ1256">
            <v>0</v>
          </cell>
          <cell r="AR1256">
            <v>-411035</v>
          </cell>
          <cell r="AS1256">
            <v>0</v>
          </cell>
          <cell r="AT1256">
            <v>0</v>
          </cell>
          <cell r="AU1256">
            <v>488900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10.442745161853985</v>
          </cell>
          <cell r="BV1256">
            <v>0</v>
          </cell>
          <cell r="BW1256">
            <v>0</v>
          </cell>
          <cell r="BX1256">
            <v>0</v>
          </cell>
          <cell r="BY1256">
            <v>0</v>
          </cell>
          <cell r="BZ1256">
            <v>0</v>
          </cell>
          <cell r="CA1256">
            <v>1557046</v>
          </cell>
          <cell r="CB1256">
            <v>2723461.056237027</v>
          </cell>
          <cell r="CC1256">
            <v>315767.59688368562</v>
          </cell>
          <cell r="CD1256">
            <v>63223.166995880478</v>
          </cell>
          <cell r="CE1256">
            <v>0</v>
          </cell>
          <cell r="CF1256">
            <v>0</v>
          </cell>
          <cell r="CG1256">
            <v>0</v>
          </cell>
          <cell r="CH1256">
            <v>-744993</v>
          </cell>
          <cell r="CI1256">
            <v>-404561</v>
          </cell>
          <cell r="CJ1256">
            <v>27813</v>
          </cell>
          <cell r="CK1256">
            <v>407492</v>
          </cell>
          <cell r="CM1256">
            <v>0</v>
          </cell>
          <cell r="CN1256">
            <v>0</v>
          </cell>
          <cell r="CO1256">
            <v>0</v>
          </cell>
          <cell r="CP1256">
            <v>9.5023677822528043</v>
          </cell>
          <cell r="CQ1256">
            <v>0</v>
          </cell>
          <cell r="CR1256">
            <v>0</v>
          </cell>
          <cell r="CS1256">
            <v>0</v>
          </cell>
          <cell r="CT1256">
            <v>0</v>
          </cell>
          <cell r="CU1256">
            <v>0</v>
          </cell>
          <cell r="CV1256">
            <v>5478</v>
          </cell>
          <cell r="CW1256">
            <v>0</v>
          </cell>
          <cell r="CX1256">
            <v>0</v>
          </cell>
          <cell r="CY1256">
            <v>0</v>
          </cell>
          <cell r="CZ1256">
            <v>0</v>
          </cell>
          <cell r="DA1256">
            <v>0</v>
          </cell>
          <cell r="DB1256">
            <v>0</v>
          </cell>
          <cell r="DC1256">
            <v>773778</v>
          </cell>
          <cell r="DD1256">
            <v>0</v>
          </cell>
          <cell r="DE1256">
            <v>0</v>
          </cell>
          <cell r="DF1256">
            <v>779256</v>
          </cell>
          <cell r="DH1256">
            <v>0</v>
          </cell>
          <cell r="DI1256">
            <v>0</v>
          </cell>
          <cell r="DJ1256">
            <v>0</v>
          </cell>
          <cell r="DK1256">
            <v>0</v>
          </cell>
          <cell r="DL1256">
            <v>0</v>
          </cell>
          <cell r="DM1256">
            <v>0</v>
          </cell>
          <cell r="DN1256">
            <v>0</v>
          </cell>
          <cell r="DO1256">
            <v>0</v>
          </cell>
          <cell r="DP1256">
            <v>0</v>
          </cell>
          <cell r="DQ1256">
            <v>0</v>
          </cell>
          <cell r="DR1256">
            <v>0</v>
          </cell>
          <cell r="DS1256">
            <v>0</v>
          </cell>
          <cell r="DT1256">
            <v>0</v>
          </cell>
          <cell r="DU1256">
            <v>0</v>
          </cell>
          <cell r="DV1256">
            <v>0</v>
          </cell>
          <cell r="DW1256">
            <v>0</v>
          </cell>
          <cell r="DX1256">
            <v>0</v>
          </cell>
          <cell r="DY1256">
            <v>0</v>
          </cell>
          <cell r="DZ1256">
            <v>0</v>
          </cell>
          <cell r="EA1256">
            <v>0</v>
          </cell>
          <cell r="EC1256">
            <v>0</v>
          </cell>
          <cell r="ED1256">
            <v>0</v>
          </cell>
          <cell r="EE1256">
            <v>0</v>
          </cell>
          <cell r="EF1256">
            <v>10.432379356290344</v>
          </cell>
          <cell r="EG1256">
            <v>0</v>
          </cell>
          <cell r="EH1256">
            <v>0</v>
          </cell>
          <cell r="EI1256">
            <v>0</v>
          </cell>
          <cell r="EJ1256">
            <v>0</v>
          </cell>
          <cell r="EK1256">
            <v>0</v>
          </cell>
          <cell r="EL1256">
            <v>115187</v>
          </cell>
          <cell r="EM1256">
            <v>238578.94748765024</v>
          </cell>
          <cell r="EN1256">
            <v>30048.181597934105</v>
          </cell>
          <cell r="EO1256">
            <v>24552.998209175665</v>
          </cell>
          <cell r="EP1256">
            <v>0</v>
          </cell>
          <cell r="EQ1256">
            <v>0</v>
          </cell>
          <cell r="ER1256">
            <v>0</v>
          </cell>
          <cell r="ES1256">
            <v>-114012</v>
          </cell>
          <cell r="ET1256">
            <v>0</v>
          </cell>
          <cell r="EU1256">
            <v>0</v>
          </cell>
          <cell r="EV1256">
            <v>1175</v>
          </cell>
          <cell r="EX1256">
            <v>0</v>
          </cell>
          <cell r="EY1256">
            <v>0</v>
          </cell>
          <cell r="EZ1256">
            <v>0</v>
          </cell>
          <cell r="FA1256">
            <v>0</v>
          </cell>
          <cell r="FB1256">
            <v>0</v>
          </cell>
          <cell r="FC1256">
            <v>0</v>
          </cell>
          <cell r="FD1256">
            <v>0</v>
          </cell>
          <cell r="FE1256">
            <v>0</v>
          </cell>
          <cell r="FF1256">
            <v>0</v>
          </cell>
          <cell r="FG1256">
            <v>0</v>
          </cell>
          <cell r="FH1256">
            <v>261216.94456835868</v>
          </cell>
          <cell r="FI1256">
            <v>28845.409019458228</v>
          </cell>
          <cell r="FJ1256">
            <v>1579.41</v>
          </cell>
          <cell r="FK1256">
            <v>0</v>
          </cell>
          <cell r="FL1256">
            <v>0</v>
          </cell>
          <cell r="FM1256">
            <v>0</v>
          </cell>
          <cell r="FN1256">
            <v>0</v>
          </cell>
          <cell r="FO1256">
            <v>0</v>
          </cell>
          <cell r="FP1256">
            <v>0</v>
          </cell>
          <cell r="FQ1256">
            <v>0</v>
          </cell>
          <cell r="FS1256">
            <v>0</v>
          </cell>
          <cell r="FT1256">
            <v>0</v>
          </cell>
          <cell r="FU1256">
            <v>0</v>
          </cell>
          <cell r="FV1256">
            <v>10.432379356290344</v>
          </cell>
          <cell r="FW1256">
            <v>0</v>
          </cell>
          <cell r="FX1256">
            <v>0</v>
          </cell>
          <cell r="FY1256">
            <v>0</v>
          </cell>
          <cell r="FZ1256">
            <v>0</v>
          </cell>
          <cell r="GA1256">
            <v>0</v>
          </cell>
          <cell r="GB1256">
            <v>13512</v>
          </cell>
          <cell r="GC1256">
            <v>603449.57434795331</v>
          </cell>
          <cell r="GD1256">
            <v>71114.201992321861</v>
          </cell>
          <cell r="GE1256">
            <v>33636.152055482016</v>
          </cell>
          <cell r="GF1256">
            <v>0</v>
          </cell>
          <cell r="GG1256">
            <v>0</v>
          </cell>
          <cell r="GH1256">
            <v>0</v>
          </cell>
          <cell r="GI1256">
            <v>0</v>
          </cell>
          <cell r="GJ1256">
            <v>0</v>
          </cell>
          <cell r="GK1256">
            <v>0</v>
          </cell>
          <cell r="GL1256">
            <v>13512</v>
          </cell>
          <cell r="GN1256">
            <v>0</v>
          </cell>
          <cell r="GO1256">
            <v>0</v>
          </cell>
          <cell r="GP1256">
            <v>0</v>
          </cell>
          <cell r="GQ1256">
            <v>10.432379356290344</v>
          </cell>
          <cell r="GR1256">
            <v>0</v>
          </cell>
          <cell r="GS1256">
            <v>0</v>
          </cell>
          <cell r="GT1256">
            <v>0</v>
          </cell>
          <cell r="GU1256">
            <v>0</v>
          </cell>
          <cell r="GV1256">
            <v>0</v>
          </cell>
          <cell r="GW1256">
            <v>552954</v>
          </cell>
          <cell r="GX1256">
            <v>707542.86538017693</v>
          </cell>
          <cell r="GY1256">
            <v>272804.51136751362</v>
          </cell>
          <cell r="GZ1256">
            <v>267601.47066946642</v>
          </cell>
          <cell r="HA1256">
            <v>0</v>
          </cell>
          <cell r="HB1256">
            <v>0</v>
          </cell>
          <cell r="HC1256">
            <v>0</v>
          </cell>
          <cell r="HD1256">
            <v>0</v>
          </cell>
          <cell r="HE1256">
            <v>0</v>
          </cell>
          <cell r="HF1256">
            <v>0</v>
          </cell>
          <cell r="HG1256">
            <v>552954</v>
          </cell>
          <cell r="HI1256">
            <v>0</v>
          </cell>
          <cell r="HJ1256">
            <v>0</v>
          </cell>
          <cell r="HK1256">
            <v>0</v>
          </cell>
          <cell r="HL1256">
            <v>10.432379356290344</v>
          </cell>
          <cell r="HM1256">
            <v>0</v>
          </cell>
          <cell r="HN1256">
            <v>0</v>
          </cell>
          <cell r="HO1256">
            <v>0</v>
          </cell>
          <cell r="HP1256">
            <v>0</v>
          </cell>
          <cell r="HQ1256">
            <v>0</v>
          </cell>
          <cell r="HR1256">
            <v>357755</v>
          </cell>
          <cell r="HS1256">
            <v>699440.20164792123</v>
          </cell>
          <cell r="HT1256">
            <v>99513.66564210107</v>
          </cell>
          <cell r="HU1256">
            <v>40950</v>
          </cell>
          <cell r="HV1256">
            <v>0</v>
          </cell>
          <cell r="HW1256">
            <v>0</v>
          </cell>
          <cell r="HX1256">
            <v>0</v>
          </cell>
          <cell r="HY1256">
            <v>0</v>
          </cell>
          <cell r="HZ1256">
            <v>0</v>
          </cell>
          <cell r="IA1256">
            <v>0</v>
          </cell>
          <cell r="IB1256">
            <v>357755</v>
          </cell>
        </row>
        <row r="1257">
          <cell r="C1257" t="str">
            <v>A0170</v>
          </cell>
          <cell r="D1257" t="str">
            <v>PT Suryaraya Lestari</v>
          </cell>
          <cell r="E1257" t="str">
            <v>PEB 2</v>
          </cell>
          <cell r="F1257" t="str">
            <v>105PEB 2</v>
          </cell>
          <cell r="J1257">
            <v>10.432379356290344</v>
          </cell>
          <cell r="P1257">
            <v>899935</v>
          </cell>
          <cell r="Q1257">
            <v>1605723.70577866</v>
          </cell>
          <cell r="R1257">
            <v>166521.53802974548</v>
          </cell>
          <cell r="S1257">
            <v>3158.82</v>
          </cell>
          <cell r="U1257">
            <v>0</v>
          </cell>
          <cell r="W1257">
            <v>-411035</v>
          </cell>
          <cell r="X1257">
            <v>0</v>
          </cell>
          <cell r="Y1257">
            <v>0</v>
          </cell>
          <cell r="Z1257">
            <v>488900</v>
          </cell>
        </row>
        <row r="1258">
          <cell r="C1258" t="str">
            <v>A0170</v>
          </cell>
          <cell r="D1258" t="str">
            <v>PT Suryaraya Lestari</v>
          </cell>
          <cell r="E1258" t="str">
            <v>PEB 3</v>
          </cell>
          <cell r="F1258" t="str">
            <v>105PEB 3</v>
          </cell>
          <cell r="J1258">
            <v>0</v>
          </cell>
          <cell r="P1258">
            <v>0</v>
          </cell>
          <cell r="U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</row>
        <row r="1259">
          <cell r="C1259" t="str">
            <v>A0170</v>
          </cell>
          <cell r="D1259" t="str">
            <v>PT Suryaraya Lestari</v>
          </cell>
          <cell r="E1259" t="str">
            <v>PEB 4</v>
          </cell>
          <cell r="F1259" t="str">
            <v>105PEB 4</v>
          </cell>
          <cell r="J1259">
            <v>10.442745161853985</v>
          </cell>
          <cell r="P1259">
            <v>1557046</v>
          </cell>
          <cell r="Q1259">
            <v>2723461.056237027</v>
          </cell>
          <cell r="R1259">
            <v>315767.59688368562</v>
          </cell>
          <cell r="S1259">
            <v>63223.166995880478</v>
          </cell>
          <cell r="U1259">
            <v>0</v>
          </cell>
          <cell r="W1259">
            <v>-744993</v>
          </cell>
          <cell r="X1259">
            <v>-404561</v>
          </cell>
          <cell r="Y1259">
            <v>27813</v>
          </cell>
          <cell r="Z1259">
            <v>407492</v>
          </cell>
        </row>
        <row r="1260">
          <cell r="C1260" t="str">
            <v>A0170</v>
          </cell>
          <cell r="D1260" t="str">
            <v>PT Suryaraya Lestari</v>
          </cell>
          <cell r="E1260" t="str">
            <v>PEB 5</v>
          </cell>
          <cell r="F1260" t="str">
            <v>105PEB 5</v>
          </cell>
          <cell r="J1260">
            <v>9.5023677822528043</v>
          </cell>
          <cell r="P1260">
            <v>5478</v>
          </cell>
          <cell r="U1260">
            <v>0</v>
          </cell>
          <cell r="W1260">
            <v>773778</v>
          </cell>
          <cell r="X1260">
            <v>0</v>
          </cell>
          <cell r="Y1260">
            <v>0</v>
          </cell>
          <cell r="Z1260">
            <v>779256</v>
          </cell>
        </row>
        <row r="1261">
          <cell r="C1261" t="str">
            <v>A0170</v>
          </cell>
          <cell r="D1261" t="str">
            <v>PT Suryaraya Lestari</v>
          </cell>
          <cell r="E1261" t="str">
            <v>PEB 6</v>
          </cell>
          <cell r="F1261" t="str">
            <v>105PEB 6</v>
          </cell>
          <cell r="J1261">
            <v>0</v>
          </cell>
          <cell r="P1261">
            <v>0</v>
          </cell>
          <cell r="U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</row>
        <row r="1262">
          <cell r="C1262" t="str">
            <v>A0170</v>
          </cell>
          <cell r="D1262" t="str">
            <v>PT Suryaraya Lestari</v>
          </cell>
          <cell r="E1262" t="str">
            <v>PEB 7</v>
          </cell>
          <cell r="F1262" t="str">
            <v>105PEB 7</v>
          </cell>
          <cell r="J1262">
            <v>10.432379356290344</v>
          </cell>
          <cell r="P1262">
            <v>115187</v>
          </cell>
          <cell r="Q1262">
            <v>238578.94748765024</v>
          </cell>
          <cell r="R1262">
            <v>30048.181597934105</v>
          </cell>
          <cell r="S1262">
            <v>24552.998209175665</v>
          </cell>
          <cell r="U1262">
            <v>0</v>
          </cell>
          <cell r="W1262">
            <v>-114012</v>
          </cell>
          <cell r="X1262">
            <v>0</v>
          </cell>
          <cell r="Y1262">
            <v>0</v>
          </cell>
          <cell r="Z1262">
            <v>1175</v>
          </cell>
        </row>
        <row r="1263">
          <cell r="C1263" t="str">
            <v>A0170</v>
          </cell>
          <cell r="D1263" t="str">
            <v>PT Suryaraya Lestari</v>
          </cell>
          <cell r="E1263" t="str">
            <v>MPP</v>
          </cell>
          <cell r="F1263" t="str">
            <v>105MPP</v>
          </cell>
          <cell r="J1263">
            <v>0</v>
          </cell>
          <cell r="P1263">
            <v>0</v>
          </cell>
          <cell r="Q1263">
            <v>261216.94456835868</v>
          </cell>
          <cell r="R1263">
            <v>28845.409019458228</v>
          </cell>
          <cell r="S1263">
            <v>1579.41</v>
          </cell>
          <cell r="U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</row>
        <row r="1264">
          <cell r="C1264" t="str">
            <v>A0170</v>
          </cell>
          <cell r="D1264" t="str">
            <v>PT Suryaraya Lestari</v>
          </cell>
          <cell r="E1264" t="str">
            <v>ID</v>
          </cell>
          <cell r="F1264" t="str">
            <v>105ID</v>
          </cell>
          <cell r="J1264">
            <v>10.432379356290344</v>
          </cell>
          <cell r="P1264">
            <v>13512</v>
          </cell>
          <cell r="Q1264">
            <v>603449.57434795331</v>
          </cell>
          <cell r="R1264">
            <v>71114.201992321861</v>
          </cell>
          <cell r="S1264">
            <v>33636.152055482016</v>
          </cell>
          <cell r="U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13512</v>
          </cell>
        </row>
        <row r="1265">
          <cell r="C1265" t="str">
            <v>A0170</v>
          </cell>
          <cell r="D1265" t="str">
            <v>PT Suryaraya Lestari</v>
          </cell>
          <cell r="E1265" t="str">
            <v>LL</v>
          </cell>
          <cell r="F1265" t="str">
            <v>105LL</v>
          </cell>
          <cell r="J1265">
            <v>10.432379356290344</v>
          </cell>
          <cell r="P1265">
            <v>552954</v>
          </cell>
          <cell r="Q1265">
            <v>707542.86538017693</v>
          </cell>
          <cell r="R1265">
            <v>272804.51136751362</v>
          </cell>
          <cell r="S1265">
            <v>267601.47066946642</v>
          </cell>
          <cell r="U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552954</v>
          </cell>
        </row>
        <row r="1266">
          <cell r="C1266" t="str">
            <v>A0170</v>
          </cell>
          <cell r="D1266" t="str">
            <v>PT Suryaraya Lestari</v>
          </cell>
          <cell r="E1266" t="str">
            <v>PMK</v>
          </cell>
          <cell r="F1266" t="str">
            <v>105PMK</v>
          </cell>
          <cell r="J1266">
            <v>10.432379356290344</v>
          </cell>
          <cell r="P1266">
            <v>357755</v>
          </cell>
          <cell r="Q1266">
            <v>699440.20164792123</v>
          </cell>
          <cell r="R1266">
            <v>99513.66564210107</v>
          </cell>
          <cell r="S1266">
            <v>40950</v>
          </cell>
          <cell r="U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357755</v>
          </cell>
        </row>
        <row r="1268">
          <cell r="C1268" t="str">
            <v>A0140</v>
          </cell>
          <cell r="D1268" t="str">
            <v>PT Suryaraya Prawira</v>
          </cell>
          <cell r="E1268" t="str">
            <v>PEB 1</v>
          </cell>
          <cell r="F1268" t="str">
            <v>106PEB 1</v>
          </cell>
          <cell r="N1268">
            <v>0</v>
          </cell>
          <cell r="O1268">
            <v>0</v>
          </cell>
          <cell r="P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B1268">
            <v>0.1</v>
          </cell>
          <cell r="AC1268">
            <v>0</v>
          </cell>
          <cell r="AD1268">
            <v>0.09</v>
          </cell>
          <cell r="AE1268">
            <v>10.283672554910629</v>
          </cell>
          <cell r="AF1268">
            <v>13.772758148959118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169376</v>
          </cell>
          <cell r="AL1268">
            <v>280229.14764853322</v>
          </cell>
          <cell r="AM1268">
            <v>21494.248523047954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52015</v>
          </cell>
          <cell r="AS1268">
            <v>-127417</v>
          </cell>
          <cell r="AT1268">
            <v>7900</v>
          </cell>
          <cell r="AU1268">
            <v>93974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R1268">
            <v>0.1</v>
          </cell>
          <cell r="BS1268">
            <v>0</v>
          </cell>
          <cell r="BT1268">
            <v>0.09</v>
          </cell>
          <cell r="BU1268">
            <v>10.283672554910629</v>
          </cell>
          <cell r="BV1268">
            <v>13.414546353854261</v>
          </cell>
          <cell r="BW1268">
            <v>0</v>
          </cell>
          <cell r="BX1268">
            <v>0</v>
          </cell>
          <cell r="BY1268">
            <v>0</v>
          </cell>
          <cell r="BZ1268">
            <v>0</v>
          </cell>
          <cell r="CA1268">
            <v>409732</v>
          </cell>
          <cell r="CB1268">
            <v>837697.60605999408</v>
          </cell>
          <cell r="CC1268">
            <v>61879.712948322762</v>
          </cell>
          <cell r="CD1268">
            <v>1805.4501149751882</v>
          </cell>
          <cell r="CE1268">
            <v>0</v>
          </cell>
          <cell r="CF1268">
            <v>0</v>
          </cell>
          <cell r="CG1268">
            <v>0</v>
          </cell>
          <cell r="CH1268">
            <v>381959</v>
          </cell>
          <cell r="CI1268">
            <v>0</v>
          </cell>
          <cell r="CJ1268">
            <v>0</v>
          </cell>
          <cell r="CK1268">
            <v>791691</v>
          </cell>
          <cell r="CM1268">
            <v>0.1</v>
          </cell>
          <cell r="CN1268">
            <v>0</v>
          </cell>
          <cell r="CO1268">
            <v>0.09</v>
          </cell>
          <cell r="CP1268">
            <v>19.862358665741695</v>
          </cell>
          <cell r="CQ1268">
            <v>19.862358665741695</v>
          </cell>
          <cell r="CR1268">
            <v>0</v>
          </cell>
          <cell r="CS1268">
            <v>0</v>
          </cell>
          <cell r="CT1268">
            <v>0</v>
          </cell>
          <cell r="CU1268">
            <v>0</v>
          </cell>
          <cell r="CV1268">
            <v>0</v>
          </cell>
          <cell r="CW1268">
            <v>844.65958081650115</v>
          </cell>
          <cell r="CX1268">
            <v>844.65958081650115</v>
          </cell>
          <cell r="CY1268">
            <v>0</v>
          </cell>
          <cell r="CZ1268">
            <v>0</v>
          </cell>
          <cell r="DA1268">
            <v>0</v>
          </cell>
          <cell r="DB1268">
            <v>0</v>
          </cell>
          <cell r="DC1268">
            <v>0</v>
          </cell>
          <cell r="DD1268">
            <v>0</v>
          </cell>
          <cell r="DE1268">
            <v>0</v>
          </cell>
          <cell r="DF1268">
            <v>0</v>
          </cell>
          <cell r="DH1268">
            <v>0</v>
          </cell>
          <cell r="DI1268">
            <v>0</v>
          </cell>
          <cell r="DJ1268">
            <v>0</v>
          </cell>
          <cell r="DK1268">
            <v>0</v>
          </cell>
          <cell r="DL1268">
            <v>0</v>
          </cell>
          <cell r="DM1268">
            <v>0</v>
          </cell>
          <cell r="DN1268">
            <v>0</v>
          </cell>
          <cell r="DO1268">
            <v>0</v>
          </cell>
          <cell r="DP1268">
            <v>0</v>
          </cell>
          <cell r="DQ1268">
            <v>0</v>
          </cell>
          <cell r="DR1268">
            <v>0</v>
          </cell>
          <cell r="DS1268">
            <v>0</v>
          </cell>
          <cell r="DT1268">
            <v>0</v>
          </cell>
          <cell r="DU1268">
            <v>0</v>
          </cell>
          <cell r="DV1268">
            <v>0</v>
          </cell>
          <cell r="DW1268">
            <v>0</v>
          </cell>
          <cell r="DX1268">
            <v>0</v>
          </cell>
          <cell r="DY1268">
            <v>0</v>
          </cell>
          <cell r="DZ1268">
            <v>0</v>
          </cell>
          <cell r="EA1268">
            <v>0</v>
          </cell>
          <cell r="EC1268">
            <v>0.1</v>
          </cell>
          <cell r="ED1268">
            <v>0</v>
          </cell>
          <cell r="EE1268">
            <v>0.09</v>
          </cell>
          <cell r="EF1268">
            <v>10.283672554910629</v>
          </cell>
          <cell r="EG1268">
            <v>13.772758148959118</v>
          </cell>
          <cell r="EH1268">
            <v>0</v>
          </cell>
          <cell r="EI1268">
            <v>0</v>
          </cell>
          <cell r="EJ1268">
            <v>0</v>
          </cell>
          <cell r="EK1268">
            <v>0</v>
          </cell>
          <cell r="EL1268">
            <v>15061</v>
          </cell>
          <cell r="EM1268">
            <v>18178.089518897803</v>
          </cell>
          <cell r="EN1268">
            <v>1784.1539019826882</v>
          </cell>
          <cell r="EO1268">
            <v>2602.7598248725699</v>
          </cell>
          <cell r="EP1268">
            <v>0</v>
          </cell>
          <cell r="EQ1268">
            <v>0</v>
          </cell>
          <cell r="ER1268">
            <v>0</v>
          </cell>
          <cell r="ES1268">
            <v>-9183</v>
          </cell>
          <cell r="ET1268">
            <v>0</v>
          </cell>
          <cell r="EU1268">
            <v>0</v>
          </cell>
          <cell r="EV1268">
            <v>5878</v>
          </cell>
          <cell r="EX1268">
            <v>0</v>
          </cell>
          <cell r="EY1268">
            <v>0</v>
          </cell>
          <cell r="EZ1268">
            <v>0</v>
          </cell>
          <cell r="FA1268">
            <v>0</v>
          </cell>
          <cell r="FB1268">
            <v>0</v>
          </cell>
          <cell r="FC1268">
            <v>0</v>
          </cell>
          <cell r="FD1268">
            <v>0</v>
          </cell>
          <cell r="FE1268">
            <v>0</v>
          </cell>
          <cell r="FF1268">
            <v>0</v>
          </cell>
          <cell r="FG1268">
            <v>0</v>
          </cell>
          <cell r="FH1268">
            <v>0</v>
          </cell>
          <cell r="FI1268">
            <v>0</v>
          </cell>
          <cell r="FJ1268">
            <v>0</v>
          </cell>
          <cell r="FK1268">
            <v>0</v>
          </cell>
          <cell r="FL1268">
            <v>0</v>
          </cell>
          <cell r="FM1268">
            <v>0</v>
          </cell>
          <cell r="FN1268">
            <v>0</v>
          </cell>
          <cell r="FO1268">
            <v>0</v>
          </cell>
          <cell r="FP1268">
            <v>0</v>
          </cell>
          <cell r="FQ1268">
            <v>0</v>
          </cell>
          <cell r="FS1268">
            <v>0.1</v>
          </cell>
          <cell r="FT1268">
            <v>0</v>
          </cell>
          <cell r="FU1268">
            <v>0.09</v>
          </cell>
          <cell r="FV1268">
            <v>10.283672554910629</v>
          </cell>
          <cell r="FW1268">
            <v>13.772758148959118</v>
          </cell>
          <cell r="FX1268">
            <v>0</v>
          </cell>
          <cell r="FY1268">
            <v>0</v>
          </cell>
          <cell r="FZ1268">
            <v>0</v>
          </cell>
          <cell r="GA1268">
            <v>0</v>
          </cell>
          <cell r="GB1268">
            <v>4085</v>
          </cell>
          <cell r="GC1268">
            <v>71183.749295339876</v>
          </cell>
          <cell r="GD1268">
            <v>6249.8382356447291</v>
          </cell>
          <cell r="GE1268">
            <v>8734.8909380245132</v>
          </cell>
          <cell r="GF1268">
            <v>0</v>
          </cell>
          <cell r="GG1268">
            <v>0</v>
          </cell>
          <cell r="GH1268">
            <v>0</v>
          </cell>
          <cell r="GI1268">
            <v>0</v>
          </cell>
          <cell r="GJ1268">
            <v>0</v>
          </cell>
          <cell r="GK1268">
            <v>0</v>
          </cell>
          <cell r="GL1268">
            <v>4085</v>
          </cell>
          <cell r="GN1268">
            <v>0.1</v>
          </cell>
          <cell r="GO1268">
            <v>0</v>
          </cell>
          <cell r="GP1268">
            <v>0.09</v>
          </cell>
          <cell r="GQ1268">
            <v>10.283672554910629</v>
          </cell>
          <cell r="GR1268">
            <v>13.772758148959118</v>
          </cell>
          <cell r="GS1268">
            <v>0</v>
          </cell>
          <cell r="GT1268">
            <v>0</v>
          </cell>
          <cell r="GU1268">
            <v>0</v>
          </cell>
          <cell r="GV1268">
            <v>0</v>
          </cell>
          <cell r="GW1268">
            <v>42699</v>
          </cell>
          <cell r="GX1268">
            <v>118395.45777692331</v>
          </cell>
          <cell r="GY1268">
            <v>29501.541935547433</v>
          </cell>
          <cell r="GZ1268">
            <v>32888.719674055137</v>
          </cell>
          <cell r="HA1268">
            <v>0</v>
          </cell>
          <cell r="HB1268">
            <v>0</v>
          </cell>
          <cell r="HC1268">
            <v>0</v>
          </cell>
          <cell r="HD1268">
            <v>0</v>
          </cell>
          <cell r="HE1268">
            <v>0</v>
          </cell>
          <cell r="HF1268">
            <v>0</v>
          </cell>
          <cell r="HG1268">
            <v>42699</v>
          </cell>
          <cell r="HI1268">
            <v>0</v>
          </cell>
          <cell r="HJ1268">
            <v>0</v>
          </cell>
          <cell r="HK1268">
            <v>0</v>
          </cell>
          <cell r="HL1268">
            <v>0</v>
          </cell>
          <cell r="HM1268">
            <v>0</v>
          </cell>
          <cell r="HN1268">
            <v>0</v>
          </cell>
          <cell r="HO1268">
            <v>0</v>
          </cell>
          <cell r="HP1268">
            <v>0</v>
          </cell>
          <cell r="HQ1268">
            <v>0</v>
          </cell>
          <cell r="HR1268">
            <v>0</v>
          </cell>
          <cell r="HS1268">
            <v>0</v>
          </cell>
          <cell r="HT1268">
            <v>0</v>
          </cell>
          <cell r="HU1268">
            <v>0</v>
          </cell>
          <cell r="HV1268">
            <v>0</v>
          </cell>
          <cell r="HW1268">
            <v>0</v>
          </cell>
          <cell r="HX1268">
            <v>0</v>
          </cell>
          <cell r="HY1268">
            <v>0</v>
          </cell>
          <cell r="HZ1268">
            <v>0</v>
          </cell>
          <cell r="IA1268">
            <v>0</v>
          </cell>
          <cell r="IB1268">
            <v>0</v>
          </cell>
        </row>
        <row r="1269">
          <cell r="C1269" t="str">
            <v>A0140</v>
          </cell>
          <cell r="D1269" t="str">
            <v>PT Suryaraya Prawira</v>
          </cell>
          <cell r="E1269" t="str">
            <v>PEB 2</v>
          </cell>
          <cell r="F1269" t="str">
            <v>106PEB 2</v>
          </cell>
          <cell r="G1269">
            <v>0.1</v>
          </cell>
          <cell r="I1269">
            <v>0.09</v>
          </cell>
          <cell r="J1269">
            <v>10.283672554910629</v>
          </cell>
          <cell r="K1269">
            <v>13.772758148959118</v>
          </cell>
          <cell r="P1269">
            <v>169376</v>
          </cell>
          <cell r="Q1269">
            <v>280229.14764853322</v>
          </cell>
          <cell r="R1269">
            <v>21494.248523047954</v>
          </cell>
          <cell r="S1269">
            <v>0</v>
          </cell>
          <cell r="U1269">
            <v>0</v>
          </cell>
          <cell r="W1269">
            <v>52015</v>
          </cell>
          <cell r="X1269">
            <v>-127417</v>
          </cell>
          <cell r="Y1269">
            <v>7900</v>
          </cell>
          <cell r="Z1269">
            <v>93974</v>
          </cell>
        </row>
        <row r="1270">
          <cell r="C1270" t="str">
            <v>A0140</v>
          </cell>
          <cell r="D1270" t="str">
            <v>PT Suryaraya Prawira</v>
          </cell>
          <cell r="E1270" t="str">
            <v>PEB 3</v>
          </cell>
          <cell r="F1270" t="str">
            <v>106PEB 3</v>
          </cell>
          <cell r="P1270">
            <v>0</v>
          </cell>
          <cell r="U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</row>
        <row r="1271">
          <cell r="C1271" t="str">
            <v>A0140</v>
          </cell>
          <cell r="D1271" t="str">
            <v>PT Suryaraya Prawira</v>
          </cell>
          <cell r="E1271" t="str">
            <v>PEB 4</v>
          </cell>
          <cell r="F1271" t="str">
            <v>106PEB 4</v>
          </cell>
          <cell r="G1271">
            <v>0.1</v>
          </cell>
          <cell r="I1271">
            <v>0.09</v>
          </cell>
          <cell r="J1271">
            <v>10.283672554910629</v>
          </cell>
          <cell r="K1271">
            <v>13.414546353854261</v>
          </cell>
          <cell r="P1271">
            <v>409732</v>
          </cell>
          <cell r="Q1271">
            <v>837697.60605999408</v>
          </cell>
          <cell r="R1271">
            <v>61879.712948322762</v>
          </cell>
          <cell r="S1271">
            <v>1805.4501149751882</v>
          </cell>
          <cell r="U1271">
            <v>0</v>
          </cell>
          <cell r="W1271">
            <v>381959</v>
          </cell>
          <cell r="X1271">
            <v>0</v>
          </cell>
          <cell r="Y1271">
            <v>0</v>
          </cell>
          <cell r="Z1271">
            <v>791691</v>
          </cell>
        </row>
        <row r="1272">
          <cell r="C1272" t="str">
            <v>A0140</v>
          </cell>
          <cell r="D1272" t="str">
            <v>PT Suryaraya Prawira</v>
          </cell>
          <cell r="E1272" t="str">
            <v>PEB 5</v>
          </cell>
          <cell r="F1272" t="str">
            <v>106PEB 5</v>
          </cell>
          <cell r="G1272">
            <v>0.1</v>
          </cell>
          <cell r="I1272">
            <v>0.09</v>
          </cell>
          <cell r="J1272">
            <v>19.862358665741695</v>
          </cell>
          <cell r="K1272">
            <v>19.862358665741695</v>
          </cell>
          <cell r="P1272">
            <v>0</v>
          </cell>
          <cell r="Q1272">
            <v>844.65958081650115</v>
          </cell>
          <cell r="R1272">
            <v>844.65958081650115</v>
          </cell>
          <cell r="S1272">
            <v>0</v>
          </cell>
          <cell r="U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</row>
        <row r="1273">
          <cell r="C1273" t="str">
            <v>A0140</v>
          </cell>
          <cell r="D1273" t="str">
            <v>PT Suryaraya Prawira</v>
          </cell>
          <cell r="E1273" t="str">
            <v>PEB 6</v>
          </cell>
          <cell r="F1273" t="str">
            <v>106PEB 6</v>
          </cell>
          <cell r="P1273">
            <v>0</v>
          </cell>
          <cell r="U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</row>
        <row r="1274">
          <cell r="C1274" t="str">
            <v>A0140</v>
          </cell>
          <cell r="D1274" t="str">
            <v>PT Suryaraya Prawira</v>
          </cell>
          <cell r="E1274" t="str">
            <v>PEB 7</v>
          </cell>
          <cell r="F1274" t="str">
            <v>106PEB 7</v>
          </cell>
          <cell r="G1274">
            <v>0.1</v>
          </cell>
          <cell r="I1274">
            <v>0.09</v>
          </cell>
          <cell r="J1274">
            <v>10.283672554910629</v>
          </cell>
          <cell r="K1274">
            <v>13.772758148959118</v>
          </cell>
          <cell r="P1274">
            <v>15061</v>
          </cell>
          <cell r="Q1274">
            <v>18178.089518897803</v>
          </cell>
          <cell r="R1274">
            <v>1784.1539019826882</v>
          </cell>
          <cell r="S1274">
            <v>2602.7598248725699</v>
          </cell>
          <cell r="U1274">
            <v>0</v>
          </cell>
          <cell r="W1274">
            <v>-9183</v>
          </cell>
          <cell r="X1274">
            <v>0</v>
          </cell>
          <cell r="Y1274">
            <v>0</v>
          </cell>
          <cell r="Z1274">
            <v>5878</v>
          </cell>
        </row>
        <row r="1275">
          <cell r="C1275" t="str">
            <v>A0140</v>
          </cell>
          <cell r="D1275" t="str">
            <v>PT Suryaraya Prawira</v>
          </cell>
          <cell r="E1275" t="str">
            <v>MPP</v>
          </cell>
          <cell r="F1275" t="str">
            <v>106MPP</v>
          </cell>
          <cell r="P1275">
            <v>0</v>
          </cell>
          <cell r="U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</row>
        <row r="1276">
          <cell r="C1276" t="str">
            <v>A0140</v>
          </cell>
          <cell r="D1276" t="str">
            <v>PT Suryaraya Prawira</v>
          </cell>
          <cell r="E1276" t="str">
            <v>ID</v>
          </cell>
          <cell r="F1276" t="str">
            <v>106ID</v>
          </cell>
          <cell r="G1276">
            <v>0.1</v>
          </cell>
          <cell r="I1276">
            <v>0.09</v>
          </cell>
          <cell r="J1276">
            <v>10.283672554910629</v>
          </cell>
          <cell r="K1276">
            <v>13.772758148959118</v>
          </cell>
          <cell r="P1276">
            <v>4085</v>
          </cell>
          <cell r="Q1276">
            <v>71183.749295339876</v>
          </cell>
          <cell r="R1276">
            <v>6249.8382356447291</v>
          </cell>
          <cell r="S1276">
            <v>8734.8909380245132</v>
          </cell>
          <cell r="U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4085</v>
          </cell>
        </row>
        <row r="1277">
          <cell r="C1277" t="str">
            <v>A0140</v>
          </cell>
          <cell r="D1277" t="str">
            <v>PT Suryaraya Prawira</v>
          </cell>
          <cell r="E1277" t="str">
            <v>LL</v>
          </cell>
          <cell r="F1277" t="str">
            <v>106LL</v>
          </cell>
          <cell r="G1277">
            <v>0.1</v>
          </cell>
          <cell r="I1277">
            <v>0.09</v>
          </cell>
          <cell r="J1277">
            <v>10.283672554910629</v>
          </cell>
          <cell r="K1277">
            <v>13.772758148959118</v>
          </cell>
          <cell r="P1277">
            <v>42699</v>
          </cell>
          <cell r="Q1277">
            <v>118395.45777692331</v>
          </cell>
          <cell r="R1277">
            <v>29501.541935547433</v>
          </cell>
          <cell r="S1277">
            <v>32888.719674055137</v>
          </cell>
          <cell r="U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42699</v>
          </cell>
        </row>
        <row r="1278">
          <cell r="C1278" t="str">
            <v>A0140</v>
          </cell>
          <cell r="D1278" t="str">
            <v>PT Suryaraya Prawira</v>
          </cell>
          <cell r="E1278" t="str">
            <v>PMK</v>
          </cell>
          <cell r="F1278" t="str">
            <v>106PMK</v>
          </cell>
          <cell r="P1278">
            <v>0</v>
          </cell>
          <cell r="U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</row>
        <row r="1280">
          <cell r="C1280" t="str">
            <v>A0199</v>
          </cell>
          <cell r="D1280" t="str">
            <v>PT Suryaraya Rubberindo Industries</v>
          </cell>
          <cell r="E1280" t="str">
            <v>PEB 1</v>
          </cell>
          <cell r="F1280" t="str">
            <v>107PEB 1</v>
          </cell>
          <cell r="G1280">
            <v>0.1</v>
          </cell>
          <cell r="H1280">
            <v>0.1</v>
          </cell>
          <cell r="I1280">
            <v>0.09</v>
          </cell>
          <cell r="J1280">
            <v>7.2793439651634753</v>
          </cell>
          <cell r="K1280">
            <v>17.375675070478085</v>
          </cell>
          <cell r="L1280">
            <v>0</v>
          </cell>
          <cell r="N1280">
            <v>1057370.2944</v>
          </cell>
          <cell r="O1280">
            <v>97407.551999999996</v>
          </cell>
          <cell r="P1280">
            <v>6026631</v>
          </cell>
          <cell r="Q1280">
            <v>7108624.2269364018</v>
          </cell>
          <cell r="R1280">
            <v>305172.72977810737</v>
          </cell>
          <cell r="S1280">
            <v>56376.269705681741</v>
          </cell>
          <cell r="U1280">
            <v>-4862929</v>
          </cell>
          <cell r="V1280">
            <v>7950304.4154666681</v>
          </cell>
          <cell r="W1280">
            <v>-746226</v>
          </cell>
          <cell r="X1280">
            <v>0</v>
          </cell>
          <cell r="Y1280">
            <v>0</v>
          </cell>
          <cell r="Z1280">
            <v>417476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W1280">
            <v>0.1</v>
          </cell>
          <cell r="AX1280">
            <v>0</v>
          </cell>
          <cell r="AY1280">
            <v>0.09</v>
          </cell>
          <cell r="AZ1280">
            <v>7.2793439651634753</v>
          </cell>
          <cell r="BA1280">
            <v>7.3867495179841649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107556</v>
          </cell>
          <cell r="BG1280">
            <v>1156764.0906831303</v>
          </cell>
          <cell r="BH1280">
            <v>58371.162788569447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355265</v>
          </cell>
          <cell r="BN1280">
            <v>0</v>
          </cell>
          <cell r="BO1280">
            <v>28137</v>
          </cell>
          <cell r="BP1280">
            <v>462821</v>
          </cell>
          <cell r="BR1280">
            <v>0.1</v>
          </cell>
          <cell r="BS1280">
            <v>0</v>
          </cell>
          <cell r="BT1280">
            <v>0.09</v>
          </cell>
          <cell r="BU1280">
            <v>10.468628245136619</v>
          </cell>
          <cell r="BV1280">
            <v>17.815958290422728</v>
          </cell>
          <cell r="BW1280">
            <v>0</v>
          </cell>
          <cell r="BX1280">
            <v>0</v>
          </cell>
          <cell r="BY1280">
            <v>0</v>
          </cell>
          <cell r="BZ1280">
            <v>0</v>
          </cell>
          <cell r="CA1280">
            <v>4034503</v>
          </cell>
          <cell r="CB1280">
            <v>8536170.0541042387</v>
          </cell>
          <cell r="CC1280">
            <v>792452.35560561973</v>
          </cell>
          <cell r="CD1280">
            <v>318017.48443508201</v>
          </cell>
          <cell r="CE1280">
            <v>0</v>
          </cell>
          <cell r="CF1280">
            <v>0</v>
          </cell>
          <cell r="CG1280">
            <v>0</v>
          </cell>
          <cell r="CH1280">
            <v>-1458747</v>
          </cell>
          <cell r="CI1280">
            <v>-793938</v>
          </cell>
          <cell r="CJ1280">
            <v>38905</v>
          </cell>
          <cell r="CK1280">
            <v>1781818</v>
          </cell>
          <cell r="CM1280">
            <v>0</v>
          </cell>
          <cell r="CN1280">
            <v>0</v>
          </cell>
          <cell r="CO1280">
            <v>0</v>
          </cell>
          <cell r="CP1280">
            <v>0</v>
          </cell>
          <cell r="CQ1280">
            <v>0</v>
          </cell>
          <cell r="CR1280">
            <v>0</v>
          </cell>
          <cell r="CS1280">
            <v>0</v>
          </cell>
          <cell r="CT1280">
            <v>0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0</v>
          </cell>
          <cell r="DA1280">
            <v>0</v>
          </cell>
          <cell r="DB1280">
            <v>0</v>
          </cell>
          <cell r="DC1280">
            <v>0</v>
          </cell>
          <cell r="DD1280">
            <v>0</v>
          </cell>
          <cell r="DE1280">
            <v>0</v>
          </cell>
          <cell r="DF1280">
            <v>0</v>
          </cell>
          <cell r="DH1280">
            <v>0</v>
          </cell>
          <cell r="DI1280">
            <v>0</v>
          </cell>
          <cell r="DJ1280">
            <v>0</v>
          </cell>
          <cell r="DK1280">
            <v>0</v>
          </cell>
          <cell r="DL1280">
            <v>0</v>
          </cell>
          <cell r="DM1280">
            <v>0</v>
          </cell>
          <cell r="DN1280">
            <v>0</v>
          </cell>
          <cell r="DO1280">
            <v>0</v>
          </cell>
          <cell r="DP1280">
            <v>0</v>
          </cell>
          <cell r="DQ1280">
            <v>0</v>
          </cell>
          <cell r="DR1280">
            <v>0</v>
          </cell>
          <cell r="DS1280">
            <v>0</v>
          </cell>
          <cell r="DT1280">
            <v>0</v>
          </cell>
          <cell r="DU1280">
            <v>0</v>
          </cell>
          <cell r="DV1280">
            <v>0</v>
          </cell>
          <cell r="DW1280">
            <v>0</v>
          </cell>
          <cell r="DX1280">
            <v>0</v>
          </cell>
          <cell r="DY1280">
            <v>0</v>
          </cell>
          <cell r="DZ1280">
            <v>0</v>
          </cell>
          <cell r="EA1280">
            <v>0</v>
          </cell>
          <cell r="EC1280">
            <v>0.1</v>
          </cell>
          <cell r="ED1280">
            <v>0</v>
          </cell>
          <cell r="EE1280">
            <v>0.09</v>
          </cell>
          <cell r="EF1280">
            <v>10.201919409162958</v>
          </cell>
          <cell r="EG1280">
            <v>17.375675070478085</v>
          </cell>
          <cell r="EH1280">
            <v>0</v>
          </cell>
          <cell r="EI1280">
            <v>0</v>
          </cell>
          <cell r="EJ1280">
            <v>0</v>
          </cell>
          <cell r="EK1280">
            <v>0</v>
          </cell>
          <cell r="EL1280">
            <v>470606</v>
          </cell>
          <cell r="EM1280">
            <v>1101818.2934397799</v>
          </cell>
          <cell r="EN1280">
            <v>109670.72770697479</v>
          </cell>
          <cell r="EO1280">
            <v>125426.6464562957</v>
          </cell>
          <cell r="EP1280">
            <v>0</v>
          </cell>
          <cell r="EQ1280">
            <v>0</v>
          </cell>
          <cell r="ER1280">
            <v>0</v>
          </cell>
          <cell r="ES1280">
            <v>-368461</v>
          </cell>
          <cell r="ET1280">
            <v>0</v>
          </cell>
          <cell r="EU1280">
            <v>0</v>
          </cell>
          <cell r="EV1280">
            <v>102145</v>
          </cell>
          <cell r="EX1280">
            <v>0</v>
          </cell>
          <cell r="EY1280">
            <v>0</v>
          </cell>
          <cell r="EZ1280">
            <v>0</v>
          </cell>
          <cell r="FA1280">
            <v>0</v>
          </cell>
          <cell r="FB1280">
            <v>0</v>
          </cell>
          <cell r="FC1280">
            <v>0</v>
          </cell>
          <cell r="FD1280">
            <v>0</v>
          </cell>
          <cell r="FE1280">
            <v>0</v>
          </cell>
          <cell r="FF1280">
            <v>0</v>
          </cell>
          <cell r="FG1280">
            <v>0</v>
          </cell>
          <cell r="FH1280">
            <v>0</v>
          </cell>
          <cell r="FI1280">
            <v>0</v>
          </cell>
          <cell r="FJ1280">
            <v>0</v>
          </cell>
          <cell r="FK1280">
            <v>0</v>
          </cell>
          <cell r="FL1280">
            <v>0</v>
          </cell>
          <cell r="FM1280">
            <v>0</v>
          </cell>
          <cell r="FN1280">
            <v>0</v>
          </cell>
          <cell r="FO1280">
            <v>0</v>
          </cell>
          <cell r="FP1280">
            <v>0</v>
          </cell>
          <cell r="FQ1280">
            <v>0</v>
          </cell>
          <cell r="FS1280">
            <v>0.1</v>
          </cell>
          <cell r="FT1280">
            <v>0</v>
          </cell>
          <cell r="FU1280">
            <v>0.09</v>
          </cell>
          <cell r="FV1280">
            <v>10.201919409162958</v>
          </cell>
          <cell r="FW1280">
            <v>17.375675070478085</v>
          </cell>
          <cell r="FX1280">
            <v>0</v>
          </cell>
          <cell r="FY1280">
            <v>0</v>
          </cell>
          <cell r="FZ1280">
            <v>0</v>
          </cell>
          <cell r="GA1280">
            <v>0</v>
          </cell>
          <cell r="GB1280">
            <v>78339</v>
          </cell>
          <cell r="GC1280">
            <v>2790420.2017216994</v>
          </cell>
          <cell r="GD1280">
            <v>248224.90946419479</v>
          </cell>
          <cell r="GE1280">
            <v>189270.59770634965</v>
          </cell>
          <cell r="GF1280">
            <v>0</v>
          </cell>
          <cell r="GG1280">
            <v>0</v>
          </cell>
          <cell r="GH1280">
            <v>0</v>
          </cell>
          <cell r="GI1280">
            <v>0</v>
          </cell>
          <cell r="GJ1280">
            <v>0</v>
          </cell>
          <cell r="GK1280">
            <v>0</v>
          </cell>
          <cell r="GL1280">
            <v>78339</v>
          </cell>
          <cell r="GN1280">
            <v>0.1</v>
          </cell>
          <cell r="GO1280">
            <v>0</v>
          </cell>
          <cell r="GP1280">
            <v>0.09</v>
          </cell>
          <cell r="GQ1280">
            <v>10.201919409162958</v>
          </cell>
          <cell r="GR1280">
            <v>17.375675070478085</v>
          </cell>
          <cell r="GS1280">
            <v>0</v>
          </cell>
          <cell r="GT1280">
            <v>0</v>
          </cell>
          <cell r="GU1280">
            <v>0</v>
          </cell>
          <cell r="GV1280">
            <v>0</v>
          </cell>
          <cell r="GW1280">
            <v>1491283</v>
          </cell>
          <cell r="GX1280">
            <v>2300944</v>
          </cell>
          <cell r="GY1280">
            <v>1066469</v>
          </cell>
          <cell r="GZ1280">
            <v>890487.29097215808</v>
          </cell>
          <cell r="HA1280">
            <v>0</v>
          </cell>
          <cell r="HB1280">
            <v>0</v>
          </cell>
          <cell r="HC1280">
            <v>0</v>
          </cell>
          <cell r="HD1280">
            <v>0</v>
          </cell>
          <cell r="HE1280">
            <v>0</v>
          </cell>
          <cell r="HF1280">
            <v>0</v>
          </cell>
          <cell r="HG1280">
            <v>1491283</v>
          </cell>
          <cell r="HI1280">
            <v>0.1</v>
          </cell>
          <cell r="HJ1280">
            <v>0</v>
          </cell>
          <cell r="HK1280">
            <v>0.09</v>
          </cell>
          <cell r="HL1280">
            <v>10.201919409162958</v>
          </cell>
          <cell r="HM1280">
            <v>17.375675070478085</v>
          </cell>
          <cell r="HN1280">
            <v>0</v>
          </cell>
          <cell r="HO1280">
            <v>0</v>
          </cell>
          <cell r="HP1280">
            <v>0</v>
          </cell>
          <cell r="HQ1280">
            <v>0</v>
          </cell>
          <cell r="HR1280">
            <v>2081086</v>
          </cell>
          <cell r="HS1280">
            <v>3150021.3877246589</v>
          </cell>
          <cell r="HT1280">
            <v>418363.06978667225</v>
          </cell>
          <cell r="HU1280">
            <v>45000</v>
          </cell>
          <cell r="HV1280">
            <v>0</v>
          </cell>
          <cell r="HW1280">
            <v>0</v>
          </cell>
          <cell r="HX1280">
            <v>0</v>
          </cell>
          <cell r="HY1280">
            <v>0</v>
          </cell>
          <cell r="HZ1280">
            <v>0</v>
          </cell>
          <cell r="IA1280">
            <v>0</v>
          </cell>
          <cell r="IB1280">
            <v>2081086</v>
          </cell>
        </row>
        <row r="1281">
          <cell r="C1281" t="str">
            <v>A0199</v>
          </cell>
          <cell r="D1281" t="str">
            <v>PT Suryaraya Rubberindo Industries</v>
          </cell>
          <cell r="E1281" t="str">
            <v>PEB 2</v>
          </cell>
          <cell r="F1281" t="str">
            <v>107PEB 2</v>
          </cell>
          <cell r="P1281">
            <v>0</v>
          </cell>
          <cell r="U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</row>
        <row r="1282">
          <cell r="C1282" t="str">
            <v>A0199</v>
          </cell>
          <cell r="D1282" t="str">
            <v>PT Suryaraya Rubberindo Industries</v>
          </cell>
          <cell r="E1282" t="str">
            <v>PEB 3</v>
          </cell>
          <cell r="F1282" t="str">
            <v>107PEB 3</v>
          </cell>
          <cell r="G1282">
            <v>0.1</v>
          </cell>
          <cell r="I1282">
            <v>0.09</v>
          </cell>
          <cell r="J1282">
            <v>7.2793439651634753</v>
          </cell>
          <cell r="K1282">
            <v>7.3867495179841649</v>
          </cell>
          <cell r="P1282">
            <v>107556</v>
          </cell>
          <cell r="Q1282">
            <v>1156764.0906831303</v>
          </cell>
          <cell r="R1282">
            <v>58371.162788569447</v>
          </cell>
          <cell r="S1282">
            <v>0</v>
          </cell>
          <cell r="U1282">
            <v>0</v>
          </cell>
          <cell r="W1282">
            <v>355265</v>
          </cell>
          <cell r="X1282">
            <v>0</v>
          </cell>
          <cell r="Y1282">
            <v>28137</v>
          </cell>
          <cell r="Z1282">
            <v>462821</v>
          </cell>
        </row>
        <row r="1283">
          <cell r="C1283" t="str">
            <v>A0199</v>
          </cell>
          <cell r="D1283" t="str">
            <v>PT Suryaraya Rubberindo Industries</v>
          </cell>
          <cell r="E1283" t="str">
            <v>PEB 4</v>
          </cell>
          <cell r="F1283" t="str">
            <v>107PEB 4</v>
          </cell>
          <cell r="G1283">
            <v>0.1</v>
          </cell>
          <cell r="I1283">
            <v>0.09</v>
          </cell>
          <cell r="J1283">
            <v>10.468628245136619</v>
          </cell>
          <cell r="K1283">
            <v>17.815958290422728</v>
          </cell>
          <cell r="P1283">
            <v>4034503</v>
          </cell>
          <cell r="Q1283">
            <v>8536170.0541042387</v>
          </cell>
          <cell r="R1283">
            <v>792452.35560561973</v>
          </cell>
          <cell r="S1283">
            <v>318017.48443508201</v>
          </cell>
          <cell r="U1283">
            <v>0</v>
          </cell>
          <cell r="W1283">
            <v>-1458747</v>
          </cell>
          <cell r="X1283">
            <v>-793938</v>
          </cell>
          <cell r="Y1283">
            <v>38905</v>
          </cell>
          <cell r="Z1283">
            <v>1781818</v>
          </cell>
        </row>
        <row r="1284">
          <cell r="C1284" t="str">
            <v>A0199</v>
          </cell>
          <cell r="D1284" t="str">
            <v>PT Suryaraya Rubberindo Industries</v>
          </cell>
          <cell r="E1284" t="str">
            <v>PEB 5</v>
          </cell>
          <cell r="F1284" t="str">
            <v>107PEB 5</v>
          </cell>
          <cell r="P1284">
            <v>0</v>
          </cell>
          <cell r="U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</row>
        <row r="1285">
          <cell r="C1285" t="str">
            <v>A0199</v>
          </cell>
          <cell r="D1285" t="str">
            <v>PT Suryaraya Rubberindo Industries</v>
          </cell>
          <cell r="E1285" t="str">
            <v>PEB 6</v>
          </cell>
          <cell r="F1285" t="str">
            <v>107PEB 6</v>
          </cell>
          <cell r="P1285">
            <v>0</v>
          </cell>
          <cell r="U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</row>
        <row r="1286">
          <cell r="C1286" t="str">
            <v>A0199</v>
          </cell>
          <cell r="D1286" t="str">
            <v>PT Suryaraya Rubberindo Industries</v>
          </cell>
          <cell r="E1286" t="str">
            <v>PEB 7</v>
          </cell>
          <cell r="F1286" t="str">
            <v>107PEB 7</v>
          </cell>
          <cell r="G1286">
            <v>0.1</v>
          </cell>
          <cell r="I1286">
            <v>0.09</v>
          </cell>
          <cell r="J1286">
            <v>10.201919409162958</v>
          </cell>
          <cell r="K1286">
            <v>17.375675070478085</v>
          </cell>
          <cell r="P1286">
            <v>470606</v>
          </cell>
          <cell r="Q1286">
            <v>1101818.2934397799</v>
          </cell>
          <cell r="R1286">
            <v>109670.72770697479</v>
          </cell>
          <cell r="S1286">
            <v>125426.6464562957</v>
          </cell>
          <cell r="U1286">
            <v>0</v>
          </cell>
          <cell r="W1286">
            <v>-368461</v>
          </cell>
          <cell r="X1286">
            <v>0</v>
          </cell>
          <cell r="Y1286">
            <v>0</v>
          </cell>
          <cell r="Z1286">
            <v>102145</v>
          </cell>
        </row>
        <row r="1287">
          <cell r="C1287" t="str">
            <v>A0199</v>
          </cell>
          <cell r="D1287" t="str">
            <v>PT Suryaraya Rubberindo Industries</v>
          </cell>
          <cell r="E1287" t="str">
            <v>MPP</v>
          </cell>
          <cell r="F1287" t="str">
            <v>107MPP</v>
          </cell>
          <cell r="P1287">
            <v>0</v>
          </cell>
          <cell r="U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</row>
        <row r="1288">
          <cell r="C1288" t="str">
            <v>A0199</v>
          </cell>
          <cell r="D1288" t="str">
            <v>PT Suryaraya Rubberindo Industries</v>
          </cell>
          <cell r="E1288" t="str">
            <v>ID</v>
          </cell>
          <cell r="F1288" t="str">
            <v>107ID</v>
          </cell>
          <cell r="G1288">
            <v>0.1</v>
          </cell>
          <cell r="I1288">
            <v>0.09</v>
          </cell>
          <cell r="J1288">
            <v>10.201919409162958</v>
          </cell>
          <cell r="K1288">
            <v>17.375675070478085</v>
          </cell>
          <cell r="P1288">
            <v>78339</v>
          </cell>
          <cell r="Q1288">
            <v>2790420.2017216994</v>
          </cell>
          <cell r="R1288">
            <v>248224.90946419479</v>
          </cell>
          <cell r="S1288">
            <v>189270.59770634965</v>
          </cell>
          <cell r="U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78339</v>
          </cell>
        </row>
        <row r="1289">
          <cell r="C1289" t="str">
            <v>A0199</v>
          </cell>
          <cell r="D1289" t="str">
            <v>PT Suryaraya Rubberindo Industries</v>
          </cell>
          <cell r="E1289" t="str">
            <v>LL</v>
          </cell>
          <cell r="F1289" t="str">
            <v>107LL</v>
          </cell>
          <cell r="G1289">
            <v>0.1</v>
          </cell>
          <cell r="I1289">
            <v>0.09</v>
          </cell>
          <cell r="J1289">
            <v>10.201919409162958</v>
          </cell>
          <cell r="K1289">
            <v>17.375675070478085</v>
          </cell>
          <cell r="P1289">
            <v>1491283</v>
          </cell>
          <cell r="Q1289">
            <v>2300944</v>
          </cell>
          <cell r="R1289">
            <v>1066469</v>
          </cell>
          <cell r="S1289">
            <v>890487.29097215808</v>
          </cell>
          <cell r="U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1491283</v>
          </cell>
        </row>
        <row r="1290">
          <cell r="C1290" t="str">
            <v>A0199</v>
          </cell>
          <cell r="D1290" t="str">
            <v>PT Suryaraya Rubberindo Industries</v>
          </cell>
          <cell r="E1290" t="str">
            <v>PMK</v>
          </cell>
          <cell r="F1290" t="str">
            <v>107PMK</v>
          </cell>
          <cell r="G1290">
            <v>0.1</v>
          </cell>
          <cell r="I1290">
            <v>0.09</v>
          </cell>
          <cell r="J1290">
            <v>10.201919409162958</v>
          </cell>
          <cell r="K1290">
            <v>17.375675070478085</v>
          </cell>
          <cell r="P1290">
            <v>2081086</v>
          </cell>
          <cell r="Q1290">
            <v>3150021.3877246589</v>
          </cell>
          <cell r="R1290">
            <v>418363.06978667225</v>
          </cell>
          <cell r="S1290">
            <v>45000</v>
          </cell>
          <cell r="U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2081086</v>
          </cell>
        </row>
        <row r="1292">
          <cell r="C1292" t="str">
            <v>A0221</v>
          </cell>
          <cell r="D1292" t="str">
            <v>PT Swadaya Harapan Nusantara</v>
          </cell>
          <cell r="E1292" t="str">
            <v>PEB 1</v>
          </cell>
          <cell r="F1292" t="str">
            <v>108PEB 1</v>
          </cell>
          <cell r="G1292">
            <v>0.1</v>
          </cell>
          <cell r="H1292">
            <v>0.1</v>
          </cell>
          <cell r="I1292">
            <v>0.09</v>
          </cell>
          <cell r="J1292">
            <v>8.3637246605923909</v>
          </cell>
          <cell r="K1292">
            <v>8.8807528898529693</v>
          </cell>
          <cell r="L1292">
            <v>0</v>
          </cell>
          <cell r="N1292">
            <v>328204.22974661796</v>
          </cell>
          <cell r="O1292">
            <v>44932.940193303875</v>
          </cell>
          <cell r="P1292">
            <v>2258018</v>
          </cell>
          <cell r="Q1292">
            <v>3531806.2244700589</v>
          </cell>
          <cell r="R1292">
            <v>156111.33428054457</v>
          </cell>
          <cell r="S1292">
            <v>26261.16543513169</v>
          </cell>
          <cell r="U1292">
            <v>-1589907</v>
          </cell>
          <cell r="V1292">
            <v>3188281.3781325417</v>
          </cell>
          <cell r="W1292">
            <v>-316808</v>
          </cell>
          <cell r="X1292">
            <v>0</v>
          </cell>
          <cell r="Y1292">
            <v>0</v>
          </cell>
          <cell r="Z1292">
            <v>351303</v>
          </cell>
          <cell r="AB1292">
            <v>0.1</v>
          </cell>
          <cell r="AC1292">
            <v>0</v>
          </cell>
          <cell r="AD1292">
            <v>0.09</v>
          </cell>
          <cell r="AE1292">
            <v>9.8979747421502235</v>
          </cell>
          <cell r="AF1292">
            <v>12.682370583509199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1092815</v>
          </cell>
          <cell r="AL1292">
            <v>1415089.2523478088</v>
          </cell>
          <cell r="AM1292">
            <v>82434.458052173301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-39587</v>
          </cell>
          <cell r="AS1292">
            <v>-471253</v>
          </cell>
          <cell r="AT1292">
            <v>34741</v>
          </cell>
          <cell r="AU1292">
            <v>581975</v>
          </cell>
          <cell r="AW1292">
            <v>0.1</v>
          </cell>
          <cell r="AX1292">
            <v>0</v>
          </cell>
          <cell r="AY1292">
            <v>0.09</v>
          </cell>
          <cell r="AZ1292">
            <v>8.3637246605923909</v>
          </cell>
          <cell r="BA1292">
            <v>8.8807528898529693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55265</v>
          </cell>
          <cell r="BG1292">
            <v>171099.32443114457</v>
          </cell>
          <cell r="BH1292">
            <v>8638.8100257515289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73909</v>
          </cell>
          <cell r="BN1292">
            <v>-91493</v>
          </cell>
          <cell r="BO1292">
            <v>6745</v>
          </cell>
          <cell r="BP1292">
            <v>37681</v>
          </cell>
          <cell r="BR1292">
            <v>0.1</v>
          </cell>
          <cell r="BS1292">
            <v>0</v>
          </cell>
          <cell r="BT1292">
            <v>0.09</v>
          </cell>
          <cell r="BU1292">
            <v>10.176450860652656</v>
          </cell>
          <cell r="BV1292">
            <v>15.723664738434186</v>
          </cell>
          <cell r="BW1292">
            <v>0</v>
          </cell>
          <cell r="BX1292">
            <v>0</v>
          </cell>
          <cell r="BY1292">
            <v>0</v>
          </cell>
          <cell r="BZ1292">
            <v>0</v>
          </cell>
          <cell r="CA1292">
            <v>534099</v>
          </cell>
          <cell r="CB1292">
            <v>678825.33536403719</v>
          </cell>
          <cell r="CC1292">
            <v>63506.606124370192</v>
          </cell>
          <cell r="CD1292">
            <v>9195.229646747548</v>
          </cell>
          <cell r="CE1292">
            <v>0</v>
          </cell>
          <cell r="CF1292">
            <v>0</v>
          </cell>
          <cell r="CG1292">
            <v>0</v>
          </cell>
          <cell r="CH1292">
            <v>-253019</v>
          </cell>
          <cell r="CI1292">
            <v>-32016</v>
          </cell>
          <cell r="CJ1292">
            <v>1771</v>
          </cell>
          <cell r="CK1292">
            <v>249064</v>
          </cell>
          <cell r="CM1292">
            <v>0</v>
          </cell>
          <cell r="CN1292">
            <v>0</v>
          </cell>
          <cell r="CO1292">
            <v>0</v>
          </cell>
          <cell r="CP1292">
            <v>0</v>
          </cell>
          <cell r="CQ1292">
            <v>0</v>
          </cell>
          <cell r="CR1292">
            <v>0</v>
          </cell>
          <cell r="CS1292">
            <v>0</v>
          </cell>
          <cell r="CT1292">
            <v>0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0</v>
          </cell>
          <cell r="DA1292">
            <v>0</v>
          </cell>
          <cell r="DB1292">
            <v>0</v>
          </cell>
          <cell r="DC1292">
            <v>0</v>
          </cell>
          <cell r="DD1292">
            <v>0</v>
          </cell>
          <cell r="DE1292">
            <v>0</v>
          </cell>
          <cell r="DF1292">
            <v>0</v>
          </cell>
          <cell r="DH1292">
            <v>0</v>
          </cell>
          <cell r="DI1292">
            <v>0</v>
          </cell>
          <cell r="DJ1292">
            <v>0</v>
          </cell>
          <cell r="DK1292">
            <v>0</v>
          </cell>
          <cell r="DL1292">
            <v>0</v>
          </cell>
          <cell r="DM1292">
            <v>0</v>
          </cell>
          <cell r="DN1292">
            <v>0</v>
          </cell>
          <cell r="DO1292">
            <v>0</v>
          </cell>
          <cell r="DP1292">
            <v>0</v>
          </cell>
          <cell r="DQ1292">
            <v>0</v>
          </cell>
          <cell r="DR1292">
            <v>0</v>
          </cell>
          <cell r="DS1292">
            <v>0</v>
          </cell>
          <cell r="DT1292">
            <v>0</v>
          </cell>
          <cell r="DU1292">
            <v>0</v>
          </cell>
          <cell r="DV1292">
            <v>0</v>
          </cell>
          <cell r="DW1292">
            <v>0</v>
          </cell>
          <cell r="DX1292">
            <v>0</v>
          </cell>
          <cell r="DY1292">
            <v>0</v>
          </cell>
          <cell r="DZ1292">
            <v>0</v>
          </cell>
          <cell r="EA1292">
            <v>0</v>
          </cell>
          <cell r="EC1292">
            <v>0.1</v>
          </cell>
          <cell r="ED1292">
            <v>0</v>
          </cell>
          <cell r="EE1292">
            <v>0.09</v>
          </cell>
          <cell r="EF1292">
            <v>9.8979747421502235</v>
          </cell>
          <cell r="EG1292">
            <v>12.682370583509199</v>
          </cell>
          <cell r="EH1292">
            <v>0</v>
          </cell>
          <cell r="EI1292">
            <v>0</v>
          </cell>
          <cell r="EJ1292">
            <v>0</v>
          </cell>
          <cell r="EK1292">
            <v>0</v>
          </cell>
          <cell r="EL1292">
            <v>109298</v>
          </cell>
          <cell r="EM1292">
            <v>71539.098332214518</v>
          </cell>
          <cell r="EN1292">
            <v>5351.3660875095266</v>
          </cell>
          <cell r="EO1292">
            <v>9198.0058189920492</v>
          </cell>
          <cell r="EP1292">
            <v>0</v>
          </cell>
          <cell r="EQ1292">
            <v>0</v>
          </cell>
          <cell r="ER1292">
            <v>0</v>
          </cell>
          <cell r="ES1292">
            <v>-84028</v>
          </cell>
          <cell r="ET1292">
            <v>0</v>
          </cell>
          <cell r="EU1292">
            <v>0</v>
          </cell>
          <cell r="EV1292">
            <v>25270</v>
          </cell>
          <cell r="EX1292">
            <v>0.1</v>
          </cell>
          <cell r="EY1292">
            <v>0</v>
          </cell>
          <cell r="EZ1292">
            <v>0.09</v>
          </cell>
          <cell r="FA1292">
            <v>9.8979747421502235</v>
          </cell>
          <cell r="FB1292">
            <v>12.682370583509199</v>
          </cell>
          <cell r="FC1292">
            <v>0</v>
          </cell>
          <cell r="FD1292">
            <v>0</v>
          </cell>
          <cell r="FE1292">
            <v>0</v>
          </cell>
          <cell r="FF1292">
            <v>0</v>
          </cell>
          <cell r="FG1292">
            <v>574626</v>
          </cell>
          <cell r="FH1292">
            <v>432830.40619937691</v>
          </cell>
          <cell r="FI1292">
            <v>25251.842880985554</v>
          </cell>
          <cell r="FJ1292">
            <v>0</v>
          </cell>
          <cell r="FK1292">
            <v>0</v>
          </cell>
          <cell r="FL1292">
            <v>0</v>
          </cell>
          <cell r="FM1292">
            <v>0</v>
          </cell>
          <cell r="FN1292">
            <v>0</v>
          </cell>
          <cell r="FO1292">
            <v>-511637</v>
          </cell>
          <cell r="FP1292">
            <v>35189</v>
          </cell>
          <cell r="FQ1292">
            <v>62989</v>
          </cell>
          <cell r="FS1292">
            <v>0.1</v>
          </cell>
          <cell r="FT1292">
            <v>0</v>
          </cell>
          <cell r="FU1292">
            <v>0.09</v>
          </cell>
          <cell r="FV1292">
            <v>9.8979747421502235</v>
          </cell>
          <cell r="FW1292">
            <v>12.682370583509199</v>
          </cell>
          <cell r="FX1292">
            <v>0</v>
          </cell>
          <cell r="FY1292">
            <v>0</v>
          </cell>
          <cell r="FZ1292">
            <v>0</v>
          </cell>
          <cell r="GA1292">
            <v>0</v>
          </cell>
          <cell r="GB1292">
            <v>19625</v>
          </cell>
          <cell r="GC1292">
            <v>349386.76535527559</v>
          </cell>
          <cell r="GD1292">
            <v>24258.700840195346</v>
          </cell>
          <cell r="GE1292">
            <v>31669.69229418617</v>
          </cell>
          <cell r="GF1292">
            <v>0</v>
          </cell>
          <cell r="GG1292">
            <v>0</v>
          </cell>
          <cell r="GH1292">
            <v>0</v>
          </cell>
          <cell r="GI1292">
            <v>0</v>
          </cell>
          <cell r="GJ1292">
            <v>0</v>
          </cell>
          <cell r="GK1292">
            <v>0</v>
          </cell>
          <cell r="GL1292">
            <v>19625</v>
          </cell>
          <cell r="GN1292">
            <v>0.1</v>
          </cell>
          <cell r="GO1292">
            <v>0</v>
          </cell>
          <cell r="GP1292">
            <v>0.09</v>
          </cell>
          <cell r="GQ1292">
            <v>9.8979747421502235</v>
          </cell>
          <cell r="GR1292">
            <v>12.682370583509199</v>
          </cell>
          <cell r="GS1292">
            <v>0</v>
          </cell>
          <cell r="GT1292">
            <v>0</v>
          </cell>
          <cell r="GU1292">
            <v>0</v>
          </cell>
          <cell r="GV1292">
            <v>0</v>
          </cell>
          <cell r="GW1292">
            <v>318803</v>
          </cell>
          <cell r="GX1292">
            <v>335038</v>
          </cell>
          <cell r="GY1292">
            <v>104997</v>
          </cell>
          <cell r="GZ1292">
            <v>217216</v>
          </cell>
          <cell r="HA1292">
            <v>0</v>
          </cell>
          <cell r="HB1292">
            <v>0</v>
          </cell>
          <cell r="HC1292">
            <v>0</v>
          </cell>
          <cell r="HD1292">
            <v>0</v>
          </cell>
          <cell r="HE1292">
            <v>0</v>
          </cell>
          <cell r="HF1292">
            <v>0</v>
          </cell>
          <cell r="HG1292">
            <v>318803</v>
          </cell>
          <cell r="HI1292">
            <v>0.1</v>
          </cell>
          <cell r="HJ1292">
            <v>0</v>
          </cell>
          <cell r="HK1292">
            <v>0.09</v>
          </cell>
          <cell r="HL1292">
            <v>9.8979747421502235</v>
          </cell>
          <cell r="HM1292">
            <v>12.682370583509199</v>
          </cell>
          <cell r="HN1292">
            <v>0</v>
          </cell>
          <cell r="HO1292">
            <v>0</v>
          </cell>
          <cell r="HP1292">
            <v>0</v>
          </cell>
          <cell r="HQ1292">
            <v>0</v>
          </cell>
          <cell r="HR1292">
            <v>343003</v>
          </cell>
          <cell r="HS1292">
            <v>438336.92101336905</v>
          </cell>
          <cell r="HT1292">
            <v>51041.578221954798</v>
          </cell>
          <cell r="HU1292">
            <v>123796.5</v>
          </cell>
          <cell r="HV1292">
            <v>0</v>
          </cell>
          <cell r="HW1292">
            <v>0</v>
          </cell>
          <cell r="HX1292">
            <v>0</v>
          </cell>
          <cell r="HY1292">
            <v>0</v>
          </cell>
          <cell r="HZ1292">
            <v>0</v>
          </cell>
          <cell r="IA1292">
            <v>0</v>
          </cell>
          <cell r="IB1292">
            <v>343003</v>
          </cell>
        </row>
        <row r="1293">
          <cell r="C1293" t="str">
            <v>A0221</v>
          </cell>
          <cell r="D1293" t="str">
            <v>PT Swadaya Harapan Nusantara</v>
          </cell>
          <cell r="E1293" t="str">
            <v>PEB 2</v>
          </cell>
          <cell r="F1293" t="str">
            <v>108PEB 2</v>
          </cell>
          <cell r="G1293">
            <v>0.1</v>
          </cell>
          <cell r="I1293">
            <v>0.09</v>
          </cell>
          <cell r="J1293">
            <v>9.8979747421502235</v>
          </cell>
          <cell r="K1293">
            <v>12.682370583509199</v>
          </cell>
          <cell r="P1293">
            <v>1092815</v>
          </cell>
          <cell r="Q1293">
            <v>1415089.2523478088</v>
          </cell>
          <cell r="R1293">
            <v>82434.458052173301</v>
          </cell>
          <cell r="S1293">
            <v>0</v>
          </cell>
          <cell r="U1293">
            <v>0</v>
          </cell>
          <cell r="W1293">
            <v>-39587</v>
          </cell>
          <cell r="X1293">
            <v>-471253</v>
          </cell>
          <cell r="Y1293">
            <v>34741</v>
          </cell>
          <cell r="Z1293">
            <v>581975</v>
          </cell>
        </row>
        <row r="1294">
          <cell r="C1294" t="str">
            <v>A0221</v>
          </cell>
          <cell r="D1294" t="str">
            <v>PT Swadaya Harapan Nusantara</v>
          </cell>
          <cell r="E1294" t="str">
            <v>PEB 3</v>
          </cell>
          <cell r="F1294" t="str">
            <v>108PEB 3</v>
          </cell>
          <cell r="G1294">
            <v>0.1</v>
          </cell>
          <cell r="I1294">
            <v>0.09</v>
          </cell>
          <cell r="J1294">
            <v>8.3637246605923909</v>
          </cell>
          <cell r="K1294">
            <v>8.8807528898529693</v>
          </cell>
          <cell r="P1294">
            <v>55265</v>
          </cell>
          <cell r="Q1294">
            <v>171099.32443114457</v>
          </cell>
          <cell r="R1294">
            <v>8638.8100257515289</v>
          </cell>
          <cell r="S1294">
            <v>0</v>
          </cell>
          <cell r="U1294">
            <v>0</v>
          </cell>
          <cell r="W1294">
            <v>73909</v>
          </cell>
          <cell r="X1294">
            <v>-91493</v>
          </cell>
          <cell r="Y1294">
            <v>6745</v>
          </cell>
          <cell r="Z1294">
            <v>37681</v>
          </cell>
        </row>
        <row r="1295">
          <cell r="C1295" t="str">
            <v>A0221</v>
          </cell>
          <cell r="D1295" t="str">
            <v>PT Swadaya Harapan Nusantara</v>
          </cell>
          <cell r="E1295" t="str">
            <v>PEB 4</v>
          </cell>
          <cell r="F1295" t="str">
            <v>108PEB 4</v>
          </cell>
          <cell r="G1295">
            <v>0.1</v>
          </cell>
          <cell r="I1295">
            <v>0.09</v>
          </cell>
          <cell r="J1295">
            <v>10.176450860652656</v>
          </cell>
          <cell r="K1295">
            <v>15.723664738434186</v>
          </cell>
          <cell r="P1295">
            <v>534099</v>
          </cell>
          <cell r="Q1295">
            <v>678825.33536403719</v>
          </cell>
          <cell r="R1295">
            <v>63506.606124370192</v>
          </cell>
          <cell r="S1295">
            <v>9195.229646747548</v>
          </cell>
          <cell r="U1295">
            <v>0</v>
          </cell>
          <cell r="W1295">
            <v>-253019</v>
          </cell>
          <cell r="X1295">
            <v>-32016</v>
          </cell>
          <cell r="Y1295">
            <v>1771</v>
          </cell>
          <cell r="Z1295">
            <v>249064</v>
          </cell>
        </row>
        <row r="1296">
          <cell r="C1296" t="str">
            <v>A0221</v>
          </cell>
          <cell r="D1296" t="str">
            <v>PT Swadaya Harapan Nusantara</v>
          </cell>
          <cell r="E1296" t="str">
            <v>PEB 5</v>
          </cell>
          <cell r="F1296" t="str">
            <v>108PEB 5</v>
          </cell>
          <cell r="P1296">
            <v>0</v>
          </cell>
          <cell r="U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</row>
        <row r="1297">
          <cell r="C1297" t="str">
            <v>A0221</v>
          </cell>
          <cell r="D1297" t="str">
            <v>PT Swadaya Harapan Nusantara</v>
          </cell>
          <cell r="E1297" t="str">
            <v>PEB 6</v>
          </cell>
          <cell r="F1297" t="str">
            <v>108PEB 6</v>
          </cell>
          <cell r="P1297">
            <v>0</v>
          </cell>
          <cell r="U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</row>
        <row r="1298">
          <cell r="C1298" t="str">
            <v>A0221</v>
          </cell>
          <cell r="D1298" t="str">
            <v>PT Swadaya Harapan Nusantara</v>
          </cell>
          <cell r="E1298" t="str">
            <v>PEB 7</v>
          </cell>
          <cell r="F1298" t="str">
            <v>108PEB 7</v>
          </cell>
          <cell r="G1298">
            <v>0.1</v>
          </cell>
          <cell r="I1298">
            <v>0.09</v>
          </cell>
          <cell r="J1298">
            <v>9.8979747421502235</v>
          </cell>
          <cell r="K1298">
            <v>12.682370583509199</v>
          </cell>
          <cell r="P1298">
            <v>109298</v>
          </cell>
          <cell r="Q1298">
            <v>71539.098332214518</v>
          </cell>
          <cell r="R1298">
            <v>5351.3660875095266</v>
          </cell>
          <cell r="S1298">
            <v>9198.0058189920492</v>
          </cell>
          <cell r="U1298">
            <v>0</v>
          </cell>
          <cell r="W1298">
            <v>-84028</v>
          </cell>
          <cell r="X1298">
            <v>0</v>
          </cell>
          <cell r="Y1298">
            <v>0</v>
          </cell>
          <cell r="Z1298">
            <v>25270</v>
          </cell>
        </row>
        <row r="1299">
          <cell r="C1299" t="str">
            <v>A0221</v>
          </cell>
          <cell r="D1299" t="str">
            <v>PT Swadaya Harapan Nusantara</v>
          </cell>
          <cell r="E1299" t="str">
            <v>MPP</v>
          </cell>
          <cell r="F1299" t="str">
            <v>108MPP</v>
          </cell>
          <cell r="G1299">
            <v>0.1</v>
          </cell>
          <cell r="I1299">
            <v>0.09</v>
          </cell>
          <cell r="J1299">
            <v>9.8979747421502235</v>
          </cell>
          <cell r="K1299">
            <v>12.682370583509199</v>
          </cell>
          <cell r="P1299">
            <v>574626</v>
          </cell>
          <cell r="Q1299">
            <v>432830.40619937691</v>
          </cell>
          <cell r="R1299">
            <v>25251.842880985554</v>
          </cell>
          <cell r="S1299">
            <v>0</v>
          </cell>
          <cell r="U1299">
            <v>0</v>
          </cell>
          <cell r="W1299">
            <v>0</v>
          </cell>
          <cell r="X1299">
            <v>-511637</v>
          </cell>
          <cell r="Y1299">
            <v>35189</v>
          </cell>
          <cell r="Z1299">
            <v>62989</v>
          </cell>
        </row>
        <row r="1300">
          <cell r="C1300" t="str">
            <v>A0221</v>
          </cell>
          <cell r="D1300" t="str">
            <v>PT Swadaya Harapan Nusantara</v>
          </cell>
          <cell r="E1300" t="str">
            <v>ID</v>
          </cell>
          <cell r="F1300" t="str">
            <v>108ID</v>
          </cell>
          <cell r="G1300">
            <v>0.1</v>
          </cell>
          <cell r="I1300">
            <v>0.09</v>
          </cell>
          <cell r="J1300">
            <v>9.8979747421502235</v>
          </cell>
          <cell r="K1300">
            <v>12.682370583509199</v>
          </cell>
          <cell r="P1300">
            <v>19625</v>
          </cell>
          <cell r="Q1300">
            <v>349386.76535527559</v>
          </cell>
          <cell r="R1300">
            <v>24258.700840195346</v>
          </cell>
          <cell r="S1300">
            <v>31669.69229418617</v>
          </cell>
          <cell r="U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19625</v>
          </cell>
        </row>
        <row r="1301">
          <cell r="C1301" t="str">
            <v>A0221</v>
          </cell>
          <cell r="D1301" t="str">
            <v>PT Swadaya Harapan Nusantara</v>
          </cell>
          <cell r="E1301" t="str">
            <v>LL</v>
          </cell>
          <cell r="F1301" t="str">
            <v>108LL</v>
          </cell>
          <cell r="G1301">
            <v>0.1</v>
          </cell>
          <cell r="I1301">
            <v>0.09</v>
          </cell>
          <cell r="J1301">
            <v>9.8979747421502235</v>
          </cell>
          <cell r="K1301">
            <v>12.682370583509199</v>
          </cell>
          <cell r="P1301">
            <v>318803</v>
          </cell>
          <cell r="Q1301">
            <v>335038</v>
          </cell>
          <cell r="R1301">
            <v>104997</v>
          </cell>
          <cell r="S1301">
            <v>217216</v>
          </cell>
          <cell r="U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318803</v>
          </cell>
        </row>
        <row r="1302">
          <cell r="C1302" t="str">
            <v>A0221</v>
          </cell>
          <cell r="D1302" t="str">
            <v>PT Swadaya Harapan Nusantara</v>
          </cell>
          <cell r="E1302" t="str">
            <v>PMK</v>
          </cell>
          <cell r="F1302" t="str">
            <v>108PMK</v>
          </cell>
          <cell r="G1302">
            <v>0.1</v>
          </cell>
          <cell r="I1302">
            <v>0.09</v>
          </cell>
          <cell r="J1302">
            <v>9.8979747421502235</v>
          </cell>
          <cell r="K1302">
            <v>12.682370583509199</v>
          </cell>
          <cell r="P1302">
            <v>343003</v>
          </cell>
          <cell r="Q1302">
            <v>438336.92101336905</v>
          </cell>
          <cell r="R1302">
            <v>51041.578221954798</v>
          </cell>
          <cell r="S1302">
            <v>123796.5</v>
          </cell>
          <cell r="U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343003</v>
          </cell>
        </row>
        <row r="1304">
          <cell r="C1304" t="str">
            <v>A0143</v>
          </cell>
          <cell r="D1304" t="str">
            <v>PT Swadharma Bhakti Sedaya Finance</v>
          </cell>
          <cell r="E1304" t="str">
            <v>PEB 1</v>
          </cell>
          <cell r="F1304" t="str">
            <v>109PEB 1</v>
          </cell>
          <cell r="G1304">
            <v>0.1</v>
          </cell>
          <cell r="H1304">
            <v>0.1</v>
          </cell>
          <cell r="I1304">
            <v>0.09</v>
          </cell>
          <cell r="J1304">
            <v>7.6516171481057818</v>
          </cell>
          <cell r="K1304">
            <v>8.0876760166767756</v>
          </cell>
          <cell r="L1304">
            <v>139834</v>
          </cell>
          <cell r="N1304">
            <v>382568.20160000003</v>
          </cell>
          <cell r="O1304">
            <v>57421.288</v>
          </cell>
          <cell r="P1304">
            <v>4242020</v>
          </cell>
          <cell r="Q1304">
            <v>4880541.1714925151</v>
          </cell>
          <cell r="R1304">
            <v>203067.55382637764</v>
          </cell>
          <cell r="S1304">
            <v>304367.47220079199</v>
          </cell>
          <cell r="U1304">
            <v>-3372894</v>
          </cell>
          <cell r="V1304">
            <v>4974909.0298666675</v>
          </cell>
          <cell r="W1304">
            <v>-1774210</v>
          </cell>
          <cell r="X1304">
            <v>0</v>
          </cell>
          <cell r="Y1304">
            <v>0</v>
          </cell>
          <cell r="Z1304">
            <v>0</v>
          </cell>
          <cell r="AB1304">
            <v>0.1</v>
          </cell>
          <cell r="AC1304">
            <v>0</v>
          </cell>
          <cell r="AD1304">
            <v>0.09</v>
          </cell>
          <cell r="AE1304">
            <v>9.8103837039618345</v>
          </cell>
          <cell r="AF1304">
            <v>12.242992114416962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86609</v>
          </cell>
          <cell r="AL1304">
            <v>302327.72032472753</v>
          </cell>
          <cell r="AM1304">
            <v>17980.620864950411</v>
          </cell>
          <cell r="AN1304">
            <v>26515.5</v>
          </cell>
          <cell r="AO1304">
            <v>0</v>
          </cell>
          <cell r="AP1304">
            <v>0</v>
          </cell>
          <cell r="AQ1304">
            <v>0</v>
          </cell>
          <cell r="AR1304">
            <v>-35248</v>
          </cell>
          <cell r="AS1304">
            <v>-3673</v>
          </cell>
          <cell r="AT1304">
            <v>281</v>
          </cell>
          <cell r="AU1304">
            <v>47688</v>
          </cell>
          <cell r="AW1304">
            <v>0.1</v>
          </cell>
          <cell r="AX1304">
            <v>0</v>
          </cell>
          <cell r="AY1304">
            <v>0.09</v>
          </cell>
          <cell r="AZ1304">
            <v>7.6516171481057818</v>
          </cell>
          <cell r="BA1304">
            <v>8.0876760166767756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485827</v>
          </cell>
          <cell r="BG1304">
            <v>274837.404840381</v>
          </cell>
          <cell r="BH1304">
            <v>13981.670871627757</v>
          </cell>
          <cell r="BI1304">
            <v>39261.194940000001</v>
          </cell>
          <cell r="BJ1304">
            <v>0</v>
          </cell>
          <cell r="BK1304">
            <v>0</v>
          </cell>
          <cell r="BL1304">
            <v>0</v>
          </cell>
          <cell r="BM1304">
            <v>-274286</v>
          </cell>
          <cell r="BN1304">
            <v>-53021</v>
          </cell>
          <cell r="BO1304">
            <v>4557</v>
          </cell>
          <cell r="BP1304">
            <v>158520</v>
          </cell>
          <cell r="BR1304">
            <v>0.1</v>
          </cell>
          <cell r="BS1304">
            <v>0</v>
          </cell>
          <cell r="BT1304">
            <v>0.09</v>
          </cell>
          <cell r="BU1304">
            <v>10.414409245641451</v>
          </cell>
          <cell r="BV1304">
            <v>15.380679780057516</v>
          </cell>
          <cell r="BW1304">
            <v>0</v>
          </cell>
          <cell r="BX1304">
            <v>0</v>
          </cell>
          <cell r="BY1304">
            <v>0</v>
          </cell>
          <cell r="BZ1304">
            <v>0</v>
          </cell>
          <cell r="CA1304">
            <v>238082</v>
          </cell>
          <cell r="CB1304">
            <v>106907.57101343735</v>
          </cell>
          <cell r="CC1304">
            <v>11034.798788375372</v>
          </cell>
          <cell r="CD1304">
            <v>67153.387298617279</v>
          </cell>
          <cell r="CE1304">
            <v>0</v>
          </cell>
          <cell r="CF1304">
            <v>0</v>
          </cell>
          <cell r="CG1304">
            <v>0</v>
          </cell>
          <cell r="CH1304">
            <v>-77960</v>
          </cell>
          <cell r="CI1304">
            <v>-49949</v>
          </cell>
          <cell r="CJ1304">
            <v>2877</v>
          </cell>
          <cell r="CK1304">
            <v>110173</v>
          </cell>
          <cell r="CM1304">
            <v>0</v>
          </cell>
          <cell r="CN1304">
            <v>0</v>
          </cell>
          <cell r="CO1304">
            <v>0</v>
          </cell>
          <cell r="CP1304">
            <v>0</v>
          </cell>
          <cell r="CQ1304" t="str">
            <v xml:space="preserve"> </v>
          </cell>
          <cell r="CR1304">
            <v>0</v>
          </cell>
          <cell r="CS1304">
            <v>0</v>
          </cell>
          <cell r="CT1304">
            <v>0</v>
          </cell>
          <cell r="CU1304">
            <v>0</v>
          </cell>
          <cell r="CV1304">
            <v>0</v>
          </cell>
          <cell r="CW1304">
            <v>0</v>
          </cell>
          <cell r="CX1304">
            <v>0</v>
          </cell>
          <cell r="CY1304">
            <v>0</v>
          </cell>
          <cell r="CZ1304">
            <v>0</v>
          </cell>
          <cell r="DA1304">
            <v>0</v>
          </cell>
          <cell r="DB1304">
            <v>0</v>
          </cell>
          <cell r="DC1304">
            <v>0</v>
          </cell>
          <cell r="DD1304">
            <v>0</v>
          </cell>
          <cell r="DE1304">
            <v>0</v>
          </cell>
          <cell r="DF1304">
            <v>0</v>
          </cell>
          <cell r="DH1304">
            <v>0</v>
          </cell>
          <cell r="DI1304">
            <v>0</v>
          </cell>
          <cell r="DJ1304">
            <v>0</v>
          </cell>
          <cell r="DK1304">
            <v>0</v>
          </cell>
          <cell r="DL1304">
            <v>0</v>
          </cell>
          <cell r="DM1304">
            <v>0</v>
          </cell>
          <cell r="DN1304">
            <v>0</v>
          </cell>
          <cell r="DO1304">
            <v>0</v>
          </cell>
          <cell r="DP1304">
            <v>0</v>
          </cell>
          <cell r="DQ1304">
            <v>0</v>
          </cell>
          <cell r="DR1304">
            <v>0</v>
          </cell>
          <cell r="DS1304">
            <v>0</v>
          </cell>
          <cell r="DT1304">
            <v>0</v>
          </cell>
          <cell r="DU1304">
            <v>0</v>
          </cell>
          <cell r="DV1304">
            <v>0</v>
          </cell>
          <cell r="DW1304">
            <v>0</v>
          </cell>
          <cell r="DX1304">
            <v>0</v>
          </cell>
          <cell r="DY1304">
            <v>0</v>
          </cell>
          <cell r="DZ1304">
            <v>0</v>
          </cell>
          <cell r="EA1304">
            <v>0</v>
          </cell>
          <cell r="EC1304">
            <v>0.1</v>
          </cell>
          <cell r="ED1304">
            <v>0</v>
          </cell>
          <cell r="EE1304">
            <v>0.09</v>
          </cell>
          <cell r="EF1304">
            <v>9.8103837039618345</v>
          </cell>
          <cell r="EG1304">
            <v>12.242992114416962</v>
          </cell>
          <cell r="EH1304">
            <v>0</v>
          </cell>
          <cell r="EI1304">
            <v>0</v>
          </cell>
          <cell r="EJ1304">
            <v>0</v>
          </cell>
          <cell r="EK1304">
            <v>0</v>
          </cell>
          <cell r="EL1304">
            <v>153475</v>
          </cell>
          <cell r="EM1304">
            <v>96230.55714609132</v>
          </cell>
          <cell r="EN1304">
            <v>6292.1000521413143</v>
          </cell>
          <cell r="EO1304">
            <v>12315.633271746332</v>
          </cell>
          <cell r="EP1304">
            <v>0</v>
          </cell>
          <cell r="EQ1304">
            <v>0</v>
          </cell>
          <cell r="ER1304">
            <v>0</v>
          </cell>
          <cell r="ES1304">
            <v>-152365</v>
          </cell>
          <cell r="ET1304">
            <v>0</v>
          </cell>
          <cell r="EU1304">
            <v>0</v>
          </cell>
          <cell r="EV1304">
            <v>1110</v>
          </cell>
          <cell r="EX1304">
            <v>0</v>
          </cell>
          <cell r="EY1304">
            <v>0</v>
          </cell>
          <cell r="EZ1304">
            <v>0</v>
          </cell>
          <cell r="FA1304">
            <v>0</v>
          </cell>
          <cell r="FB1304" t="str">
            <v xml:space="preserve"> </v>
          </cell>
          <cell r="FC1304">
            <v>0</v>
          </cell>
          <cell r="FD1304">
            <v>0</v>
          </cell>
          <cell r="FE1304">
            <v>0</v>
          </cell>
          <cell r="FF1304">
            <v>0</v>
          </cell>
          <cell r="FG1304">
            <v>0</v>
          </cell>
          <cell r="FH1304">
            <v>0</v>
          </cell>
          <cell r="FI1304">
            <v>0</v>
          </cell>
          <cell r="FJ1304">
            <v>0</v>
          </cell>
          <cell r="FK1304">
            <v>0</v>
          </cell>
          <cell r="FL1304">
            <v>0</v>
          </cell>
          <cell r="FM1304">
            <v>0</v>
          </cell>
          <cell r="FN1304">
            <v>0</v>
          </cell>
          <cell r="FO1304">
            <v>0</v>
          </cell>
          <cell r="FP1304">
            <v>0</v>
          </cell>
          <cell r="FQ1304">
            <v>0</v>
          </cell>
          <cell r="FS1304">
            <v>0.1</v>
          </cell>
          <cell r="FT1304">
            <v>0</v>
          </cell>
          <cell r="FU1304">
            <v>0.09</v>
          </cell>
          <cell r="FV1304">
            <v>9.8103837039618345</v>
          </cell>
          <cell r="FW1304">
            <v>12.242992114416962</v>
          </cell>
          <cell r="FX1304">
            <v>0</v>
          </cell>
          <cell r="FY1304">
            <v>0</v>
          </cell>
          <cell r="FZ1304">
            <v>0</v>
          </cell>
          <cell r="GA1304">
            <v>0</v>
          </cell>
          <cell r="GB1304">
            <v>29768</v>
          </cell>
          <cell r="GC1304">
            <v>343800.04277151532</v>
          </cell>
          <cell r="GD1304">
            <v>20557.389313904961</v>
          </cell>
          <cell r="GE1304">
            <v>30075.456353040474</v>
          </cell>
          <cell r="GF1304">
            <v>0</v>
          </cell>
          <cell r="GG1304">
            <v>0</v>
          </cell>
          <cell r="GH1304">
            <v>0</v>
          </cell>
          <cell r="GI1304">
            <v>0</v>
          </cell>
          <cell r="GJ1304">
            <v>0</v>
          </cell>
          <cell r="GK1304">
            <v>0</v>
          </cell>
          <cell r="GL1304">
            <v>29768</v>
          </cell>
          <cell r="GN1304">
            <v>0.1</v>
          </cell>
          <cell r="GO1304">
            <v>0</v>
          </cell>
          <cell r="GP1304">
            <v>0.09</v>
          </cell>
          <cell r="GQ1304">
            <v>9.8103837039618345</v>
          </cell>
          <cell r="GR1304">
            <v>12.242992114416962</v>
          </cell>
          <cell r="GS1304">
            <v>0</v>
          </cell>
          <cell r="GT1304">
            <v>0</v>
          </cell>
          <cell r="GU1304">
            <v>0</v>
          </cell>
          <cell r="GV1304">
            <v>0</v>
          </cell>
          <cell r="GW1304">
            <v>359152</v>
          </cell>
          <cell r="GX1304">
            <v>303124.13458846638</v>
          </cell>
          <cell r="GY1304">
            <v>104260.72222840275</v>
          </cell>
          <cell r="GZ1304">
            <v>170849.93083178086</v>
          </cell>
          <cell r="HA1304">
            <v>0</v>
          </cell>
          <cell r="HB1304">
            <v>0</v>
          </cell>
          <cell r="HC1304">
            <v>0</v>
          </cell>
          <cell r="HD1304">
            <v>0</v>
          </cell>
          <cell r="HE1304">
            <v>0</v>
          </cell>
          <cell r="HF1304">
            <v>0</v>
          </cell>
          <cell r="HG1304">
            <v>359152</v>
          </cell>
          <cell r="HI1304">
            <v>0.1</v>
          </cell>
          <cell r="HJ1304">
            <v>0</v>
          </cell>
          <cell r="HK1304">
            <v>0.09</v>
          </cell>
          <cell r="HL1304">
            <v>9.8103837039618345</v>
          </cell>
          <cell r="HM1304">
            <v>12.242992114416962</v>
          </cell>
          <cell r="HN1304">
            <v>0</v>
          </cell>
          <cell r="HO1304">
            <v>0</v>
          </cell>
          <cell r="HP1304">
            <v>0</v>
          </cell>
          <cell r="HQ1304">
            <v>0</v>
          </cell>
          <cell r="HR1304">
            <v>765358</v>
          </cell>
          <cell r="HS1304">
            <v>819609.15088880784</v>
          </cell>
          <cell r="HT1304">
            <v>68886.92871348378</v>
          </cell>
          <cell r="HU1304">
            <v>159550</v>
          </cell>
          <cell r="HV1304">
            <v>0</v>
          </cell>
          <cell r="HW1304">
            <v>0</v>
          </cell>
          <cell r="HX1304">
            <v>0</v>
          </cell>
          <cell r="HY1304">
            <v>0</v>
          </cell>
          <cell r="HZ1304">
            <v>0</v>
          </cell>
          <cell r="IA1304">
            <v>0</v>
          </cell>
          <cell r="IB1304">
            <v>765358</v>
          </cell>
        </row>
        <row r="1305">
          <cell r="C1305" t="str">
            <v>A0143</v>
          </cell>
          <cell r="D1305" t="str">
            <v>PT Swadharma Bhakti Sedaya Finance</v>
          </cell>
          <cell r="E1305" t="str">
            <v>PEB 2</v>
          </cell>
          <cell r="F1305" t="str">
            <v>109PEB 2</v>
          </cell>
          <cell r="G1305">
            <v>0.1</v>
          </cell>
          <cell r="I1305">
            <v>0.09</v>
          </cell>
          <cell r="J1305">
            <v>9.8103837039618345</v>
          </cell>
          <cell r="K1305">
            <v>12.242992114416962</v>
          </cell>
          <cell r="P1305">
            <v>86609</v>
          </cell>
          <cell r="Q1305">
            <v>302327.72032472753</v>
          </cell>
          <cell r="R1305">
            <v>17980.620864950411</v>
          </cell>
          <cell r="S1305">
            <v>26515.5</v>
          </cell>
          <cell r="U1305">
            <v>0</v>
          </cell>
          <cell r="W1305">
            <v>-35248</v>
          </cell>
          <cell r="X1305">
            <v>-3673</v>
          </cell>
          <cell r="Y1305">
            <v>281</v>
          </cell>
          <cell r="Z1305">
            <v>47688</v>
          </cell>
        </row>
        <row r="1306">
          <cell r="C1306" t="str">
            <v>A0143</v>
          </cell>
          <cell r="D1306" t="str">
            <v>PT Swadharma Bhakti Sedaya Finance</v>
          </cell>
          <cell r="E1306" t="str">
            <v>PEB 3</v>
          </cell>
          <cell r="F1306" t="str">
            <v>109PEB 3</v>
          </cell>
          <cell r="G1306">
            <v>0.1</v>
          </cell>
          <cell r="I1306">
            <v>0.09</v>
          </cell>
          <cell r="J1306">
            <v>7.6516171481057818</v>
          </cell>
          <cell r="K1306">
            <v>8.0876760166767756</v>
          </cell>
          <cell r="P1306">
            <v>485827</v>
          </cell>
          <cell r="Q1306">
            <v>274837.404840381</v>
          </cell>
          <cell r="R1306">
            <v>13981.670871627757</v>
          </cell>
          <cell r="S1306">
            <v>39261.194940000001</v>
          </cell>
          <cell r="U1306">
            <v>0</v>
          </cell>
          <cell r="W1306">
            <v>-274286</v>
          </cell>
          <cell r="X1306">
            <v>-53021</v>
          </cell>
          <cell r="Y1306">
            <v>4557</v>
          </cell>
          <cell r="Z1306">
            <v>158520</v>
          </cell>
        </row>
        <row r="1307">
          <cell r="C1307" t="str">
            <v>A0143</v>
          </cell>
          <cell r="D1307" t="str">
            <v>PT Swadharma Bhakti Sedaya Finance</v>
          </cell>
          <cell r="E1307" t="str">
            <v>PEB 4</v>
          </cell>
          <cell r="F1307" t="str">
            <v>109PEB 4</v>
          </cell>
          <cell r="G1307">
            <v>0.1</v>
          </cell>
          <cell r="I1307">
            <v>0.09</v>
          </cell>
          <cell r="J1307">
            <v>10.414409245641451</v>
          </cell>
          <cell r="K1307">
            <v>15.380679780057516</v>
          </cell>
          <cell r="P1307">
            <v>238082</v>
          </cell>
          <cell r="Q1307">
            <v>106907.57101343735</v>
          </cell>
          <cell r="R1307">
            <v>11034.798788375372</v>
          </cell>
          <cell r="S1307">
            <v>67153.387298617279</v>
          </cell>
          <cell r="U1307">
            <v>0</v>
          </cell>
          <cell r="W1307">
            <v>-77960</v>
          </cell>
          <cell r="X1307">
            <v>-49949</v>
          </cell>
          <cell r="Y1307">
            <v>2877</v>
          </cell>
          <cell r="Z1307">
            <v>110173</v>
          </cell>
        </row>
        <row r="1308">
          <cell r="C1308" t="str">
            <v>A0143</v>
          </cell>
          <cell r="D1308" t="str">
            <v>PT Swadharma Bhakti Sedaya Finance</v>
          </cell>
          <cell r="E1308" t="str">
            <v>PEB 5</v>
          </cell>
          <cell r="F1308" t="str">
            <v>109PEB 5</v>
          </cell>
          <cell r="K1308" t="str">
            <v xml:space="preserve"> </v>
          </cell>
          <cell r="P1308">
            <v>0</v>
          </cell>
          <cell r="U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</row>
        <row r="1309">
          <cell r="C1309" t="str">
            <v>A0143</v>
          </cell>
          <cell r="D1309" t="str">
            <v>PT Swadharma Bhakti Sedaya Finance</v>
          </cell>
          <cell r="E1309" t="str">
            <v>PEB 6</v>
          </cell>
          <cell r="F1309" t="str">
            <v>109PEB 6</v>
          </cell>
          <cell r="P1309">
            <v>0</v>
          </cell>
          <cell r="U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</row>
        <row r="1310">
          <cell r="C1310" t="str">
            <v>A0143</v>
          </cell>
          <cell r="D1310" t="str">
            <v>PT Swadharma Bhakti Sedaya Finance</v>
          </cell>
          <cell r="E1310" t="str">
            <v>PEB 7</v>
          </cell>
          <cell r="F1310" t="str">
            <v>109PEB 7</v>
          </cell>
          <cell r="G1310">
            <v>0.1</v>
          </cell>
          <cell r="I1310">
            <v>0.09</v>
          </cell>
          <cell r="J1310">
            <v>9.8103837039618345</v>
          </cell>
          <cell r="K1310">
            <v>12.242992114416962</v>
          </cell>
          <cell r="P1310">
            <v>153475</v>
          </cell>
          <cell r="Q1310">
            <v>96230.55714609132</v>
          </cell>
          <cell r="R1310">
            <v>6292.1000521413143</v>
          </cell>
          <cell r="S1310">
            <v>12315.633271746332</v>
          </cell>
          <cell r="U1310">
            <v>0</v>
          </cell>
          <cell r="W1310">
            <v>-152365</v>
          </cell>
          <cell r="X1310">
            <v>0</v>
          </cell>
          <cell r="Y1310">
            <v>0</v>
          </cell>
          <cell r="Z1310">
            <v>1110</v>
          </cell>
        </row>
        <row r="1311">
          <cell r="C1311" t="str">
            <v>A0143</v>
          </cell>
          <cell r="D1311" t="str">
            <v>PT Swadharma Bhakti Sedaya Finance</v>
          </cell>
          <cell r="E1311" t="str">
            <v>MPP</v>
          </cell>
          <cell r="F1311" t="str">
            <v>109MPP</v>
          </cell>
          <cell r="K1311" t="str">
            <v xml:space="preserve"> </v>
          </cell>
          <cell r="P1311">
            <v>0</v>
          </cell>
          <cell r="U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</row>
        <row r="1312">
          <cell r="C1312" t="str">
            <v>A0143</v>
          </cell>
          <cell r="D1312" t="str">
            <v>PT Swadharma Bhakti Sedaya Finance</v>
          </cell>
          <cell r="E1312" t="str">
            <v>ID</v>
          </cell>
          <cell r="F1312" t="str">
            <v>109ID</v>
          </cell>
          <cell r="G1312">
            <v>0.1</v>
          </cell>
          <cell r="I1312">
            <v>0.09</v>
          </cell>
          <cell r="J1312">
            <v>9.8103837039618345</v>
          </cell>
          <cell r="K1312">
            <v>12.242992114416962</v>
          </cell>
          <cell r="P1312">
            <v>29768</v>
          </cell>
          <cell r="Q1312">
            <v>343800.04277151532</v>
          </cell>
          <cell r="R1312">
            <v>20557.389313904961</v>
          </cell>
          <cell r="S1312">
            <v>30075.456353040474</v>
          </cell>
          <cell r="U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29768</v>
          </cell>
        </row>
        <row r="1313">
          <cell r="C1313" t="str">
            <v>A0143</v>
          </cell>
          <cell r="D1313" t="str">
            <v>PT Swadharma Bhakti Sedaya Finance</v>
          </cell>
          <cell r="E1313" t="str">
            <v>LL</v>
          </cell>
          <cell r="F1313" t="str">
            <v>109LL</v>
          </cell>
          <cell r="G1313">
            <v>0.1</v>
          </cell>
          <cell r="I1313">
            <v>0.09</v>
          </cell>
          <cell r="J1313">
            <v>9.8103837039618345</v>
          </cell>
          <cell r="K1313">
            <v>12.242992114416962</v>
          </cell>
          <cell r="P1313">
            <v>359152</v>
          </cell>
          <cell r="Q1313">
            <v>303124.13458846638</v>
          </cell>
          <cell r="R1313">
            <v>104260.72222840275</v>
          </cell>
          <cell r="S1313">
            <v>170849.93083178086</v>
          </cell>
          <cell r="U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359152</v>
          </cell>
        </row>
        <row r="1314">
          <cell r="C1314" t="str">
            <v>A0143</v>
          </cell>
          <cell r="D1314" t="str">
            <v>PT Swadharma Bhakti Sedaya Finance</v>
          </cell>
          <cell r="E1314" t="str">
            <v>PMK</v>
          </cell>
          <cell r="F1314" t="str">
            <v>109PMK</v>
          </cell>
          <cell r="G1314">
            <v>0.1</v>
          </cell>
          <cell r="I1314">
            <v>0.09</v>
          </cell>
          <cell r="J1314">
            <v>9.8103837039618345</v>
          </cell>
          <cell r="K1314">
            <v>12.242992114416962</v>
          </cell>
          <cell r="P1314">
            <v>765358</v>
          </cell>
          <cell r="Q1314">
            <v>819609.15088880784</v>
          </cell>
          <cell r="R1314">
            <v>68886.92871348378</v>
          </cell>
          <cell r="S1314">
            <v>159550</v>
          </cell>
          <cell r="U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765358</v>
          </cell>
        </row>
        <row r="1316">
          <cell r="C1316" t="str">
            <v>A0452</v>
          </cell>
          <cell r="D1316" t="str">
            <v>PT Telen Orbit Prima</v>
          </cell>
          <cell r="E1316" t="str">
            <v>PEB 1</v>
          </cell>
          <cell r="F1316" t="str">
            <v>110PEB 1</v>
          </cell>
          <cell r="G1316">
            <v>0.1</v>
          </cell>
          <cell r="H1316">
            <v>0.1</v>
          </cell>
          <cell r="I1316">
            <v>0.09</v>
          </cell>
          <cell r="J1316">
            <v>5.9082910434768712</v>
          </cell>
          <cell r="K1316">
            <v>6.7950336745373132</v>
          </cell>
          <cell r="L1316">
            <v>265186</v>
          </cell>
          <cell r="N1316">
            <v>349528.53879999998</v>
          </cell>
          <cell r="O1316">
            <v>43125.135999999999</v>
          </cell>
          <cell r="P1316">
            <v>2552956</v>
          </cell>
          <cell r="Q1316">
            <v>3730560.1121126213</v>
          </cell>
          <cell r="R1316">
            <v>145564.41941178287</v>
          </cell>
          <cell r="S1316">
            <v>1261074.4900838302</v>
          </cell>
          <cell r="U1316">
            <v>-1776675</v>
          </cell>
          <cell r="V1316">
            <v>3339521.9916000003</v>
          </cell>
          <cell r="W1316">
            <v>-1140658</v>
          </cell>
          <cell r="X1316">
            <v>0</v>
          </cell>
          <cell r="Y1316">
            <v>0</v>
          </cell>
          <cell r="Z1316">
            <v>0</v>
          </cell>
          <cell r="AB1316">
            <v>0.1</v>
          </cell>
          <cell r="AC1316">
            <v>0</v>
          </cell>
          <cell r="AD1316">
            <v>0.09</v>
          </cell>
          <cell r="AE1316">
            <v>9.9162131481218623</v>
          </cell>
          <cell r="AF1316">
            <v>12.992591980133803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1504832</v>
          </cell>
          <cell r="AL1316">
            <v>1686756.432558327</v>
          </cell>
          <cell r="AM1316">
            <v>94786.621920360281</v>
          </cell>
          <cell r="AN1316">
            <v>456568.73600000003</v>
          </cell>
          <cell r="AO1316">
            <v>0</v>
          </cell>
          <cell r="AP1316">
            <v>0</v>
          </cell>
          <cell r="AQ1316">
            <v>0</v>
          </cell>
          <cell r="AR1316">
            <v>-437702</v>
          </cell>
          <cell r="AS1316">
            <v>0</v>
          </cell>
          <cell r="AT1316">
            <v>0</v>
          </cell>
          <cell r="AU1316">
            <v>1067130</v>
          </cell>
          <cell r="AW1316">
            <v>0.1</v>
          </cell>
          <cell r="AX1316">
            <v>0</v>
          </cell>
          <cell r="AY1316">
            <v>0.09</v>
          </cell>
          <cell r="AZ1316">
            <v>5.9082910434768712</v>
          </cell>
          <cell r="BA1316">
            <v>6.7950336745373132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192040</v>
          </cell>
          <cell r="BG1316">
            <v>98780.271399153062</v>
          </cell>
          <cell r="BH1316">
            <v>5248.0582491129862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-183771</v>
          </cell>
          <cell r="BN1316">
            <v>0</v>
          </cell>
          <cell r="BO1316">
            <v>0</v>
          </cell>
          <cell r="BP1316">
            <v>8269</v>
          </cell>
          <cell r="BR1316">
            <v>0.1</v>
          </cell>
          <cell r="BS1316">
            <v>0</v>
          </cell>
          <cell r="BT1316">
            <v>0.09</v>
          </cell>
          <cell r="BU1316">
            <v>10.354573666796256</v>
          </cell>
          <cell r="BV1316">
            <v>16.091371132932046</v>
          </cell>
          <cell r="BW1316">
            <v>0</v>
          </cell>
          <cell r="BX1316">
            <v>0</v>
          </cell>
          <cell r="BY1316">
            <v>0</v>
          </cell>
          <cell r="BZ1316">
            <v>0</v>
          </cell>
          <cell r="CA1316">
            <v>658919</v>
          </cell>
          <cell r="CB1316">
            <v>724748.59152363415</v>
          </cell>
          <cell r="CC1316">
            <v>104089.8327083422</v>
          </cell>
          <cell r="CD1316">
            <v>4647.6596539492193</v>
          </cell>
          <cell r="CE1316">
            <v>0</v>
          </cell>
          <cell r="CF1316">
            <v>0</v>
          </cell>
          <cell r="CG1316">
            <v>0</v>
          </cell>
          <cell r="CH1316">
            <v>-220050</v>
          </cell>
          <cell r="CI1316">
            <v>0</v>
          </cell>
          <cell r="CJ1316">
            <v>0</v>
          </cell>
          <cell r="CK1316">
            <v>438869</v>
          </cell>
          <cell r="CM1316">
            <v>0</v>
          </cell>
          <cell r="CN1316">
            <v>0</v>
          </cell>
          <cell r="CO1316">
            <v>0</v>
          </cell>
          <cell r="CP1316">
            <v>0</v>
          </cell>
          <cell r="CQ1316">
            <v>0</v>
          </cell>
          <cell r="CR1316">
            <v>0</v>
          </cell>
          <cell r="CS1316">
            <v>0</v>
          </cell>
          <cell r="CT1316">
            <v>0</v>
          </cell>
          <cell r="CU1316">
            <v>0</v>
          </cell>
          <cell r="CV1316">
            <v>0</v>
          </cell>
          <cell r="CW1316">
            <v>0</v>
          </cell>
          <cell r="CX1316">
            <v>0</v>
          </cell>
          <cell r="CY1316">
            <v>0</v>
          </cell>
          <cell r="CZ1316">
            <v>0</v>
          </cell>
          <cell r="DA1316">
            <v>0</v>
          </cell>
          <cell r="DB1316">
            <v>0</v>
          </cell>
          <cell r="DC1316">
            <v>0</v>
          </cell>
          <cell r="DD1316">
            <v>0</v>
          </cell>
          <cell r="DE1316">
            <v>0</v>
          </cell>
          <cell r="DF1316">
            <v>0</v>
          </cell>
          <cell r="DH1316">
            <v>0.1</v>
          </cell>
          <cell r="DI1316">
            <v>0</v>
          </cell>
          <cell r="DJ1316">
            <v>0.09</v>
          </cell>
          <cell r="DK1316">
            <v>9.9162131481218623</v>
          </cell>
          <cell r="DL1316">
            <v>0</v>
          </cell>
          <cell r="DM1316">
            <v>0</v>
          </cell>
          <cell r="DN1316">
            <v>0</v>
          </cell>
          <cell r="DO1316">
            <v>0</v>
          </cell>
          <cell r="DP1316">
            <v>0</v>
          </cell>
          <cell r="DQ1316">
            <v>106917</v>
          </cell>
          <cell r="DR1316">
            <v>273631.72238648293</v>
          </cell>
          <cell r="DS1316">
            <v>22159.594369427461</v>
          </cell>
          <cell r="DT1316">
            <v>39754.7745</v>
          </cell>
          <cell r="DU1316">
            <v>0</v>
          </cell>
          <cell r="DV1316">
            <v>0</v>
          </cell>
          <cell r="DW1316">
            <v>0</v>
          </cell>
          <cell r="DX1316">
            <v>-24728</v>
          </cell>
          <cell r="DY1316">
            <v>0</v>
          </cell>
          <cell r="DZ1316">
            <v>0</v>
          </cell>
          <cell r="EA1316">
            <v>82189</v>
          </cell>
          <cell r="EC1316">
            <v>0.1</v>
          </cell>
          <cell r="ED1316">
            <v>0</v>
          </cell>
          <cell r="EE1316">
            <v>0.09</v>
          </cell>
          <cell r="EF1316">
            <v>9.9162131481218623</v>
          </cell>
          <cell r="EG1316">
            <v>12.992591980133803</v>
          </cell>
          <cell r="EH1316">
            <v>0</v>
          </cell>
          <cell r="EI1316">
            <v>0</v>
          </cell>
          <cell r="EJ1316">
            <v>0</v>
          </cell>
          <cell r="EK1316">
            <v>0</v>
          </cell>
          <cell r="EL1316">
            <v>84728</v>
          </cell>
          <cell r="EM1316">
            <v>57543.519800452392</v>
          </cell>
          <cell r="EN1316">
            <v>5927.9713492810924</v>
          </cell>
          <cell r="EO1316">
            <v>8037.8656756638138</v>
          </cell>
          <cell r="EP1316">
            <v>0</v>
          </cell>
          <cell r="EQ1316">
            <v>0</v>
          </cell>
          <cell r="ER1316">
            <v>0</v>
          </cell>
          <cell r="ES1316">
            <v>-64235</v>
          </cell>
          <cell r="ET1316">
            <v>0</v>
          </cell>
          <cell r="EU1316">
            <v>0</v>
          </cell>
          <cell r="EV1316">
            <v>20493</v>
          </cell>
          <cell r="EX1316">
            <v>0.1</v>
          </cell>
          <cell r="EY1316">
            <v>0</v>
          </cell>
          <cell r="EZ1316">
            <v>0.09</v>
          </cell>
          <cell r="FA1316">
            <v>9.9162131481218623</v>
          </cell>
          <cell r="FB1316">
            <v>12.992591980133803</v>
          </cell>
          <cell r="FC1316">
            <v>0</v>
          </cell>
          <cell r="FD1316">
            <v>0</v>
          </cell>
          <cell r="FE1316">
            <v>0</v>
          </cell>
          <cell r="FF1316">
            <v>0</v>
          </cell>
          <cell r="FG1316">
            <v>0</v>
          </cell>
          <cell r="FH1316">
            <v>413522.74476231466</v>
          </cell>
          <cell r="FI1316">
            <v>27564.857540767585</v>
          </cell>
          <cell r="FJ1316">
            <v>85606.638000000021</v>
          </cell>
          <cell r="FK1316">
            <v>0</v>
          </cell>
          <cell r="FL1316">
            <v>0</v>
          </cell>
          <cell r="FM1316">
            <v>0</v>
          </cell>
          <cell r="FN1316">
            <v>0</v>
          </cell>
          <cell r="FO1316">
            <v>0</v>
          </cell>
          <cell r="FP1316">
            <v>0</v>
          </cell>
          <cell r="FQ1316">
            <v>0</v>
          </cell>
          <cell r="FS1316">
            <v>0.1</v>
          </cell>
          <cell r="FT1316">
            <v>0</v>
          </cell>
          <cell r="FU1316">
            <v>0.09</v>
          </cell>
          <cell r="FV1316">
            <v>9.9162131481218623</v>
          </cell>
          <cell r="FW1316">
            <v>12.992591980133803</v>
          </cell>
          <cell r="FX1316">
            <v>0</v>
          </cell>
          <cell r="FY1316">
            <v>0</v>
          </cell>
          <cell r="FZ1316">
            <v>0</v>
          </cell>
          <cell r="GA1316">
            <v>0</v>
          </cell>
          <cell r="GB1316">
            <v>32885</v>
          </cell>
          <cell r="GC1316">
            <v>218413.67644809742</v>
          </cell>
          <cell r="GD1316">
            <v>20162.353233771286</v>
          </cell>
          <cell r="GE1316">
            <v>26165.605300513067</v>
          </cell>
          <cell r="GF1316">
            <v>0</v>
          </cell>
          <cell r="GG1316">
            <v>0</v>
          </cell>
          <cell r="GH1316">
            <v>0</v>
          </cell>
          <cell r="GI1316">
            <v>0</v>
          </cell>
          <cell r="GJ1316">
            <v>0</v>
          </cell>
          <cell r="GK1316">
            <v>0</v>
          </cell>
          <cell r="GL1316">
            <v>32885</v>
          </cell>
          <cell r="GN1316">
            <v>0.1</v>
          </cell>
          <cell r="GO1316">
            <v>0</v>
          </cell>
          <cell r="GP1316">
            <v>0.09</v>
          </cell>
          <cell r="GQ1316">
            <v>9.9162131481218623</v>
          </cell>
          <cell r="GR1316">
            <v>12.992591980133803</v>
          </cell>
          <cell r="GS1316">
            <v>0</v>
          </cell>
          <cell r="GT1316">
            <v>0</v>
          </cell>
          <cell r="GU1316">
            <v>0</v>
          </cell>
          <cell r="GV1316">
            <v>0</v>
          </cell>
          <cell r="GW1316">
            <v>202033</v>
          </cell>
          <cell r="GX1316">
            <v>227929</v>
          </cell>
          <cell r="GY1316">
            <v>95282</v>
          </cell>
          <cell r="GZ1316">
            <v>49552.855164717374</v>
          </cell>
          <cell r="HA1316">
            <v>0</v>
          </cell>
          <cell r="HB1316">
            <v>0</v>
          </cell>
          <cell r="HC1316">
            <v>0</v>
          </cell>
          <cell r="HD1316">
            <v>0</v>
          </cell>
          <cell r="HE1316">
            <v>0</v>
          </cell>
          <cell r="HF1316">
            <v>0</v>
          </cell>
          <cell r="HG1316">
            <v>202033</v>
          </cell>
          <cell r="HI1316">
            <v>0.1</v>
          </cell>
          <cell r="HJ1316">
            <v>0</v>
          </cell>
          <cell r="HK1316">
            <v>0.09</v>
          </cell>
          <cell r="HL1316">
            <v>9.9162131481218623</v>
          </cell>
          <cell r="HM1316">
            <v>12.992591980133803</v>
          </cell>
          <cell r="HN1316">
            <v>0</v>
          </cell>
          <cell r="HO1316">
            <v>0</v>
          </cell>
          <cell r="HP1316">
            <v>0</v>
          </cell>
          <cell r="HQ1316">
            <v>0</v>
          </cell>
          <cell r="HR1316">
            <v>44586</v>
          </cell>
          <cell r="HS1316">
            <v>56397.63315045034</v>
          </cell>
          <cell r="HT1316">
            <v>9645.3781326604712</v>
          </cell>
          <cell r="HU1316">
            <v>15779.916999999999</v>
          </cell>
          <cell r="HV1316">
            <v>0</v>
          </cell>
          <cell r="HW1316">
            <v>0</v>
          </cell>
          <cell r="HX1316">
            <v>0</v>
          </cell>
          <cell r="HY1316">
            <v>0</v>
          </cell>
          <cell r="HZ1316">
            <v>0</v>
          </cell>
          <cell r="IA1316">
            <v>0</v>
          </cell>
          <cell r="IB1316">
            <v>44586</v>
          </cell>
        </row>
        <row r="1317">
          <cell r="C1317" t="str">
            <v>A0452</v>
          </cell>
          <cell r="D1317" t="str">
            <v>PT Telen Orbit Prima</v>
          </cell>
          <cell r="E1317" t="str">
            <v>PEB 2</v>
          </cell>
          <cell r="F1317" t="str">
            <v>110PEB 2</v>
          </cell>
          <cell r="G1317">
            <v>0.1</v>
          </cell>
          <cell r="I1317">
            <v>0.09</v>
          </cell>
          <cell r="J1317">
            <v>9.9162131481218623</v>
          </cell>
          <cell r="K1317">
            <v>12.992591980133803</v>
          </cell>
          <cell r="P1317">
            <v>1504832</v>
          </cell>
          <cell r="Q1317">
            <v>1686756.432558327</v>
          </cell>
          <cell r="R1317">
            <v>94786.621920360281</v>
          </cell>
          <cell r="S1317">
            <v>456568.73600000003</v>
          </cell>
          <cell r="U1317">
            <v>0</v>
          </cell>
          <cell r="W1317">
            <v>-437702</v>
          </cell>
          <cell r="X1317">
            <v>0</v>
          </cell>
          <cell r="Y1317">
            <v>0</v>
          </cell>
          <cell r="Z1317">
            <v>1067130</v>
          </cell>
        </row>
        <row r="1318">
          <cell r="C1318" t="str">
            <v>A0452</v>
          </cell>
          <cell r="D1318" t="str">
            <v>PT Telen Orbit Prima</v>
          </cell>
          <cell r="E1318" t="str">
            <v>PEB 3</v>
          </cell>
          <cell r="F1318" t="str">
            <v>110PEB 3</v>
          </cell>
          <cell r="G1318">
            <v>0.1</v>
          </cell>
          <cell r="I1318">
            <v>0.09</v>
          </cell>
          <cell r="J1318">
            <v>5.9082910434768712</v>
          </cell>
          <cell r="K1318">
            <v>6.7950336745373132</v>
          </cell>
          <cell r="P1318">
            <v>192040</v>
          </cell>
          <cell r="Q1318">
            <v>98780.271399153062</v>
          </cell>
          <cell r="R1318">
            <v>5248.0582491129862</v>
          </cell>
          <cell r="S1318">
            <v>0</v>
          </cell>
          <cell r="U1318">
            <v>0</v>
          </cell>
          <cell r="W1318">
            <v>-183771</v>
          </cell>
          <cell r="X1318">
            <v>0</v>
          </cell>
          <cell r="Y1318">
            <v>0</v>
          </cell>
          <cell r="Z1318">
            <v>8269</v>
          </cell>
        </row>
        <row r="1319">
          <cell r="C1319" t="str">
            <v>A0452</v>
          </cell>
          <cell r="D1319" t="str">
            <v>PT Telen Orbit Prima</v>
          </cell>
          <cell r="E1319" t="str">
            <v>PEB 4</v>
          </cell>
          <cell r="F1319" t="str">
            <v>110PEB 4</v>
          </cell>
          <cell r="G1319">
            <v>0.1</v>
          </cell>
          <cell r="I1319">
            <v>0.09</v>
          </cell>
          <cell r="J1319">
            <v>10.354573666796256</v>
          </cell>
          <cell r="K1319">
            <v>16.091371132932046</v>
          </cell>
          <cell r="P1319">
            <v>658919</v>
          </cell>
          <cell r="Q1319">
            <v>724748.59152363415</v>
          </cell>
          <cell r="R1319">
            <v>104089.8327083422</v>
          </cell>
          <cell r="S1319">
            <v>4647.6596539492193</v>
          </cell>
          <cell r="U1319">
            <v>0</v>
          </cell>
          <cell r="W1319">
            <v>-220050</v>
          </cell>
          <cell r="X1319">
            <v>0</v>
          </cell>
          <cell r="Y1319">
            <v>0</v>
          </cell>
          <cell r="Z1319">
            <v>438869</v>
          </cell>
        </row>
        <row r="1320">
          <cell r="C1320" t="str">
            <v>A0452</v>
          </cell>
          <cell r="D1320" t="str">
            <v>PT Telen Orbit Prima</v>
          </cell>
          <cell r="E1320" t="str">
            <v>PEB 5</v>
          </cell>
          <cell r="F1320" t="str">
            <v>110PEB 5</v>
          </cell>
          <cell r="P1320">
            <v>0</v>
          </cell>
          <cell r="U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</row>
        <row r="1321">
          <cell r="C1321" t="str">
            <v>A0452</v>
          </cell>
          <cell r="D1321" t="str">
            <v>PT Telen Orbit Prima</v>
          </cell>
          <cell r="E1321" t="str">
            <v>PEB 6</v>
          </cell>
          <cell r="F1321" t="str">
            <v>110PEB 6</v>
          </cell>
          <cell r="G1321">
            <v>0.1</v>
          </cell>
          <cell r="I1321">
            <v>0.09</v>
          </cell>
          <cell r="J1321">
            <v>9.9162131481218623</v>
          </cell>
          <cell r="P1321">
            <v>106917</v>
          </cell>
          <cell r="Q1321">
            <v>273631.72238648293</v>
          </cell>
          <cell r="R1321">
            <v>22159.594369427461</v>
          </cell>
          <cell r="S1321">
            <v>39754.7745</v>
          </cell>
          <cell r="U1321">
            <v>0</v>
          </cell>
          <cell r="W1321">
            <v>-24728</v>
          </cell>
          <cell r="X1321">
            <v>0</v>
          </cell>
          <cell r="Y1321">
            <v>0</v>
          </cell>
          <cell r="Z1321">
            <v>82189</v>
          </cell>
        </row>
        <row r="1322">
          <cell r="C1322" t="str">
            <v>A0452</v>
          </cell>
          <cell r="D1322" t="str">
            <v>PT Telen Orbit Prima</v>
          </cell>
          <cell r="E1322" t="str">
            <v>PEB 7</v>
          </cell>
          <cell r="F1322" t="str">
            <v>110PEB 7</v>
          </cell>
          <cell r="G1322">
            <v>0.1</v>
          </cell>
          <cell r="I1322">
            <v>0.09</v>
          </cell>
          <cell r="J1322">
            <v>9.9162131481218623</v>
          </cell>
          <cell r="K1322">
            <v>12.992591980133803</v>
          </cell>
          <cell r="P1322">
            <v>84728</v>
          </cell>
          <cell r="Q1322">
            <v>57543.519800452392</v>
          </cell>
          <cell r="R1322">
            <v>5927.9713492810924</v>
          </cell>
          <cell r="S1322">
            <v>8037.8656756638138</v>
          </cell>
          <cell r="U1322">
            <v>0</v>
          </cell>
          <cell r="W1322">
            <v>-64235</v>
          </cell>
          <cell r="X1322">
            <v>0</v>
          </cell>
          <cell r="Y1322">
            <v>0</v>
          </cell>
          <cell r="Z1322">
            <v>20493</v>
          </cell>
        </row>
        <row r="1323">
          <cell r="C1323" t="str">
            <v>A0452</v>
          </cell>
          <cell r="D1323" t="str">
            <v>PT Telen Orbit Prima</v>
          </cell>
          <cell r="E1323" t="str">
            <v>MPP</v>
          </cell>
          <cell r="F1323" t="str">
            <v>110MPP</v>
          </cell>
          <cell r="G1323">
            <v>0.1</v>
          </cell>
          <cell r="I1323">
            <v>0.09</v>
          </cell>
          <cell r="J1323">
            <v>9.9162131481218623</v>
          </cell>
          <cell r="K1323">
            <v>12.992591980133803</v>
          </cell>
          <cell r="P1323">
            <v>0</v>
          </cell>
          <cell r="Q1323">
            <v>413522.74476231466</v>
          </cell>
          <cell r="R1323">
            <v>27564.857540767585</v>
          </cell>
          <cell r="S1323">
            <v>85606.638000000021</v>
          </cell>
          <cell r="U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</row>
        <row r="1324">
          <cell r="C1324" t="str">
            <v>A0452</v>
          </cell>
          <cell r="D1324" t="str">
            <v>PT Telen Orbit Prima</v>
          </cell>
          <cell r="E1324" t="str">
            <v>ID</v>
          </cell>
          <cell r="F1324" t="str">
            <v>110ID</v>
          </cell>
          <cell r="G1324">
            <v>0.1</v>
          </cell>
          <cell r="I1324">
            <v>0.09</v>
          </cell>
          <cell r="J1324">
            <v>9.9162131481218623</v>
          </cell>
          <cell r="K1324">
            <v>12.992591980133803</v>
          </cell>
          <cell r="P1324">
            <v>32885</v>
          </cell>
          <cell r="Q1324">
            <v>218413.67644809742</v>
          </cell>
          <cell r="R1324">
            <v>20162.353233771286</v>
          </cell>
          <cell r="S1324">
            <v>26165.605300513067</v>
          </cell>
          <cell r="U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32885</v>
          </cell>
        </row>
        <row r="1325">
          <cell r="C1325" t="str">
            <v>A0452</v>
          </cell>
          <cell r="D1325" t="str">
            <v>PT Telen Orbit Prima</v>
          </cell>
          <cell r="E1325" t="str">
            <v>LL</v>
          </cell>
          <cell r="F1325" t="str">
            <v>110LL</v>
          </cell>
          <cell r="G1325">
            <v>0.1</v>
          </cell>
          <cell r="I1325">
            <v>0.09</v>
          </cell>
          <cell r="J1325">
            <v>9.9162131481218623</v>
          </cell>
          <cell r="K1325">
            <v>12.992591980133803</v>
          </cell>
          <cell r="P1325">
            <v>202033</v>
          </cell>
          <cell r="Q1325">
            <v>227929</v>
          </cell>
          <cell r="R1325">
            <v>95282</v>
          </cell>
          <cell r="S1325">
            <v>49552.855164717374</v>
          </cell>
          <cell r="U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202033</v>
          </cell>
        </row>
        <row r="1326">
          <cell r="C1326" t="str">
            <v>A0452</v>
          </cell>
          <cell r="D1326" t="str">
            <v>PT Telen Orbit Prima</v>
          </cell>
          <cell r="E1326" t="str">
            <v>PMK</v>
          </cell>
          <cell r="F1326" t="str">
            <v>110PMK</v>
          </cell>
          <cell r="G1326">
            <v>0.1</v>
          </cell>
          <cell r="I1326">
            <v>0.09</v>
          </cell>
          <cell r="J1326">
            <v>9.9162131481218623</v>
          </cell>
          <cell r="K1326">
            <v>12.992591980133803</v>
          </cell>
          <cell r="P1326">
            <v>44586</v>
          </cell>
          <cell r="Q1326">
            <v>56397.63315045034</v>
          </cell>
          <cell r="R1326">
            <v>9645.3781326604712</v>
          </cell>
          <cell r="S1326">
            <v>15779.916999999999</v>
          </cell>
          <cell r="U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44586</v>
          </cell>
        </row>
        <row r="1328">
          <cell r="C1328" t="str">
            <v>A0146</v>
          </cell>
          <cell r="D1328" t="str">
            <v>PT Tjahja Sakti Motor</v>
          </cell>
          <cell r="E1328" t="str">
            <v>PEB 1</v>
          </cell>
          <cell r="F1328" t="str">
            <v>111PEB 1</v>
          </cell>
          <cell r="G1328">
            <v>0.1</v>
          </cell>
          <cell r="H1328">
            <v>0.1</v>
          </cell>
          <cell r="I1328">
            <v>0.09</v>
          </cell>
          <cell r="J1328">
            <v>6.4172057882247309</v>
          </cell>
          <cell r="K1328">
            <v>5.5419307640072235</v>
          </cell>
          <cell r="L1328">
            <v>15357</v>
          </cell>
          <cell r="N1328">
            <v>651450.07120000001</v>
          </cell>
          <cell r="O1328">
            <v>86525.127999999997</v>
          </cell>
          <cell r="P1328">
            <v>7718721</v>
          </cell>
          <cell r="Q1328">
            <v>8106888.5518399626</v>
          </cell>
          <cell r="R1328">
            <v>314417.88995640038</v>
          </cell>
          <cell r="S1328">
            <v>1289569.6617600177</v>
          </cell>
          <cell r="U1328">
            <v>-4990249</v>
          </cell>
          <cell r="V1328">
            <v>8263572.3664000006</v>
          </cell>
          <cell r="W1328">
            <v>-2926085</v>
          </cell>
          <cell r="X1328">
            <v>0</v>
          </cell>
          <cell r="Y1328">
            <v>0</v>
          </cell>
          <cell r="Z1328">
            <v>0</v>
          </cell>
          <cell r="AB1328">
            <v>0.1</v>
          </cell>
          <cell r="AC1328">
            <v>0</v>
          </cell>
          <cell r="AD1328">
            <v>0.09</v>
          </cell>
          <cell r="AE1328">
            <v>9.9016482782045667</v>
          </cell>
          <cell r="AF1328">
            <v>13.097380203357689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2190522</v>
          </cell>
          <cell r="AL1328">
            <v>2147865.586748078</v>
          </cell>
          <cell r="AM1328">
            <v>101815.77621372788</v>
          </cell>
          <cell r="AN1328">
            <v>266461.40000000002</v>
          </cell>
          <cell r="AO1328">
            <v>0</v>
          </cell>
          <cell r="AP1328">
            <v>0</v>
          </cell>
          <cell r="AQ1328">
            <v>0</v>
          </cell>
          <cell r="AR1328">
            <v>-386531</v>
          </cell>
          <cell r="AS1328">
            <v>-651314</v>
          </cell>
          <cell r="AT1328">
            <v>46590</v>
          </cell>
          <cell r="AU1328">
            <v>1152677</v>
          </cell>
          <cell r="AW1328">
            <v>0.1</v>
          </cell>
          <cell r="AX1328">
            <v>0</v>
          </cell>
          <cell r="AY1328">
            <v>0.09</v>
          </cell>
          <cell r="AZ1328">
            <v>6.4172057882247309</v>
          </cell>
          <cell r="BA1328">
            <v>5.5419307640072235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183438</v>
          </cell>
          <cell r="BG1328">
            <v>55539.391116769671</v>
          </cell>
          <cell r="BH1328">
            <v>2813.6329393730102</v>
          </cell>
          <cell r="BI1328">
            <v>17047.735160000004</v>
          </cell>
          <cell r="BJ1328">
            <v>0</v>
          </cell>
          <cell r="BK1328">
            <v>0</v>
          </cell>
          <cell r="BL1328">
            <v>0</v>
          </cell>
          <cell r="BM1328">
            <v>115315</v>
          </cell>
          <cell r="BN1328">
            <v>-232782</v>
          </cell>
          <cell r="BO1328">
            <v>27859</v>
          </cell>
          <cell r="BP1328">
            <v>65971</v>
          </cell>
          <cell r="BR1328">
            <v>0.1</v>
          </cell>
          <cell r="BS1328">
            <v>0</v>
          </cell>
          <cell r="BT1328">
            <v>0.09</v>
          </cell>
          <cell r="BU1328">
            <v>10.572616698301406</v>
          </cell>
          <cell r="BV1328">
            <v>16.287458855527891</v>
          </cell>
          <cell r="BW1328">
            <v>0</v>
          </cell>
          <cell r="BX1328">
            <v>0</v>
          </cell>
          <cell r="BY1328">
            <v>0</v>
          </cell>
          <cell r="BZ1328">
            <v>0</v>
          </cell>
          <cell r="CA1328">
            <v>229954</v>
          </cell>
          <cell r="CB1328">
            <v>71619.71503462558</v>
          </cell>
          <cell r="CC1328">
            <v>6895.1198370829152</v>
          </cell>
          <cell r="CD1328">
            <v>110864.79113100105</v>
          </cell>
          <cell r="CE1328">
            <v>0</v>
          </cell>
          <cell r="CF1328">
            <v>0</v>
          </cell>
          <cell r="CG1328">
            <v>0</v>
          </cell>
          <cell r="CH1328">
            <v>-57525</v>
          </cell>
          <cell r="CI1328">
            <v>-60051</v>
          </cell>
          <cell r="CJ1328">
            <v>3239</v>
          </cell>
          <cell r="CK1328">
            <v>112378</v>
          </cell>
          <cell r="CM1328">
            <v>0</v>
          </cell>
          <cell r="CN1328">
            <v>0</v>
          </cell>
          <cell r="CO1328">
            <v>0</v>
          </cell>
          <cell r="CP1328">
            <v>0</v>
          </cell>
          <cell r="CQ1328">
            <v>0</v>
          </cell>
          <cell r="CR1328">
            <v>0</v>
          </cell>
          <cell r="CS1328">
            <v>0</v>
          </cell>
          <cell r="CT1328">
            <v>0</v>
          </cell>
          <cell r="CU1328">
            <v>0</v>
          </cell>
          <cell r="CV1328">
            <v>0</v>
          </cell>
          <cell r="CW1328">
            <v>0</v>
          </cell>
          <cell r="CX1328">
            <v>0</v>
          </cell>
          <cell r="CY1328">
            <v>0</v>
          </cell>
          <cell r="CZ1328">
            <v>0</v>
          </cell>
          <cell r="DA1328">
            <v>0</v>
          </cell>
          <cell r="DB1328">
            <v>0</v>
          </cell>
          <cell r="DC1328">
            <v>0</v>
          </cell>
          <cell r="DD1328">
            <v>0</v>
          </cell>
          <cell r="DE1328">
            <v>0</v>
          </cell>
          <cell r="DF1328">
            <v>0</v>
          </cell>
          <cell r="DH1328">
            <v>0</v>
          </cell>
          <cell r="DI1328">
            <v>0</v>
          </cell>
          <cell r="DJ1328">
            <v>0</v>
          </cell>
          <cell r="DK1328">
            <v>0</v>
          </cell>
          <cell r="DL1328">
            <v>0</v>
          </cell>
          <cell r="DM1328">
            <v>0</v>
          </cell>
          <cell r="DN1328">
            <v>0</v>
          </cell>
          <cell r="DO1328">
            <v>0</v>
          </cell>
          <cell r="DP1328">
            <v>0</v>
          </cell>
          <cell r="DQ1328">
            <v>0</v>
          </cell>
          <cell r="DR1328">
            <v>0</v>
          </cell>
          <cell r="DS1328">
            <v>0</v>
          </cell>
          <cell r="DT1328">
            <v>0</v>
          </cell>
          <cell r="DU1328">
            <v>0</v>
          </cell>
          <cell r="DV1328">
            <v>0</v>
          </cell>
          <cell r="DW1328">
            <v>0</v>
          </cell>
          <cell r="DX1328">
            <v>0</v>
          </cell>
          <cell r="DY1328">
            <v>0</v>
          </cell>
          <cell r="DZ1328">
            <v>0</v>
          </cell>
          <cell r="EA1328">
            <v>0</v>
          </cell>
          <cell r="EC1328">
            <v>0.1</v>
          </cell>
          <cell r="ED1328">
            <v>0</v>
          </cell>
          <cell r="EE1328">
            <v>0.09</v>
          </cell>
          <cell r="EF1328">
            <v>9.9016482782045667</v>
          </cell>
          <cell r="EG1328">
            <v>13.097380203357689</v>
          </cell>
          <cell r="EH1328">
            <v>0</v>
          </cell>
          <cell r="EI1328">
            <v>0</v>
          </cell>
          <cell r="EJ1328">
            <v>0</v>
          </cell>
          <cell r="EK1328">
            <v>0</v>
          </cell>
          <cell r="EL1328">
            <v>115562</v>
          </cell>
          <cell r="EM1328">
            <v>81428.535956325723</v>
          </cell>
          <cell r="EN1328">
            <v>6211.3381107386722</v>
          </cell>
          <cell r="EO1328">
            <v>13976.349185744988</v>
          </cell>
          <cell r="EP1328">
            <v>0</v>
          </cell>
          <cell r="EQ1328">
            <v>0</v>
          </cell>
          <cell r="ER1328">
            <v>0</v>
          </cell>
          <cell r="ES1328">
            <v>-112204</v>
          </cell>
          <cell r="ET1328">
            <v>0</v>
          </cell>
          <cell r="EU1328">
            <v>0</v>
          </cell>
          <cell r="EV1328">
            <v>3358</v>
          </cell>
          <cell r="EX1328">
            <v>0.1</v>
          </cell>
          <cell r="EY1328">
            <v>0</v>
          </cell>
          <cell r="EZ1328">
            <v>0.09</v>
          </cell>
          <cell r="FA1328">
            <v>0</v>
          </cell>
          <cell r="FB1328">
            <v>13.097380203357689</v>
          </cell>
          <cell r="FC1328">
            <v>0</v>
          </cell>
          <cell r="FD1328">
            <v>0</v>
          </cell>
          <cell r="FE1328">
            <v>0</v>
          </cell>
          <cell r="FF1328">
            <v>0</v>
          </cell>
          <cell r="FG1328">
            <v>0</v>
          </cell>
          <cell r="FH1328">
            <v>327865.03339709708</v>
          </cell>
          <cell r="FI1328">
            <v>15650.262255241891</v>
          </cell>
          <cell r="FJ1328">
            <v>43692.105000000003</v>
          </cell>
          <cell r="FK1328">
            <v>0</v>
          </cell>
          <cell r="FL1328">
            <v>0</v>
          </cell>
          <cell r="FM1328">
            <v>0</v>
          </cell>
          <cell r="FN1328">
            <v>0</v>
          </cell>
          <cell r="FO1328">
            <v>0</v>
          </cell>
          <cell r="FP1328">
            <v>0</v>
          </cell>
          <cell r="FQ1328">
            <v>0</v>
          </cell>
          <cell r="FS1328">
            <v>0.1</v>
          </cell>
          <cell r="FT1328">
            <v>0</v>
          </cell>
          <cell r="FU1328">
            <v>0.09</v>
          </cell>
          <cell r="FV1328">
            <v>9.9016482782045667</v>
          </cell>
          <cell r="FW1328">
            <v>13.097380203357689</v>
          </cell>
          <cell r="FX1328">
            <v>0</v>
          </cell>
          <cell r="FY1328">
            <v>0</v>
          </cell>
          <cell r="FZ1328">
            <v>0</v>
          </cell>
          <cell r="GA1328">
            <v>0</v>
          </cell>
          <cell r="GB1328">
            <v>72313</v>
          </cell>
          <cell r="GC1328">
            <v>289781.44801490544</v>
          </cell>
          <cell r="GD1328">
            <v>18908.58276026</v>
          </cell>
          <cell r="GE1328">
            <v>49655.527532392574</v>
          </cell>
          <cell r="GF1328">
            <v>0</v>
          </cell>
          <cell r="GG1328">
            <v>0</v>
          </cell>
          <cell r="GH1328">
            <v>0</v>
          </cell>
          <cell r="GI1328">
            <v>0</v>
          </cell>
          <cell r="GJ1328">
            <v>0</v>
          </cell>
          <cell r="GK1328">
            <v>0</v>
          </cell>
          <cell r="GL1328">
            <v>72313</v>
          </cell>
          <cell r="GN1328">
            <v>0.1</v>
          </cell>
          <cell r="GO1328">
            <v>0</v>
          </cell>
          <cell r="GP1328">
            <v>0.09</v>
          </cell>
          <cell r="GQ1328">
            <v>9.9016482782045667</v>
          </cell>
          <cell r="GR1328">
            <v>13.097380203357689</v>
          </cell>
          <cell r="GS1328">
            <v>0</v>
          </cell>
          <cell r="GT1328">
            <v>0</v>
          </cell>
          <cell r="GU1328">
            <v>0</v>
          </cell>
          <cell r="GV1328">
            <v>0</v>
          </cell>
          <cell r="GW1328">
            <v>503312</v>
          </cell>
          <cell r="GX1328">
            <v>461411.04907687102</v>
          </cell>
          <cell r="GY1328">
            <v>127055.78535729332</v>
          </cell>
          <cell r="GZ1328">
            <v>187238.87129347047</v>
          </cell>
          <cell r="HA1328">
            <v>0</v>
          </cell>
          <cell r="HB1328">
            <v>0</v>
          </cell>
          <cell r="HC1328">
            <v>0</v>
          </cell>
          <cell r="HD1328">
            <v>0</v>
          </cell>
          <cell r="HE1328">
            <v>0</v>
          </cell>
          <cell r="HF1328">
            <v>0</v>
          </cell>
          <cell r="HG1328">
            <v>503312</v>
          </cell>
          <cell r="HI1328">
            <v>0.1</v>
          </cell>
          <cell r="HJ1328">
            <v>0</v>
          </cell>
          <cell r="HK1328">
            <v>0.09</v>
          </cell>
          <cell r="HL1328">
            <v>9.9016482782045667</v>
          </cell>
          <cell r="HM1328">
            <v>13.097380203357689</v>
          </cell>
          <cell r="HN1328">
            <v>0</v>
          </cell>
          <cell r="HO1328">
            <v>0</v>
          </cell>
          <cell r="HP1328">
            <v>0</v>
          </cell>
          <cell r="HQ1328">
            <v>0</v>
          </cell>
          <cell r="HR1328">
            <v>488775</v>
          </cell>
          <cell r="HS1328">
            <v>479818.16592172568</v>
          </cell>
          <cell r="HT1328">
            <v>46028.204950991887</v>
          </cell>
          <cell r="HU1328">
            <v>166472</v>
          </cell>
          <cell r="HV1328">
            <v>0</v>
          </cell>
          <cell r="HW1328">
            <v>0</v>
          </cell>
          <cell r="HX1328">
            <v>0</v>
          </cell>
          <cell r="HY1328">
            <v>0</v>
          </cell>
          <cell r="HZ1328">
            <v>0</v>
          </cell>
          <cell r="IA1328">
            <v>0</v>
          </cell>
          <cell r="IB1328">
            <v>488775</v>
          </cell>
        </row>
        <row r="1329">
          <cell r="C1329" t="str">
            <v>A0146</v>
          </cell>
          <cell r="D1329" t="str">
            <v>PT Tjahja Sakti Motor</v>
          </cell>
          <cell r="E1329" t="str">
            <v>PEB 2</v>
          </cell>
          <cell r="F1329" t="str">
            <v>111PEB 2</v>
          </cell>
          <cell r="G1329">
            <v>0.1</v>
          </cell>
          <cell r="I1329">
            <v>0.09</v>
          </cell>
          <cell r="J1329">
            <v>9.9016482782045667</v>
          </cell>
          <cell r="K1329">
            <v>13.097380203357689</v>
          </cell>
          <cell r="P1329">
            <v>2190522</v>
          </cell>
          <cell r="Q1329">
            <v>2147865.586748078</v>
          </cell>
          <cell r="R1329">
            <v>101815.77621372788</v>
          </cell>
          <cell r="S1329">
            <v>266461.40000000002</v>
          </cell>
          <cell r="U1329">
            <v>0</v>
          </cell>
          <cell r="W1329">
            <v>-386531</v>
          </cell>
          <cell r="X1329">
            <v>-651314</v>
          </cell>
          <cell r="Y1329">
            <v>46590</v>
          </cell>
          <cell r="Z1329">
            <v>1152677</v>
          </cell>
        </row>
        <row r="1330">
          <cell r="C1330" t="str">
            <v>A0146</v>
          </cell>
          <cell r="D1330" t="str">
            <v>PT Tjahja Sakti Motor</v>
          </cell>
          <cell r="E1330" t="str">
            <v>PEB 3</v>
          </cell>
          <cell r="F1330" t="str">
            <v>111PEB 3</v>
          </cell>
          <cell r="G1330">
            <v>0.1</v>
          </cell>
          <cell r="I1330">
            <v>0.09</v>
          </cell>
          <cell r="J1330">
            <v>6.4172057882247309</v>
          </cell>
          <cell r="K1330">
            <v>5.5419307640072235</v>
          </cell>
          <cell r="P1330">
            <v>183438</v>
          </cell>
          <cell r="Q1330">
            <v>55539.391116769671</v>
          </cell>
          <cell r="R1330">
            <v>2813.6329393730102</v>
          </cell>
          <cell r="S1330">
            <v>17047.735160000004</v>
          </cell>
          <cell r="U1330">
            <v>0</v>
          </cell>
          <cell r="W1330">
            <v>115315</v>
          </cell>
          <cell r="X1330">
            <v>-232782</v>
          </cell>
          <cell r="Y1330">
            <v>27859</v>
          </cell>
          <cell r="Z1330">
            <v>65971</v>
          </cell>
        </row>
        <row r="1331">
          <cell r="C1331" t="str">
            <v>A0146</v>
          </cell>
          <cell r="D1331" t="str">
            <v>PT Tjahja Sakti Motor</v>
          </cell>
          <cell r="E1331" t="str">
            <v>PEB 4</v>
          </cell>
          <cell r="F1331" t="str">
            <v>111PEB 4</v>
          </cell>
          <cell r="G1331">
            <v>0.1</v>
          </cell>
          <cell r="I1331">
            <v>0.09</v>
          </cell>
          <cell r="J1331">
            <v>10.572616698301406</v>
          </cell>
          <cell r="K1331">
            <v>16.287458855527891</v>
          </cell>
          <cell r="P1331">
            <v>229954</v>
          </cell>
          <cell r="Q1331">
            <v>71619.71503462558</v>
          </cell>
          <cell r="R1331">
            <v>6895.1198370829152</v>
          </cell>
          <cell r="S1331">
            <v>110864.79113100105</v>
          </cell>
          <cell r="U1331">
            <v>0</v>
          </cell>
          <cell r="W1331">
            <v>-57525</v>
          </cell>
          <cell r="X1331">
            <v>-60051</v>
          </cell>
          <cell r="Y1331">
            <v>3239</v>
          </cell>
          <cell r="Z1331">
            <v>112378</v>
          </cell>
        </row>
        <row r="1332">
          <cell r="C1332" t="str">
            <v>A0146</v>
          </cell>
          <cell r="D1332" t="str">
            <v>PT Tjahja Sakti Motor</v>
          </cell>
          <cell r="E1332" t="str">
            <v>PEB 5</v>
          </cell>
          <cell r="F1332" t="str">
            <v>111PEB 5</v>
          </cell>
          <cell r="J1332">
            <v>0</v>
          </cell>
          <cell r="P1332">
            <v>0</v>
          </cell>
          <cell r="U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</row>
        <row r="1333">
          <cell r="C1333" t="str">
            <v>A0146</v>
          </cell>
          <cell r="D1333" t="str">
            <v>PT Tjahja Sakti Motor</v>
          </cell>
          <cell r="E1333" t="str">
            <v>PEB 6</v>
          </cell>
          <cell r="F1333" t="str">
            <v>111PEB 6</v>
          </cell>
          <cell r="J1333">
            <v>0</v>
          </cell>
          <cell r="P1333">
            <v>0</v>
          </cell>
          <cell r="U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</row>
        <row r="1334">
          <cell r="C1334" t="str">
            <v>A0146</v>
          </cell>
          <cell r="D1334" t="str">
            <v>PT Tjahja Sakti Motor</v>
          </cell>
          <cell r="E1334" t="str">
            <v>PEB 7</v>
          </cell>
          <cell r="F1334" t="str">
            <v>111PEB 7</v>
          </cell>
          <cell r="G1334">
            <v>0.1</v>
          </cell>
          <cell r="I1334">
            <v>0.09</v>
          </cell>
          <cell r="J1334">
            <v>9.9016482782045667</v>
          </cell>
          <cell r="K1334">
            <v>13.097380203357689</v>
          </cell>
          <cell r="P1334">
            <v>115562</v>
          </cell>
          <cell r="Q1334">
            <v>81428.535956325723</v>
          </cell>
          <cell r="R1334">
            <v>6211.3381107386722</v>
          </cell>
          <cell r="S1334">
            <v>13976.349185744988</v>
          </cell>
          <cell r="U1334">
            <v>0</v>
          </cell>
          <cell r="W1334">
            <v>-112204</v>
          </cell>
          <cell r="X1334">
            <v>0</v>
          </cell>
          <cell r="Y1334">
            <v>0</v>
          </cell>
          <cell r="Z1334">
            <v>3358</v>
          </cell>
        </row>
        <row r="1335">
          <cell r="C1335" t="str">
            <v>A0146</v>
          </cell>
          <cell r="D1335" t="str">
            <v>PT Tjahja Sakti Motor</v>
          </cell>
          <cell r="E1335" t="str">
            <v>MPP</v>
          </cell>
          <cell r="F1335" t="str">
            <v>111MPP</v>
          </cell>
          <cell r="G1335">
            <v>0.1</v>
          </cell>
          <cell r="I1335">
            <v>0.09</v>
          </cell>
          <cell r="J1335">
            <v>0</v>
          </cell>
          <cell r="K1335">
            <v>13.097380203357689</v>
          </cell>
          <cell r="P1335">
            <v>0</v>
          </cell>
          <cell r="Q1335">
            <v>327865.03339709708</v>
          </cell>
          <cell r="R1335">
            <v>15650.262255241891</v>
          </cell>
          <cell r="S1335">
            <v>43692.105000000003</v>
          </cell>
          <cell r="U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</row>
        <row r="1336">
          <cell r="C1336" t="str">
            <v>A0146</v>
          </cell>
          <cell r="D1336" t="str">
            <v>PT Tjahja Sakti Motor</v>
          </cell>
          <cell r="E1336" t="str">
            <v>ID</v>
          </cell>
          <cell r="F1336" t="str">
            <v>111ID</v>
          </cell>
          <cell r="G1336">
            <v>0.1</v>
          </cell>
          <cell r="I1336">
            <v>0.09</v>
          </cell>
          <cell r="J1336">
            <v>9.9016482782045667</v>
          </cell>
          <cell r="K1336">
            <v>13.097380203357689</v>
          </cell>
          <cell r="P1336">
            <v>72313</v>
          </cell>
          <cell r="Q1336">
            <v>289781.44801490544</v>
          </cell>
          <cell r="R1336">
            <v>18908.58276026</v>
          </cell>
          <cell r="S1336">
            <v>49655.527532392574</v>
          </cell>
          <cell r="U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72313</v>
          </cell>
        </row>
        <row r="1337">
          <cell r="C1337" t="str">
            <v>A0146</v>
          </cell>
          <cell r="D1337" t="str">
            <v>PT Tjahja Sakti Motor</v>
          </cell>
          <cell r="E1337" t="str">
            <v>LL</v>
          </cell>
          <cell r="F1337" t="str">
            <v>111LL</v>
          </cell>
          <cell r="G1337">
            <v>0.1</v>
          </cell>
          <cell r="I1337">
            <v>0.09</v>
          </cell>
          <cell r="J1337">
            <v>9.9016482782045667</v>
          </cell>
          <cell r="K1337">
            <v>13.097380203357689</v>
          </cell>
          <cell r="P1337">
            <v>503312</v>
          </cell>
          <cell r="Q1337">
            <v>461411.04907687102</v>
          </cell>
          <cell r="R1337">
            <v>127055.78535729332</v>
          </cell>
          <cell r="S1337">
            <v>187238.87129347047</v>
          </cell>
          <cell r="U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503312</v>
          </cell>
        </row>
        <row r="1338">
          <cell r="C1338" t="str">
            <v>A0146</v>
          </cell>
          <cell r="D1338" t="str">
            <v>PT Tjahja Sakti Motor</v>
          </cell>
          <cell r="E1338" t="str">
            <v>PMK</v>
          </cell>
          <cell r="F1338" t="str">
            <v>111PMK</v>
          </cell>
          <cell r="G1338">
            <v>0.1</v>
          </cell>
          <cell r="I1338">
            <v>0.09</v>
          </cell>
          <cell r="J1338">
            <v>9.9016482782045667</v>
          </cell>
          <cell r="K1338">
            <v>13.097380203357689</v>
          </cell>
          <cell r="P1338">
            <v>488775</v>
          </cell>
          <cell r="Q1338">
            <v>479818.16592172568</v>
          </cell>
          <cell r="R1338">
            <v>46028.204950991887</v>
          </cell>
          <cell r="S1338">
            <v>166472</v>
          </cell>
          <cell r="U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488775</v>
          </cell>
        </row>
        <row r="1340">
          <cell r="C1340" t="str">
            <v>A0364</v>
          </cell>
          <cell r="D1340" t="str">
            <v>PT Toyoda Gosei Safety System Indonesia</v>
          </cell>
          <cell r="E1340" t="str">
            <v>PEB 1</v>
          </cell>
          <cell r="F1340" t="str">
            <v>112PEB 1</v>
          </cell>
          <cell r="N1340">
            <v>0</v>
          </cell>
          <cell r="O1340">
            <v>0</v>
          </cell>
          <cell r="P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0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R1340">
            <v>0.1</v>
          </cell>
          <cell r="BS1340">
            <v>0</v>
          </cell>
          <cell r="BT1340">
            <v>0.09</v>
          </cell>
          <cell r="BU1340">
            <v>14.434972133526484</v>
          </cell>
          <cell r="BV1340">
            <v>18.376312296888862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123803.07349364742</v>
          </cell>
          <cell r="CB1340">
            <v>395397.01482262142</v>
          </cell>
          <cell r="CC1340">
            <v>69192.09566757681</v>
          </cell>
          <cell r="CD1340">
            <v>3276.7610016869007</v>
          </cell>
          <cell r="CE1340">
            <v>0</v>
          </cell>
          <cell r="CF1340">
            <v>0</v>
          </cell>
          <cell r="CG1340">
            <v>0</v>
          </cell>
          <cell r="CH1340">
            <v>123302.64812072164</v>
          </cell>
          <cell r="CI1340">
            <v>0</v>
          </cell>
          <cell r="CJ1340">
            <v>0</v>
          </cell>
          <cell r="CK1340">
            <v>247105.72161436905</v>
          </cell>
          <cell r="CM1340">
            <v>0</v>
          </cell>
          <cell r="CN1340">
            <v>0</v>
          </cell>
          <cell r="CO1340">
            <v>0</v>
          </cell>
          <cell r="CP1340">
            <v>0</v>
          </cell>
          <cell r="CQ1340">
            <v>0</v>
          </cell>
          <cell r="CR1340">
            <v>0</v>
          </cell>
          <cell r="CS1340">
            <v>0</v>
          </cell>
          <cell r="CT1340">
            <v>0</v>
          </cell>
          <cell r="CU1340">
            <v>0</v>
          </cell>
          <cell r="CV1340">
            <v>0</v>
          </cell>
          <cell r="CW1340">
            <v>0</v>
          </cell>
          <cell r="CX1340">
            <v>0</v>
          </cell>
          <cell r="CY1340">
            <v>0</v>
          </cell>
          <cell r="CZ1340">
            <v>0</v>
          </cell>
          <cell r="DA1340">
            <v>0</v>
          </cell>
          <cell r="DB1340">
            <v>0</v>
          </cell>
          <cell r="DC1340">
            <v>0</v>
          </cell>
          <cell r="DD1340">
            <v>0</v>
          </cell>
          <cell r="DE1340">
            <v>0</v>
          </cell>
          <cell r="DF1340">
            <v>0</v>
          </cell>
          <cell r="DH1340">
            <v>0</v>
          </cell>
          <cell r="DI1340">
            <v>0</v>
          </cell>
          <cell r="DJ1340">
            <v>0</v>
          </cell>
          <cell r="DK1340">
            <v>0</v>
          </cell>
          <cell r="DL1340">
            <v>0</v>
          </cell>
          <cell r="DM1340">
            <v>0</v>
          </cell>
          <cell r="DN1340">
            <v>0</v>
          </cell>
          <cell r="DO1340">
            <v>0</v>
          </cell>
          <cell r="DP1340">
            <v>0</v>
          </cell>
          <cell r="DQ1340">
            <v>0</v>
          </cell>
          <cell r="DR1340">
            <v>0</v>
          </cell>
          <cell r="DS1340">
            <v>0</v>
          </cell>
          <cell r="DT1340">
            <v>0</v>
          </cell>
          <cell r="DU1340">
            <v>0</v>
          </cell>
          <cell r="DV1340">
            <v>0</v>
          </cell>
          <cell r="DW1340">
            <v>0</v>
          </cell>
          <cell r="DX1340">
            <v>0</v>
          </cell>
          <cell r="DY1340">
            <v>0</v>
          </cell>
          <cell r="DZ1340">
            <v>0</v>
          </cell>
          <cell r="EA1340">
            <v>0</v>
          </cell>
          <cell r="EC1340">
            <v>0.1</v>
          </cell>
          <cell r="ED1340">
            <v>0</v>
          </cell>
          <cell r="EE1340">
            <v>0.09</v>
          </cell>
          <cell r="EF1340">
            <v>14.434972133526484</v>
          </cell>
          <cell r="EG1340">
            <v>18.376312296888862</v>
          </cell>
          <cell r="EH1340">
            <v>0</v>
          </cell>
          <cell r="EI1340">
            <v>0</v>
          </cell>
          <cell r="EJ1340">
            <v>0</v>
          </cell>
          <cell r="EK1340">
            <v>0</v>
          </cell>
          <cell r="EL1340">
            <v>35155.289196255908</v>
          </cell>
          <cell r="EM1340">
            <v>31750.433212246149</v>
          </cell>
          <cell r="EN1340">
            <v>5545.6079510900945</v>
          </cell>
          <cell r="EO1340">
            <v>3590.5135864307172</v>
          </cell>
          <cell r="EP1340">
            <v>0</v>
          </cell>
          <cell r="EQ1340">
            <v>0</v>
          </cell>
          <cell r="ER1340">
            <v>0</v>
          </cell>
          <cell r="ES1340">
            <v>35013.187726478965</v>
          </cell>
          <cell r="ET1340">
            <v>0</v>
          </cell>
          <cell r="EU1340">
            <v>0</v>
          </cell>
          <cell r="EV1340">
            <v>70168.476922734873</v>
          </cell>
          <cell r="EX1340">
            <v>0</v>
          </cell>
          <cell r="EY1340">
            <v>0</v>
          </cell>
          <cell r="EZ1340">
            <v>0</v>
          </cell>
          <cell r="FA1340">
            <v>0</v>
          </cell>
          <cell r="FB1340">
            <v>0</v>
          </cell>
          <cell r="FC1340">
            <v>0</v>
          </cell>
          <cell r="FD1340">
            <v>0</v>
          </cell>
          <cell r="FE1340">
            <v>0</v>
          </cell>
          <cell r="FF1340">
            <v>0</v>
          </cell>
          <cell r="FG1340">
            <v>0</v>
          </cell>
          <cell r="FH1340">
            <v>0</v>
          </cell>
          <cell r="FI1340">
            <v>0</v>
          </cell>
          <cell r="FJ1340">
            <v>0</v>
          </cell>
          <cell r="FK1340">
            <v>0</v>
          </cell>
          <cell r="FL1340">
            <v>0</v>
          </cell>
          <cell r="FM1340">
            <v>0</v>
          </cell>
          <cell r="FN1340">
            <v>0</v>
          </cell>
          <cell r="FO1340">
            <v>0</v>
          </cell>
          <cell r="FP1340">
            <v>0</v>
          </cell>
          <cell r="FQ1340">
            <v>0</v>
          </cell>
          <cell r="FS1340">
            <v>0.1</v>
          </cell>
          <cell r="FT1340">
            <v>0</v>
          </cell>
          <cell r="FU1340">
            <v>0.09</v>
          </cell>
          <cell r="FV1340">
            <v>14.434972133526484</v>
          </cell>
          <cell r="FW1340">
            <v>18.376312296888862</v>
          </cell>
          <cell r="FX1340">
            <v>0</v>
          </cell>
          <cell r="FY1340">
            <v>0</v>
          </cell>
          <cell r="FZ1340">
            <v>0</v>
          </cell>
          <cell r="GA1340">
            <v>0</v>
          </cell>
          <cell r="GB1340">
            <v>74913.236394642488</v>
          </cell>
          <cell r="GC1340">
            <v>78264.88058701159</v>
          </cell>
          <cell r="GD1340">
            <v>13626.786491358584</v>
          </cell>
          <cell r="GE1340">
            <v>4203.8543811387481</v>
          </cell>
          <cell r="GF1340">
            <v>0</v>
          </cell>
          <cell r="GG1340">
            <v>0</v>
          </cell>
          <cell r="GH1340">
            <v>0</v>
          </cell>
          <cell r="GI1340">
            <v>74610.42901513273</v>
          </cell>
          <cell r="GJ1340">
            <v>0</v>
          </cell>
          <cell r="GK1340">
            <v>0</v>
          </cell>
          <cell r="GL1340">
            <v>149523.66540977519</v>
          </cell>
          <cell r="GN1340">
            <v>0.1</v>
          </cell>
          <cell r="GO1340">
            <v>0</v>
          </cell>
          <cell r="GP1340">
            <v>0.09</v>
          </cell>
          <cell r="GQ1340">
            <v>14.434972133526484</v>
          </cell>
          <cell r="GR1340">
            <v>18.376312296888862</v>
          </cell>
          <cell r="GS1340">
            <v>0</v>
          </cell>
          <cell r="GT1340">
            <v>0</v>
          </cell>
          <cell r="GU1340">
            <v>0</v>
          </cell>
          <cell r="GV1340">
            <v>0</v>
          </cell>
          <cell r="GW1340">
            <v>88663.109819076504</v>
          </cell>
          <cell r="GX1340">
            <v>154170.49382478333</v>
          </cell>
          <cell r="GY1340">
            <v>44753.021863440794</v>
          </cell>
          <cell r="GZ1340">
            <v>22881.59865207129</v>
          </cell>
          <cell r="HA1340">
            <v>0</v>
          </cell>
          <cell r="HB1340">
            <v>0</v>
          </cell>
          <cell r="HC1340">
            <v>0</v>
          </cell>
          <cell r="HD1340">
            <v>0</v>
          </cell>
          <cell r="HE1340">
            <v>0</v>
          </cell>
          <cell r="HF1340">
            <v>0</v>
          </cell>
          <cell r="HG1340">
            <v>88663.109819076504</v>
          </cell>
          <cell r="HI1340">
            <v>0.1</v>
          </cell>
          <cell r="HJ1340">
            <v>0</v>
          </cell>
          <cell r="HK1340">
            <v>0.09</v>
          </cell>
          <cell r="HL1340">
            <v>14.434972133526484</v>
          </cell>
          <cell r="HM1340">
            <v>18.376312296888862</v>
          </cell>
          <cell r="HN1340">
            <v>0</v>
          </cell>
          <cell r="HO1340">
            <v>0</v>
          </cell>
          <cell r="HP1340">
            <v>0</v>
          </cell>
          <cell r="HQ1340">
            <v>0</v>
          </cell>
          <cell r="HR1340">
            <v>321988.71021169244</v>
          </cell>
          <cell r="HS1340">
            <v>193899.26719744439</v>
          </cell>
          <cell r="HT1340">
            <v>33615.912662060495</v>
          </cell>
          <cell r="HU1340">
            <v>0</v>
          </cell>
          <cell r="HV1340">
            <v>0</v>
          </cell>
          <cell r="HW1340">
            <v>0</v>
          </cell>
          <cell r="HX1340">
            <v>0</v>
          </cell>
          <cell r="HY1340">
            <v>0</v>
          </cell>
          <cell r="HZ1340">
            <v>0</v>
          </cell>
          <cell r="IA1340">
            <v>0</v>
          </cell>
          <cell r="IB1340">
            <v>321988.71021169244</v>
          </cell>
        </row>
        <row r="1341">
          <cell r="C1341" t="str">
            <v>A0364</v>
          </cell>
          <cell r="D1341" t="str">
            <v>PT Toyoda Gosei Safety System Indonesia</v>
          </cell>
          <cell r="E1341" t="str">
            <v>PEB 2</v>
          </cell>
          <cell r="F1341" t="str">
            <v>112PEB 2</v>
          </cell>
          <cell r="P1341">
            <v>0</v>
          </cell>
          <cell r="U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</row>
        <row r="1342">
          <cell r="C1342" t="str">
            <v>A0364</v>
          </cell>
          <cell r="D1342" t="str">
            <v>PT Toyoda Gosei Safety System Indonesia</v>
          </cell>
          <cell r="E1342" t="str">
            <v>PEB 3</v>
          </cell>
          <cell r="F1342" t="str">
            <v>112PEB 3</v>
          </cell>
          <cell r="P1342">
            <v>0</v>
          </cell>
          <cell r="U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</row>
        <row r="1343">
          <cell r="C1343" t="str">
            <v>A0364</v>
          </cell>
          <cell r="D1343" t="str">
            <v>PT Toyoda Gosei Safety System Indonesia</v>
          </cell>
          <cell r="E1343" t="str">
            <v>PEB 4</v>
          </cell>
          <cell r="F1343" t="str">
            <v>112PEB 4</v>
          </cell>
          <cell r="G1343">
            <v>0.1</v>
          </cell>
          <cell r="I1343">
            <v>0.09</v>
          </cell>
          <cell r="J1343">
            <v>14.434972133526484</v>
          </cell>
          <cell r="K1343">
            <v>18.376312296888862</v>
          </cell>
          <cell r="P1343">
            <v>123803.07349364742</v>
          </cell>
          <cell r="Q1343">
            <v>395397.01482262142</v>
          </cell>
          <cell r="R1343">
            <v>69192.09566757681</v>
          </cell>
          <cell r="S1343">
            <v>3276.7610016869007</v>
          </cell>
          <cell r="U1343">
            <v>0</v>
          </cell>
          <cell r="W1343">
            <v>123302.64812072164</v>
          </cell>
          <cell r="X1343">
            <v>0</v>
          </cell>
          <cell r="Y1343">
            <v>0</v>
          </cell>
          <cell r="Z1343">
            <v>247105.72161436905</v>
          </cell>
        </row>
        <row r="1344">
          <cell r="C1344" t="str">
            <v>A0364</v>
          </cell>
          <cell r="D1344" t="str">
            <v>PT Toyoda Gosei Safety System Indonesia</v>
          </cell>
          <cell r="E1344" t="str">
            <v>PEB 5</v>
          </cell>
          <cell r="F1344" t="str">
            <v>112PEB 5</v>
          </cell>
          <cell r="P1344">
            <v>0</v>
          </cell>
          <cell r="U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</row>
        <row r="1345">
          <cell r="C1345" t="str">
            <v>A0364</v>
          </cell>
          <cell r="D1345" t="str">
            <v>PT Toyoda Gosei Safety System Indonesia</v>
          </cell>
          <cell r="E1345" t="str">
            <v>PEB 6</v>
          </cell>
          <cell r="F1345" t="str">
            <v>112PEB 6</v>
          </cell>
          <cell r="P1345">
            <v>0</v>
          </cell>
          <cell r="U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</row>
        <row r="1346">
          <cell r="C1346" t="str">
            <v>A0364</v>
          </cell>
          <cell r="D1346" t="str">
            <v>PT Toyoda Gosei Safety System Indonesia</v>
          </cell>
          <cell r="E1346" t="str">
            <v>PEB 7</v>
          </cell>
          <cell r="F1346" t="str">
            <v>112PEB 7</v>
          </cell>
          <cell r="G1346">
            <v>0.1</v>
          </cell>
          <cell r="I1346">
            <v>0.09</v>
          </cell>
          <cell r="J1346">
            <v>14.434972133526484</v>
          </cell>
          <cell r="K1346">
            <v>18.376312296888862</v>
          </cell>
          <cell r="P1346">
            <v>35155.289196255908</v>
          </cell>
          <cell r="Q1346">
            <v>31750.433212246149</v>
          </cell>
          <cell r="R1346">
            <v>5545.6079510900945</v>
          </cell>
          <cell r="S1346">
            <v>3590.5135864307172</v>
          </cell>
          <cell r="U1346">
            <v>0</v>
          </cell>
          <cell r="W1346">
            <v>35013.187726478965</v>
          </cell>
          <cell r="X1346">
            <v>0</v>
          </cell>
          <cell r="Y1346">
            <v>0</v>
          </cell>
          <cell r="Z1346">
            <v>70168.476922734873</v>
          </cell>
        </row>
        <row r="1347">
          <cell r="C1347" t="str">
            <v>A0364</v>
          </cell>
          <cell r="D1347" t="str">
            <v>PT Toyoda Gosei Safety System Indonesia</v>
          </cell>
          <cell r="E1347" t="str">
            <v>MPP</v>
          </cell>
          <cell r="F1347" t="str">
            <v>112MPP</v>
          </cell>
          <cell r="P1347">
            <v>0</v>
          </cell>
          <cell r="U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</row>
        <row r="1348">
          <cell r="C1348" t="str">
            <v>A0364</v>
          </cell>
          <cell r="D1348" t="str">
            <v>PT Toyoda Gosei Safety System Indonesia</v>
          </cell>
          <cell r="E1348" t="str">
            <v>ID</v>
          </cell>
          <cell r="F1348" t="str">
            <v>112ID</v>
          </cell>
          <cell r="G1348">
            <v>0.1</v>
          </cell>
          <cell r="I1348">
            <v>0.09</v>
          </cell>
          <cell r="J1348">
            <v>14.434972133526484</v>
          </cell>
          <cell r="K1348">
            <v>18.376312296888862</v>
          </cell>
          <cell r="P1348">
            <v>74913.236394642488</v>
          </cell>
          <cell r="Q1348">
            <v>78264.88058701159</v>
          </cell>
          <cell r="R1348">
            <v>13626.786491358584</v>
          </cell>
          <cell r="S1348">
            <v>4203.8543811387481</v>
          </cell>
          <cell r="U1348">
            <v>0</v>
          </cell>
          <cell r="W1348">
            <v>74610.42901513273</v>
          </cell>
          <cell r="X1348">
            <v>0</v>
          </cell>
          <cell r="Y1348">
            <v>0</v>
          </cell>
          <cell r="Z1348">
            <v>149523.66540977519</v>
          </cell>
        </row>
        <row r="1349">
          <cell r="C1349" t="str">
            <v>A0364</v>
          </cell>
          <cell r="D1349" t="str">
            <v>PT Toyoda Gosei Safety System Indonesia</v>
          </cell>
          <cell r="E1349" t="str">
            <v>LL</v>
          </cell>
          <cell r="F1349" t="str">
            <v>112LL</v>
          </cell>
          <cell r="G1349">
            <v>0.1</v>
          </cell>
          <cell r="I1349">
            <v>0.09</v>
          </cell>
          <cell r="J1349">
            <v>14.434972133526484</v>
          </cell>
          <cell r="K1349">
            <v>18.376312296888862</v>
          </cell>
          <cell r="P1349">
            <v>88663.109819076504</v>
          </cell>
          <cell r="Q1349">
            <v>154170.49382478333</v>
          </cell>
          <cell r="R1349">
            <v>44753.021863440794</v>
          </cell>
          <cell r="S1349">
            <v>22881.59865207129</v>
          </cell>
          <cell r="U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88663.109819076504</v>
          </cell>
        </row>
        <row r="1350">
          <cell r="C1350" t="str">
            <v>A0364</v>
          </cell>
          <cell r="D1350" t="str">
            <v>PT Toyoda Gosei Safety System Indonesia</v>
          </cell>
          <cell r="E1350" t="str">
            <v>PMK</v>
          </cell>
          <cell r="F1350" t="str">
            <v>112PMK</v>
          </cell>
          <cell r="G1350">
            <v>0.1</v>
          </cell>
          <cell r="I1350">
            <v>0.09</v>
          </cell>
          <cell r="J1350">
            <v>14.434972133526484</v>
          </cell>
          <cell r="K1350">
            <v>18.376312296888862</v>
          </cell>
          <cell r="P1350">
            <v>321988.71021169244</v>
          </cell>
          <cell r="Q1350">
            <v>193899.26719744439</v>
          </cell>
          <cell r="R1350">
            <v>33615.912662060495</v>
          </cell>
          <cell r="S1350">
            <v>0</v>
          </cell>
          <cell r="U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321988.71021169244</v>
          </cell>
        </row>
        <row r="1352">
          <cell r="C1352" t="str">
            <v>A0411</v>
          </cell>
          <cell r="D1352" t="str">
            <v>PT Toyota Astra Financial Services</v>
          </cell>
          <cell r="E1352" t="str">
            <v>PEB 1</v>
          </cell>
          <cell r="F1352" t="str">
            <v>113PEB 1</v>
          </cell>
          <cell r="G1352">
            <v>0.1</v>
          </cell>
          <cell r="H1352">
            <v>0.1</v>
          </cell>
          <cell r="I1352">
            <v>0.09</v>
          </cell>
          <cell r="J1352">
            <v>6.0477197406680654</v>
          </cell>
          <cell r="K1352">
            <v>5.4798290236942258</v>
          </cell>
          <cell r="L1352">
            <v>0</v>
          </cell>
          <cell r="N1352">
            <v>1165425.3599999999</v>
          </cell>
          <cell r="O1352">
            <v>79119.12</v>
          </cell>
          <cell r="P1352">
            <v>6566886</v>
          </cell>
          <cell r="Q1352">
            <v>8446154.152328657</v>
          </cell>
          <cell r="R1352">
            <v>329813.22687763965</v>
          </cell>
          <cell r="S1352">
            <v>5062127.9012274947</v>
          </cell>
          <cell r="U1352">
            <v>-3268894</v>
          </cell>
          <cell r="V1352">
            <v>6259145.8933333345</v>
          </cell>
          <cell r="W1352">
            <v>-2482478</v>
          </cell>
          <cell r="X1352">
            <v>0</v>
          </cell>
          <cell r="Y1352">
            <v>0</v>
          </cell>
          <cell r="Z1352">
            <v>815514</v>
          </cell>
          <cell r="AB1352">
            <v>0.1</v>
          </cell>
          <cell r="AC1352">
            <v>0</v>
          </cell>
          <cell r="AD1352">
            <v>0.09</v>
          </cell>
          <cell r="AE1352">
            <v>9.7300412986133136</v>
          </cell>
          <cell r="AF1352">
            <v>19.896352707573726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3913513.2829188858</v>
          </cell>
          <cell r="AM1352">
            <v>430828.16025975632</v>
          </cell>
          <cell r="AN1352">
            <v>1119757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W1352">
            <v>0.1</v>
          </cell>
          <cell r="AX1352">
            <v>0</v>
          </cell>
          <cell r="AY1352">
            <v>0.09</v>
          </cell>
          <cell r="AZ1352">
            <v>6.0477197406680654</v>
          </cell>
          <cell r="BA1352">
            <v>5.4798290236942258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0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R1352">
            <v>0.1</v>
          </cell>
          <cell r="BS1352">
            <v>0</v>
          </cell>
          <cell r="BT1352">
            <v>0.09</v>
          </cell>
          <cell r="BU1352">
            <v>9.7708081347023441</v>
          </cell>
          <cell r="BV1352">
            <v>20.065958868560539</v>
          </cell>
          <cell r="BW1352">
            <v>0</v>
          </cell>
          <cell r="BX1352">
            <v>0</v>
          </cell>
          <cell r="BY1352">
            <v>0</v>
          </cell>
          <cell r="BZ1352">
            <v>0</v>
          </cell>
          <cell r="CA1352">
            <v>2158252</v>
          </cell>
          <cell r="CB1352">
            <v>4951021.8454734311</v>
          </cell>
          <cell r="CC1352">
            <v>721474.86108374817</v>
          </cell>
          <cell r="CD1352">
            <v>33839.748295991965</v>
          </cell>
          <cell r="CE1352">
            <v>0</v>
          </cell>
          <cell r="CF1352">
            <v>0</v>
          </cell>
          <cell r="CG1352">
            <v>0</v>
          </cell>
          <cell r="CH1352">
            <v>-406669</v>
          </cell>
          <cell r="CI1352">
            <v>0</v>
          </cell>
          <cell r="CJ1352">
            <v>0</v>
          </cell>
          <cell r="CK1352">
            <v>1751583</v>
          </cell>
          <cell r="CM1352">
            <v>0.1</v>
          </cell>
          <cell r="CN1352">
            <v>0</v>
          </cell>
          <cell r="CO1352">
            <v>0.09</v>
          </cell>
          <cell r="CP1352">
            <v>9.5584930445354104</v>
          </cell>
          <cell r="CQ1352">
            <v>0</v>
          </cell>
          <cell r="CR1352">
            <v>0</v>
          </cell>
          <cell r="CS1352">
            <v>0</v>
          </cell>
          <cell r="CT1352">
            <v>0</v>
          </cell>
          <cell r="CU1352">
            <v>0</v>
          </cell>
          <cell r="CV1352">
            <v>130798</v>
          </cell>
          <cell r="CW1352">
            <v>0</v>
          </cell>
          <cell r="CX1352">
            <v>0</v>
          </cell>
          <cell r="CY1352">
            <v>0</v>
          </cell>
          <cell r="CZ1352">
            <v>0</v>
          </cell>
          <cell r="DA1352">
            <v>0</v>
          </cell>
          <cell r="DB1352">
            <v>0</v>
          </cell>
          <cell r="DC1352">
            <v>875544</v>
          </cell>
          <cell r="DD1352">
            <v>0</v>
          </cell>
          <cell r="DE1352">
            <v>0</v>
          </cell>
          <cell r="DF1352">
            <v>1006342</v>
          </cell>
          <cell r="DH1352">
            <v>0</v>
          </cell>
          <cell r="DI1352">
            <v>0</v>
          </cell>
          <cell r="DJ1352">
            <v>0</v>
          </cell>
          <cell r="DK1352">
            <v>0</v>
          </cell>
          <cell r="DL1352">
            <v>0</v>
          </cell>
          <cell r="DM1352">
            <v>0</v>
          </cell>
          <cell r="DN1352">
            <v>0</v>
          </cell>
          <cell r="DO1352">
            <v>0</v>
          </cell>
          <cell r="DP1352">
            <v>0</v>
          </cell>
          <cell r="DQ1352">
            <v>0</v>
          </cell>
          <cell r="DR1352">
            <v>0</v>
          </cell>
          <cell r="DS1352">
            <v>0</v>
          </cell>
          <cell r="DT1352">
            <v>0</v>
          </cell>
          <cell r="DU1352">
            <v>0</v>
          </cell>
          <cell r="DV1352">
            <v>0</v>
          </cell>
          <cell r="DW1352">
            <v>0</v>
          </cell>
          <cell r="DX1352">
            <v>0</v>
          </cell>
          <cell r="DY1352">
            <v>0</v>
          </cell>
          <cell r="DZ1352">
            <v>0</v>
          </cell>
          <cell r="EA1352">
            <v>0</v>
          </cell>
          <cell r="EC1352">
            <v>0.1</v>
          </cell>
          <cell r="ED1352">
            <v>0</v>
          </cell>
          <cell r="EE1352">
            <v>0.09</v>
          </cell>
          <cell r="EF1352">
            <v>9.7300412986133136</v>
          </cell>
          <cell r="EG1352">
            <v>19.896352707573726</v>
          </cell>
          <cell r="EH1352">
            <v>0</v>
          </cell>
          <cell r="EI1352">
            <v>0</v>
          </cell>
          <cell r="EJ1352">
            <v>0</v>
          </cell>
          <cell r="EK1352">
            <v>0</v>
          </cell>
          <cell r="EL1352">
            <v>220688</v>
          </cell>
          <cell r="EM1352">
            <v>396932.11695954</v>
          </cell>
          <cell r="EN1352">
            <v>86585.983848808857</v>
          </cell>
          <cell r="EO1352">
            <v>40787.264885414254</v>
          </cell>
          <cell r="EP1352">
            <v>0</v>
          </cell>
          <cell r="EQ1352">
            <v>0</v>
          </cell>
          <cell r="ER1352">
            <v>0</v>
          </cell>
          <cell r="ES1352">
            <v>-186809</v>
          </cell>
          <cell r="ET1352">
            <v>0</v>
          </cell>
          <cell r="EU1352">
            <v>0</v>
          </cell>
          <cell r="EV1352">
            <v>33879</v>
          </cell>
          <cell r="EX1352">
            <v>0</v>
          </cell>
          <cell r="EY1352">
            <v>0</v>
          </cell>
          <cell r="EZ1352">
            <v>0</v>
          </cell>
          <cell r="FA1352">
            <v>0</v>
          </cell>
          <cell r="FB1352">
            <v>0</v>
          </cell>
          <cell r="FC1352">
            <v>0</v>
          </cell>
          <cell r="FD1352">
            <v>0</v>
          </cell>
          <cell r="FE1352">
            <v>0</v>
          </cell>
          <cell r="FF1352">
            <v>0</v>
          </cell>
          <cell r="FG1352">
            <v>0</v>
          </cell>
          <cell r="FH1352">
            <v>0</v>
          </cell>
          <cell r="FI1352">
            <v>0</v>
          </cell>
          <cell r="FJ1352">
            <v>0</v>
          </cell>
          <cell r="FK1352">
            <v>0</v>
          </cell>
          <cell r="FL1352">
            <v>0</v>
          </cell>
          <cell r="FM1352">
            <v>0</v>
          </cell>
          <cell r="FN1352">
            <v>0</v>
          </cell>
          <cell r="FO1352">
            <v>0</v>
          </cell>
          <cell r="FP1352">
            <v>0</v>
          </cell>
          <cell r="FQ1352">
            <v>0</v>
          </cell>
          <cell r="FS1352">
            <v>0.1</v>
          </cell>
          <cell r="FT1352">
            <v>0</v>
          </cell>
          <cell r="FU1352">
            <v>0.09</v>
          </cell>
          <cell r="FV1352">
            <v>9.7300412986133136</v>
          </cell>
          <cell r="FW1352">
            <v>19.896352707573726</v>
          </cell>
          <cell r="FX1352">
            <v>0</v>
          </cell>
          <cell r="FY1352">
            <v>0</v>
          </cell>
          <cell r="FZ1352">
            <v>0</v>
          </cell>
          <cell r="GA1352">
            <v>0</v>
          </cell>
          <cell r="GB1352">
            <v>74785</v>
          </cell>
          <cell r="GC1352">
            <v>982857.3578982891</v>
          </cell>
          <cell r="GD1352">
            <v>180477.72390106609</v>
          </cell>
          <cell r="GE1352">
            <v>60894.518359875685</v>
          </cell>
          <cell r="GF1352">
            <v>0</v>
          </cell>
          <cell r="GG1352">
            <v>0</v>
          </cell>
          <cell r="GH1352">
            <v>0</v>
          </cell>
          <cell r="GI1352">
            <v>0</v>
          </cell>
          <cell r="GJ1352">
            <v>0</v>
          </cell>
          <cell r="GK1352">
            <v>0</v>
          </cell>
          <cell r="GL1352">
            <v>74785</v>
          </cell>
          <cell r="GN1352">
            <v>0.1</v>
          </cell>
          <cell r="GO1352">
            <v>0</v>
          </cell>
          <cell r="GP1352">
            <v>0.09</v>
          </cell>
          <cell r="GQ1352">
            <v>9.7300412986133136</v>
          </cell>
          <cell r="GR1352">
            <v>19.896352707573726</v>
          </cell>
          <cell r="GS1352">
            <v>0</v>
          </cell>
          <cell r="GT1352">
            <v>0</v>
          </cell>
          <cell r="GU1352">
            <v>0</v>
          </cell>
          <cell r="GV1352">
            <v>0</v>
          </cell>
          <cell r="GW1352">
            <v>871647</v>
          </cell>
          <cell r="GX1352">
            <v>2312714.3656576024</v>
          </cell>
          <cell r="GY1352">
            <v>624705.01002245909</v>
          </cell>
          <cell r="GZ1352">
            <v>224737.01538576308</v>
          </cell>
          <cell r="HA1352">
            <v>0</v>
          </cell>
          <cell r="HB1352">
            <v>0</v>
          </cell>
          <cell r="HC1352">
            <v>0</v>
          </cell>
          <cell r="HD1352">
            <v>0</v>
          </cell>
          <cell r="HE1352">
            <v>0</v>
          </cell>
          <cell r="HF1352">
            <v>0</v>
          </cell>
          <cell r="HG1352">
            <v>871647</v>
          </cell>
          <cell r="HI1352">
            <v>0.1</v>
          </cell>
          <cell r="HJ1352">
            <v>0</v>
          </cell>
          <cell r="HK1352">
            <v>0.09</v>
          </cell>
          <cell r="HL1352">
            <v>9.7300412986133136</v>
          </cell>
          <cell r="HM1352">
            <v>19.896352707573726</v>
          </cell>
          <cell r="HN1352">
            <v>0</v>
          </cell>
          <cell r="HO1352">
            <v>0</v>
          </cell>
          <cell r="HP1352">
            <v>0</v>
          </cell>
          <cell r="HQ1352">
            <v>0</v>
          </cell>
          <cell r="HR1352">
            <v>187310</v>
          </cell>
          <cell r="HS1352">
            <v>544052.73538655625</v>
          </cell>
          <cell r="HT1352">
            <v>160949.97549113969</v>
          </cell>
          <cell r="HU1352">
            <v>29750</v>
          </cell>
          <cell r="HV1352">
            <v>0</v>
          </cell>
          <cell r="HW1352">
            <v>0</v>
          </cell>
          <cell r="HX1352">
            <v>0</v>
          </cell>
          <cell r="HY1352">
            <v>0</v>
          </cell>
          <cell r="HZ1352">
            <v>0</v>
          </cell>
          <cell r="IA1352">
            <v>0</v>
          </cell>
          <cell r="IB1352">
            <v>187310</v>
          </cell>
        </row>
        <row r="1353">
          <cell r="C1353" t="str">
            <v>A0411</v>
          </cell>
          <cell r="D1353" t="str">
            <v>PT Toyota Astra Financial Services</v>
          </cell>
          <cell r="E1353" t="str">
            <v>PEB 2</v>
          </cell>
          <cell r="F1353" t="str">
            <v>113PEB 2</v>
          </cell>
          <cell r="G1353">
            <v>0.1</v>
          </cell>
          <cell r="I1353">
            <v>0.09</v>
          </cell>
          <cell r="J1353">
            <v>9.7300412986133136</v>
          </cell>
          <cell r="K1353">
            <v>19.896352707573726</v>
          </cell>
          <cell r="P1353">
            <v>0</v>
          </cell>
          <cell r="Q1353">
            <v>3913513.2829188858</v>
          </cell>
          <cell r="R1353">
            <v>430828.16025975632</v>
          </cell>
          <cell r="S1353">
            <v>1119757</v>
          </cell>
          <cell r="U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</row>
        <row r="1354">
          <cell r="C1354" t="str">
            <v>A0411</v>
          </cell>
          <cell r="D1354" t="str">
            <v>PT Toyota Astra Financial Services</v>
          </cell>
          <cell r="E1354" t="str">
            <v>PEB 3</v>
          </cell>
          <cell r="F1354" t="str">
            <v>113PEB 3</v>
          </cell>
          <cell r="G1354">
            <v>0.1</v>
          </cell>
          <cell r="I1354">
            <v>0.09</v>
          </cell>
          <cell r="J1354">
            <v>6.0477197406680654</v>
          </cell>
          <cell r="K1354">
            <v>5.4798290236942258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U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</row>
        <row r="1355">
          <cell r="C1355" t="str">
            <v>A0411</v>
          </cell>
          <cell r="D1355" t="str">
            <v>PT Toyota Astra Financial Services</v>
          </cell>
          <cell r="E1355" t="str">
            <v>PEB 4</v>
          </cell>
          <cell r="F1355" t="str">
            <v>113PEB 4</v>
          </cell>
          <cell r="G1355">
            <v>0.1</v>
          </cell>
          <cell r="I1355">
            <v>0.09</v>
          </cell>
          <cell r="J1355">
            <v>9.7708081347023441</v>
          </cell>
          <cell r="K1355">
            <v>20.065958868560539</v>
          </cell>
          <cell r="P1355">
            <v>2158252</v>
          </cell>
          <cell r="Q1355">
            <v>4951021.8454734311</v>
          </cell>
          <cell r="R1355">
            <v>721474.86108374817</v>
          </cell>
          <cell r="S1355">
            <v>33839.748295991965</v>
          </cell>
          <cell r="U1355">
            <v>0</v>
          </cell>
          <cell r="W1355">
            <v>-406669</v>
          </cell>
          <cell r="X1355">
            <v>0</v>
          </cell>
          <cell r="Y1355">
            <v>0</v>
          </cell>
          <cell r="Z1355">
            <v>1751583</v>
          </cell>
        </row>
        <row r="1356">
          <cell r="C1356" t="str">
            <v>A0411</v>
          </cell>
          <cell r="D1356" t="str">
            <v>PT Toyota Astra Financial Services</v>
          </cell>
          <cell r="E1356" t="str">
            <v>PEB 5</v>
          </cell>
          <cell r="F1356" t="str">
            <v>113PEB 5</v>
          </cell>
          <cell r="G1356">
            <v>0.1</v>
          </cell>
          <cell r="I1356">
            <v>0.09</v>
          </cell>
          <cell r="J1356">
            <v>9.5584930445354104</v>
          </cell>
          <cell r="P1356">
            <v>130798</v>
          </cell>
          <cell r="U1356">
            <v>0</v>
          </cell>
          <cell r="W1356">
            <v>875544</v>
          </cell>
          <cell r="X1356">
            <v>0</v>
          </cell>
          <cell r="Y1356">
            <v>0</v>
          </cell>
          <cell r="Z1356">
            <v>1006342</v>
          </cell>
        </row>
        <row r="1357">
          <cell r="C1357" t="str">
            <v>A0411</v>
          </cell>
          <cell r="D1357" t="str">
            <v>PT Toyota Astra Financial Services</v>
          </cell>
          <cell r="E1357" t="str">
            <v>PEB 6</v>
          </cell>
          <cell r="F1357" t="str">
            <v>113PEB 6</v>
          </cell>
          <cell r="P1357">
            <v>0</v>
          </cell>
          <cell r="U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</row>
        <row r="1358">
          <cell r="C1358" t="str">
            <v>A0411</v>
          </cell>
          <cell r="D1358" t="str">
            <v>PT Toyota Astra Financial Services</v>
          </cell>
          <cell r="E1358" t="str">
            <v>PEB 7</v>
          </cell>
          <cell r="F1358" t="str">
            <v>113PEB 7</v>
          </cell>
          <cell r="G1358">
            <v>0.1</v>
          </cell>
          <cell r="I1358">
            <v>0.09</v>
          </cell>
          <cell r="J1358">
            <v>9.7300412986133136</v>
          </cell>
          <cell r="K1358">
            <v>19.896352707573726</v>
          </cell>
          <cell r="P1358">
            <v>220688</v>
          </cell>
          <cell r="Q1358">
            <v>396932.11695954</v>
          </cell>
          <cell r="R1358">
            <v>86585.983848808857</v>
          </cell>
          <cell r="S1358">
            <v>40787.264885414254</v>
          </cell>
          <cell r="U1358">
            <v>0</v>
          </cell>
          <cell r="W1358">
            <v>-186809</v>
          </cell>
          <cell r="X1358">
            <v>0</v>
          </cell>
          <cell r="Y1358">
            <v>0</v>
          </cell>
          <cell r="Z1358">
            <v>33879</v>
          </cell>
        </row>
        <row r="1359">
          <cell r="C1359" t="str">
            <v>A0411</v>
          </cell>
          <cell r="D1359" t="str">
            <v>PT Toyota Astra Financial Services</v>
          </cell>
          <cell r="E1359" t="str">
            <v>MPP</v>
          </cell>
          <cell r="F1359" t="str">
            <v>113MPP</v>
          </cell>
          <cell r="P1359">
            <v>0</v>
          </cell>
          <cell r="U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</row>
        <row r="1360">
          <cell r="C1360" t="str">
            <v>A0411</v>
          </cell>
          <cell r="D1360" t="str">
            <v>PT Toyota Astra Financial Services</v>
          </cell>
          <cell r="E1360" t="str">
            <v>ID</v>
          </cell>
          <cell r="F1360" t="str">
            <v>113ID</v>
          </cell>
          <cell r="G1360">
            <v>0.1</v>
          </cell>
          <cell r="I1360">
            <v>0.09</v>
          </cell>
          <cell r="J1360">
            <v>9.7300412986133136</v>
          </cell>
          <cell r="K1360">
            <v>19.896352707573726</v>
          </cell>
          <cell r="P1360">
            <v>74785</v>
          </cell>
          <cell r="Q1360">
            <v>982857.3578982891</v>
          </cell>
          <cell r="R1360">
            <v>180477.72390106609</v>
          </cell>
          <cell r="S1360">
            <v>60894.518359875685</v>
          </cell>
          <cell r="U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74785</v>
          </cell>
        </row>
        <row r="1361">
          <cell r="C1361" t="str">
            <v>A0411</v>
          </cell>
          <cell r="D1361" t="str">
            <v>PT Toyota Astra Financial Services</v>
          </cell>
          <cell r="E1361" t="str">
            <v>LL</v>
          </cell>
          <cell r="F1361" t="str">
            <v>113LL</v>
          </cell>
          <cell r="G1361">
            <v>0.1</v>
          </cell>
          <cell r="I1361">
            <v>0.09</v>
          </cell>
          <cell r="J1361">
            <v>9.7300412986133136</v>
          </cell>
          <cell r="K1361">
            <v>19.896352707573726</v>
          </cell>
          <cell r="P1361">
            <v>871647</v>
          </cell>
          <cell r="Q1361">
            <v>2312714.3656576024</v>
          </cell>
          <cell r="R1361">
            <v>624705.01002245909</v>
          </cell>
          <cell r="S1361">
            <v>224737.01538576308</v>
          </cell>
          <cell r="U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871647</v>
          </cell>
        </row>
        <row r="1362">
          <cell r="C1362" t="str">
            <v>A0411</v>
          </cell>
          <cell r="D1362" t="str">
            <v>PT Toyota Astra Financial Services</v>
          </cell>
          <cell r="E1362" t="str">
            <v>PMK</v>
          </cell>
          <cell r="F1362" t="str">
            <v>113PMK</v>
          </cell>
          <cell r="G1362">
            <v>0.1</v>
          </cell>
          <cell r="I1362">
            <v>0.09</v>
          </cell>
          <cell r="J1362">
            <v>9.7300412986133136</v>
          </cell>
          <cell r="K1362">
            <v>19.896352707573726</v>
          </cell>
          <cell r="P1362">
            <v>187310</v>
          </cell>
          <cell r="Q1362">
            <v>544052.73538655625</v>
          </cell>
          <cell r="R1362">
            <v>160949.97549113969</v>
          </cell>
          <cell r="S1362">
            <v>29750</v>
          </cell>
          <cell r="U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187310</v>
          </cell>
        </row>
        <row r="1364">
          <cell r="C1364" t="str">
            <v>A0150</v>
          </cell>
          <cell r="D1364" t="str">
            <v>PT Traktor Nusantara</v>
          </cell>
          <cell r="E1364" t="str">
            <v>PEB 1</v>
          </cell>
          <cell r="F1364" t="str">
            <v>114PEB 1</v>
          </cell>
          <cell r="G1364">
            <v>0.1</v>
          </cell>
          <cell r="H1364">
            <v>0.1</v>
          </cell>
          <cell r="I1364">
            <v>0.09</v>
          </cell>
          <cell r="J1364">
            <v>7.8608745917347305</v>
          </cell>
          <cell r="K1364">
            <v>8.3315882794438885</v>
          </cell>
          <cell r="L1364">
            <v>972490</v>
          </cell>
          <cell r="N1364">
            <v>1920931.9708533823</v>
          </cell>
          <cell r="O1364">
            <v>260304.24380669615</v>
          </cell>
          <cell r="P1364">
            <v>16210666</v>
          </cell>
          <cell r="Q1364">
            <v>20767441.961411282</v>
          </cell>
          <cell r="R1364">
            <v>895314.3335862892</v>
          </cell>
          <cell r="S1364">
            <v>270934.56600770162</v>
          </cell>
          <cell r="U1364">
            <v>-10033603</v>
          </cell>
          <cell r="V1364">
            <v>18743037.16131667</v>
          </cell>
          <cell r="W1364">
            <v>-5562982</v>
          </cell>
          <cell r="X1364">
            <v>0</v>
          </cell>
          <cell r="Y1364">
            <v>0</v>
          </cell>
          <cell r="Z1364">
            <v>614081</v>
          </cell>
          <cell r="AB1364">
            <v>0.1</v>
          </cell>
          <cell r="AC1364">
            <v>0</v>
          </cell>
          <cell r="AD1364">
            <v>0.09</v>
          </cell>
          <cell r="AE1364">
            <v>10.550438377243129</v>
          </cell>
          <cell r="AF1364">
            <v>16.909114216920749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7042860</v>
          </cell>
          <cell r="AL1364">
            <v>7822922.1384585416</v>
          </cell>
          <cell r="AM1364">
            <v>491667.13053549576</v>
          </cell>
          <cell r="AN1364">
            <v>35795.599999999999</v>
          </cell>
          <cell r="AO1364">
            <v>0</v>
          </cell>
          <cell r="AP1364">
            <v>0</v>
          </cell>
          <cell r="AQ1364">
            <v>0</v>
          </cell>
          <cell r="AR1364">
            <v>-83994</v>
          </cell>
          <cell r="AS1364">
            <v>-3177024</v>
          </cell>
          <cell r="AT1364">
            <v>207704</v>
          </cell>
          <cell r="AU1364">
            <v>3781842</v>
          </cell>
          <cell r="AW1364">
            <v>0.1</v>
          </cell>
          <cell r="AX1364">
            <v>0</v>
          </cell>
          <cell r="AY1364">
            <v>0.09</v>
          </cell>
          <cell r="AZ1364">
            <v>7.8608745917347305</v>
          </cell>
          <cell r="BA1364">
            <v>8.3315882794438885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216645</v>
          </cell>
          <cell r="BG1364">
            <v>1372619.7166060782</v>
          </cell>
          <cell r="BH1364">
            <v>67890.05066618447</v>
          </cell>
          <cell r="BI1364">
            <v>14659.318240000008</v>
          </cell>
          <cell r="BJ1364">
            <v>0</v>
          </cell>
          <cell r="BK1364">
            <v>0</v>
          </cell>
          <cell r="BL1364">
            <v>0</v>
          </cell>
          <cell r="BM1364">
            <v>600750</v>
          </cell>
          <cell r="BN1364">
            <v>-801238</v>
          </cell>
          <cell r="BO1364">
            <v>52383</v>
          </cell>
          <cell r="BP1364">
            <v>16157</v>
          </cell>
          <cell r="BR1364">
            <v>0.1</v>
          </cell>
          <cell r="BS1364">
            <v>0</v>
          </cell>
          <cell r="BT1364">
            <v>0.09</v>
          </cell>
          <cell r="BU1364">
            <v>9.9086859655015491</v>
          </cell>
          <cell r="BV1364">
            <v>19.50836450100465</v>
          </cell>
          <cell r="BW1364">
            <v>0</v>
          </cell>
          <cell r="BX1364">
            <v>0</v>
          </cell>
          <cell r="BY1364">
            <v>0</v>
          </cell>
          <cell r="BZ1364">
            <v>0</v>
          </cell>
          <cell r="CA1364">
            <v>2377827</v>
          </cell>
          <cell r="CB1364">
            <v>2892371.4114401783</v>
          </cell>
          <cell r="CC1364">
            <v>352065.03420082584</v>
          </cell>
          <cell r="CD1364">
            <v>61142.994013271869</v>
          </cell>
          <cell r="CE1364">
            <v>0</v>
          </cell>
          <cell r="CF1364">
            <v>0</v>
          </cell>
          <cell r="CG1364">
            <v>0</v>
          </cell>
          <cell r="CH1364">
            <v>-982196</v>
          </cell>
          <cell r="CI1364">
            <v>-354035</v>
          </cell>
          <cell r="CJ1364">
            <v>17762</v>
          </cell>
          <cell r="CK1364">
            <v>1041596</v>
          </cell>
          <cell r="CM1364">
            <v>0</v>
          </cell>
          <cell r="CN1364">
            <v>0</v>
          </cell>
          <cell r="CO1364">
            <v>0</v>
          </cell>
          <cell r="CP1364">
            <v>0</v>
          </cell>
          <cell r="CQ1364">
            <v>0</v>
          </cell>
          <cell r="CR1364">
            <v>0</v>
          </cell>
          <cell r="CS1364">
            <v>0</v>
          </cell>
          <cell r="CT1364">
            <v>0</v>
          </cell>
          <cell r="CU1364">
            <v>0</v>
          </cell>
          <cell r="CV1364">
            <v>0</v>
          </cell>
          <cell r="CW1364">
            <v>0</v>
          </cell>
          <cell r="CX1364">
            <v>0</v>
          </cell>
          <cell r="CY1364">
            <v>0</v>
          </cell>
          <cell r="CZ1364">
            <v>0</v>
          </cell>
          <cell r="DA1364">
            <v>0</v>
          </cell>
          <cell r="DB1364">
            <v>0</v>
          </cell>
          <cell r="DC1364">
            <v>0</v>
          </cell>
          <cell r="DD1364">
            <v>0</v>
          </cell>
          <cell r="DE1364">
            <v>0</v>
          </cell>
          <cell r="DF1364">
            <v>0</v>
          </cell>
          <cell r="DH1364">
            <v>0</v>
          </cell>
          <cell r="DI1364">
            <v>0</v>
          </cell>
          <cell r="DJ1364">
            <v>0</v>
          </cell>
          <cell r="DK1364">
            <v>0</v>
          </cell>
          <cell r="DL1364">
            <v>0</v>
          </cell>
          <cell r="DM1364">
            <v>0</v>
          </cell>
          <cell r="DN1364">
            <v>0</v>
          </cell>
          <cell r="DO1364">
            <v>0</v>
          </cell>
          <cell r="DP1364">
            <v>0</v>
          </cell>
          <cell r="DQ1364">
            <v>0</v>
          </cell>
          <cell r="DR1364">
            <v>0</v>
          </cell>
          <cell r="DS1364">
            <v>0</v>
          </cell>
          <cell r="DT1364">
            <v>0</v>
          </cell>
          <cell r="DU1364">
            <v>0</v>
          </cell>
          <cell r="DV1364">
            <v>0</v>
          </cell>
          <cell r="DW1364">
            <v>0</v>
          </cell>
          <cell r="DX1364">
            <v>0</v>
          </cell>
          <cell r="DY1364">
            <v>0</v>
          </cell>
          <cell r="DZ1364">
            <v>0</v>
          </cell>
          <cell r="EA1364">
            <v>0</v>
          </cell>
          <cell r="EC1364">
            <v>0.1</v>
          </cell>
          <cell r="ED1364">
            <v>0</v>
          </cell>
          <cell r="EE1364">
            <v>0.09</v>
          </cell>
          <cell r="EF1364">
            <v>10.550438377243129</v>
          </cell>
          <cell r="EG1364">
            <v>16.909114216920749</v>
          </cell>
          <cell r="EH1364">
            <v>0</v>
          </cell>
          <cell r="EI1364">
            <v>0</v>
          </cell>
          <cell r="EJ1364">
            <v>0</v>
          </cell>
          <cell r="EK1364">
            <v>0</v>
          </cell>
          <cell r="EL1364">
            <v>635263</v>
          </cell>
          <cell r="EM1364">
            <v>461330.98021058249</v>
          </cell>
          <cell r="EN1364">
            <v>47725.209842890989</v>
          </cell>
          <cell r="EO1364">
            <v>58564.062832949654</v>
          </cell>
          <cell r="EP1364">
            <v>0</v>
          </cell>
          <cell r="EQ1364">
            <v>0</v>
          </cell>
          <cell r="ER1364">
            <v>0</v>
          </cell>
          <cell r="ES1364">
            <v>-605988</v>
          </cell>
          <cell r="ET1364">
            <v>0</v>
          </cell>
          <cell r="EU1364">
            <v>0</v>
          </cell>
          <cell r="EV1364">
            <v>29275</v>
          </cell>
          <cell r="EX1364">
            <v>0.1</v>
          </cell>
          <cell r="EY1364">
            <v>0</v>
          </cell>
          <cell r="EZ1364">
            <v>0.09</v>
          </cell>
          <cell r="FA1364">
            <v>0</v>
          </cell>
          <cell r="FB1364">
            <v>16.909114216920749</v>
          </cell>
          <cell r="FC1364">
            <v>0</v>
          </cell>
          <cell r="FD1364">
            <v>0</v>
          </cell>
          <cell r="FE1364">
            <v>0</v>
          </cell>
          <cell r="FF1364">
            <v>0</v>
          </cell>
          <cell r="FG1364">
            <v>0</v>
          </cell>
          <cell r="FH1364">
            <v>2369812.8434890835</v>
          </cell>
          <cell r="FI1364">
            <v>149595.41881239647</v>
          </cell>
          <cell r="FJ1364">
            <v>10738.68</v>
          </cell>
          <cell r="FK1364">
            <v>0</v>
          </cell>
          <cell r="FL1364">
            <v>0</v>
          </cell>
          <cell r="FM1364">
            <v>0</v>
          </cell>
          <cell r="FN1364">
            <v>0</v>
          </cell>
          <cell r="FO1364">
            <v>0</v>
          </cell>
          <cell r="FP1364">
            <v>0</v>
          </cell>
          <cell r="FQ1364">
            <v>0</v>
          </cell>
          <cell r="FS1364">
            <v>0.1</v>
          </cell>
          <cell r="FT1364">
            <v>0</v>
          </cell>
          <cell r="FU1364">
            <v>0.09</v>
          </cell>
          <cell r="FV1364">
            <v>10.550438377243129</v>
          </cell>
          <cell r="FW1364">
            <v>16.909114216920749</v>
          </cell>
          <cell r="FX1364">
            <v>0</v>
          </cell>
          <cell r="FY1364">
            <v>0</v>
          </cell>
          <cell r="FZ1364">
            <v>0</v>
          </cell>
          <cell r="GA1364">
            <v>0</v>
          </cell>
          <cell r="GB1364">
            <v>150838</v>
          </cell>
          <cell r="GC1364">
            <v>1881578.3308021713</v>
          </cell>
          <cell r="GD1364">
            <v>158549.64355797938</v>
          </cell>
          <cell r="GE1364">
            <v>179155.31508050443</v>
          </cell>
          <cell r="GF1364">
            <v>0</v>
          </cell>
          <cell r="GG1364">
            <v>0</v>
          </cell>
          <cell r="GH1364">
            <v>0</v>
          </cell>
          <cell r="GI1364">
            <v>0</v>
          </cell>
          <cell r="GJ1364">
            <v>0</v>
          </cell>
          <cell r="GK1364">
            <v>0</v>
          </cell>
          <cell r="GL1364">
            <v>150838</v>
          </cell>
          <cell r="GN1364">
            <v>0.1</v>
          </cell>
          <cell r="GO1364">
            <v>0</v>
          </cell>
          <cell r="GP1364">
            <v>0.09</v>
          </cell>
          <cell r="GQ1364">
            <v>10.550438377243129</v>
          </cell>
          <cell r="GR1364">
            <v>16.909114216920749</v>
          </cell>
          <cell r="GS1364">
            <v>0</v>
          </cell>
          <cell r="GT1364">
            <v>0</v>
          </cell>
          <cell r="GU1364">
            <v>0</v>
          </cell>
          <cell r="GV1364">
            <v>0</v>
          </cell>
          <cell r="GW1364">
            <v>1852323</v>
          </cell>
          <cell r="GX1364">
            <v>1818708</v>
          </cell>
          <cell r="GY1364">
            <v>651767</v>
          </cell>
          <cell r="GZ1364">
            <v>726547</v>
          </cell>
          <cell r="HA1364">
            <v>0</v>
          </cell>
          <cell r="HB1364">
            <v>0</v>
          </cell>
          <cell r="HC1364">
            <v>0</v>
          </cell>
          <cell r="HD1364">
            <v>0</v>
          </cell>
          <cell r="HE1364">
            <v>0</v>
          </cell>
          <cell r="HF1364">
            <v>0</v>
          </cell>
          <cell r="HG1364">
            <v>1852323</v>
          </cell>
          <cell r="HI1364">
            <v>0.1</v>
          </cell>
          <cell r="HJ1364">
            <v>0</v>
          </cell>
          <cell r="HK1364">
            <v>0.09</v>
          </cell>
          <cell r="HL1364">
            <v>10.550438377243129</v>
          </cell>
          <cell r="HM1364">
            <v>16.909114216920749</v>
          </cell>
          <cell r="HN1364">
            <v>0</v>
          </cell>
          <cell r="HO1364">
            <v>0</v>
          </cell>
          <cell r="HP1364">
            <v>0</v>
          </cell>
          <cell r="HQ1364">
            <v>0</v>
          </cell>
          <cell r="HR1364">
            <v>1579075</v>
          </cell>
          <cell r="HS1364">
            <v>2213814.0601168261</v>
          </cell>
          <cell r="HT1364">
            <v>312167.4921730631</v>
          </cell>
          <cell r="HU1364">
            <v>297169.75</v>
          </cell>
          <cell r="HV1364">
            <v>0</v>
          </cell>
          <cell r="HW1364">
            <v>0</v>
          </cell>
          <cell r="HX1364">
            <v>0</v>
          </cell>
          <cell r="HY1364">
            <v>0</v>
          </cell>
          <cell r="HZ1364">
            <v>0</v>
          </cell>
          <cell r="IA1364">
            <v>0</v>
          </cell>
          <cell r="IB1364">
            <v>1579075</v>
          </cell>
        </row>
        <row r="1365">
          <cell r="C1365" t="str">
            <v>A0150</v>
          </cell>
          <cell r="D1365" t="str">
            <v>PT Traktor Nusantara</v>
          </cell>
          <cell r="E1365" t="str">
            <v>PEB 2</v>
          </cell>
          <cell r="F1365" t="str">
            <v>114PEB 2</v>
          </cell>
          <cell r="G1365">
            <v>0.1</v>
          </cell>
          <cell r="I1365">
            <v>0.09</v>
          </cell>
          <cell r="J1365">
            <v>10.550438377243129</v>
          </cell>
          <cell r="K1365">
            <v>16.909114216920749</v>
          </cell>
          <cell r="P1365">
            <v>7042860</v>
          </cell>
          <cell r="Q1365">
            <v>7822922.1384585416</v>
          </cell>
          <cell r="R1365">
            <v>491667.13053549576</v>
          </cell>
          <cell r="S1365">
            <v>35795.599999999999</v>
          </cell>
          <cell r="U1365">
            <v>0</v>
          </cell>
          <cell r="W1365">
            <v>-83994</v>
          </cell>
          <cell r="X1365">
            <v>-3177024</v>
          </cell>
          <cell r="Y1365">
            <v>207704</v>
          </cell>
          <cell r="Z1365">
            <v>3781842</v>
          </cell>
        </row>
        <row r="1366">
          <cell r="C1366" t="str">
            <v>A0150</v>
          </cell>
          <cell r="D1366" t="str">
            <v>PT Traktor Nusantara</v>
          </cell>
          <cell r="E1366" t="str">
            <v>PEB 3</v>
          </cell>
          <cell r="F1366" t="str">
            <v>114PEB 3</v>
          </cell>
          <cell r="G1366">
            <v>0.1</v>
          </cell>
          <cell r="I1366">
            <v>0.09</v>
          </cell>
          <cell r="J1366">
            <v>7.8608745917347305</v>
          </cell>
          <cell r="K1366">
            <v>8.3315882794438885</v>
          </cell>
          <cell r="P1366">
            <v>216645</v>
          </cell>
          <cell r="Q1366">
            <v>1372619.7166060782</v>
          </cell>
          <cell r="R1366">
            <v>67890.05066618447</v>
          </cell>
          <cell r="S1366">
            <v>14659.318240000008</v>
          </cell>
          <cell r="U1366">
            <v>0</v>
          </cell>
          <cell r="W1366">
            <v>600750</v>
          </cell>
          <cell r="X1366">
            <v>-801238</v>
          </cell>
          <cell r="Y1366">
            <v>52383</v>
          </cell>
          <cell r="Z1366">
            <v>16157</v>
          </cell>
        </row>
        <row r="1367">
          <cell r="C1367" t="str">
            <v>A0150</v>
          </cell>
          <cell r="D1367" t="str">
            <v>PT Traktor Nusantara</v>
          </cell>
          <cell r="E1367" t="str">
            <v>PEB 4</v>
          </cell>
          <cell r="F1367" t="str">
            <v>114PEB 4</v>
          </cell>
          <cell r="G1367">
            <v>0.1</v>
          </cell>
          <cell r="I1367">
            <v>0.09</v>
          </cell>
          <cell r="J1367">
            <v>9.9086859655015491</v>
          </cell>
          <cell r="K1367">
            <v>19.50836450100465</v>
          </cell>
          <cell r="P1367">
            <v>2377827</v>
          </cell>
          <cell r="Q1367">
            <v>2892371.4114401783</v>
          </cell>
          <cell r="R1367">
            <v>352065.03420082584</v>
          </cell>
          <cell r="S1367">
            <v>61142.994013271869</v>
          </cell>
          <cell r="U1367">
            <v>0</v>
          </cell>
          <cell r="W1367">
            <v>-982196</v>
          </cell>
          <cell r="X1367">
            <v>-354035</v>
          </cell>
          <cell r="Y1367">
            <v>17762</v>
          </cell>
          <cell r="Z1367">
            <v>1041596</v>
          </cell>
        </row>
        <row r="1368">
          <cell r="C1368" t="str">
            <v>A0150</v>
          </cell>
          <cell r="D1368" t="str">
            <v>PT Traktor Nusantara</v>
          </cell>
          <cell r="E1368" t="str">
            <v>PEB 5</v>
          </cell>
          <cell r="F1368" t="str">
            <v>114PEB 5</v>
          </cell>
          <cell r="P1368">
            <v>0</v>
          </cell>
          <cell r="U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</row>
        <row r="1369">
          <cell r="C1369" t="str">
            <v>A0150</v>
          </cell>
          <cell r="D1369" t="str">
            <v>PT Traktor Nusantara</v>
          </cell>
          <cell r="E1369" t="str">
            <v>PEB 6</v>
          </cell>
          <cell r="F1369" t="str">
            <v>114PEB 6</v>
          </cell>
          <cell r="P1369">
            <v>0</v>
          </cell>
          <cell r="U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</row>
        <row r="1370">
          <cell r="C1370" t="str">
            <v>A0150</v>
          </cell>
          <cell r="D1370" t="str">
            <v>PT Traktor Nusantara</v>
          </cell>
          <cell r="E1370" t="str">
            <v>PEB 7</v>
          </cell>
          <cell r="F1370" t="str">
            <v>114PEB 7</v>
          </cell>
          <cell r="G1370">
            <v>0.1</v>
          </cell>
          <cell r="I1370">
            <v>0.09</v>
          </cell>
          <cell r="J1370">
            <v>10.550438377243129</v>
          </cell>
          <cell r="K1370">
            <v>16.909114216920749</v>
          </cell>
          <cell r="P1370">
            <v>635263</v>
          </cell>
          <cell r="Q1370">
            <v>461330.98021058249</v>
          </cell>
          <cell r="R1370">
            <v>47725.209842890989</v>
          </cell>
          <cell r="S1370">
            <v>58564.062832949654</v>
          </cell>
          <cell r="U1370">
            <v>0</v>
          </cell>
          <cell r="W1370">
            <v>-605988</v>
          </cell>
          <cell r="X1370">
            <v>0</v>
          </cell>
          <cell r="Y1370">
            <v>0</v>
          </cell>
          <cell r="Z1370">
            <v>29275</v>
          </cell>
        </row>
        <row r="1371">
          <cell r="C1371" t="str">
            <v>A0150</v>
          </cell>
          <cell r="D1371" t="str">
            <v>PT Traktor Nusantara</v>
          </cell>
          <cell r="E1371" t="str">
            <v>MPP</v>
          </cell>
          <cell r="F1371" t="str">
            <v>114MPP</v>
          </cell>
          <cell r="G1371">
            <v>0.1</v>
          </cell>
          <cell r="I1371">
            <v>0.09</v>
          </cell>
          <cell r="J1371">
            <v>0</v>
          </cell>
          <cell r="K1371">
            <v>16.909114216920749</v>
          </cell>
          <cell r="P1371">
            <v>0</v>
          </cell>
          <cell r="Q1371">
            <v>2369812.8434890835</v>
          </cell>
          <cell r="R1371">
            <v>149595.41881239647</v>
          </cell>
          <cell r="S1371">
            <v>10738.68</v>
          </cell>
          <cell r="U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</row>
        <row r="1372">
          <cell r="C1372" t="str">
            <v>A0150</v>
          </cell>
          <cell r="D1372" t="str">
            <v>PT Traktor Nusantara</v>
          </cell>
          <cell r="E1372" t="str">
            <v>ID</v>
          </cell>
          <cell r="F1372" t="str">
            <v>114ID</v>
          </cell>
          <cell r="G1372">
            <v>0.1</v>
          </cell>
          <cell r="I1372">
            <v>0.09</v>
          </cell>
          <cell r="J1372">
            <v>10.550438377243129</v>
          </cell>
          <cell r="K1372">
            <v>16.909114216920749</v>
          </cell>
          <cell r="P1372">
            <v>150838</v>
          </cell>
          <cell r="Q1372">
            <v>1881578.3308021713</v>
          </cell>
          <cell r="R1372">
            <v>158549.64355797938</v>
          </cell>
          <cell r="S1372">
            <v>179155.31508050443</v>
          </cell>
          <cell r="U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150838</v>
          </cell>
        </row>
        <row r="1373">
          <cell r="C1373" t="str">
            <v>A0150</v>
          </cell>
          <cell r="D1373" t="str">
            <v>PT Traktor Nusantara</v>
          </cell>
          <cell r="E1373" t="str">
            <v>LL</v>
          </cell>
          <cell r="F1373" t="str">
            <v>114LL</v>
          </cell>
          <cell r="G1373">
            <v>0.1</v>
          </cell>
          <cell r="I1373">
            <v>0.09</v>
          </cell>
          <cell r="J1373">
            <v>10.550438377243129</v>
          </cell>
          <cell r="K1373">
            <v>16.909114216920749</v>
          </cell>
          <cell r="P1373">
            <v>1852323</v>
          </cell>
          <cell r="Q1373">
            <v>1818708</v>
          </cell>
          <cell r="R1373">
            <v>651767</v>
          </cell>
          <cell r="S1373">
            <v>726547</v>
          </cell>
          <cell r="U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1852323</v>
          </cell>
        </row>
        <row r="1374">
          <cell r="C1374" t="str">
            <v>A0150</v>
          </cell>
          <cell r="D1374" t="str">
            <v>PT Traktor Nusantara</v>
          </cell>
          <cell r="E1374" t="str">
            <v>PMK</v>
          </cell>
          <cell r="F1374" t="str">
            <v>114PMK</v>
          </cell>
          <cell r="G1374">
            <v>0.1</v>
          </cell>
          <cell r="I1374">
            <v>0.09</v>
          </cell>
          <cell r="J1374">
            <v>10.550438377243129</v>
          </cell>
          <cell r="K1374">
            <v>16.909114216920749</v>
          </cell>
          <cell r="P1374">
            <v>1579075</v>
          </cell>
          <cell r="Q1374">
            <v>2213814.0601168261</v>
          </cell>
          <cell r="R1374">
            <v>312167.4921730631</v>
          </cell>
          <cell r="S1374">
            <v>297169.75</v>
          </cell>
          <cell r="U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1579075</v>
          </cell>
        </row>
        <row r="1376">
          <cell r="C1376" t="str">
            <v>A0151</v>
          </cell>
          <cell r="D1376" t="str">
            <v>Dana Pensiun Astra</v>
          </cell>
          <cell r="E1376" t="str">
            <v>PEB 1</v>
          </cell>
          <cell r="F1376" t="str">
            <v>115PEB 1</v>
          </cell>
          <cell r="N1376">
            <v>0</v>
          </cell>
          <cell r="O1376">
            <v>0</v>
          </cell>
          <cell r="V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  <cell r="BX1376">
            <v>0</v>
          </cell>
          <cell r="BY1376">
            <v>0</v>
          </cell>
          <cell r="BZ1376">
            <v>0</v>
          </cell>
          <cell r="CA1376">
            <v>0</v>
          </cell>
          <cell r="CB1376">
            <v>0</v>
          </cell>
          <cell r="CC1376">
            <v>0</v>
          </cell>
          <cell r="CD1376">
            <v>0</v>
          </cell>
          <cell r="CE1376">
            <v>0</v>
          </cell>
          <cell r="CF1376">
            <v>0</v>
          </cell>
          <cell r="CG1376">
            <v>0</v>
          </cell>
          <cell r="CH1376">
            <v>0</v>
          </cell>
          <cell r="CI1376">
            <v>0</v>
          </cell>
          <cell r="CJ1376">
            <v>0</v>
          </cell>
          <cell r="CK1376">
            <v>0</v>
          </cell>
          <cell r="CM1376">
            <v>0</v>
          </cell>
          <cell r="CN1376">
            <v>0</v>
          </cell>
          <cell r="CO1376">
            <v>0</v>
          </cell>
          <cell r="CP1376">
            <v>0</v>
          </cell>
          <cell r="CQ1376">
            <v>0</v>
          </cell>
          <cell r="CR1376">
            <v>0</v>
          </cell>
          <cell r="CS1376">
            <v>0</v>
          </cell>
          <cell r="CT1376">
            <v>0</v>
          </cell>
          <cell r="CU1376">
            <v>0</v>
          </cell>
          <cell r="CV1376">
            <v>0</v>
          </cell>
          <cell r="CW1376">
            <v>0</v>
          </cell>
          <cell r="CX1376">
            <v>0</v>
          </cell>
          <cell r="CY1376">
            <v>0</v>
          </cell>
          <cell r="CZ1376">
            <v>0</v>
          </cell>
          <cell r="DA1376">
            <v>0</v>
          </cell>
          <cell r="DB1376">
            <v>0</v>
          </cell>
          <cell r="DC1376">
            <v>0</v>
          </cell>
          <cell r="DD1376">
            <v>0</v>
          </cell>
          <cell r="DE1376">
            <v>0</v>
          </cell>
          <cell r="DF1376">
            <v>0</v>
          </cell>
          <cell r="DH1376">
            <v>0</v>
          </cell>
          <cell r="DI1376">
            <v>0</v>
          </cell>
          <cell r="DJ1376">
            <v>0</v>
          </cell>
          <cell r="DK1376">
            <v>0</v>
          </cell>
          <cell r="DL1376">
            <v>0</v>
          </cell>
          <cell r="DM1376">
            <v>0</v>
          </cell>
          <cell r="DN1376">
            <v>0</v>
          </cell>
          <cell r="DO1376">
            <v>0</v>
          </cell>
          <cell r="DP1376">
            <v>0</v>
          </cell>
          <cell r="DQ1376">
            <v>0</v>
          </cell>
          <cell r="DR1376">
            <v>0</v>
          </cell>
          <cell r="DS1376">
            <v>0</v>
          </cell>
          <cell r="DT1376">
            <v>0</v>
          </cell>
          <cell r="DU1376">
            <v>0</v>
          </cell>
          <cell r="DV1376">
            <v>0</v>
          </cell>
          <cell r="DW1376">
            <v>0</v>
          </cell>
          <cell r="DX1376">
            <v>0</v>
          </cell>
          <cell r="DY1376">
            <v>0</v>
          </cell>
          <cell r="DZ1376">
            <v>0</v>
          </cell>
          <cell r="EA1376">
            <v>0</v>
          </cell>
          <cell r="EC1376">
            <v>0</v>
          </cell>
          <cell r="ED1376">
            <v>0</v>
          </cell>
          <cell r="EE1376">
            <v>0</v>
          </cell>
          <cell r="EF1376">
            <v>0</v>
          </cell>
          <cell r="EG1376">
            <v>0</v>
          </cell>
          <cell r="EH1376">
            <v>0</v>
          </cell>
          <cell r="EI1376">
            <v>0</v>
          </cell>
          <cell r="EJ1376">
            <v>0</v>
          </cell>
          <cell r="EK1376">
            <v>0</v>
          </cell>
          <cell r="EL1376">
            <v>0</v>
          </cell>
          <cell r="EM1376">
            <v>0</v>
          </cell>
          <cell r="EN1376">
            <v>0</v>
          </cell>
          <cell r="EO1376">
            <v>0</v>
          </cell>
          <cell r="EP1376">
            <v>0</v>
          </cell>
          <cell r="EQ1376">
            <v>0</v>
          </cell>
          <cell r="ER1376">
            <v>0</v>
          </cell>
          <cell r="ES1376">
            <v>0</v>
          </cell>
          <cell r="ET1376">
            <v>0</v>
          </cell>
          <cell r="EU1376">
            <v>0</v>
          </cell>
          <cell r="EV1376">
            <v>0</v>
          </cell>
          <cell r="EX1376">
            <v>0</v>
          </cell>
          <cell r="EY1376">
            <v>0</v>
          </cell>
          <cell r="EZ1376">
            <v>0</v>
          </cell>
          <cell r="FA1376">
            <v>0</v>
          </cell>
          <cell r="FB1376">
            <v>0</v>
          </cell>
          <cell r="FC1376">
            <v>0</v>
          </cell>
          <cell r="FD1376">
            <v>0</v>
          </cell>
          <cell r="FE1376">
            <v>0</v>
          </cell>
          <cell r="FF1376">
            <v>0</v>
          </cell>
          <cell r="FG1376">
            <v>0</v>
          </cell>
          <cell r="FH1376">
            <v>0</v>
          </cell>
          <cell r="FI1376">
            <v>0</v>
          </cell>
          <cell r="FJ1376">
            <v>0</v>
          </cell>
          <cell r="FK1376">
            <v>0</v>
          </cell>
          <cell r="FL1376">
            <v>0</v>
          </cell>
          <cell r="FM1376">
            <v>0</v>
          </cell>
          <cell r="FN1376">
            <v>0</v>
          </cell>
          <cell r="FO1376">
            <v>0</v>
          </cell>
          <cell r="FP1376">
            <v>0</v>
          </cell>
          <cell r="FQ1376">
            <v>0</v>
          </cell>
          <cell r="FS1376">
            <v>0</v>
          </cell>
          <cell r="FT1376">
            <v>0</v>
          </cell>
          <cell r="FU1376">
            <v>0</v>
          </cell>
          <cell r="FV1376">
            <v>0</v>
          </cell>
          <cell r="FW1376">
            <v>0</v>
          </cell>
          <cell r="FX1376">
            <v>0</v>
          </cell>
          <cell r="FY1376">
            <v>0</v>
          </cell>
          <cell r="FZ1376">
            <v>0</v>
          </cell>
          <cell r="GA1376">
            <v>0</v>
          </cell>
          <cell r="GB1376">
            <v>0</v>
          </cell>
          <cell r="GC1376">
            <v>0</v>
          </cell>
          <cell r="GD1376">
            <v>0</v>
          </cell>
          <cell r="GE1376">
            <v>0</v>
          </cell>
          <cell r="GF1376">
            <v>0</v>
          </cell>
          <cell r="GG1376">
            <v>0</v>
          </cell>
          <cell r="GH1376">
            <v>0</v>
          </cell>
          <cell r="GI1376">
            <v>0</v>
          </cell>
          <cell r="GJ1376">
            <v>0</v>
          </cell>
          <cell r="GK1376">
            <v>0</v>
          </cell>
          <cell r="GL1376">
            <v>0</v>
          </cell>
          <cell r="GN1376">
            <v>0</v>
          </cell>
          <cell r="GO1376">
            <v>0</v>
          </cell>
          <cell r="GP1376">
            <v>0</v>
          </cell>
          <cell r="GQ1376">
            <v>0</v>
          </cell>
          <cell r="GR1376">
            <v>0</v>
          </cell>
          <cell r="GS1376">
            <v>0</v>
          </cell>
          <cell r="GT1376">
            <v>0</v>
          </cell>
          <cell r="GU1376">
            <v>0</v>
          </cell>
          <cell r="GV1376">
            <v>0</v>
          </cell>
          <cell r="GW1376">
            <v>0</v>
          </cell>
          <cell r="GX1376">
            <v>0</v>
          </cell>
          <cell r="GY1376">
            <v>0</v>
          </cell>
          <cell r="GZ1376">
            <v>0</v>
          </cell>
          <cell r="HA1376">
            <v>0</v>
          </cell>
          <cell r="HB1376">
            <v>0</v>
          </cell>
          <cell r="HC1376">
            <v>0</v>
          </cell>
          <cell r="HD1376">
            <v>0</v>
          </cell>
          <cell r="HE1376">
            <v>0</v>
          </cell>
          <cell r="HF1376">
            <v>0</v>
          </cell>
          <cell r="HG1376">
            <v>0</v>
          </cell>
          <cell r="HI1376">
            <v>0</v>
          </cell>
          <cell r="HJ1376">
            <v>0</v>
          </cell>
          <cell r="HK1376">
            <v>0</v>
          </cell>
          <cell r="HL1376">
            <v>0</v>
          </cell>
          <cell r="HM1376">
            <v>0</v>
          </cell>
          <cell r="HN1376">
            <v>0</v>
          </cell>
          <cell r="HO1376">
            <v>0</v>
          </cell>
          <cell r="HP1376">
            <v>0</v>
          </cell>
          <cell r="HQ1376">
            <v>0</v>
          </cell>
          <cell r="HR1376">
            <v>0</v>
          </cell>
          <cell r="HS1376">
            <v>0</v>
          </cell>
          <cell r="HT1376">
            <v>0</v>
          </cell>
          <cell r="HU1376">
            <v>0</v>
          </cell>
          <cell r="HV1376">
            <v>0</v>
          </cell>
          <cell r="HW1376">
            <v>0</v>
          </cell>
          <cell r="HX1376">
            <v>0</v>
          </cell>
          <cell r="HY1376">
            <v>0</v>
          </cell>
          <cell r="HZ1376">
            <v>0</v>
          </cell>
          <cell r="IA1376">
            <v>0</v>
          </cell>
          <cell r="IB1376">
            <v>0</v>
          </cell>
        </row>
        <row r="1377">
          <cell r="C1377" t="str">
            <v>A0151</v>
          </cell>
          <cell r="D1377" t="str">
            <v>Dana Pensiun Astra</v>
          </cell>
          <cell r="E1377" t="str">
            <v>PEB 2</v>
          </cell>
          <cell r="F1377" t="str">
            <v>115PEB 2</v>
          </cell>
        </row>
        <row r="1378">
          <cell r="C1378" t="str">
            <v>A0151</v>
          </cell>
          <cell r="D1378" t="str">
            <v>Dana Pensiun Astra</v>
          </cell>
          <cell r="E1378" t="str">
            <v>PEB 3</v>
          </cell>
          <cell r="F1378" t="str">
            <v>115PEB 3</v>
          </cell>
        </row>
        <row r="1379">
          <cell r="C1379" t="str">
            <v>A0151</v>
          </cell>
          <cell r="D1379" t="str">
            <v>Dana Pensiun Astra</v>
          </cell>
          <cell r="E1379" t="str">
            <v>PEB 4</v>
          </cell>
          <cell r="F1379" t="str">
            <v>115PEB 4</v>
          </cell>
        </row>
        <row r="1380">
          <cell r="C1380" t="str">
            <v>A0151</v>
          </cell>
          <cell r="D1380" t="str">
            <v>Dana Pensiun Astra</v>
          </cell>
          <cell r="E1380" t="str">
            <v>PEB 5</v>
          </cell>
          <cell r="F1380" t="str">
            <v>115PEB 5</v>
          </cell>
        </row>
        <row r="1381">
          <cell r="C1381" t="str">
            <v>A0151</v>
          </cell>
          <cell r="D1381" t="str">
            <v>Dana Pensiun Astra</v>
          </cell>
          <cell r="E1381" t="str">
            <v>PEB 6</v>
          </cell>
          <cell r="F1381" t="str">
            <v>115PEB 6</v>
          </cell>
        </row>
        <row r="1382">
          <cell r="C1382" t="str">
            <v>A0151</v>
          </cell>
          <cell r="D1382" t="str">
            <v>Dana Pensiun Astra</v>
          </cell>
          <cell r="E1382" t="str">
            <v>PEB 7</v>
          </cell>
          <cell r="F1382" t="str">
            <v>115PEB 7</v>
          </cell>
        </row>
        <row r="1383">
          <cell r="C1383" t="str">
            <v>A0151</v>
          </cell>
          <cell r="D1383" t="str">
            <v>Dana Pensiun Astra</v>
          </cell>
          <cell r="E1383" t="str">
            <v>MPP</v>
          </cell>
          <cell r="F1383" t="str">
            <v>115MPP</v>
          </cell>
        </row>
        <row r="1384">
          <cell r="C1384" t="str">
            <v>A0151</v>
          </cell>
          <cell r="D1384" t="str">
            <v>Dana Pensiun Astra</v>
          </cell>
          <cell r="E1384" t="str">
            <v>ID</v>
          </cell>
          <cell r="F1384" t="str">
            <v>115ID</v>
          </cell>
        </row>
        <row r="1385">
          <cell r="C1385" t="str">
            <v>A0151</v>
          </cell>
          <cell r="D1385" t="str">
            <v>Dana Pensiun Astra</v>
          </cell>
          <cell r="E1385" t="str">
            <v>LL</v>
          </cell>
          <cell r="F1385" t="str">
            <v>115LL</v>
          </cell>
        </row>
        <row r="1386">
          <cell r="C1386" t="str">
            <v>A0151</v>
          </cell>
          <cell r="D1386" t="str">
            <v>Dana Pensiun Astra</v>
          </cell>
          <cell r="E1386" t="str">
            <v>PMK</v>
          </cell>
          <cell r="F1386" t="str">
            <v>115PMK</v>
          </cell>
        </row>
        <row r="1388">
          <cell r="C1388" t="str">
            <v>A0153</v>
          </cell>
          <cell r="D1388" t="str">
            <v>PT Tunggal Perkasa Plantation</v>
          </cell>
          <cell r="E1388" t="str">
            <v>PEB 1</v>
          </cell>
          <cell r="F1388" t="str">
            <v>116PEB 1</v>
          </cell>
          <cell r="J1388">
            <v>0</v>
          </cell>
          <cell r="N1388">
            <v>0</v>
          </cell>
          <cell r="O1388">
            <v>0</v>
          </cell>
          <cell r="P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10.263383304105369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6092906</v>
          </cell>
          <cell r="AL1388">
            <v>8929523.0809461921</v>
          </cell>
          <cell r="AM1388">
            <v>756211.76512384648</v>
          </cell>
          <cell r="AN1388">
            <v>404950.89219999989</v>
          </cell>
          <cell r="AO1388">
            <v>0</v>
          </cell>
          <cell r="AP1388">
            <v>0</v>
          </cell>
          <cell r="AQ1388">
            <v>0</v>
          </cell>
          <cell r="AR1388">
            <v>-3157621</v>
          </cell>
          <cell r="AS1388">
            <v>0</v>
          </cell>
          <cell r="AT1388">
            <v>0</v>
          </cell>
          <cell r="AU1388">
            <v>2935285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10.23880710756041</v>
          </cell>
          <cell r="BV1388">
            <v>0</v>
          </cell>
          <cell r="BW1388">
            <v>0</v>
          </cell>
          <cell r="BX1388">
            <v>0</v>
          </cell>
          <cell r="BY1388">
            <v>0</v>
          </cell>
          <cell r="BZ1388">
            <v>0</v>
          </cell>
          <cell r="CA1388">
            <v>12786664</v>
          </cell>
          <cell r="CB1388">
            <v>17775591.201077882</v>
          </cell>
          <cell r="CC1388">
            <v>1534187.4468199406</v>
          </cell>
          <cell r="CD1388">
            <v>1640999.2456566885</v>
          </cell>
          <cell r="CE1388">
            <v>0</v>
          </cell>
          <cell r="CF1388">
            <v>0</v>
          </cell>
          <cell r="CG1388">
            <v>0</v>
          </cell>
          <cell r="CH1388">
            <v>-10786249</v>
          </cell>
          <cell r="CI1388">
            <v>-736088</v>
          </cell>
          <cell r="CJ1388">
            <v>61988</v>
          </cell>
          <cell r="CK1388">
            <v>1264327</v>
          </cell>
          <cell r="CM1388">
            <v>0</v>
          </cell>
          <cell r="CN1388">
            <v>0</v>
          </cell>
          <cell r="CO1388">
            <v>0</v>
          </cell>
          <cell r="CP1388">
            <v>10.454136875130839</v>
          </cell>
          <cell r="CQ1388">
            <v>0</v>
          </cell>
          <cell r="CR1388">
            <v>0</v>
          </cell>
          <cell r="CS1388">
            <v>0</v>
          </cell>
          <cell r="CT1388">
            <v>0</v>
          </cell>
          <cell r="CU1388">
            <v>0</v>
          </cell>
          <cell r="CV1388">
            <v>262388</v>
          </cell>
          <cell r="CW1388">
            <v>0</v>
          </cell>
          <cell r="CX1388">
            <v>0</v>
          </cell>
          <cell r="CY1388">
            <v>0</v>
          </cell>
          <cell r="CZ1388">
            <v>0</v>
          </cell>
          <cell r="DA1388">
            <v>0</v>
          </cell>
          <cell r="DB1388">
            <v>0</v>
          </cell>
          <cell r="DC1388">
            <v>7050501</v>
          </cell>
          <cell r="DD1388">
            <v>0</v>
          </cell>
          <cell r="DE1388">
            <v>0</v>
          </cell>
          <cell r="DF1388">
            <v>7312889</v>
          </cell>
          <cell r="DH1388">
            <v>0</v>
          </cell>
          <cell r="DI1388">
            <v>0</v>
          </cell>
          <cell r="DJ1388">
            <v>0</v>
          </cell>
          <cell r="DK1388">
            <v>0</v>
          </cell>
          <cell r="DL1388">
            <v>0</v>
          </cell>
          <cell r="DM1388">
            <v>0</v>
          </cell>
          <cell r="DN1388">
            <v>0</v>
          </cell>
          <cell r="DO1388">
            <v>0</v>
          </cell>
          <cell r="DP1388">
            <v>0</v>
          </cell>
          <cell r="DQ1388">
            <v>0</v>
          </cell>
          <cell r="DR1388">
            <v>0</v>
          </cell>
          <cell r="DS1388">
            <v>0</v>
          </cell>
          <cell r="DT1388">
            <v>0</v>
          </cell>
          <cell r="DU1388">
            <v>0</v>
          </cell>
          <cell r="DV1388">
            <v>0</v>
          </cell>
          <cell r="DW1388">
            <v>0</v>
          </cell>
          <cell r="DX1388">
            <v>0</v>
          </cell>
          <cell r="DY1388">
            <v>0</v>
          </cell>
          <cell r="DZ1388">
            <v>0</v>
          </cell>
          <cell r="EA1388">
            <v>0</v>
          </cell>
          <cell r="EC1388">
            <v>0</v>
          </cell>
          <cell r="ED1388">
            <v>0</v>
          </cell>
          <cell r="EE1388">
            <v>0</v>
          </cell>
          <cell r="EF1388">
            <v>10.263383304105369</v>
          </cell>
          <cell r="EG1388">
            <v>0</v>
          </cell>
          <cell r="EH1388">
            <v>0</v>
          </cell>
          <cell r="EI1388">
            <v>0</v>
          </cell>
          <cell r="EJ1388">
            <v>0</v>
          </cell>
          <cell r="EK1388">
            <v>0</v>
          </cell>
          <cell r="EL1388">
            <v>538531</v>
          </cell>
          <cell r="EM1388">
            <v>809652.89000569133</v>
          </cell>
          <cell r="EN1388">
            <v>110875.55276096513</v>
          </cell>
          <cell r="EO1388">
            <v>90971.854754437139</v>
          </cell>
          <cell r="EP1388">
            <v>0</v>
          </cell>
          <cell r="EQ1388">
            <v>0</v>
          </cell>
          <cell r="ER1388">
            <v>0</v>
          </cell>
          <cell r="ES1388">
            <v>-534633</v>
          </cell>
          <cell r="ET1388">
            <v>0</v>
          </cell>
          <cell r="EU1388">
            <v>0</v>
          </cell>
          <cell r="EV1388">
            <v>3898</v>
          </cell>
          <cell r="EX1388">
            <v>0</v>
          </cell>
          <cell r="EY1388">
            <v>0</v>
          </cell>
          <cell r="EZ1388">
            <v>0</v>
          </cell>
          <cell r="FA1388">
            <v>0</v>
          </cell>
          <cell r="FB1388">
            <v>0</v>
          </cell>
          <cell r="FC1388">
            <v>0</v>
          </cell>
          <cell r="FD1388">
            <v>0</v>
          </cell>
          <cell r="FE1388">
            <v>0</v>
          </cell>
          <cell r="FF1388">
            <v>0</v>
          </cell>
          <cell r="FG1388">
            <v>0</v>
          </cell>
          <cell r="FH1388">
            <v>1458695.603536234</v>
          </cell>
          <cell r="FI1388">
            <v>131643.64466683014</v>
          </cell>
          <cell r="FJ1388">
            <v>76173.093479999981</v>
          </cell>
          <cell r="FK1388">
            <v>0</v>
          </cell>
          <cell r="FL1388">
            <v>0</v>
          </cell>
          <cell r="FM1388">
            <v>0</v>
          </cell>
          <cell r="FN1388">
            <v>0</v>
          </cell>
          <cell r="FO1388">
            <v>0</v>
          </cell>
          <cell r="FP1388">
            <v>0</v>
          </cell>
          <cell r="FQ1388">
            <v>0</v>
          </cell>
          <cell r="FS1388">
            <v>0</v>
          </cell>
          <cell r="FT1388">
            <v>0</v>
          </cell>
          <cell r="FU1388">
            <v>0</v>
          </cell>
          <cell r="FV1388">
            <v>10.263383304105369</v>
          </cell>
          <cell r="FW1388">
            <v>0</v>
          </cell>
          <cell r="FX1388">
            <v>0</v>
          </cell>
          <cell r="FY1388">
            <v>0</v>
          </cell>
          <cell r="FZ1388">
            <v>0</v>
          </cell>
          <cell r="GA1388">
            <v>0</v>
          </cell>
          <cell r="GB1388">
            <v>141764</v>
          </cell>
          <cell r="GC1388">
            <v>2461822.4396440471</v>
          </cell>
          <cell r="GD1388">
            <v>283817.3533388091</v>
          </cell>
          <cell r="GE1388">
            <v>201358.96882248888</v>
          </cell>
          <cell r="GF1388">
            <v>0</v>
          </cell>
          <cell r="GG1388">
            <v>0</v>
          </cell>
          <cell r="GH1388">
            <v>0</v>
          </cell>
          <cell r="GI1388">
            <v>0</v>
          </cell>
          <cell r="GJ1388">
            <v>0</v>
          </cell>
          <cell r="GK1388">
            <v>0</v>
          </cell>
          <cell r="GL1388">
            <v>141764</v>
          </cell>
          <cell r="GN1388">
            <v>0</v>
          </cell>
          <cell r="GO1388">
            <v>0</v>
          </cell>
          <cell r="GP1388">
            <v>0</v>
          </cell>
          <cell r="GQ1388">
            <v>10.263383304105369</v>
          </cell>
          <cell r="GR1388">
            <v>0</v>
          </cell>
          <cell r="GS1388">
            <v>0</v>
          </cell>
          <cell r="GT1388">
            <v>0</v>
          </cell>
          <cell r="GU1388">
            <v>0</v>
          </cell>
          <cell r="GV1388">
            <v>0</v>
          </cell>
          <cell r="GW1388">
            <v>2253500</v>
          </cell>
          <cell r="GX1388">
            <v>2691298.2540742327</v>
          </cell>
          <cell r="GY1388">
            <v>1134319.3221502397</v>
          </cell>
          <cell r="GZ1388">
            <v>1124451.0399461358</v>
          </cell>
          <cell r="HA1388">
            <v>0</v>
          </cell>
          <cell r="HB1388">
            <v>0</v>
          </cell>
          <cell r="HC1388">
            <v>0</v>
          </cell>
          <cell r="HD1388">
            <v>0</v>
          </cell>
          <cell r="HE1388">
            <v>0</v>
          </cell>
          <cell r="HF1388">
            <v>0</v>
          </cell>
          <cell r="HG1388">
            <v>2253500</v>
          </cell>
          <cell r="HI1388">
            <v>0</v>
          </cell>
          <cell r="HJ1388">
            <v>0</v>
          </cell>
          <cell r="HK1388">
            <v>0</v>
          </cell>
          <cell r="HL1388">
            <v>10.263383304105369</v>
          </cell>
          <cell r="HM1388">
            <v>0</v>
          </cell>
          <cell r="HN1388">
            <v>0</v>
          </cell>
          <cell r="HO1388">
            <v>0</v>
          </cell>
          <cell r="HP1388">
            <v>0</v>
          </cell>
          <cell r="HQ1388">
            <v>0</v>
          </cell>
          <cell r="HR1388">
            <v>2635449</v>
          </cell>
          <cell r="HS1388">
            <v>3572791.6838031714</v>
          </cell>
          <cell r="HT1388">
            <v>498975.42565434414</v>
          </cell>
          <cell r="HU1388">
            <v>446512.5</v>
          </cell>
          <cell r="HV1388">
            <v>0</v>
          </cell>
          <cell r="HW1388">
            <v>0</v>
          </cell>
          <cell r="HX1388">
            <v>0</v>
          </cell>
          <cell r="HY1388">
            <v>0</v>
          </cell>
          <cell r="HZ1388">
            <v>0</v>
          </cell>
          <cell r="IA1388">
            <v>0</v>
          </cell>
          <cell r="IB1388">
            <v>2635449</v>
          </cell>
        </row>
        <row r="1389">
          <cell r="C1389" t="str">
            <v>A0153</v>
          </cell>
          <cell r="D1389" t="str">
            <v>PT Tunggal Perkasa Plantation</v>
          </cell>
          <cell r="E1389" t="str">
            <v>PEB 2</v>
          </cell>
          <cell r="F1389" t="str">
            <v>116PEB 2</v>
          </cell>
          <cell r="J1389">
            <v>10.263383304105369</v>
          </cell>
          <cell r="P1389">
            <v>6092906</v>
          </cell>
          <cell r="Q1389">
            <v>8929523.0809461921</v>
          </cell>
          <cell r="R1389">
            <v>756211.76512384648</v>
          </cell>
          <cell r="S1389">
            <v>404950.89219999989</v>
          </cell>
          <cell r="U1389">
            <v>0</v>
          </cell>
          <cell r="W1389">
            <v>-3157621</v>
          </cell>
          <cell r="X1389">
            <v>0</v>
          </cell>
          <cell r="Y1389">
            <v>0</v>
          </cell>
          <cell r="Z1389">
            <v>2935285</v>
          </cell>
        </row>
        <row r="1390">
          <cell r="C1390" t="str">
            <v>A0153</v>
          </cell>
          <cell r="D1390" t="str">
            <v>PT Tunggal Perkasa Plantation</v>
          </cell>
          <cell r="E1390" t="str">
            <v>PEB 3</v>
          </cell>
          <cell r="F1390" t="str">
            <v>116PEB 3</v>
          </cell>
          <cell r="J1390">
            <v>0</v>
          </cell>
          <cell r="P1390">
            <v>0</v>
          </cell>
          <cell r="U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</row>
        <row r="1391">
          <cell r="C1391" t="str">
            <v>A0153</v>
          </cell>
          <cell r="D1391" t="str">
            <v>PT Tunggal Perkasa Plantation</v>
          </cell>
          <cell r="E1391" t="str">
            <v>PEB 4</v>
          </cell>
          <cell r="F1391" t="str">
            <v>116PEB 4</v>
          </cell>
          <cell r="J1391">
            <v>10.23880710756041</v>
          </cell>
          <cell r="P1391">
            <v>12786664</v>
          </cell>
          <cell r="Q1391">
            <v>17775591.201077882</v>
          </cell>
          <cell r="R1391">
            <v>1534187.4468199406</v>
          </cell>
          <cell r="S1391">
            <v>1640999.2456566885</v>
          </cell>
          <cell r="U1391">
            <v>0</v>
          </cell>
          <cell r="W1391">
            <v>-10786249</v>
          </cell>
          <cell r="X1391">
            <v>-736088</v>
          </cell>
          <cell r="Y1391">
            <v>61988</v>
          </cell>
          <cell r="Z1391">
            <v>1264327</v>
          </cell>
        </row>
        <row r="1392">
          <cell r="C1392" t="str">
            <v>A0153</v>
          </cell>
          <cell r="D1392" t="str">
            <v>PT Tunggal Perkasa Plantation</v>
          </cell>
          <cell r="E1392" t="str">
            <v>PEB 5</v>
          </cell>
          <cell r="F1392" t="str">
            <v>116PEB 5</v>
          </cell>
          <cell r="J1392">
            <v>10.454136875130839</v>
          </cell>
          <cell r="P1392">
            <v>262388</v>
          </cell>
          <cell r="U1392">
            <v>0</v>
          </cell>
          <cell r="W1392">
            <v>7050501</v>
          </cell>
          <cell r="X1392">
            <v>0</v>
          </cell>
          <cell r="Y1392">
            <v>0</v>
          </cell>
          <cell r="Z1392">
            <v>7312889</v>
          </cell>
        </row>
        <row r="1393">
          <cell r="C1393" t="str">
            <v>A0153</v>
          </cell>
          <cell r="D1393" t="str">
            <v>PT Tunggal Perkasa Plantation</v>
          </cell>
          <cell r="E1393" t="str">
            <v>PEB 6</v>
          </cell>
          <cell r="F1393" t="str">
            <v>116PEB 6</v>
          </cell>
          <cell r="J1393">
            <v>0</v>
          </cell>
          <cell r="P1393">
            <v>0</v>
          </cell>
          <cell r="U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</row>
        <row r="1394">
          <cell r="C1394" t="str">
            <v>A0153</v>
          </cell>
          <cell r="D1394" t="str">
            <v>PT Tunggal Perkasa Plantation</v>
          </cell>
          <cell r="E1394" t="str">
            <v>PEB 7</v>
          </cell>
          <cell r="F1394" t="str">
            <v>116PEB 7</v>
          </cell>
          <cell r="J1394">
            <v>10.263383304105369</v>
          </cell>
          <cell r="P1394">
            <v>538531</v>
          </cell>
          <cell r="Q1394">
            <v>809652.89000569133</v>
          </cell>
          <cell r="R1394">
            <v>110875.55276096513</v>
          </cell>
          <cell r="S1394">
            <v>90971.854754437139</v>
          </cell>
          <cell r="U1394">
            <v>0</v>
          </cell>
          <cell r="W1394">
            <v>-534633</v>
          </cell>
          <cell r="X1394">
            <v>0</v>
          </cell>
          <cell r="Y1394">
            <v>0</v>
          </cell>
          <cell r="Z1394">
            <v>3898</v>
          </cell>
        </row>
        <row r="1395">
          <cell r="C1395" t="str">
            <v>A0153</v>
          </cell>
          <cell r="D1395" t="str">
            <v>PT Tunggal Perkasa Plantation</v>
          </cell>
          <cell r="E1395" t="str">
            <v>MPP</v>
          </cell>
          <cell r="F1395" t="str">
            <v>116MPP</v>
          </cell>
          <cell r="J1395">
            <v>0</v>
          </cell>
          <cell r="P1395">
            <v>0</v>
          </cell>
          <cell r="Q1395">
            <v>1458695.603536234</v>
          </cell>
          <cell r="R1395">
            <v>131643.64466683014</v>
          </cell>
          <cell r="S1395">
            <v>76173.093479999981</v>
          </cell>
          <cell r="U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</row>
        <row r="1396">
          <cell r="C1396" t="str">
            <v>A0153</v>
          </cell>
          <cell r="D1396" t="str">
            <v>PT Tunggal Perkasa Plantation</v>
          </cell>
          <cell r="E1396" t="str">
            <v>ID</v>
          </cell>
          <cell r="F1396" t="str">
            <v>116ID</v>
          </cell>
          <cell r="J1396">
            <v>10.263383304105369</v>
          </cell>
          <cell r="P1396">
            <v>141764</v>
          </cell>
          <cell r="Q1396">
            <v>2461822.4396440471</v>
          </cell>
          <cell r="R1396">
            <v>283817.3533388091</v>
          </cell>
          <cell r="S1396">
            <v>201358.96882248888</v>
          </cell>
          <cell r="U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141764</v>
          </cell>
        </row>
        <row r="1397">
          <cell r="C1397" t="str">
            <v>A0153</v>
          </cell>
          <cell r="D1397" t="str">
            <v>PT Tunggal Perkasa Plantation</v>
          </cell>
          <cell r="E1397" t="str">
            <v>LL</v>
          </cell>
          <cell r="F1397" t="str">
            <v>116LL</v>
          </cell>
          <cell r="J1397">
            <v>10.263383304105369</v>
          </cell>
          <cell r="P1397">
            <v>2253500</v>
          </cell>
          <cell r="Q1397">
            <v>2691298.2540742327</v>
          </cell>
          <cell r="R1397">
            <v>1134319.3221502397</v>
          </cell>
          <cell r="S1397">
            <v>1124451.0399461358</v>
          </cell>
          <cell r="U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2253500</v>
          </cell>
        </row>
        <row r="1398">
          <cell r="C1398" t="str">
            <v>A0153</v>
          </cell>
          <cell r="D1398" t="str">
            <v>PT Tunggal Perkasa Plantation</v>
          </cell>
          <cell r="E1398" t="str">
            <v>PMK</v>
          </cell>
          <cell r="F1398" t="str">
            <v>116PMK</v>
          </cell>
          <cell r="J1398">
            <v>10.263383304105369</v>
          </cell>
          <cell r="P1398">
            <v>2635449</v>
          </cell>
          <cell r="Q1398">
            <v>3572791.6838031714</v>
          </cell>
          <cell r="R1398">
            <v>498975.42565434414</v>
          </cell>
          <cell r="S1398">
            <v>446512.5</v>
          </cell>
          <cell r="U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2635449</v>
          </cell>
        </row>
        <row r="1400">
          <cell r="C1400" t="str">
            <v>A0156</v>
          </cell>
          <cell r="D1400" t="str">
            <v>PT United Tractors Pandu Eng.</v>
          </cell>
          <cell r="E1400" t="str">
            <v>PEB 1</v>
          </cell>
          <cell r="F1400" t="str">
            <v>117PEB 1</v>
          </cell>
          <cell r="G1400">
            <v>0.1</v>
          </cell>
          <cell r="H1400">
            <v>0.1</v>
          </cell>
          <cell r="I1400">
            <v>0.09</v>
          </cell>
          <cell r="J1400">
            <v>8.0569854390761382</v>
          </cell>
          <cell r="K1400">
            <v>8.5699821415665536</v>
          </cell>
          <cell r="L1400">
            <v>630882</v>
          </cell>
          <cell r="N1400">
            <v>1151337.2004</v>
          </cell>
          <cell r="O1400">
            <v>223529.35200000001</v>
          </cell>
          <cell r="P1400">
            <v>13636129</v>
          </cell>
          <cell r="Q1400">
            <v>17194752.887007553</v>
          </cell>
          <cell r="R1400">
            <v>767629.66563238995</v>
          </cell>
          <cell r="S1400">
            <v>1076175.0350056468</v>
          </cell>
          <cell r="U1400">
            <v>-11113107</v>
          </cell>
          <cell r="V1400">
            <v>17805544.750800002</v>
          </cell>
          <cell r="W1400">
            <v>1153690</v>
          </cell>
          <cell r="X1400">
            <v>0</v>
          </cell>
          <cell r="Y1400">
            <v>0</v>
          </cell>
          <cell r="Z1400">
            <v>3676712</v>
          </cell>
          <cell r="AB1400">
            <v>0.1</v>
          </cell>
          <cell r="AC1400">
            <v>0</v>
          </cell>
          <cell r="AD1400">
            <v>0.09</v>
          </cell>
          <cell r="AE1400">
            <v>9.9306100589981483</v>
          </cell>
          <cell r="AF1400">
            <v>14.220482637151923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8933597</v>
          </cell>
          <cell r="AL1400">
            <v>10393198.585458776</v>
          </cell>
          <cell r="AM1400">
            <v>584485.67796204193</v>
          </cell>
          <cell r="AN1400">
            <v>934293.5</v>
          </cell>
          <cell r="AO1400">
            <v>0</v>
          </cell>
          <cell r="AP1400">
            <v>0</v>
          </cell>
          <cell r="AQ1400">
            <v>0</v>
          </cell>
          <cell r="AR1400">
            <v>1596549</v>
          </cell>
          <cell r="AS1400">
            <v>-7059837</v>
          </cell>
          <cell r="AT1400">
            <v>463744</v>
          </cell>
          <cell r="AU1400">
            <v>3470309</v>
          </cell>
          <cell r="AW1400">
            <v>0.1</v>
          </cell>
          <cell r="AX1400">
            <v>0</v>
          </cell>
          <cell r="AY1400">
            <v>0.09</v>
          </cell>
          <cell r="AZ1400">
            <v>8.0569854390761382</v>
          </cell>
          <cell r="BA1400">
            <v>8.5699821415665536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715338</v>
          </cell>
          <cell r="BG1400">
            <v>951480.78429220477</v>
          </cell>
          <cell r="BH1400">
            <v>44960.409291516597</v>
          </cell>
          <cell r="BI1400">
            <v>111411.94836666677</v>
          </cell>
          <cell r="BJ1400">
            <v>0</v>
          </cell>
          <cell r="BK1400">
            <v>0</v>
          </cell>
          <cell r="BL1400">
            <v>0</v>
          </cell>
          <cell r="BM1400">
            <v>-45105</v>
          </cell>
          <cell r="BN1400">
            <v>-221799</v>
          </cell>
          <cell r="BO1400">
            <v>55224</v>
          </cell>
          <cell r="BP1400">
            <v>448434</v>
          </cell>
          <cell r="BR1400">
            <v>0.1</v>
          </cell>
          <cell r="BS1400">
            <v>0</v>
          </cell>
          <cell r="BT1400">
            <v>0.09</v>
          </cell>
          <cell r="BU1400">
            <v>10.186971030867751</v>
          </cell>
          <cell r="BV1400">
            <v>15.980830868468876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2742971</v>
          </cell>
          <cell r="CB1400">
            <v>2154997.1893086638</v>
          </cell>
          <cell r="CC1400">
            <v>207785.55667415925</v>
          </cell>
          <cell r="CD1400">
            <v>1605725.0955841276</v>
          </cell>
          <cell r="CE1400">
            <v>0</v>
          </cell>
          <cell r="CF1400">
            <v>0</v>
          </cell>
          <cell r="CG1400">
            <v>0</v>
          </cell>
          <cell r="CH1400">
            <v>-1256598</v>
          </cell>
          <cell r="CI1400">
            <v>-457437</v>
          </cell>
          <cell r="CJ1400">
            <v>26430</v>
          </cell>
          <cell r="CK1400">
            <v>1028936</v>
          </cell>
          <cell r="CM1400">
            <v>0</v>
          </cell>
          <cell r="CN1400">
            <v>0</v>
          </cell>
          <cell r="CO1400">
            <v>0</v>
          </cell>
          <cell r="CP1400">
            <v>0</v>
          </cell>
          <cell r="CQ1400">
            <v>0</v>
          </cell>
          <cell r="CR1400">
            <v>0</v>
          </cell>
          <cell r="CS1400">
            <v>0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>
            <v>0</v>
          </cell>
          <cell r="CY1400">
            <v>0</v>
          </cell>
          <cell r="CZ1400">
            <v>0</v>
          </cell>
          <cell r="DA1400">
            <v>0</v>
          </cell>
          <cell r="DB1400">
            <v>0</v>
          </cell>
          <cell r="DC1400">
            <v>0</v>
          </cell>
          <cell r="DD1400">
            <v>0</v>
          </cell>
          <cell r="DE1400">
            <v>0</v>
          </cell>
          <cell r="DF1400">
            <v>0</v>
          </cell>
          <cell r="DH1400">
            <v>0</v>
          </cell>
          <cell r="DI1400">
            <v>0</v>
          </cell>
          <cell r="DJ1400">
            <v>0</v>
          </cell>
          <cell r="DK1400">
            <v>0</v>
          </cell>
          <cell r="DL1400">
            <v>0</v>
          </cell>
          <cell r="DM1400">
            <v>0</v>
          </cell>
          <cell r="DN1400">
            <v>0</v>
          </cell>
          <cell r="DO1400">
            <v>0</v>
          </cell>
          <cell r="DP1400">
            <v>0</v>
          </cell>
          <cell r="DQ1400">
            <v>0</v>
          </cell>
          <cell r="DR1400">
            <v>0</v>
          </cell>
          <cell r="DS1400">
            <v>0</v>
          </cell>
          <cell r="DT1400">
            <v>0</v>
          </cell>
          <cell r="DU1400">
            <v>0</v>
          </cell>
          <cell r="DV1400">
            <v>0</v>
          </cell>
          <cell r="DW1400">
            <v>0</v>
          </cell>
          <cell r="DX1400">
            <v>0</v>
          </cell>
          <cell r="DY1400">
            <v>0</v>
          </cell>
          <cell r="DZ1400">
            <v>0</v>
          </cell>
          <cell r="EA1400">
            <v>0</v>
          </cell>
          <cell r="EC1400">
            <v>0.1</v>
          </cell>
          <cell r="ED1400">
            <v>0</v>
          </cell>
          <cell r="EE1400">
            <v>0.09</v>
          </cell>
          <cell r="EF1400">
            <v>9.9306100589981483</v>
          </cell>
          <cell r="EG1400">
            <v>14.220482637151923</v>
          </cell>
          <cell r="EH1400">
            <v>0</v>
          </cell>
          <cell r="EI1400">
            <v>0</v>
          </cell>
          <cell r="EJ1400">
            <v>0</v>
          </cell>
          <cell r="EK1400">
            <v>0</v>
          </cell>
          <cell r="EL1400">
            <v>536419</v>
          </cell>
          <cell r="EM1400">
            <v>692886.30028458976</v>
          </cell>
          <cell r="EN1400">
            <v>56441.420627236708</v>
          </cell>
          <cell r="EO1400">
            <v>82625.970603645124</v>
          </cell>
          <cell r="EP1400">
            <v>0</v>
          </cell>
          <cell r="EQ1400">
            <v>0</v>
          </cell>
          <cell r="ER1400">
            <v>0</v>
          </cell>
          <cell r="ES1400">
            <v>-533368</v>
          </cell>
          <cell r="ET1400">
            <v>0</v>
          </cell>
          <cell r="EU1400">
            <v>0</v>
          </cell>
          <cell r="EV1400">
            <v>3051</v>
          </cell>
          <cell r="EX1400">
            <v>0</v>
          </cell>
          <cell r="EY1400">
            <v>0</v>
          </cell>
          <cell r="EZ1400">
            <v>0</v>
          </cell>
          <cell r="FA1400">
            <v>0</v>
          </cell>
          <cell r="FB1400">
            <v>0</v>
          </cell>
          <cell r="FC1400">
            <v>0</v>
          </cell>
          <cell r="FD1400">
            <v>0</v>
          </cell>
          <cell r="FE1400">
            <v>0</v>
          </cell>
          <cell r="FF1400">
            <v>0</v>
          </cell>
          <cell r="FG1400">
            <v>0</v>
          </cell>
          <cell r="FH1400">
            <v>0</v>
          </cell>
          <cell r="FI1400">
            <v>0</v>
          </cell>
          <cell r="FJ1400">
            <v>0</v>
          </cell>
          <cell r="FK1400">
            <v>0</v>
          </cell>
          <cell r="FL1400">
            <v>0</v>
          </cell>
          <cell r="FM1400">
            <v>0</v>
          </cell>
          <cell r="FN1400">
            <v>0</v>
          </cell>
          <cell r="FO1400">
            <v>0</v>
          </cell>
          <cell r="FP1400">
            <v>0</v>
          </cell>
          <cell r="FQ1400">
            <v>0</v>
          </cell>
          <cell r="FS1400">
            <v>0.1</v>
          </cell>
          <cell r="FT1400">
            <v>0</v>
          </cell>
          <cell r="FU1400">
            <v>0.09</v>
          </cell>
          <cell r="FV1400">
            <v>9.9306100589981483</v>
          </cell>
          <cell r="FW1400">
            <v>14.220482637151923</v>
          </cell>
          <cell r="FX1400">
            <v>0</v>
          </cell>
          <cell r="FY1400">
            <v>0</v>
          </cell>
          <cell r="FZ1400">
            <v>0</v>
          </cell>
          <cell r="GA1400">
            <v>0</v>
          </cell>
          <cell r="GB1400">
            <v>138378</v>
          </cell>
          <cell r="GC1400">
            <v>1849731.6398445892</v>
          </cell>
          <cell r="GD1400">
            <v>126783.51848988386</v>
          </cell>
          <cell r="GE1400">
            <v>144440.62646917574</v>
          </cell>
          <cell r="GF1400">
            <v>0</v>
          </cell>
          <cell r="GG1400">
            <v>0</v>
          </cell>
          <cell r="GH1400">
            <v>0</v>
          </cell>
          <cell r="GI1400">
            <v>0</v>
          </cell>
          <cell r="GJ1400">
            <v>0</v>
          </cell>
          <cell r="GK1400">
            <v>0</v>
          </cell>
          <cell r="GL1400">
            <v>138378</v>
          </cell>
          <cell r="GN1400">
            <v>0.1</v>
          </cell>
          <cell r="GO1400">
            <v>0</v>
          </cell>
          <cell r="GP1400">
            <v>0.09</v>
          </cell>
          <cell r="GQ1400">
            <v>9.9306100589981483</v>
          </cell>
          <cell r="GR1400">
            <v>14.220482637151923</v>
          </cell>
          <cell r="GS1400">
            <v>0</v>
          </cell>
          <cell r="GT1400">
            <v>0</v>
          </cell>
          <cell r="GU1400">
            <v>0</v>
          </cell>
          <cell r="GV1400">
            <v>0</v>
          </cell>
          <cell r="GW1400">
            <v>1637565</v>
          </cell>
          <cell r="GX1400">
            <v>1524831</v>
          </cell>
          <cell r="GY1400">
            <v>565355</v>
          </cell>
          <cell r="GZ1400">
            <v>793873.39426327834</v>
          </cell>
          <cell r="HA1400">
            <v>0</v>
          </cell>
          <cell r="HB1400">
            <v>0</v>
          </cell>
          <cell r="HC1400">
            <v>0</v>
          </cell>
          <cell r="HD1400">
            <v>0</v>
          </cell>
          <cell r="HE1400">
            <v>0</v>
          </cell>
          <cell r="HF1400">
            <v>0</v>
          </cell>
          <cell r="HG1400">
            <v>1637565</v>
          </cell>
          <cell r="HI1400">
            <v>0.1</v>
          </cell>
          <cell r="HJ1400">
            <v>0</v>
          </cell>
          <cell r="HK1400">
            <v>0.09</v>
          </cell>
          <cell r="HL1400">
            <v>9.9306100589981483</v>
          </cell>
          <cell r="HM1400">
            <v>14.220482637151923</v>
          </cell>
          <cell r="HN1400">
            <v>0</v>
          </cell>
          <cell r="HO1400">
            <v>0</v>
          </cell>
          <cell r="HP1400">
            <v>0</v>
          </cell>
          <cell r="HQ1400">
            <v>0</v>
          </cell>
          <cell r="HR1400">
            <v>1583902</v>
          </cell>
          <cell r="HS1400">
            <v>2627066.3156263796</v>
          </cell>
          <cell r="HT1400">
            <v>244846.60899235736</v>
          </cell>
          <cell r="HU1400">
            <v>514800</v>
          </cell>
          <cell r="HV1400">
            <v>0</v>
          </cell>
          <cell r="HW1400">
            <v>0</v>
          </cell>
          <cell r="HX1400">
            <v>0</v>
          </cell>
          <cell r="HY1400">
            <v>0</v>
          </cell>
          <cell r="HZ1400">
            <v>0</v>
          </cell>
          <cell r="IA1400">
            <v>0</v>
          </cell>
          <cell r="IB1400">
            <v>1583902</v>
          </cell>
        </row>
        <row r="1401">
          <cell r="C1401" t="str">
            <v>A0156</v>
          </cell>
          <cell r="D1401" t="str">
            <v>PT United Tractors Pandu Eng.</v>
          </cell>
          <cell r="E1401" t="str">
            <v>PEB 2</v>
          </cell>
          <cell r="F1401" t="str">
            <v>117PEB 2</v>
          </cell>
          <cell r="G1401">
            <v>0.1</v>
          </cell>
          <cell r="I1401">
            <v>0.09</v>
          </cell>
          <cell r="J1401">
            <v>9.9306100589981483</v>
          </cell>
          <cell r="K1401">
            <v>14.220482637151923</v>
          </cell>
          <cell r="P1401">
            <v>8933597</v>
          </cell>
          <cell r="Q1401">
            <v>10393198.585458776</v>
          </cell>
          <cell r="R1401">
            <v>584485.67796204193</v>
          </cell>
          <cell r="S1401">
            <v>934293.5</v>
          </cell>
          <cell r="U1401">
            <v>0</v>
          </cell>
          <cell r="W1401">
            <v>1596549</v>
          </cell>
          <cell r="X1401">
            <v>-7059837</v>
          </cell>
          <cell r="Y1401">
            <v>463744</v>
          </cell>
          <cell r="Z1401">
            <v>3470309</v>
          </cell>
        </row>
        <row r="1402">
          <cell r="C1402" t="str">
            <v>A0156</v>
          </cell>
          <cell r="D1402" t="str">
            <v>PT United Tractors Pandu Eng.</v>
          </cell>
          <cell r="E1402" t="str">
            <v>PEB 3</v>
          </cell>
          <cell r="F1402" t="str">
            <v>117PEB 3</v>
          </cell>
          <cell r="G1402">
            <v>0.1</v>
          </cell>
          <cell r="I1402">
            <v>0.09</v>
          </cell>
          <cell r="J1402">
            <v>8.0569854390761382</v>
          </cell>
          <cell r="K1402">
            <v>8.5699821415665536</v>
          </cell>
          <cell r="P1402">
            <v>715338</v>
          </cell>
          <cell r="Q1402">
            <v>951480.78429220477</v>
          </cell>
          <cell r="R1402">
            <v>44960.409291516597</v>
          </cell>
          <cell r="S1402">
            <v>111411.94836666677</v>
          </cell>
          <cell r="U1402">
            <v>0</v>
          </cell>
          <cell r="W1402">
            <v>-45105</v>
          </cell>
          <cell r="X1402">
            <v>-221799</v>
          </cell>
          <cell r="Y1402">
            <v>55224</v>
          </cell>
          <cell r="Z1402">
            <v>448434</v>
          </cell>
        </row>
        <row r="1403">
          <cell r="C1403" t="str">
            <v>A0156</v>
          </cell>
          <cell r="D1403" t="str">
            <v>PT United Tractors Pandu Eng.</v>
          </cell>
          <cell r="E1403" t="str">
            <v>PEB 4</v>
          </cell>
          <cell r="F1403" t="str">
            <v>117PEB 4</v>
          </cell>
          <cell r="G1403">
            <v>0.1</v>
          </cell>
          <cell r="I1403">
            <v>0.09</v>
          </cell>
          <cell r="J1403">
            <v>10.186971030867751</v>
          </cell>
          <cell r="K1403">
            <v>15.980830868468876</v>
          </cell>
          <cell r="P1403">
            <v>2742971</v>
          </cell>
          <cell r="Q1403">
            <v>2154997.1893086638</v>
          </cell>
          <cell r="R1403">
            <v>207785.55667415925</v>
          </cell>
          <cell r="S1403">
            <v>1605725.0955841276</v>
          </cell>
          <cell r="U1403">
            <v>0</v>
          </cell>
          <cell r="W1403">
            <v>-1256598</v>
          </cell>
          <cell r="X1403">
            <v>-457437</v>
          </cell>
          <cell r="Y1403">
            <v>26430</v>
          </cell>
          <cell r="Z1403">
            <v>1028936</v>
          </cell>
        </row>
        <row r="1404">
          <cell r="C1404" t="str">
            <v>A0156</v>
          </cell>
          <cell r="D1404" t="str">
            <v>PT United Tractors Pandu Eng.</v>
          </cell>
          <cell r="E1404" t="str">
            <v>PEB 5</v>
          </cell>
          <cell r="F1404" t="str">
            <v>117PEB 5</v>
          </cell>
          <cell r="P1404">
            <v>0</v>
          </cell>
          <cell r="U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</row>
        <row r="1405">
          <cell r="C1405" t="str">
            <v>A0156</v>
          </cell>
          <cell r="D1405" t="str">
            <v>PT United Tractors Pandu Eng.</v>
          </cell>
          <cell r="E1405" t="str">
            <v>PEB 6</v>
          </cell>
          <cell r="F1405" t="str">
            <v>117PEB 6</v>
          </cell>
          <cell r="P1405">
            <v>0</v>
          </cell>
          <cell r="U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</row>
        <row r="1406">
          <cell r="C1406" t="str">
            <v>A0156</v>
          </cell>
          <cell r="D1406" t="str">
            <v>PT United Tractors Pandu Eng.</v>
          </cell>
          <cell r="E1406" t="str">
            <v>PEB 7</v>
          </cell>
          <cell r="F1406" t="str">
            <v>117PEB 7</v>
          </cell>
          <cell r="G1406">
            <v>0.1</v>
          </cell>
          <cell r="I1406">
            <v>0.09</v>
          </cell>
          <cell r="J1406">
            <v>9.9306100589981483</v>
          </cell>
          <cell r="K1406">
            <v>14.220482637151923</v>
          </cell>
          <cell r="P1406">
            <v>536419</v>
          </cell>
          <cell r="Q1406">
            <v>692886.30028458976</v>
          </cell>
          <cell r="R1406">
            <v>56441.420627236708</v>
          </cell>
          <cell r="S1406">
            <v>82625.970603645124</v>
          </cell>
          <cell r="U1406">
            <v>0</v>
          </cell>
          <cell r="W1406">
            <v>-533368</v>
          </cell>
          <cell r="X1406">
            <v>0</v>
          </cell>
          <cell r="Y1406">
            <v>0</v>
          </cell>
          <cell r="Z1406">
            <v>3051</v>
          </cell>
        </row>
        <row r="1407">
          <cell r="C1407" t="str">
            <v>A0156</v>
          </cell>
          <cell r="D1407" t="str">
            <v>PT United Tractors Pandu Eng.</v>
          </cell>
          <cell r="E1407" t="str">
            <v>MPP</v>
          </cell>
          <cell r="F1407" t="str">
            <v>117MPP</v>
          </cell>
          <cell r="P1407">
            <v>0</v>
          </cell>
          <cell r="U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</row>
        <row r="1408">
          <cell r="C1408" t="str">
            <v>A0156</v>
          </cell>
          <cell r="D1408" t="str">
            <v>PT United Tractors Pandu Eng.</v>
          </cell>
          <cell r="E1408" t="str">
            <v>ID</v>
          </cell>
          <cell r="F1408" t="str">
            <v>117ID</v>
          </cell>
          <cell r="G1408">
            <v>0.1</v>
          </cell>
          <cell r="I1408">
            <v>0.09</v>
          </cell>
          <cell r="J1408">
            <v>9.9306100589981483</v>
          </cell>
          <cell r="K1408">
            <v>14.220482637151923</v>
          </cell>
          <cell r="P1408">
            <v>138378</v>
          </cell>
          <cell r="Q1408">
            <v>1849731.6398445892</v>
          </cell>
          <cell r="R1408">
            <v>126783.51848988386</v>
          </cell>
          <cell r="S1408">
            <v>144440.62646917574</v>
          </cell>
          <cell r="U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138378</v>
          </cell>
        </row>
        <row r="1409">
          <cell r="C1409" t="str">
            <v>A0156</v>
          </cell>
          <cell r="D1409" t="str">
            <v>PT United Tractors Pandu Eng.</v>
          </cell>
          <cell r="E1409" t="str">
            <v>LL</v>
          </cell>
          <cell r="F1409" t="str">
            <v>117LL</v>
          </cell>
          <cell r="G1409">
            <v>0.1</v>
          </cell>
          <cell r="I1409">
            <v>0.09</v>
          </cell>
          <cell r="J1409">
            <v>9.9306100589981483</v>
          </cell>
          <cell r="K1409">
            <v>14.220482637151923</v>
          </cell>
          <cell r="P1409">
            <v>1637565</v>
          </cell>
          <cell r="Q1409">
            <v>1524831</v>
          </cell>
          <cell r="R1409">
            <v>565355</v>
          </cell>
          <cell r="S1409">
            <v>793873.39426327834</v>
          </cell>
          <cell r="U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1637565</v>
          </cell>
        </row>
        <row r="1410">
          <cell r="C1410" t="str">
            <v>A0156</v>
          </cell>
          <cell r="D1410" t="str">
            <v>PT United Tractors Pandu Eng.</v>
          </cell>
          <cell r="E1410" t="str">
            <v>PMK</v>
          </cell>
          <cell r="F1410" t="str">
            <v>117PMK</v>
          </cell>
          <cell r="G1410">
            <v>0.1</v>
          </cell>
          <cell r="I1410">
            <v>0.09</v>
          </cell>
          <cell r="J1410">
            <v>9.9306100589981483</v>
          </cell>
          <cell r="K1410">
            <v>14.220482637151923</v>
          </cell>
          <cell r="P1410">
            <v>1583902</v>
          </cell>
          <cell r="Q1410">
            <v>2627066.3156263796</v>
          </cell>
          <cell r="R1410">
            <v>244846.60899235736</v>
          </cell>
          <cell r="S1410">
            <v>514800</v>
          </cell>
          <cell r="U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1583902</v>
          </cell>
        </row>
        <row r="1412">
          <cell r="C1412" t="str">
            <v>A0155</v>
          </cell>
          <cell r="D1412" t="str">
            <v>PT United Tractors TBK (Parent)</v>
          </cell>
          <cell r="E1412" t="str">
            <v>PEB 1</v>
          </cell>
          <cell r="F1412" t="str">
            <v>118PEB 1</v>
          </cell>
          <cell r="G1412">
            <v>0.1</v>
          </cell>
          <cell r="H1412">
            <v>0.1</v>
          </cell>
          <cell r="I1412">
            <v>0.09</v>
          </cell>
          <cell r="J1412">
            <v>8.0888321205058915</v>
          </cell>
          <cell r="K1412">
            <v>8.8668224269799563</v>
          </cell>
          <cell r="L1412">
            <v>8032685</v>
          </cell>
          <cell r="N1412">
            <v>11009662.4936</v>
          </cell>
          <cell r="O1412">
            <v>1374486.7919999999</v>
          </cell>
          <cell r="P1412">
            <v>87345537</v>
          </cell>
          <cell r="Q1412">
            <v>112990565.31461754</v>
          </cell>
          <cell r="R1412">
            <v>4726343.3598904591</v>
          </cell>
          <cell r="S1412">
            <v>6679261.7882084306</v>
          </cell>
          <cell r="U1412">
            <v>-66058558</v>
          </cell>
          <cell r="V1412">
            <v>101320181.82853335</v>
          </cell>
          <cell r="W1412">
            <v>-4509202</v>
          </cell>
          <cell r="X1412">
            <v>0</v>
          </cell>
          <cell r="Y1412">
            <v>0</v>
          </cell>
          <cell r="Z1412">
            <v>16777777</v>
          </cell>
          <cell r="AB1412">
            <v>0.1</v>
          </cell>
          <cell r="AC1412">
            <v>0</v>
          </cell>
          <cell r="AD1412">
            <v>0.09</v>
          </cell>
          <cell r="AE1412">
            <v>10.201770547113606</v>
          </cell>
          <cell r="AF1412">
            <v>17.247014421625003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51399691</v>
          </cell>
          <cell r="AL1412">
            <v>57176717.437312365</v>
          </cell>
          <cell r="AM1412">
            <v>3501703.6677549966</v>
          </cell>
          <cell r="AN1412">
            <v>2271257.1980000003</v>
          </cell>
          <cell r="AO1412">
            <v>0</v>
          </cell>
          <cell r="AP1412">
            <v>0</v>
          </cell>
          <cell r="AQ1412">
            <v>0</v>
          </cell>
          <cell r="AR1412">
            <v>-9872201</v>
          </cell>
          <cell r="AS1412">
            <v>-21453152</v>
          </cell>
          <cell r="AT1412">
            <v>1379478</v>
          </cell>
          <cell r="AU1412">
            <v>20074338</v>
          </cell>
          <cell r="AW1412">
            <v>0.1</v>
          </cell>
          <cell r="AX1412">
            <v>0</v>
          </cell>
          <cell r="AY1412">
            <v>0.09</v>
          </cell>
          <cell r="AZ1412">
            <v>8.0888321205058915</v>
          </cell>
          <cell r="BA1412">
            <v>8.8668224269799563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8999755</v>
          </cell>
          <cell r="BG1412">
            <v>4493130.7250978602</v>
          </cell>
          <cell r="BH1412">
            <v>220136.86649425005</v>
          </cell>
          <cell r="BI1412">
            <v>133594.23134666667</v>
          </cell>
          <cell r="BJ1412">
            <v>0</v>
          </cell>
          <cell r="BK1412">
            <v>0</v>
          </cell>
          <cell r="BL1412">
            <v>0</v>
          </cell>
          <cell r="BM1412">
            <v>-6027989</v>
          </cell>
          <cell r="BN1412">
            <v>-1513744</v>
          </cell>
          <cell r="BO1412">
            <v>377584</v>
          </cell>
          <cell r="BP1412">
            <v>1458022</v>
          </cell>
          <cell r="BR1412">
            <v>0.1</v>
          </cell>
          <cell r="BS1412">
            <v>0</v>
          </cell>
          <cell r="BT1412">
            <v>0.09</v>
          </cell>
          <cell r="BU1412">
            <v>10.151198531385447</v>
          </cell>
          <cell r="BV1412">
            <v>20.264518803777559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14573628</v>
          </cell>
          <cell r="CB1412">
            <v>13054008.160401667</v>
          </cell>
          <cell r="CC1412">
            <v>1763109.3424786984</v>
          </cell>
          <cell r="CD1412">
            <v>921618.40464404342</v>
          </cell>
          <cell r="CE1412">
            <v>0</v>
          </cell>
          <cell r="CF1412">
            <v>0</v>
          </cell>
          <cell r="CG1412">
            <v>0</v>
          </cell>
          <cell r="CH1412">
            <v>-5925183</v>
          </cell>
          <cell r="CI1412">
            <v>-2279777</v>
          </cell>
          <cell r="CJ1412">
            <v>110542</v>
          </cell>
          <cell r="CK1412">
            <v>6368668</v>
          </cell>
          <cell r="CM1412">
            <v>0.1</v>
          </cell>
          <cell r="CN1412">
            <v>0</v>
          </cell>
          <cell r="CO1412">
            <v>0.09</v>
          </cell>
          <cell r="CP1412">
            <v>7.5426864665729534</v>
          </cell>
          <cell r="CQ1412">
            <v>0</v>
          </cell>
          <cell r="CR1412">
            <v>0</v>
          </cell>
          <cell r="CS1412">
            <v>0</v>
          </cell>
          <cell r="CT1412">
            <v>0</v>
          </cell>
          <cell r="CU1412">
            <v>0</v>
          </cell>
          <cell r="CV1412">
            <v>84116</v>
          </cell>
          <cell r="CW1412">
            <v>0</v>
          </cell>
          <cell r="CX1412">
            <v>0</v>
          </cell>
          <cell r="CY1412">
            <v>0</v>
          </cell>
          <cell r="CZ1412">
            <v>0</v>
          </cell>
          <cell r="DA1412">
            <v>0</v>
          </cell>
          <cell r="DB1412">
            <v>0</v>
          </cell>
          <cell r="DC1412">
            <v>-60069</v>
          </cell>
          <cell r="DD1412">
            <v>0</v>
          </cell>
          <cell r="DE1412">
            <v>0</v>
          </cell>
          <cell r="DF1412">
            <v>24047</v>
          </cell>
          <cell r="DH1412">
            <v>0.1</v>
          </cell>
          <cell r="DI1412">
            <v>0</v>
          </cell>
          <cell r="DJ1412">
            <v>0.09</v>
          </cell>
          <cell r="DK1412">
            <v>10.201770547113606</v>
          </cell>
          <cell r="DL1412">
            <v>0</v>
          </cell>
          <cell r="DM1412">
            <v>0</v>
          </cell>
          <cell r="DN1412">
            <v>0</v>
          </cell>
          <cell r="DO1412">
            <v>0</v>
          </cell>
          <cell r="DP1412">
            <v>0</v>
          </cell>
          <cell r="DQ1412">
            <v>10256474</v>
          </cell>
          <cell r="DR1412">
            <v>15768278.99705049</v>
          </cell>
          <cell r="DS1412">
            <v>909899.74915856333</v>
          </cell>
          <cell r="DT1412">
            <v>1548093.2617499994</v>
          </cell>
          <cell r="DU1412">
            <v>0</v>
          </cell>
          <cell r="DV1412">
            <v>0</v>
          </cell>
          <cell r="DW1412">
            <v>0</v>
          </cell>
          <cell r="DX1412">
            <v>-1146166</v>
          </cell>
          <cell r="DY1412">
            <v>-4362553</v>
          </cell>
          <cell r="DZ1412">
            <v>258382</v>
          </cell>
          <cell r="EA1412">
            <v>4747755</v>
          </cell>
          <cell r="EC1412">
            <v>0.1</v>
          </cell>
          <cell r="ED1412">
            <v>0</v>
          </cell>
          <cell r="EE1412">
            <v>0.09</v>
          </cell>
          <cell r="EF1412">
            <v>10.201770547113606</v>
          </cell>
          <cell r="EG1412">
            <v>17.247014421625003</v>
          </cell>
          <cell r="EH1412">
            <v>0</v>
          </cell>
          <cell r="EI1412">
            <v>0</v>
          </cell>
          <cell r="EJ1412">
            <v>0</v>
          </cell>
          <cell r="EK1412">
            <v>0</v>
          </cell>
          <cell r="EL1412">
            <v>3986743</v>
          </cell>
          <cell r="EM1412">
            <v>4539660.371771154</v>
          </cell>
          <cell r="EN1412">
            <v>476884.65203970368</v>
          </cell>
          <cell r="EO1412">
            <v>532305.00192314014</v>
          </cell>
          <cell r="EP1412">
            <v>0</v>
          </cell>
          <cell r="EQ1412">
            <v>0</v>
          </cell>
          <cell r="ER1412">
            <v>0</v>
          </cell>
          <cell r="ES1412">
            <v>-3239389</v>
          </cell>
          <cell r="ET1412">
            <v>0</v>
          </cell>
          <cell r="EU1412">
            <v>0</v>
          </cell>
          <cell r="EV1412">
            <v>747354</v>
          </cell>
          <cell r="EX1412">
            <v>0.1</v>
          </cell>
          <cell r="EY1412">
            <v>0</v>
          </cell>
          <cell r="EZ1412">
            <v>0.09</v>
          </cell>
          <cell r="FA1412">
            <v>10.201770547113606</v>
          </cell>
          <cell r="FB1412">
            <v>17.247014421625003</v>
          </cell>
          <cell r="FC1412">
            <v>0</v>
          </cell>
          <cell r="FD1412">
            <v>0</v>
          </cell>
          <cell r="FE1412">
            <v>0</v>
          </cell>
          <cell r="FF1412">
            <v>0</v>
          </cell>
          <cell r="FG1412">
            <v>122786</v>
          </cell>
          <cell r="FH1412">
            <v>12409815.172492858</v>
          </cell>
          <cell r="FI1412">
            <v>773953.19803679269</v>
          </cell>
          <cell r="FJ1412">
            <v>531158.52599999995</v>
          </cell>
          <cell r="FK1412">
            <v>0</v>
          </cell>
          <cell r="FL1412">
            <v>0</v>
          </cell>
          <cell r="FM1412">
            <v>0</v>
          </cell>
          <cell r="FN1412">
            <v>24857</v>
          </cell>
          <cell r="FO1412">
            <v>-104998</v>
          </cell>
          <cell r="FP1412">
            <v>5544</v>
          </cell>
          <cell r="FQ1412">
            <v>42645</v>
          </cell>
          <cell r="FS1412">
            <v>0.1</v>
          </cell>
          <cell r="FT1412">
            <v>0</v>
          </cell>
          <cell r="FU1412">
            <v>0.09</v>
          </cell>
          <cell r="FV1412">
            <v>10.201770547113606</v>
          </cell>
          <cell r="FW1412">
            <v>17.247014421625003</v>
          </cell>
          <cell r="FX1412">
            <v>0</v>
          </cell>
          <cell r="FY1412">
            <v>0</v>
          </cell>
          <cell r="FZ1412">
            <v>0</v>
          </cell>
          <cell r="GA1412">
            <v>0</v>
          </cell>
          <cell r="GB1412">
            <v>860192</v>
          </cell>
          <cell r="GC1412">
            <v>10435169.79394933</v>
          </cell>
          <cell r="GD1412">
            <v>849029.13316952519</v>
          </cell>
          <cell r="GE1412">
            <v>873463.21342048945</v>
          </cell>
          <cell r="GF1412">
            <v>0</v>
          </cell>
          <cell r="GG1412">
            <v>0</v>
          </cell>
          <cell r="GH1412">
            <v>0</v>
          </cell>
          <cell r="GI1412">
            <v>0</v>
          </cell>
          <cell r="GJ1412">
            <v>0</v>
          </cell>
          <cell r="GK1412">
            <v>0</v>
          </cell>
          <cell r="GL1412">
            <v>860192</v>
          </cell>
          <cell r="GN1412">
            <v>0.1</v>
          </cell>
          <cell r="GO1412">
            <v>0</v>
          </cell>
          <cell r="GP1412">
            <v>0.09</v>
          </cell>
          <cell r="GQ1412">
            <v>10.201770547113606</v>
          </cell>
          <cell r="GR1412">
            <v>17.247014421625003</v>
          </cell>
          <cell r="GS1412">
            <v>0</v>
          </cell>
          <cell r="GT1412">
            <v>0</v>
          </cell>
          <cell r="GU1412">
            <v>0</v>
          </cell>
          <cell r="GV1412">
            <v>0</v>
          </cell>
          <cell r="GW1412">
            <v>11604185</v>
          </cell>
          <cell r="GX1412">
            <v>11957219</v>
          </cell>
          <cell r="GY1412">
            <v>3618015</v>
          </cell>
          <cell r="GZ1412">
            <v>4985391.1008930635</v>
          </cell>
          <cell r="HA1412">
            <v>0</v>
          </cell>
          <cell r="HB1412">
            <v>0</v>
          </cell>
          <cell r="HC1412">
            <v>0</v>
          </cell>
          <cell r="HD1412">
            <v>0</v>
          </cell>
          <cell r="HE1412">
            <v>0</v>
          </cell>
          <cell r="HF1412">
            <v>0</v>
          </cell>
          <cell r="HG1412">
            <v>11604185</v>
          </cell>
          <cell r="HI1412">
            <v>0.1</v>
          </cell>
          <cell r="HJ1412">
            <v>0</v>
          </cell>
          <cell r="HK1412">
            <v>0.09</v>
          </cell>
          <cell r="HL1412">
            <v>10.201770547113606</v>
          </cell>
          <cell r="HM1412">
            <v>17.247014421625003</v>
          </cell>
          <cell r="HN1412">
            <v>0</v>
          </cell>
          <cell r="HO1412">
            <v>0</v>
          </cell>
          <cell r="HP1412">
            <v>0</v>
          </cell>
          <cell r="HQ1412">
            <v>0</v>
          </cell>
          <cell r="HR1412">
            <v>8577885</v>
          </cell>
          <cell r="HS1412">
            <v>11243014.035970962</v>
          </cell>
          <cell r="HT1412">
            <v>1568230.3793275</v>
          </cell>
          <cell r="HU1412">
            <v>1916606.6669999999</v>
          </cell>
          <cell r="HV1412">
            <v>0</v>
          </cell>
          <cell r="HW1412">
            <v>0</v>
          </cell>
          <cell r="HX1412">
            <v>0</v>
          </cell>
          <cell r="HY1412">
            <v>0</v>
          </cell>
          <cell r="HZ1412">
            <v>0</v>
          </cell>
          <cell r="IA1412">
            <v>0</v>
          </cell>
          <cell r="IB1412">
            <v>8577885</v>
          </cell>
        </row>
        <row r="1413">
          <cell r="C1413" t="str">
            <v>A0155</v>
          </cell>
          <cell r="D1413" t="str">
            <v>PT United Tractors TBK (Parent)</v>
          </cell>
          <cell r="E1413" t="str">
            <v>PEB 2</v>
          </cell>
          <cell r="F1413" t="str">
            <v>118PEB 2</v>
          </cell>
          <cell r="G1413">
            <v>0.1</v>
          </cell>
          <cell r="I1413">
            <v>0.09</v>
          </cell>
          <cell r="J1413">
            <v>10.201770547113606</v>
          </cell>
          <cell r="K1413">
            <v>17.247014421625003</v>
          </cell>
          <cell r="P1413">
            <v>51399691</v>
          </cell>
          <cell r="Q1413">
            <v>57176717.437312365</v>
          </cell>
          <cell r="R1413">
            <v>3501703.6677549966</v>
          </cell>
          <cell r="S1413">
            <v>2271257.1980000003</v>
          </cell>
          <cell r="U1413">
            <v>0</v>
          </cell>
          <cell r="W1413">
            <v>-9872201</v>
          </cell>
          <cell r="X1413">
            <v>-21453152</v>
          </cell>
          <cell r="Y1413">
            <v>1379478</v>
          </cell>
          <cell r="Z1413">
            <v>20074338</v>
          </cell>
        </row>
        <row r="1414">
          <cell r="C1414" t="str">
            <v>A0155</v>
          </cell>
          <cell r="D1414" t="str">
            <v>PT United Tractors TBK (Parent)</v>
          </cell>
          <cell r="E1414" t="str">
            <v>PEB 3</v>
          </cell>
          <cell r="F1414" t="str">
            <v>118PEB 3</v>
          </cell>
          <cell r="G1414">
            <v>0.1</v>
          </cell>
          <cell r="I1414">
            <v>0.09</v>
          </cell>
          <cell r="J1414">
            <v>8.0888321205058915</v>
          </cell>
          <cell r="K1414">
            <v>8.8668224269799563</v>
          </cell>
          <cell r="P1414">
            <v>8999755</v>
          </cell>
          <cell r="Q1414">
            <v>4493130.7250978602</v>
          </cell>
          <cell r="R1414">
            <v>220136.86649425005</v>
          </cell>
          <cell r="S1414">
            <v>133594.23134666667</v>
          </cell>
          <cell r="U1414">
            <v>0</v>
          </cell>
          <cell r="W1414">
            <v>-6027989</v>
          </cell>
          <cell r="X1414">
            <v>-1513744</v>
          </cell>
          <cell r="Y1414">
            <v>377584</v>
          </cell>
          <cell r="Z1414">
            <v>1458022</v>
          </cell>
        </row>
        <row r="1415">
          <cell r="C1415" t="str">
            <v>A0155</v>
          </cell>
          <cell r="D1415" t="str">
            <v>PT United Tractors TBK (Parent)</v>
          </cell>
          <cell r="E1415" t="str">
            <v>PEB 4</v>
          </cell>
          <cell r="F1415" t="str">
            <v>118PEB 4</v>
          </cell>
          <cell r="G1415">
            <v>0.1</v>
          </cell>
          <cell r="I1415">
            <v>0.09</v>
          </cell>
          <cell r="J1415">
            <v>10.151198531385447</v>
          </cell>
          <cell r="K1415">
            <v>20.264518803777559</v>
          </cell>
          <cell r="P1415">
            <v>14573628</v>
          </cell>
          <cell r="Q1415">
            <v>13054008.160401667</v>
          </cell>
          <cell r="R1415">
            <v>1763109.3424786984</v>
          </cell>
          <cell r="S1415">
            <v>921618.40464404342</v>
          </cell>
          <cell r="U1415">
            <v>0</v>
          </cell>
          <cell r="W1415">
            <v>-5925183</v>
          </cell>
          <cell r="X1415">
            <v>-2279777</v>
          </cell>
          <cell r="Y1415">
            <v>110542</v>
          </cell>
          <cell r="Z1415">
            <v>6368668</v>
          </cell>
        </row>
        <row r="1416">
          <cell r="C1416" t="str">
            <v>A0155</v>
          </cell>
          <cell r="D1416" t="str">
            <v>PT United Tractors TBK (Parent)</v>
          </cell>
          <cell r="E1416" t="str">
            <v>PEB 5</v>
          </cell>
          <cell r="F1416" t="str">
            <v>118PEB 5</v>
          </cell>
          <cell r="G1416">
            <v>0.1</v>
          </cell>
          <cell r="I1416">
            <v>0.09</v>
          </cell>
          <cell r="J1416">
            <v>7.5426864665729534</v>
          </cell>
          <cell r="P1416">
            <v>84116</v>
          </cell>
          <cell r="U1416">
            <v>0</v>
          </cell>
          <cell r="W1416">
            <v>-60069</v>
          </cell>
          <cell r="X1416">
            <v>0</v>
          </cell>
          <cell r="Y1416">
            <v>0</v>
          </cell>
          <cell r="Z1416">
            <v>24047</v>
          </cell>
        </row>
        <row r="1417">
          <cell r="C1417" t="str">
            <v>A0155</v>
          </cell>
          <cell r="D1417" t="str">
            <v>PT United Tractors TBK (Parent)</v>
          </cell>
          <cell r="E1417" t="str">
            <v>PEB 6</v>
          </cell>
          <cell r="F1417" t="str">
            <v>118PEB 6</v>
          </cell>
          <cell r="G1417">
            <v>0.1</v>
          </cell>
          <cell r="I1417">
            <v>0.09</v>
          </cell>
          <cell r="J1417">
            <v>10.201770547113606</v>
          </cell>
          <cell r="P1417">
            <v>10256474</v>
          </cell>
          <cell r="Q1417">
            <v>15768278.99705049</v>
          </cell>
          <cell r="R1417">
            <v>909899.74915856333</v>
          </cell>
          <cell r="S1417">
            <v>1548093.2617499994</v>
          </cell>
          <cell r="U1417">
            <v>0</v>
          </cell>
          <cell r="W1417">
            <v>-1146166</v>
          </cell>
          <cell r="X1417">
            <v>-4362553</v>
          </cell>
          <cell r="Y1417">
            <v>258382</v>
          </cell>
          <cell r="Z1417">
            <v>4747755</v>
          </cell>
        </row>
        <row r="1418">
          <cell r="C1418" t="str">
            <v>A0155</v>
          </cell>
          <cell r="D1418" t="str">
            <v>PT United Tractors TBK (Parent)</v>
          </cell>
          <cell r="E1418" t="str">
            <v>PEB 7</v>
          </cell>
          <cell r="F1418" t="str">
            <v>118PEB 7</v>
          </cell>
          <cell r="G1418">
            <v>0.1</v>
          </cell>
          <cell r="I1418">
            <v>0.09</v>
          </cell>
          <cell r="J1418">
            <v>10.201770547113606</v>
          </cell>
          <cell r="K1418">
            <v>17.247014421625003</v>
          </cell>
          <cell r="P1418">
            <v>3986743</v>
          </cell>
          <cell r="Q1418">
            <v>4539660.371771154</v>
          </cell>
          <cell r="R1418">
            <v>476884.65203970368</v>
          </cell>
          <cell r="S1418">
            <v>532305.00192314014</v>
          </cell>
          <cell r="U1418">
            <v>0</v>
          </cell>
          <cell r="W1418">
            <v>-3239389</v>
          </cell>
          <cell r="X1418">
            <v>0</v>
          </cell>
          <cell r="Y1418">
            <v>0</v>
          </cell>
          <cell r="Z1418">
            <v>747354</v>
          </cell>
        </row>
        <row r="1419">
          <cell r="C1419" t="str">
            <v>A0155</v>
          </cell>
          <cell r="D1419" t="str">
            <v>PT United Tractors TBK (Parent)</v>
          </cell>
          <cell r="E1419" t="str">
            <v>MPP</v>
          </cell>
          <cell r="F1419" t="str">
            <v>118MPP</v>
          </cell>
          <cell r="G1419">
            <v>0.1</v>
          </cell>
          <cell r="I1419">
            <v>0.09</v>
          </cell>
          <cell r="J1419">
            <v>10.201770547113606</v>
          </cell>
          <cell r="K1419">
            <v>17.247014421625003</v>
          </cell>
          <cell r="P1419">
            <v>122786</v>
          </cell>
          <cell r="Q1419">
            <v>12409815.172492858</v>
          </cell>
          <cell r="R1419">
            <v>773953.19803679269</v>
          </cell>
          <cell r="S1419">
            <v>531158.52599999995</v>
          </cell>
          <cell r="U1419">
            <v>0</v>
          </cell>
          <cell r="W1419">
            <v>24857</v>
          </cell>
          <cell r="X1419">
            <v>-104998</v>
          </cell>
          <cell r="Y1419">
            <v>5544</v>
          </cell>
          <cell r="Z1419">
            <v>42645</v>
          </cell>
        </row>
        <row r="1420">
          <cell r="C1420" t="str">
            <v>A0155</v>
          </cell>
          <cell r="D1420" t="str">
            <v>PT United Tractors TBK (Parent)</v>
          </cell>
          <cell r="E1420" t="str">
            <v>ID</v>
          </cell>
          <cell r="F1420" t="str">
            <v>118ID</v>
          </cell>
          <cell r="G1420">
            <v>0.1</v>
          </cell>
          <cell r="I1420">
            <v>0.09</v>
          </cell>
          <cell r="J1420">
            <v>10.201770547113606</v>
          </cell>
          <cell r="K1420">
            <v>17.247014421625003</v>
          </cell>
          <cell r="P1420">
            <v>860192</v>
          </cell>
          <cell r="Q1420">
            <v>10435169.79394933</v>
          </cell>
          <cell r="R1420">
            <v>849029.13316952519</v>
          </cell>
          <cell r="S1420">
            <v>873463.21342048945</v>
          </cell>
          <cell r="U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860192</v>
          </cell>
        </row>
        <row r="1421">
          <cell r="C1421" t="str">
            <v>A0155</v>
          </cell>
          <cell r="D1421" t="str">
            <v>PT United Tractors TBK (Parent)</v>
          </cell>
          <cell r="E1421" t="str">
            <v>LL</v>
          </cell>
          <cell r="F1421" t="str">
            <v>118LL</v>
          </cell>
          <cell r="G1421">
            <v>0.1</v>
          </cell>
          <cell r="I1421">
            <v>0.09</v>
          </cell>
          <cell r="J1421">
            <v>10.201770547113606</v>
          </cell>
          <cell r="K1421">
            <v>17.247014421625003</v>
          </cell>
          <cell r="P1421">
            <v>11604185</v>
          </cell>
          <cell r="Q1421">
            <v>11957219</v>
          </cell>
          <cell r="R1421">
            <v>3618015</v>
          </cell>
          <cell r="S1421">
            <v>4985391.1008930635</v>
          </cell>
          <cell r="U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11604185</v>
          </cell>
        </row>
        <row r="1422">
          <cell r="C1422" t="str">
            <v>A0155</v>
          </cell>
          <cell r="D1422" t="str">
            <v>PT United Tractors TBK (Parent)</v>
          </cell>
          <cell r="E1422" t="str">
            <v>PMK</v>
          </cell>
          <cell r="F1422" t="str">
            <v>118PMK</v>
          </cell>
          <cell r="G1422">
            <v>0.1</v>
          </cell>
          <cell r="I1422">
            <v>0.09</v>
          </cell>
          <cell r="J1422">
            <v>10.201770547113606</v>
          </cell>
          <cell r="K1422">
            <v>17.247014421625003</v>
          </cell>
          <cell r="P1422">
            <v>8577885</v>
          </cell>
          <cell r="Q1422">
            <v>11243014.035970962</v>
          </cell>
          <cell r="R1422">
            <v>1568230.3793275</v>
          </cell>
          <cell r="S1422">
            <v>1916606.6669999999</v>
          </cell>
          <cell r="U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8577885</v>
          </cell>
        </row>
        <row r="1424">
          <cell r="C1424" t="str">
            <v>A0099</v>
          </cell>
          <cell r="D1424" t="str">
            <v>PT Waru Kalimantan Plantation</v>
          </cell>
          <cell r="E1424" t="str">
            <v>PEB 1</v>
          </cell>
          <cell r="F1424" t="str">
            <v>119PEB 1</v>
          </cell>
          <cell r="J1424">
            <v>0</v>
          </cell>
          <cell r="N1424">
            <v>0</v>
          </cell>
          <cell r="O1424">
            <v>0</v>
          </cell>
          <cell r="P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10.557852284473054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2109451</v>
          </cell>
          <cell r="AL1424">
            <v>2761910.4960399149</v>
          </cell>
          <cell r="AM1424">
            <v>289283.88508727733</v>
          </cell>
          <cell r="AN1424">
            <v>27680.052960000005</v>
          </cell>
          <cell r="AO1424">
            <v>0</v>
          </cell>
          <cell r="AP1424">
            <v>0</v>
          </cell>
          <cell r="AQ1424">
            <v>0</v>
          </cell>
          <cell r="AR1424">
            <v>-855143</v>
          </cell>
          <cell r="AS1424">
            <v>0</v>
          </cell>
          <cell r="AT1424">
            <v>0</v>
          </cell>
          <cell r="AU1424">
            <v>1254308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10.55774898727101</v>
          </cell>
          <cell r="BV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4363532</v>
          </cell>
          <cell r="CB1424">
            <v>3723696.8428230202</v>
          </cell>
          <cell r="CC1424">
            <v>383698.19735181658</v>
          </cell>
          <cell r="CD1424">
            <v>230023.17577065693</v>
          </cell>
          <cell r="CE1424">
            <v>0</v>
          </cell>
          <cell r="CF1424">
            <v>0</v>
          </cell>
          <cell r="CG1424">
            <v>0</v>
          </cell>
          <cell r="CH1424">
            <v>-3251586</v>
          </cell>
          <cell r="CI1424">
            <v>-334999</v>
          </cell>
          <cell r="CJ1424">
            <v>22410</v>
          </cell>
          <cell r="CK1424">
            <v>776947</v>
          </cell>
          <cell r="CM1424">
            <v>0</v>
          </cell>
          <cell r="CN1424">
            <v>0</v>
          </cell>
          <cell r="CO1424">
            <v>0</v>
          </cell>
          <cell r="CP1424">
            <v>10.56818200467772</v>
          </cell>
          <cell r="CQ1424">
            <v>0</v>
          </cell>
          <cell r="CR1424">
            <v>0</v>
          </cell>
          <cell r="CS1424">
            <v>0</v>
          </cell>
          <cell r="CT1424">
            <v>0</v>
          </cell>
          <cell r="CU1424">
            <v>0</v>
          </cell>
          <cell r="CV1424">
            <v>247441</v>
          </cell>
          <cell r="CW1424">
            <v>0</v>
          </cell>
          <cell r="CX1424">
            <v>0</v>
          </cell>
          <cell r="CY1424">
            <v>0</v>
          </cell>
          <cell r="CZ1424">
            <v>0</v>
          </cell>
          <cell r="DA1424">
            <v>0</v>
          </cell>
          <cell r="DB1424">
            <v>0</v>
          </cell>
          <cell r="DC1424">
            <v>2703315</v>
          </cell>
          <cell r="DD1424">
            <v>0</v>
          </cell>
          <cell r="DE1424">
            <v>0</v>
          </cell>
          <cell r="DF1424">
            <v>2950756</v>
          </cell>
          <cell r="DH1424">
            <v>0</v>
          </cell>
          <cell r="DI1424">
            <v>0</v>
          </cell>
          <cell r="DJ1424">
            <v>0</v>
          </cell>
          <cell r="DK1424">
            <v>0</v>
          </cell>
          <cell r="DL1424">
            <v>0</v>
          </cell>
          <cell r="DM1424">
            <v>0</v>
          </cell>
          <cell r="DN1424">
            <v>0</v>
          </cell>
          <cell r="DO1424">
            <v>0</v>
          </cell>
          <cell r="DP1424">
            <v>0</v>
          </cell>
          <cell r="DQ1424">
            <v>0</v>
          </cell>
          <cell r="DR1424">
            <v>0</v>
          </cell>
          <cell r="DS1424">
            <v>0</v>
          </cell>
          <cell r="DT1424">
            <v>0</v>
          </cell>
          <cell r="DU1424">
            <v>0</v>
          </cell>
          <cell r="DV1424">
            <v>0</v>
          </cell>
          <cell r="DW1424">
            <v>0</v>
          </cell>
          <cell r="DX1424">
            <v>0</v>
          </cell>
          <cell r="DY1424">
            <v>0</v>
          </cell>
          <cell r="DZ1424">
            <v>0</v>
          </cell>
          <cell r="EA1424">
            <v>0</v>
          </cell>
          <cell r="EC1424">
            <v>0</v>
          </cell>
          <cell r="ED1424">
            <v>0</v>
          </cell>
          <cell r="EE1424">
            <v>0</v>
          </cell>
          <cell r="EF1424">
            <v>10.557852284473054</v>
          </cell>
          <cell r="EG1424">
            <v>0</v>
          </cell>
          <cell r="EH1424">
            <v>0</v>
          </cell>
          <cell r="EI1424">
            <v>0</v>
          </cell>
          <cell r="EJ1424">
            <v>0</v>
          </cell>
          <cell r="EK1424">
            <v>0</v>
          </cell>
          <cell r="EL1424">
            <v>252226</v>
          </cell>
          <cell r="EM1424">
            <v>405655.66205033934</v>
          </cell>
          <cell r="EN1424">
            <v>51448.080601272886</v>
          </cell>
          <cell r="EO1424">
            <v>42997.89474652856</v>
          </cell>
          <cell r="EP1424">
            <v>0</v>
          </cell>
          <cell r="EQ1424">
            <v>0</v>
          </cell>
          <cell r="ER1424">
            <v>0</v>
          </cell>
          <cell r="ES1424">
            <v>-249644</v>
          </cell>
          <cell r="ET1424">
            <v>0</v>
          </cell>
          <cell r="EU1424">
            <v>0</v>
          </cell>
          <cell r="EV1424">
            <v>2582</v>
          </cell>
          <cell r="EX1424">
            <v>0</v>
          </cell>
          <cell r="EY1424">
            <v>0</v>
          </cell>
          <cell r="EZ1424">
            <v>0</v>
          </cell>
          <cell r="FA1424">
            <v>0</v>
          </cell>
          <cell r="FB1424">
            <v>0</v>
          </cell>
          <cell r="FC1424">
            <v>0</v>
          </cell>
          <cell r="FD1424">
            <v>0</v>
          </cell>
          <cell r="FE1424">
            <v>0</v>
          </cell>
          <cell r="FF1424">
            <v>0</v>
          </cell>
          <cell r="FG1424">
            <v>0</v>
          </cell>
          <cell r="FH1424">
            <v>467776.42836015316</v>
          </cell>
          <cell r="FI1424">
            <v>51546.752196803318</v>
          </cell>
          <cell r="FJ1424">
            <v>9022.5954450000008</v>
          </cell>
          <cell r="FK1424">
            <v>0</v>
          </cell>
          <cell r="FL1424">
            <v>0</v>
          </cell>
          <cell r="FM1424">
            <v>0</v>
          </cell>
          <cell r="FN1424">
            <v>0</v>
          </cell>
          <cell r="FO1424">
            <v>0</v>
          </cell>
          <cell r="FP1424">
            <v>0</v>
          </cell>
          <cell r="FQ1424">
            <v>0</v>
          </cell>
          <cell r="FS1424">
            <v>0</v>
          </cell>
          <cell r="FT1424">
            <v>0</v>
          </cell>
          <cell r="FU1424">
            <v>0</v>
          </cell>
          <cell r="FV1424">
            <v>10.557852284473054</v>
          </cell>
          <cell r="FW1424">
            <v>0</v>
          </cell>
          <cell r="FX1424">
            <v>0</v>
          </cell>
          <cell r="FY1424">
            <v>0</v>
          </cell>
          <cell r="FZ1424">
            <v>0</v>
          </cell>
          <cell r="GA1424">
            <v>0</v>
          </cell>
          <cell r="GB1424">
            <v>35707</v>
          </cell>
          <cell r="GC1424">
            <v>1021292.1654405304</v>
          </cell>
          <cell r="GD1424">
            <v>121026.95418937768</v>
          </cell>
          <cell r="GE1424">
            <v>63403.775242435746</v>
          </cell>
          <cell r="GF1424">
            <v>0</v>
          </cell>
          <cell r="GG1424">
            <v>0</v>
          </cell>
          <cell r="GH1424">
            <v>0</v>
          </cell>
          <cell r="GI1424">
            <v>0</v>
          </cell>
          <cell r="GJ1424">
            <v>0</v>
          </cell>
          <cell r="GK1424">
            <v>0</v>
          </cell>
          <cell r="GL1424">
            <v>35707</v>
          </cell>
          <cell r="GN1424">
            <v>0</v>
          </cell>
          <cell r="GO1424">
            <v>0</v>
          </cell>
          <cell r="GP1424">
            <v>0</v>
          </cell>
          <cell r="GQ1424">
            <v>10.557852284473054</v>
          </cell>
          <cell r="GR1424">
            <v>0</v>
          </cell>
          <cell r="GS1424">
            <v>0</v>
          </cell>
          <cell r="GT1424">
            <v>0</v>
          </cell>
          <cell r="GU1424">
            <v>0</v>
          </cell>
          <cell r="GV1424">
            <v>0</v>
          </cell>
          <cell r="GW1424">
            <v>1365414</v>
          </cell>
          <cell r="GX1424">
            <v>1258047.7830867223</v>
          </cell>
          <cell r="GY1424">
            <v>463887.41707149782</v>
          </cell>
          <cell r="GZ1424">
            <v>612741.79797574971</v>
          </cell>
          <cell r="HA1424">
            <v>0</v>
          </cell>
          <cell r="HB1424">
            <v>0</v>
          </cell>
          <cell r="HC1424">
            <v>0</v>
          </cell>
          <cell r="HD1424">
            <v>0</v>
          </cell>
          <cell r="HE1424">
            <v>0</v>
          </cell>
          <cell r="HF1424">
            <v>0</v>
          </cell>
          <cell r="HG1424">
            <v>1365414</v>
          </cell>
          <cell r="HI1424">
            <v>0</v>
          </cell>
          <cell r="HJ1424">
            <v>0</v>
          </cell>
          <cell r="HK1424">
            <v>0</v>
          </cell>
          <cell r="HL1424">
            <v>10.557852284473054</v>
          </cell>
          <cell r="HM1424">
            <v>0</v>
          </cell>
          <cell r="HN1424">
            <v>0</v>
          </cell>
          <cell r="HO1424">
            <v>0</v>
          </cell>
          <cell r="HP1424">
            <v>0</v>
          </cell>
          <cell r="HQ1424">
            <v>0</v>
          </cell>
          <cell r="HR1424">
            <v>1049408</v>
          </cell>
          <cell r="HS1424">
            <v>1912803.0568465639</v>
          </cell>
          <cell r="HT1424">
            <v>252848.38342844529</v>
          </cell>
          <cell r="HU1424">
            <v>200025</v>
          </cell>
          <cell r="HV1424">
            <v>0</v>
          </cell>
          <cell r="HW1424">
            <v>0</v>
          </cell>
          <cell r="HX1424">
            <v>0</v>
          </cell>
          <cell r="HY1424">
            <v>0</v>
          </cell>
          <cell r="HZ1424">
            <v>0</v>
          </cell>
          <cell r="IA1424">
            <v>0</v>
          </cell>
          <cell r="IB1424">
            <v>1049408</v>
          </cell>
        </row>
        <row r="1425">
          <cell r="C1425" t="str">
            <v>A0099</v>
          </cell>
          <cell r="D1425" t="str">
            <v>PT Waru Kalimantan Plantation</v>
          </cell>
          <cell r="E1425" t="str">
            <v>PEB 2</v>
          </cell>
          <cell r="F1425" t="str">
            <v>119PEB 2</v>
          </cell>
          <cell r="J1425">
            <v>10.557852284473054</v>
          </cell>
          <cell r="P1425">
            <v>2109451</v>
          </cell>
          <cell r="Q1425">
            <v>2761910.4960399149</v>
          </cell>
          <cell r="R1425">
            <v>289283.88508727733</v>
          </cell>
          <cell r="S1425">
            <v>27680.052960000005</v>
          </cell>
          <cell r="U1425">
            <v>0</v>
          </cell>
          <cell r="W1425">
            <v>-855143</v>
          </cell>
          <cell r="X1425">
            <v>0</v>
          </cell>
          <cell r="Y1425">
            <v>0</v>
          </cell>
          <cell r="Z1425">
            <v>1254308</v>
          </cell>
        </row>
        <row r="1426">
          <cell r="C1426" t="str">
            <v>A0099</v>
          </cell>
          <cell r="D1426" t="str">
            <v>PT Waru Kalimantan Plantation</v>
          </cell>
          <cell r="E1426" t="str">
            <v>PEB 3</v>
          </cell>
          <cell r="F1426" t="str">
            <v>119PEB 3</v>
          </cell>
          <cell r="J1426">
            <v>0</v>
          </cell>
          <cell r="P1426">
            <v>0</v>
          </cell>
          <cell r="U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</row>
        <row r="1427">
          <cell r="C1427" t="str">
            <v>A0099</v>
          </cell>
          <cell r="D1427" t="str">
            <v>PT Waru Kalimantan Plantation</v>
          </cell>
          <cell r="E1427" t="str">
            <v>PEB 4</v>
          </cell>
          <cell r="F1427" t="str">
            <v>119PEB 4</v>
          </cell>
          <cell r="J1427">
            <v>10.55774898727101</v>
          </cell>
          <cell r="P1427">
            <v>4363532</v>
          </cell>
          <cell r="Q1427">
            <v>3723696.8428230202</v>
          </cell>
          <cell r="R1427">
            <v>383698.19735181658</v>
          </cell>
          <cell r="S1427">
            <v>230023.17577065693</v>
          </cell>
          <cell r="U1427">
            <v>0</v>
          </cell>
          <cell r="W1427">
            <v>-3251586</v>
          </cell>
          <cell r="X1427">
            <v>-334999</v>
          </cell>
          <cell r="Y1427">
            <v>22410</v>
          </cell>
          <cell r="Z1427">
            <v>776947</v>
          </cell>
        </row>
        <row r="1428">
          <cell r="C1428" t="str">
            <v>A0099</v>
          </cell>
          <cell r="D1428" t="str">
            <v>PT Waru Kalimantan Plantation</v>
          </cell>
          <cell r="E1428" t="str">
            <v>PEB 5</v>
          </cell>
          <cell r="F1428" t="str">
            <v>119PEB 5</v>
          </cell>
          <cell r="J1428">
            <v>10.56818200467772</v>
          </cell>
          <cell r="P1428">
            <v>247441</v>
          </cell>
          <cell r="U1428">
            <v>0</v>
          </cell>
          <cell r="W1428">
            <v>2703315</v>
          </cell>
          <cell r="X1428">
            <v>0</v>
          </cell>
          <cell r="Y1428">
            <v>0</v>
          </cell>
          <cell r="Z1428">
            <v>2950756</v>
          </cell>
        </row>
        <row r="1429">
          <cell r="C1429" t="str">
            <v>A0099</v>
          </cell>
          <cell r="D1429" t="str">
            <v>PT Waru Kalimantan Plantation</v>
          </cell>
          <cell r="E1429" t="str">
            <v>PEB 6</v>
          </cell>
          <cell r="F1429" t="str">
            <v>119PEB 6</v>
          </cell>
          <cell r="J1429">
            <v>0</v>
          </cell>
          <cell r="P1429">
            <v>0</v>
          </cell>
          <cell r="U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</row>
        <row r="1430">
          <cell r="C1430" t="str">
            <v>A0099</v>
          </cell>
          <cell r="D1430" t="str">
            <v>PT Waru Kalimantan Plantation</v>
          </cell>
          <cell r="E1430" t="str">
            <v>PEB 7</v>
          </cell>
          <cell r="F1430" t="str">
            <v>119PEB 7</v>
          </cell>
          <cell r="J1430">
            <v>10.557852284473054</v>
          </cell>
          <cell r="P1430">
            <v>252226</v>
          </cell>
          <cell r="Q1430">
            <v>405655.66205033934</v>
          </cell>
          <cell r="R1430">
            <v>51448.080601272886</v>
          </cell>
          <cell r="S1430">
            <v>42997.89474652856</v>
          </cell>
          <cell r="U1430">
            <v>0</v>
          </cell>
          <cell r="W1430">
            <v>-249644</v>
          </cell>
          <cell r="X1430">
            <v>0</v>
          </cell>
          <cell r="Y1430">
            <v>0</v>
          </cell>
          <cell r="Z1430">
            <v>2582</v>
          </cell>
        </row>
        <row r="1431">
          <cell r="C1431" t="str">
            <v>A0099</v>
          </cell>
          <cell r="D1431" t="str">
            <v>PT Waru Kalimantan Plantation</v>
          </cell>
          <cell r="E1431" t="str">
            <v>MPP</v>
          </cell>
          <cell r="F1431" t="str">
            <v>119MPP</v>
          </cell>
          <cell r="J1431">
            <v>0</v>
          </cell>
          <cell r="P1431">
            <v>0</v>
          </cell>
          <cell r="Q1431">
            <v>467776.42836015316</v>
          </cell>
          <cell r="R1431">
            <v>51546.752196803318</v>
          </cell>
          <cell r="S1431">
            <v>9022.5954450000008</v>
          </cell>
          <cell r="U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</row>
        <row r="1432">
          <cell r="C1432" t="str">
            <v>A0099</v>
          </cell>
          <cell r="D1432" t="str">
            <v>PT Waru Kalimantan Plantation</v>
          </cell>
          <cell r="E1432" t="str">
            <v>ID</v>
          </cell>
          <cell r="F1432" t="str">
            <v>119ID</v>
          </cell>
          <cell r="J1432">
            <v>10.557852284473054</v>
          </cell>
          <cell r="P1432">
            <v>35707</v>
          </cell>
          <cell r="Q1432">
            <v>1021292.1654405304</v>
          </cell>
          <cell r="R1432">
            <v>121026.95418937768</v>
          </cell>
          <cell r="S1432">
            <v>63403.775242435746</v>
          </cell>
          <cell r="U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35707</v>
          </cell>
        </row>
        <row r="1433">
          <cell r="C1433" t="str">
            <v>A0099</v>
          </cell>
          <cell r="D1433" t="str">
            <v>PT Waru Kalimantan Plantation</v>
          </cell>
          <cell r="E1433" t="str">
            <v>LL</v>
          </cell>
          <cell r="F1433" t="str">
            <v>119LL</v>
          </cell>
          <cell r="J1433">
            <v>10.557852284473054</v>
          </cell>
          <cell r="P1433">
            <v>1365414</v>
          </cell>
          <cell r="Q1433">
            <v>1258047.7830867223</v>
          </cell>
          <cell r="R1433">
            <v>463887.41707149782</v>
          </cell>
          <cell r="S1433">
            <v>612741.79797574971</v>
          </cell>
          <cell r="U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1365414</v>
          </cell>
        </row>
        <row r="1434">
          <cell r="C1434" t="str">
            <v>A0099</v>
          </cell>
          <cell r="D1434" t="str">
            <v>PT Waru Kalimantan Plantation</v>
          </cell>
          <cell r="E1434" t="str">
            <v>PMK</v>
          </cell>
          <cell r="F1434" t="str">
            <v>119PMK</v>
          </cell>
          <cell r="J1434">
            <v>10.557852284473054</v>
          </cell>
          <cell r="P1434">
            <v>1049408</v>
          </cell>
          <cell r="Q1434">
            <v>1912803.0568465639</v>
          </cell>
          <cell r="R1434">
            <v>252848.38342844529</v>
          </cell>
          <cell r="S1434">
            <v>200025</v>
          </cell>
          <cell r="U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1049408</v>
          </cell>
        </row>
        <row r="1436">
          <cell r="C1436" t="str">
            <v>A0326</v>
          </cell>
          <cell r="D1436" t="str">
            <v>PT Yutaka Manufacturing Indonesia</v>
          </cell>
          <cell r="E1436" t="str">
            <v>PEB 1</v>
          </cell>
          <cell r="F1436" t="str">
            <v>120PEB 1</v>
          </cell>
          <cell r="G1436">
            <v>0.1</v>
          </cell>
          <cell r="H1436">
            <v>0.1</v>
          </cell>
          <cell r="I1436">
            <v>0.09</v>
          </cell>
          <cell r="J1436">
            <v>5.094594062554874</v>
          </cell>
          <cell r="K1436">
            <v>4.0163047756522419</v>
          </cell>
          <cell r="L1436">
            <v>661906</v>
          </cell>
          <cell r="N1436">
            <v>481858.10399999999</v>
          </cell>
          <cell r="O1436">
            <v>43297.08</v>
          </cell>
          <cell r="P1436">
            <v>3733212</v>
          </cell>
          <cell r="Q1436">
            <v>3826531.0995055987</v>
          </cell>
          <cell r="R1436">
            <v>157162.6992764647</v>
          </cell>
          <cell r="S1436">
            <v>33021.734127864314</v>
          </cell>
          <cell r="U1436">
            <v>-2653495</v>
          </cell>
          <cell r="V1436">
            <v>3650089.7280000006</v>
          </cell>
          <cell r="W1436">
            <v>-1394585</v>
          </cell>
          <cell r="X1436">
            <v>0</v>
          </cell>
          <cell r="Y1436">
            <v>0</v>
          </cell>
          <cell r="Z1436">
            <v>1079717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1419359</v>
          </cell>
          <cell r="AU1436">
            <v>0</v>
          </cell>
          <cell r="AW1436">
            <v>0.1</v>
          </cell>
          <cell r="AX1436">
            <v>0</v>
          </cell>
          <cell r="AY1436">
            <v>0.09</v>
          </cell>
          <cell r="AZ1436">
            <v>5.094594062554874</v>
          </cell>
          <cell r="BA1436">
            <v>4.0163047756522419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76088</v>
          </cell>
          <cell r="BG1436">
            <v>152342.40660077264</v>
          </cell>
          <cell r="BH1436">
            <v>6947.3197570572383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555215</v>
          </cell>
          <cell r="BN1436">
            <v>-92372</v>
          </cell>
          <cell r="BO1436">
            <v>8979</v>
          </cell>
          <cell r="BP1436">
            <v>538931</v>
          </cell>
          <cell r="BR1436">
            <v>0.1</v>
          </cell>
          <cell r="BS1436">
            <v>0</v>
          </cell>
          <cell r="BT1436">
            <v>0.09</v>
          </cell>
          <cell r="BU1436">
            <v>9.9152182583015485</v>
          </cell>
          <cell r="BV1436">
            <v>19.883665545379912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1002802</v>
          </cell>
          <cell r="CB1436">
            <v>1223301.3039715255</v>
          </cell>
          <cell r="CC1436">
            <v>178927.35350398568</v>
          </cell>
          <cell r="CD1436">
            <v>63283.217914860194</v>
          </cell>
          <cell r="CE1436">
            <v>0</v>
          </cell>
          <cell r="CF1436">
            <v>0</v>
          </cell>
          <cell r="CG1436">
            <v>0</v>
          </cell>
          <cell r="CH1436">
            <v>-214155</v>
          </cell>
          <cell r="CI1436">
            <v>-198914</v>
          </cell>
          <cell r="CJ1436">
            <v>8603</v>
          </cell>
          <cell r="CK1436">
            <v>589733</v>
          </cell>
          <cell r="CM1436">
            <v>0</v>
          </cell>
          <cell r="CN1436">
            <v>0</v>
          </cell>
          <cell r="CO1436">
            <v>0</v>
          </cell>
          <cell r="CP1436">
            <v>0</v>
          </cell>
          <cell r="CQ1436">
            <v>0</v>
          </cell>
          <cell r="CR1436">
            <v>0</v>
          </cell>
          <cell r="CS1436">
            <v>0</v>
          </cell>
          <cell r="CT1436">
            <v>0</v>
          </cell>
          <cell r="CU1436">
            <v>0</v>
          </cell>
          <cell r="CV1436">
            <v>0</v>
          </cell>
          <cell r="CW1436">
            <v>0</v>
          </cell>
          <cell r="CX1436">
            <v>0</v>
          </cell>
          <cell r="CY1436">
            <v>0</v>
          </cell>
          <cell r="CZ1436">
            <v>0</v>
          </cell>
          <cell r="DA1436">
            <v>0</v>
          </cell>
          <cell r="DB1436">
            <v>0</v>
          </cell>
          <cell r="DC1436">
            <v>0</v>
          </cell>
          <cell r="DD1436">
            <v>0</v>
          </cell>
          <cell r="DE1436">
            <v>0</v>
          </cell>
          <cell r="DF1436">
            <v>0</v>
          </cell>
          <cell r="DH1436">
            <v>0</v>
          </cell>
          <cell r="DI1436">
            <v>0</v>
          </cell>
          <cell r="DJ1436">
            <v>0</v>
          </cell>
          <cell r="DK1436">
            <v>0</v>
          </cell>
          <cell r="DL1436">
            <v>0</v>
          </cell>
          <cell r="DM1436">
            <v>0</v>
          </cell>
          <cell r="DN1436">
            <v>0</v>
          </cell>
          <cell r="DO1436">
            <v>0</v>
          </cell>
          <cell r="DP1436">
            <v>0</v>
          </cell>
          <cell r="DQ1436">
            <v>0</v>
          </cell>
          <cell r="DR1436">
            <v>0</v>
          </cell>
          <cell r="DS1436">
            <v>0</v>
          </cell>
          <cell r="DT1436">
            <v>0</v>
          </cell>
          <cell r="DU1436">
            <v>0</v>
          </cell>
          <cell r="DV1436">
            <v>0</v>
          </cell>
          <cell r="DW1436">
            <v>0</v>
          </cell>
          <cell r="DX1436">
            <v>0</v>
          </cell>
          <cell r="DY1436">
            <v>0</v>
          </cell>
          <cell r="DZ1436">
            <v>0</v>
          </cell>
          <cell r="EA1436">
            <v>0</v>
          </cell>
          <cell r="EC1436">
            <v>0.1</v>
          </cell>
          <cell r="ED1436">
            <v>0</v>
          </cell>
          <cell r="EE1436">
            <v>0.09</v>
          </cell>
          <cell r="EF1436">
            <v>9.8049592668978569</v>
          </cell>
          <cell r="EG1436">
            <v>19.65752738714151</v>
          </cell>
          <cell r="EH1436">
            <v>0</v>
          </cell>
          <cell r="EI1436">
            <v>0</v>
          </cell>
          <cell r="EJ1436">
            <v>0</v>
          </cell>
          <cell r="EK1436">
            <v>0</v>
          </cell>
          <cell r="EL1436">
            <v>84960</v>
          </cell>
          <cell r="EM1436">
            <v>277414.2839700093</v>
          </cell>
          <cell r="EN1436">
            <v>35568.670038480566</v>
          </cell>
          <cell r="EO1436">
            <v>33967.724660282482</v>
          </cell>
          <cell r="EP1436">
            <v>0</v>
          </cell>
          <cell r="EQ1436">
            <v>0</v>
          </cell>
          <cell r="ER1436">
            <v>0</v>
          </cell>
          <cell r="ES1436">
            <v>-83992</v>
          </cell>
          <cell r="ET1436">
            <v>0</v>
          </cell>
          <cell r="EU1436">
            <v>0</v>
          </cell>
          <cell r="EV1436">
            <v>968</v>
          </cell>
          <cell r="EX1436">
            <v>0</v>
          </cell>
          <cell r="EY1436">
            <v>0</v>
          </cell>
          <cell r="EZ1436">
            <v>0</v>
          </cell>
          <cell r="FA1436">
            <v>0</v>
          </cell>
          <cell r="FB1436">
            <v>0</v>
          </cell>
          <cell r="FC1436">
            <v>0</v>
          </cell>
          <cell r="FD1436">
            <v>0</v>
          </cell>
          <cell r="FE1436">
            <v>0</v>
          </cell>
          <cell r="FF1436">
            <v>0</v>
          </cell>
          <cell r="FG1436">
            <v>0</v>
          </cell>
          <cell r="FH1436">
            <v>0</v>
          </cell>
          <cell r="FI1436">
            <v>0</v>
          </cell>
          <cell r="FJ1436">
            <v>0</v>
          </cell>
          <cell r="FK1436">
            <v>0</v>
          </cell>
          <cell r="FL1436">
            <v>0</v>
          </cell>
          <cell r="FM1436">
            <v>0</v>
          </cell>
          <cell r="FN1436">
            <v>0</v>
          </cell>
          <cell r="FO1436">
            <v>0</v>
          </cell>
          <cell r="FP1436">
            <v>0</v>
          </cell>
          <cell r="FQ1436">
            <v>0</v>
          </cell>
          <cell r="FS1436">
            <v>0.1</v>
          </cell>
          <cell r="FT1436">
            <v>0</v>
          </cell>
          <cell r="FU1436">
            <v>0.09</v>
          </cell>
          <cell r="FV1436">
            <v>9.8049592668978569</v>
          </cell>
          <cell r="FW1436">
            <v>19.65752738714151</v>
          </cell>
          <cell r="FX1436">
            <v>0</v>
          </cell>
          <cell r="FY1436">
            <v>0</v>
          </cell>
          <cell r="FZ1436">
            <v>0</v>
          </cell>
          <cell r="GA1436">
            <v>0</v>
          </cell>
          <cell r="GB1436">
            <v>44580</v>
          </cell>
          <cell r="GC1436">
            <v>817262.31570863153</v>
          </cell>
          <cell r="GD1436">
            <v>90791.211356751272</v>
          </cell>
          <cell r="GE1436">
            <v>58677.069050264487</v>
          </cell>
          <cell r="GF1436">
            <v>0</v>
          </cell>
          <cell r="GG1436">
            <v>0</v>
          </cell>
          <cell r="GH1436">
            <v>0</v>
          </cell>
          <cell r="GI1436">
            <v>0</v>
          </cell>
          <cell r="GJ1436">
            <v>0</v>
          </cell>
          <cell r="GK1436">
            <v>0</v>
          </cell>
          <cell r="GL1436">
            <v>44580</v>
          </cell>
          <cell r="GN1436">
            <v>0.1</v>
          </cell>
          <cell r="GO1436">
            <v>0</v>
          </cell>
          <cell r="GP1436">
            <v>0.09</v>
          </cell>
          <cell r="GQ1436">
            <v>9.8049592668978569</v>
          </cell>
          <cell r="GR1436">
            <v>19.65752738714151</v>
          </cell>
          <cell r="GS1436">
            <v>0</v>
          </cell>
          <cell r="GT1436">
            <v>0</v>
          </cell>
          <cell r="GU1436">
            <v>0</v>
          </cell>
          <cell r="GV1436">
            <v>0</v>
          </cell>
          <cell r="GW1436">
            <v>1005768</v>
          </cell>
          <cell r="GX1436">
            <v>1603591</v>
          </cell>
          <cell r="GY1436">
            <v>386479</v>
          </cell>
          <cell r="GZ1436">
            <v>537627.15113712428</v>
          </cell>
          <cell r="HA1436">
            <v>0</v>
          </cell>
          <cell r="HB1436">
            <v>0</v>
          </cell>
          <cell r="HC1436">
            <v>0</v>
          </cell>
          <cell r="HD1436">
            <v>0</v>
          </cell>
          <cell r="HE1436">
            <v>0</v>
          </cell>
          <cell r="HF1436">
            <v>0</v>
          </cell>
          <cell r="HG1436">
            <v>1005768</v>
          </cell>
          <cell r="HI1436">
            <v>0.1</v>
          </cell>
          <cell r="HJ1436">
            <v>0</v>
          </cell>
          <cell r="HK1436">
            <v>0.09</v>
          </cell>
          <cell r="HL1436">
            <v>9.8049592668978569</v>
          </cell>
          <cell r="HM1436">
            <v>19.65752738714151</v>
          </cell>
          <cell r="HN1436">
            <v>0</v>
          </cell>
          <cell r="HO1436">
            <v>0</v>
          </cell>
          <cell r="HP1436">
            <v>0</v>
          </cell>
          <cell r="HQ1436">
            <v>0</v>
          </cell>
          <cell r="HR1436">
            <v>920596</v>
          </cell>
          <cell r="HS1436">
            <v>1881316.1112192513</v>
          </cell>
          <cell r="HT1436">
            <v>236089.33603157292</v>
          </cell>
          <cell r="HU1436">
            <v>393000</v>
          </cell>
          <cell r="HV1436">
            <v>0</v>
          </cell>
          <cell r="HW1436">
            <v>0</v>
          </cell>
          <cell r="HX1436">
            <v>0</v>
          </cell>
          <cell r="HY1436">
            <v>0</v>
          </cell>
          <cell r="HZ1436">
            <v>0</v>
          </cell>
          <cell r="IA1436">
            <v>0</v>
          </cell>
          <cell r="IB1436">
            <v>920596</v>
          </cell>
        </row>
        <row r="1437">
          <cell r="C1437" t="str">
            <v>A0326</v>
          </cell>
          <cell r="D1437" t="str">
            <v>PT Yutaka Manufacturing Indonesia</v>
          </cell>
          <cell r="E1437" t="str">
            <v>PEB 2</v>
          </cell>
          <cell r="F1437" t="str">
            <v>120PEB 2</v>
          </cell>
          <cell r="P1437">
            <v>0</v>
          </cell>
          <cell r="U1437">
            <v>0</v>
          </cell>
          <cell r="W1437">
            <v>0</v>
          </cell>
          <cell r="X1437">
            <v>0</v>
          </cell>
          <cell r="Y1437">
            <v>1419359</v>
          </cell>
          <cell r="Z1437">
            <v>0</v>
          </cell>
        </row>
        <row r="1438">
          <cell r="C1438" t="str">
            <v>A0326</v>
          </cell>
          <cell r="D1438" t="str">
            <v>PT Yutaka Manufacturing Indonesia</v>
          </cell>
          <cell r="E1438" t="str">
            <v>PEB 3</v>
          </cell>
          <cell r="F1438" t="str">
            <v>120PEB 3</v>
          </cell>
          <cell r="G1438">
            <v>0.1</v>
          </cell>
          <cell r="I1438">
            <v>0.09</v>
          </cell>
          <cell r="J1438">
            <v>5.094594062554874</v>
          </cell>
          <cell r="K1438">
            <v>4.0163047756522419</v>
          </cell>
          <cell r="P1438">
            <v>76088</v>
          </cell>
          <cell r="Q1438">
            <v>152342.40660077264</v>
          </cell>
          <cell r="R1438">
            <v>6947.3197570572383</v>
          </cell>
          <cell r="S1438">
            <v>0</v>
          </cell>
          <cell r="U1438">
            <v>0</v>
          </cell>
          <cell r="W1438">
            <v>555215</v>
          </cell>
          <cell r="X1438">
            <v>-92372</v>
          </cell>
          <cell r="Y1438">
            <v>8979</v>
          </cell>
          <cell r="Z1438">
            <v>538931</v>
          </cell>
        </row>
        <row r="1439">
          <cell r="C1439" t="str">
            <v>A0326</v>
          </cell>
          <cell r="D1439" t="str">
            <v>PT Yutaka Manufacturing Indonesia</v>
          </cell>
          <cell r="E1439" t="str">
            <v>PEB 4</v>
          </cell>
          <cell r="F1439" t="str">
            <v>120PEB 4</v>
          </cell>
          <cell r="G1439">
            <v>0.1</v>
          </cell>
          <cell r="I1439">
            <v>0.09</v>
          </cell>
          <cell r="J1439">
            <v>9.9152182583015485</v>
          </cell>
          <cell r="K1439">
            <v>19.883665545379912</v>
          </cell>
          <cell r="P1439">
            <v>1002802</v>
          </cell>
          <cell r="Q1439">
            <v>1223301.3039715255</v>
          </cell>
          <cell r="R1439">
            <v>178927.35350398568</v>
          </cell>
          <cell r="S1439">
            <v>63283.217914860194</v>
          </cell>
          <cell r="U1439">
            <v>0</v>
          </cell>
          <cell r="W1439">
            <v>-214155</v>
          </cell>
          <cell r="X1439">
            <v>-198914</v>
          </cell>
          <cell r="Y1439">
            <v>8603</v>
          </cell>
          <cell r="Z1439">
            <v>589733</v>
          </cell>
        </row>
        <row r="1440">
          <cell r="C1440" t="str">
            <v>A0326</v>
          </cell>
          <cell r="D1440" t="str">
            <v>PT Yutaka Manufacturing Indonesia</v>
          </cell>
          <cell r="E1440" t="str">
            <v>PEB 5</v>
          </cell>
          <cell r="F1440" t="str">
            <v>120PEB 5</v>
          </cell>
          <cell r="P1440">
            <v>0</v>
          </cell>
          <cell r="U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</row>
        <row r="1441">
          <cell r="C1441" t="str">
            <v>A0326</v>
          </cell>
          <cell r="D1441" t="str">
            <v>PT Yutaka Manufacturing Indonesia</v>
          </cell>
          <cell r="E1441" t="str">
            <v>PEB 6</v>
          </cell>
          <cell r="F1441" t="str">
            <v>120PEB 6</v>
          </cell>
          <cell r="P1441">
            <v>0</v>
          </cell>
          <cell r="U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</row>
        <row r="1442">
          <cell r="C1442" t="str">
            <v>A0326</v>
          </cell>
          <cell r="D1442" t="str">
            <v>PT Yutaka Manufacturing Indonesia</v>
          </cell>
          <cell r="E1442" t="str">
            <v>PEB 7</v>
          </cell>
          <cell r="F1442" t="str">
            <v>120PEB 7</v>
          </cell>
          <cell r="G1442">
            <v>0.1</v>
          </cell>
          <cell r="I1442">
            <v>0.09</v>
          </cell>
          <cell r="J1442">
            <v>9.8049592668978569</v>
          </cell>
          <cell r="K1442">
            <v>19.65752738714151</v>
          </cell>
          <cell r="P1442">
            <v>84960</v>
          </cell>
          <cell r="Q1442">
            <v>277414.2839700093</v>
          </cell>
          <cell r="R1442">
            <v>35568.670038480566</v>
          </cell>
          <cell r="S1442">
            <v>33967.724660282482</v>
          </cell>
          <cell r="U1442">
            <v>0</v>
          </cell>
          <cell r="W1442">
            <v>-83992</v>
          </cell>
          <cell r="X1442">
            <v>0</v>
          </cell>
          <cell r="Y1442">
            <v>0</v>
          </cell>
          <cell r="Z1442">
            <v>968</v>
          </cell>
        </row>
        <row r="1443">
          <cell r="C1443" t="str">
            <v>A0326</v>
          </cell>
          <cell r="D1443" t="str">
            <v>PT Yutaka Manufacturing Indonesia</v>
          </cell>
          <cell r="E1443" t="str">
            <v>MPP</v>
          </cell>
          <cell r="F1443" t="str">
            <v>120MPP</v>
          </cell>
          <cell r="P1443">
            <v>0</v>
          </cell>
          <cell r="U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</row>
        <row r="1444">
          <cell r="C1444" t="str">
            <v>A0326</v>
          </cell>
          <cell r="D1444" t="str">
            <v>PT Yutaka Manufacturing Indonesia</v>
          </cell>
          <cell r="E1444" t="str">
            <v>ID</v>
          </cell>
          <cell r="F1444" t="str">
            <v>120ID</v>
          </cell>
          <cell r="G1444">
            <v>0.1</v>
          </cell>
          <cell r="I1444">
            <v>0.09</v>
          </cell>
          <cell r="J1444">
            <v>9.8049592668978569</v>
          </cell>
          <cell r="K1444">
            <v>19.65752738714151</v>
          </cell>
          <cell r="P1444">
            <v>44580</v>
          </cell>
          <cell r="Q1444">
            <v>817262.31570863153</v>
          </cell>
          <cell r="R1444">
            <v>90791.211356751272</v>
          </cell>
          <cell r="S1444">
            <v>58677.069050264487</v>
          </cell>
          <cell r="U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44580</v>
          </cell>
        </row>
        <row r="1445">
          <cell r="C1445" t="str">
            <v>A0326</v>
          </cell>
          <cell r="D1445" t="str">
            <v>PT Yutaka Manufacturing Indonesia</v>
          </cell>
          <cell r="E1445" t="str">
            <v>LL</v>
          </cell>
          <cell r="F1445" t="str">
            <v>120LL</v>
          </cell>
          <cell r="G1445">
            <v>0.1</v>
          </cell>
          <cell r="I1445">
            <v>0.09</v>
          </cell>
          <cell r="J1445">
            <v>9.8049592668978569</v>
          </cell>
          <cell r="K1445">
            <v>19.65752738714151</v>
          </cell>
          <cell r="P1445">
            <v>1005768</v>
          </cell>
          <cell r="Q1445">
            <v>1603591</v>
          </cell>
          <cell r="R1445">
            <v>386479</v>
          </cell>
          <cell r="S1445">
            <v>537627.15113712428</v>
          </cell>
          <cell r="U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1005768</v>
          </cell>
        </row>
        <row r="1446">
          <cell r="C1446" t="str">
            <v>A0326</v>
          </cell>
          <cell r="D1446" t="str">
            <v>PT Yutaka Manufacturing Indonesia</v>
          </cell>
          <cell r="E1446" t="str">
            <v>PMK</v>
          </cell>
          <cell r="F1446" t="str">
            <v>120PMK</v>
          </cell>
          <cell r="G1446">
            <v>0.1</v>
          </cell>
          <cell r="I1446">
            <v>0.09</v>
          </cell>
          <cell r="J1446">
            <v>9.8049592668978569</v>
          </cell>
          <cell r="K1446">
            <v>19.65752738714151</v>
          </cell>
          <cell r="P1446">
            <v>920596</v>
          </cell>
          <cell r="Q1446">
            <v>1881316.1112192513</v>
          </cell>
          <cell r="R1446">
            <v>236089.33603157292</v>
          </cell>
          <cell r="S1446">
            <v>393000</v>
          </cell>
          <cell r="U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920596</v>
          </cell>
        </row>
        <row r="1448">
          <cell r="C1448" t="str">
            <v>R0406</v>
          </cell>
          <cell r="D1448" t="str">
            <v>Yayasan Astra Bina Ilmu</v>
          </cell>
          <cell r="E1448" t="str">
            <v>PEB 1</v>
          </cell>
          <cell r="F1448" t="str">
            <v>121PEB 1</v>
          </cell>
          <cell r="G1448">
            <v>0.1</v>
          </cell>
          <cell r="H1448">
            <v>0.1</v>
          </cell>
          <cell r="I1448">
            <v>0.09</v>
          </cell>
          <cell r="J1448">
            <v>7.4822109281270484</v>
          </cell>
          <cell r="K1448">
            <v>7.6168996190491063</v>
          </cell>
          <cell r="L1448">
            <v>0</v>
          </cell>
          <cell r="N1448">
            <v>50565.156000000003</v>
          </cell>
          <cell r="O1448">
            <v>4333.3519999999999</v>
          </cell>
          <cell r="P1448">
            <v>225269</v>
          </cell>
          <cell r="Q1448">
            <v>345063.77408272185</v>
          </cell>
          <cell r="R1448">
            <v>17329.099887764904</v>
          </cell>
          <cell r="S1448">
            <v>2160.9602035357684</v>
          </cell>
          <cell r="U1448">
            <v>-110202</v>
          </cell>
          <cell r="V1448">
            <v>225193.5026666667</v>
          </cell>
          <cell r="W1448">
            <v>-50727</v>
          </cell>
          <cell r="X1448">
            <v>0</v>
          </cell>
          <cell r="Y1448">
            <v>0</v>
          </cell>
          <cell r="Z1448">
            <v>64340</v>
          </cell>
          <cell r="AB1448">
            <v>0.1</v>
          </cell>
          <cell r="AC1448">
            <v>0</v>
          </cell>
          <cell r="AD1448">
            <v>0.09</v>
          </cell>
          <cell r="AE1448">
            <v>10.004704217296341</v>
          </cell>
          <cell r="AF1448">
            <v>18.161751889773264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545993</v>
          </cell>
          <cell r="AL1448">
            <v>889089.53286896425</v>
          </cell>
          <cell r="AM1448">
            <v>75878.077559620637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-85744</v>
          </cell>
          <cell r="AS1448">
            <v>0</v>
          </cell>
          <cell r="AT1448">
            <v>0</v>
          </cell>
          <cell r="AU1448">
            <v>460249</v>
          </cell>
          <cell r="AW1448">
            <v>0.1</v>
          </cell>
          <cell r="AX1448">
            <v>0</v>
          </cell>
          <cell r="AY1448">
            <v>0.09</v>
          </cell>
          <cell r="AZ1448">
            <v>7.4822109281270484</v>
          </cell>
          <cell r="BA1448">
            <v>7.6168996190491063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R1448">
            <v>0.1</v>
          </cell>
          <cell r="BS1448">
            <v>0</v>
          </cell>
          <cell r="BT1448">
            <v>0.09</v>
          </cell>
          <cell r="BU1448">
            <v>10.087236866884632</v>
          </cell>
          <cell r="BV1448">
            <v>18.312392636497894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557036</v>
          </cell>
          <cell r="CB1448">
            <v>173703.71681359666</v>
          </cell>
          <cell r="CC1448">
            <v>26282.705193480735</v>
          </cell>
          <cell r="CD1448">
            <v>33387.705813194589</v>
          </cell>
          <cell r="CE1448">
            <v>0</v>
          </cell>
          <cell r="CF1448">
            <v>0</v>
          </cell>
          <cell r="CG1448">
            <v>0</v>
          </cell>
          <cell r="CH1448">
            <v>-147203</v>
          </cell>
          <cell r="CI1448">
            <v>0</v>
          </cell>
          <cell r="CJ1448">
            <v>0</v>
          </cell>
          <cell r="CK1448">
            <v>409833</v>
          </cell>
          <cell r="CM1448">
            <v>0</v>
          </cell>
          <cell r="CN1448">
            <v>0</v>
          </cell>
          <cell r="CO1448">
            <v>0</v>
          </cell>
          <cell r="CP1448">
            <v>0</v>
          </cell>
          <cell r="CQ1448">
            <v>0</v>
          </cell>
          <cell r="CR1448">
            <v>0</v>
          </cell>
          <cell r="CS1448">
            <v>0</v>
          </cell>
          <cell r="CT1448">
            <v>0</v>
          </cell>
          <cell r="CU1448">
            <v>0</v>
          </cell>
          <cell r="CV1448">
            <v>0</v>
          </cell>
          <cell r="CW1448">
            <v>0</v>
          </cell>
          <cell r="CX1448">
            <v>0</v>
          </cell>
          <cell r="CY1448">
            <v>0</v>
          </cell>
          <cell r="CZ1448">
            <v>0</v>
          </cell>
          <cell r="DA1448">
            <v>0</v>
          </cell>
          <cell r="DB1448">
            <v>0</v>
          </cell>
          <cell r="DC1448">
            <v>0</v>
          </cell>
          <cell r="DD1448">
            <v>0</v>
          </cell>
          <cell r="DE1448">
            <v>0</v>
          </cell>
          <cell r="DF1448">
            <v>0</v>
          </cell>
          <cell r="DH1448">
            <v>0</v>
          </cell>
          <cell r="DI1448">
            <v>0</v>
          </cell>
          <cell r="DJ1448">
            <v>0</v>
          </cell>
          <cell r="DK1448">
            <v>0</v>
          </cell>
          <cell r="DL1448">
            <v>0</v>
          </cell>
          <cell r="DM1448">
            <v>0</v>
          </cell>
          <cell r="DN1448">
            <v>0</v>
          </cell>
          <cell r="DO1448">
            <v>0</v>
          </cell>
          <cell r="DP1448">
            <v>0</v>
          </cell>
          <cell r="DQ1448">
            <v>0</v>
          </cell>
          <cell r="DR1448">
            <v>0</v>
          </cell>
          <cell r="DS1448">
            <v>0</v>
          </cell>
          <cell r="DT1448">
            <v>0</v>
          </cell>
          <cell r="DU1448">
            <v>0</v>
          </cell>
          <cell r="DV1448">
            <v>0</v>
          </cell>
          <cell r="DW1448">
            <v>0</v>
          </cell>
          <cell r="DX1448">
            <v>0</v>
          </cell>
          <cell r="DY1448">
            <v>0</v>
          </cell>
          <cell r="DZ1448">
            <v>0</v>
          </cell>
          <cell r="EA1448">
            <v>0</v>
          </cell>
          <cell r="EC1448">
            <v>0.1</v>
          </cell>
          <cell r="ED1448">
            <v>0</v>
          </cell>
          <cell r="EE1448">
            <v>0.09</v>
          </cell>
          <cell r="EF1448">
            <v>10.004704217296341</v>
          </cell>
          <cell r="EG1448">
            <v>18.161751889773264</v>
          </cell>
          <cell r="EH1448">
            <v>0</v>
          </cell>
          <cell r="EI1448">
            <v>0</v>
          </cell>
          <cell r="EJ1448">
            <v>0</v>
          </cell>
          <cell r="EK1448">
            <v>0</v>
          </cell>
          <cell r="EL1448">
            <v>72457</v>
          </cell>
          <cell r="EM1448">
            <v>140507.52639812534</v>
          </cell>
          <cell r="EN1448">
            <v>14036.592778757924</v>
          </cell>
          <cell r="EO1448">
            <v>15034.873014984403</v>
          </cell>
          <cell r="EP1448">
            <v>0</v>
          </cell>
          <cell r="EQ1448">
            <v>0</v>
          </cell>
          <cell r="ER1448">
            <v>0</v>
          </cell>
          <cell r="ES1448">
            <v>-52048</v>
          </cell>
          <cell r="ET1448">
            <v>0</v>
          </cell>
          <cell r="EU1448">
            <v>0</v>
          </cell>
          <cell r="EV1448">
            <v>20409</v>
          </cell>
          <cell r="EX1448">
            <v>0.1</v>
          </cell>
          <cell r="EY1448">
            <v>0</v>
          </cell>
          <cell r="EZ1448">
            <v>0.09</v>
          </cell>
          <cell r="FA1448">
            <v>0</v>
          </cell>
          <cell r="FB1448">
            <v>18.161751889773264</v>
          </cell>
          <cell r="FC1448">
            <v>0</v>
          </cell>
          <cell r="FD1448">
            <v>0</v>
          </cell>
          <cell r="FE1448">
            <v>0</v>
          </cell>
          <cell r="FF1448">
            <v>0</v>
          </cell>
          <cell r="FG1448">
            <v>0</v>
          </cell>
          <cell r="FH1448">
            <v>138202.93467695557</v>
          </cell>
          <cell r="FI1448">
            <v>12009.99427725719</v>
          </cell>
          <cell r="FJ1448">
            <v>0</v>
          </cell>
          <cell r="FK1448">
            <v>0</v>
          </cell>
          <cell r="FL1448">
            <v>0</v>
          </cell>
          <cell r="FM1448">
            <v>0</v>
          </cell>
          <cell r="FN1448">
            <v>0</v>
          </cell>
          <cell r="FO1448">
            <v>0</v>
          </cell>
          <cell r="FP1448">
            <v>0</v>
          </cell>
          <cell r="FQ1448">
            <v>0</v>
          </cell>
          <cell r="FS1448">
            <v>0.1</v>
          </cell>
          <cell r="FT1448">
            <v>0</v>
          </cell>
          <cell r="FU1448">
            <v>0.09</v>
          </cell>
          <cell r="FV1448">
            <v>10.004704217296341</v>
          </cell>
          <cell r="FW1448">
            <v>18.161751889773264</v>
          </cell>
          <cell r="FX1448">
            <v>0</v>
          </cell>
          <cell r="FY1448">
            <v>0</v>
          </cell>
          <cell r="FZ1448">
            <v>0</v>
          </cell>
          <cell r="GA1448">
            <v>0</v>
          </cell>
          <cell r="GB1448">
            <v>7506</v>
          </cell>
          <cell r="GC1448">
            <v>329255.59656728653</v>
          </cell>
          <cell r="GD1448">
            <v>31109.530378819156</v>
          </cell>
          <cell r="GE1448">
            <v>18201.627600631607</v>
          </cell>
          <cell r="GF1448">
            <v>0</v>
          </cell>
          <cell r="GG1448">
            <v>0</v>
          </cell>
          <cell r="GH1448">
            <v>0</v>
          </cell>
          <cell r="GI1448">
            <v>0</v>
          </cell>
          <cell r="GJ1448">
            <v>0</v>
          </cell>
          <cell r="GK1448">
            <v>0</v>
          </cell>
          <cell r="GL1448">
            <v>7506</v>
          </cell>
          <cell r="GN1448">
            <v>0.1</v>
          </cell>
          <cell r="GO1448">
            <v>0</v>
          </cell>
          <cell r="GP1448">
            <v>0.09</v>
          </cell>
          <cell r="GQ1448">
            <v>10.004704217296341</v>
          </cell>
          <cell r="GR1448">
            <v>18.161751889773264</v>
          </cell>
          <cell r="GS1448">
            <v>0</v>
          </cell>
          <cell r="GT1448">
            <v>0</v>
          </cell>
          <cell r="GU1448">
            <v>0</v>
          </cell>
          <cell r="GV1448">
            <v>0</v>
          </cell>
          <cell r="GW1448">
            <v>302004</v>
          </cell>
          <cell r="GX1448">
            <v>544871.57251219288</v>
          </cell>
          <cell r="GY1448">
            <v>129396.00628497489</v>
          </cell>
          <cell r="GZ1448">
            <v>85870.556048300772</v>
          </cell>
          <cell r="HA1448">
            <v>0</v>
          </cell>
          <cell r="HB1448">
            <v>0</v>
          </cell>
          <cell r="HC1448">
            <v>0</v>
          </cell>
          <cell r="HD1448">
            <v>0</v>
          </cell>
          <cell r="HE1448">
            <v>0</v>
          </cell>
          <cell r="HF1448">
            <v>0</v>
          </cell>
          <cell r="HG1448">
            <v>302004</v>
          </cell>
          <cell r="HI1448">
            <v>0.1</v>
          </cell>
          <cell r="HJ1448">
            <v>0</v>
          </cell>
          <cell r="HK1448">
            <v>0.09</v>
          </cell>
          <cell r="HL1448">
            <v>10.004704217296341</v>
          </cell>
          <cell r="HM1448">
            <v>18.161751889773264</v>
          </cell>
          <cell r="HN1448">
            <v>0</v>
          </cell>
          <cell r="HO1448">
            <v>0</v>
          </cell>
          <cell r="HP1448">
            <v>0</v>
          </cell>
          <cell r="HQ1448">
            <v>0</v>
          </cell>
          <cell r="HR1448">
            <v>328015</v>
          </cell>
          <cell r="HS1448">
            <v>306549.57548485335</v>
          </cell>
          <cell r="HT1448">
            <v>43755.328742902369</v>
          </cell>
          <cell r="HU1448">
            <v>6445.25</v>
          </cell>
          <cell r="HV1448">
            <v>0</v>
          </cell>
          <cell r="HW1448">
            <v>0</v>
          </cell>
          <cell r="HX1448">
            <v>0</v>
          </cell>
          <cell r="HY1448">
            <v>0</v>
          </cell>
          <cell r="HZ1448">
            <v>0</v>
          </cell>
          <cell r="IA1448">
            <v>0</v>
          </cell>
          <cell r="IB1448">
            <v>328015</v>
          </cell>
        </row>
        <row r="1449">
          <cell r="C1449" t="str">
            <v>R0406</v>
          </cell>
          <cell r="D1449" t="str">
            <v>Yayasan Astra Bina Ilmu</v>
          </cell>
          <cell r="E1449" t="str">
            <v>PEB 2</v>
          </cell>
          <cell r="F1449" t="str">
            <v>121PEB 2</v>
          </cell>
          <cell r="G1449">
            <v>0.1</v>
          </cell>
          <cell r="I1449">
            <v>0.09</v>
          </cell>
          <cell r="J1449">
            <v>10.004704217296341</v>
          </cell>
          <cell r="K1449">
            <v>18.161751889773264</v>
          </cell>
          <cell r="P1449">
            <v>545993</v>
          </cell>
          <cell r="Q1449">
            <v>889089.53286896425</v>
          </cell>
          <cell r="R1449">
            <v>75878.077559620637</v>
          </cell>
          <cell r="S1449">
            <v>0</v>
          </cell>
          <cell r="U1449">
            <v>0</v>
          </cell>
          <cell r="W1449">
            <v>-85744</v>
          </cell>
          <cell r="X1449">
            <v>0</v>
          </cell>
          <cell r="Y1449">
            <v>0</v>
          </cell>
          <cell r="Z1449">
            <v>460249</v>
          </cell>
        </row>
        <row r="1450">
          <cell r="C1450" t="str">
            <v>R0406</v>
          </cell>
          <cell r="D1450" t="str">
            <v>Yayasan Astra Bina Ilmu</v>
          </cell>
          <cell r="E1450" t="str">
            <v>PEB 3</v>
          </cell>
          <cell r="F1450" t="str">
            <v>121PEB 3</v>
          </cell>
          <cell r="G1450">
            <v>0.1</v>
          </cell>
          <cell r="I1450">
            <v>0.09</v>
          </cell>
          <cell r="J1450">
            <v>7.4822109281270484</v>
          </cell>
          <cell r="K1450">
            <v>7.6168996190491063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U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</row>
        <row r="1451">
          <cell r="C1451" t="str">
            <v>R0406</v>
          </cell>
          <cell r="D1451" t="str">
            <v>Yayasan Astra Bina Ilmu</v>
          </cell>
          <cell r="E1451" t="str">
            <v>PEB 4</v>
          </cell>
          <cell r="F1451" t="str">
            <v>121PEB 4</v>
          </cell>
          <cell r="G1451">
            <v>0.1</v>
          </cell>
          <cell r="I1451">
            <v>0.09</v>
          </cell>
          <cell r="J1451">
            <v>10.087236866884632</v>
          </cell>
          <cell r="K1451">
            <v>18.312392636497894</v>
          </cell>
          <cell r="P1451">
            <v>557036</v>
          </cell>
          <cell r="Q1451">
            <v>173703.71681359666</v>
          </cell>
          <cell r="R1451">
            <v>26282.705193480735</v>
          </cell>
          <cell r="S1451">
            <v>33387.705813194589</v>
          </cell>
          <cell r="U1451">
            <v>0</v>
          </cell>
          <cell r="W1451">
            <v>-147203</v>
          </cell>
          <cell r="X1451">
            <v>0</v>
          </cell>
          <cell r="Y1451">
            <v>0</v>
          </cell>
          <cell r="Z1451">
            <v>409833</v>
          </cell>
        </row>
        <row r="1452">
          <cell r="C1452" t="str">
            <v>R0406</v>
          </cell>
          <cell r="D1452" t="str">
            <v>Yayasan Astra Bina Ilmu</v>
          </cell>
          <cell r="E1452" t="str">
            <v>PEB 5</v>
          </cell>
          <cell r="F1452" t="str">
            <v>121PEB 5</v>
          </cell>
          <cell r="P1452">
            <v>0</v>
          </cell>
          <cell r="U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</row>
        <row r="1453">
          <cell r="C1453" t="str">
            <v>R0406</v>
          </cell>
          <cell r="D1453" t="str">
            <v>Yayasan Astra Bina Ilmu</v>
          </cell>
          <cell r="E1453" t="str">
            <v>PEB 6</v>
          </cell>
          <cell r="F1453" t="str">
            <v>121PEB 6</v>
          </cell>
          <cell r="P1453">
            <v>0</v>
          </cell>
          <cell r="U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</row>
        <row r="1454">
          <cell r="C1454" t="str">
            <v>R0406</v>
          </cell>
          <cell r="D1454" t="str">
            <v>Yayasan Astra Bina Ilmu</v>
          </cell>
          <cell r="E1454" t="str">
            <v>PEB 7</v>
          </cell>
          <cell r="F1454" t="str">
            <v>121PEB 7</v>
          </cell>
          <cell r="G1454">
            <v>0.1</v>
          </cell>
          <cell r="I1454">
            <v>0.09</v>
          </cell>
          <cell r="J1454">
            <v>10.004704217296341</v>
          </cell>
          <cell r="K1454">
            <v>18.161751889773264</v>
          </cell>
          <cell r="P1454">
            <v>72457</v>
          </cell>
          <cell r="Q1454">
            <v>140507.52639812534</v>
          </cell>
          <cell r="R1454">
            <v>14036.592778757924</v>
          </cell>
          <cell r="S1454">
            <v>15034.873014984403</v>
          </cell>
          <cell r="U1454">
            <v>0</v>
          </cell>
          <cell r="W1454">
            <v>-52048</v>
          </cell>
          <cell r="X1454">
            <v>0</v>
          </cell>
          <cell r="Y1454">
            <v>0</v>
          </cell>
          <cell r="Z1454">
            <v>20409</v>
          </cell>
        </row>
        <row r="1455">
          <cell r="C1455" t="str">
            <v>R0406</v>
          </cell>
          <cell r="D1455" t="str">
            <v>Yayasan Astra Bina Ilmu</v>
          </cell>
          <cell r="E1455" t="str">
            <v>MPP</v>
          </cell>
          <cell r="F1455" t="str">
            <v>121MPP</v>
          </cell>
          <cell r="G1455">
            <v>0.1</v>
          </cell>
          <cell r="I1455">
            <v>0.09</v>
          </cell>
          <cell r="J1455">
            <v>0</v>
          </cell>
          <cell r="K1455">
            <v>18.161751889773264</v>
          </cell>
          <cell r="P1455">
            <v>0</v>
          </cell>
          <cell r="Q1455">
            <v>138202.93467695557</v>
          </cell>
          <cell r="R1455">
            <v>12009.99427725719</v>
          </cell>
          <cell r="S1455">
            <v>0</v>
          </cell>
          <cell r="U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</row>
        <row r="1456">
          <cell r="C1456" t="str">
            <v>R0406</v>
          </cell>
          <cell r="D1456" t="str">
            <v>Yayasan Astra Bina Ilmu</v>
          </cell>
          <cell r="E1456" t="str">
            <v>ID</v>
          </cell>
          <cell r="F1456" t="str">
            <v>121ID</v>
          </cell>
          <cell r="G1456">
            <v>0.1</v>
          </cell>
          <cell r="I1456">
            <v>0.09</v>
          </cell>
          <cell r="J1456">
            <v>10.004704217296341</v>
          </cell>
          <cell r="K1456">
            <v>18.161751889773264</v>
          </cell>
          <cell r="P1456">
            <v>7506</v>
          </cell>
          <cell r="Q1456">
            <v>329255.59656728653</v>
          </cell>
          <cell r="R1456">
            <v>31109.530378819156</v>
          </cell>
          <cell r="S1456">
            <v>18201.627600631607</v>
          </cell>
          <cell r="U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7506</v>
          </cell>
        </row>
        <row r="1457">
          <cell r="C1457" t="str">
            <v>R0406</v>
          </cell>
          <cell r="D1457" t="str">
            <v>Yayasan Astra Bina Ilmu</v>
          </cell>
          <cell r="E1457" t="str">
            <v>LL</v>
          </cell>
          <cell r="F1457" t="str">
            <v>121LL</v>
          </cell>
          <cell r="G1457">
            <v>0.1</v>
          </cell>
          <cell r="I1457">
            <v>0.09</v>
          </cell>
          <cell r="J1457">
            <v>10.004704217296341</v>
          </cell>
          <cell r="K1457">
            <v>18.161751889773264</v>
          </cell>
          <cell r="P1457">
            <v>302004</v>
          </cell>
          <cell r="Q1457">
            <v>544871.57251219288</v>
          </cell>
          <cell r="R1457">
            <v>129396.00628497489</v>
          </cell>
          <cell r="S1457">
            <v>85870.556048300772</v>
          </cell>
          <cell r="U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302004</v>
          </cell>
        </row>
        <row r="1458">
          <cell r="C1458" t="str">
            <v>R0406</v>
          </cell>
          <cell r="D1458" t="str">
            <v>Yayasan Astra Bina Ilmu</v>
          </cell>
          <cell r="E1458" t="str">
            <v>PMK</v>
          </cell>
          <cell r="F1458" t="str">
            <v>121PMK</v>
          </cell>
          <cell r="G1458">
            <v>0.1</v>
          </cell>
          <cell r="I1458">
            <v>0.09</v>
          </cell>
          <cell r="J1458">
            <v>10.004704217296341</v>
          </cell>
          <cell r="K1458">
            <v>18.161751889773264</v>
          </cell>
          <cell r="P1458">
            <v>328015</v>
          </cell>
          <cell r="Q1458">
            <v>306549.57548485335</v>
          </cell>
          <cell r="R1458">
            <v>43755.328742902369</v>
          </cell>
          <cell r="S1458">
            <v>6445.25</v>
          </cell>
          <cell r="U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328015</v>
          </cell>
        </row>
        <row r="1460">
          <cell r="C1460" t="str">
            <v>R0411</v>
          </cell>
          <cell r="D1460" t="str">
            <v>Yayasan Astra Bina Pendidikan</v>
          </cell>
          <cell r="E1460" t="str">
            <v>PEB 1</v>
          </cell>
          <cell r="F1460" t="str">
            <v>122PEB 1</v>
          </cell>
          <cell r="L1460">
            <v>0</v>
          </cell>
          <cell r="N1460">
            <v>0</v>
          </cell>
          <cell r="O1460">
            <v>0</v>
          </cell>
          <cell r="P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B1460">
            <v>0.1</v>
          </cell>
          <cell r="AC1460">
            <v>0</v>
          </cell>
          <cell r="AD1460">
            <v>0.09</v>
          </cell>
          <cell r="AE1460">
            <v>10.523072331015499</v>
          </cell>
          <cell r="AF1460">
            <v>16.218322260993677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32704</v>
          </cell>
          <cell r="AL1460">
            <v>54645.328593305581</v>
          </cell>
          <cell r="AM1460">
            <v>12701.413863796435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-4840</v>
          </cell>
          <cell r="AS1460">
            <v>0</v>
          </cell>
          <cell r="AT1460">
            <v>0</v>
          </cell>
          <cell r="AU1460">
            <v>27864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R1460">
            <v>0.1</v>
          </cell>
          <cell r="BS1460">
            <v>0</v>
          </cell>
          <cell r="BT1460">
            <v>0.09</v>
          </cell>
          <cell r="BU1460">
            <v>10.523072331015499</v>
          </cell>
          <cell r="BV1460">
            <v>16.218322260993677</v>
          </cell>
          <cell r="BW1460">
            <v>0</v>
          </cell>
          <cell r="BX1460">
            <v>0</v>
          </cell>
          <cell r="BY1460">
            <v>0</v>
          </cell>
          <cell r="BZ1460">
            <v>0</v>
          </cell>
          <cell r="CA1460">
            <v>125036</v>
          </cell>
          <cell r="CB1460">
            <v>186240.09382730088</v>
          </cell>
          <cell r="CC1460">
            <v>48603.54258023735</v>
          </cell>
          <cell r="CD1460">
            <v>1113.0285473672652</v>
          </cell>
          <cell r="CE1460">
            <v>0</v>
          </cell>
          <cell r="CF1460">
            <v>0</v>
          </cell>
          <cell r="CG1460">
            <v>0</v>
          </cell>
          <cell r="CH1460">
            <v>-17443</v>
          </cell>
          <cell r="CI1460">
            <v>0</v>
          </cell>
          <cell r="CJ1460">
            <v>0</v>
          </cell>
          <cell r="CK1460">
            <v>107593</v>
          </cell>
          <cell r="CM1460">
            <v>0</v>
          </cell>
          <cell r="CN1460">
            <v>0</v>
          </cell>
          <cell r="CO1460">
            <v>0</v>
          </cell>
          <cell r="CP1460">
            <v>0</v>
          </cell>
          <cell r="CQ1460">
            <v>0</v>
          </cell>
          <cell r="CR1460">
            <v>0</v>
          </cell>
          <cell r="CS1460">
            <v>0</v>
          </cell>
          <cell r="CT1460">
            <v>0</v>
          </cell>
          <cell r="CU1460">
            <v>0</v>
          </cell>
          <cell r="CV1460">
            <v>0</v>
          </cell>
          <cell r="CW1460">
            <v>0</v>
          </cell>
          <cell r="CX1460">
            <v>0</v>
          </cell>
          <cell r="CY1460">
            <v>0</v>
          </cell>
          <cell r="CZ1460">
            <v>0</v>
          </cell>
          <cell r="DA1460">
            <v>0</v>
          </cell>
          <cell r="DB1460">
            <v>0</v>
          </cell>
          <cell r="DC1460">
            <v>0</v>
          </cell>
          <cell r="DD1460">
            <v>0</v>
          </cell>
          <cell r="DE1460">
            <v>0</v>
          </cell>
          <cell r="DF1460">
            <v>0</v>
          </cell>
          <cell r="DH1460">
            <v>0</v>
          </cell>
          <cell r="DI1460">
            <v>0</v>
          </cell>
          <cell r="DJ1460">
            <v>0</v>
          </cell>
          <cell r="DK1460">
            <v>0</v>
          </cell>
          <cell r="DL1460">
            <v>0</v>
          </cell>
          <cell r="DM1460">
            <v>0</v>
          </cell>
          <cell r="DN1460">
            <v>0</v>
          </cell>
          <cell r="DO1460">
            <v>0</v>
          </cell>
          <cell r="DP1460">
            <v>0</v>
          </cell>
          <cell r="DQ1460">
            <v>0</v>
          </cell>
          <cell r="DR1460">
            <v>0</v>
          </cell>
          <cell r="DS1460">
            <v>0</v>
          </cell>
          <cell r="DT1460">
            <v>0</v>
          </cell>
          <cell r="DU1460">
            <v>0</v>
          </cell>
          <cell r="DV1460">
            <v>0</v>
          </cell>
          <cell r="DW1460">
            <v>0</v>
          </cell>
          <cell r="DX1460">
            <v>0</v>
          </cell>
          <cell r="DY1460">
            <v>0</v>
          </cell>
          <cell r="DZ1460">
            <v>0</v>
          </cell>
          <cell r="EA1460">
            <v>0</v>
          </cell>
          <cell r="EC1460">
            <v>0.1</v>
          </cell>
          <cell r="ED1460">
            <v>0</v>
          </cell>
          <cell r="EE1460">
            <v>0.09</v>
          </cell>
          <cell r="EF1460">
            <v>10.523072331015499</v>
          </cell>
          <cell r="EG1460">
            <v>16.218322260993677</v>
          </cell>
          <cell r="EH1460">
            <v>0</v>
          </cell>
          <cell r="EI1460">
            <v>0</v>
          </cell>
          <cell r="EJ1460">
            <v>0</v>
          </cell>
          <cell r="EK1460">
            <v>0</v>
          </cell>
          <cell r="EL1460">
            <v>3140</v>
          </cell>
          <cell r="EM1460">
            <v>6793.8790150995665</v>
          </cell>
          <cell r="EN1460">
            <v>1435.3537900603581</v>
          </cell>
          <cell r="EO1460">
            <v>850.61675017357743</v>
          </cell>
          <cell r="EP1460">
            <v>0</v>
          </cell>
          <cell r="EQ1460">
            <v>0</v>
          </cell>
          <cell r="ER1460">
            <v>0</v>
          </cell>
          <cell r="ES1460">
            <v>-1901</v>
          </cell>
          <cell r="ET1460">
            <v>0</v>
          </cell>
          <cell r="EU1460">
            <v>0</v>
          </cell>
          <cell r="EV1460">
            <v>1239</v>
          </cell>
          <cell r="EX1460">
            <v>0.1</v>
          </cell>
          <cell r="EY1460">
            <v>0</v>
          </cell>
          <cell r="EZ1460">
            <v>0.09</v>
          </cell>
          <cell r="FA1460">
            <v>10.523072331015499</v>
          </cell>
          <cell r="FB1460">
            <v>16.218322260993677</v>
          </cell>
          <cell r="FC1460">
            <v>0</v>
          </cell>
          <cell r="FD1460">
            <v>0</v>
          </cell>
          <cell r="FE1460">
            <v>0</v>
          </cell>
          <cell r="FF1460">
            <v>0</v>
          </cell>
          <cell r="FG1460">
            <v>0</v>
          </cell>
          <cell r="FH1460">
            <v>16462.579221286454</v>
          </cell>
          <cell r="FI1460">
            <v>4151.1453792161719</v>
          </cell>
          <cell r="FJ1460">
            <v>0</v>
          </cell>
          <cell r="FK1460">
            <v>0</v>
          </cell>
          <cell r="FL1460">
            <v>0</v>
          </cell>
          <cell r="FM1460">
            <v>0</v>
          </cell>
          <cell r="FN1460">
            <v>0</v>
          </cell>
          <cell r="FO1460">
            <v>0</v>
          </cell>
          <cell r="FP1460">
            <v>0</v>
          </cell>
          <cell r="FQ1460">
            <v>0</v>
          </cell>
          <cell r="FS1460">
            <v>0.1</v>
          </cell>
          <cell r="FT1460">
            <v>0</v>
          </cell>
          <cell r="FU1460">
            <v>0.09</v>
          </cell>
          <cell r="FV1460">
            <v>10.523072331015499</v>
          </cell>
          <cell r="FW1460">
            <v>16.218322260993677</v>
          </cell>
          <cell r="FX1460">
            <v>0</v>
          </cell>
          <cell r="FY1460">
            <v>0</v>
          </cell>
          <cell r="FZ1460">
            <v>0</v>
          </cell>
          <cell r="GA1460">
            <v>0</v>
          </cell>
          <cell r="GB1460">
            <v>1117</v>
          </cell>
          <cell r="GC1460">
            <v>24401.999646596461</v>
          </cell>
          <cell r="GD1460">
            <v>5588.4335013897553</v>
          </cell>
          <cell r="GE1460">
            <v>2190.3021966430338</v>
          </cell>
          <cell r="GF1460">
            <v>0</v>
          </cell>
          <cell r="GG1460">
            <v>0</v>
          </cell>
          <cell r="GH1460">
            <v>0</v>
          </cell>
          <cell r="GI1460">
            <v>0</v>
          </cell>
          <cell r="GJ1460">
            <v>0</v>
          </cell>
          <cell r="GK1460">
            <v>0</v>
          </cell>
          <cell r="GL1460">
            <v>1117</v>
          </cell>
          <cell r="GN1460">
            <v>0.1</v>
          </cell>
          <cell r="GO1460">
            <v>0</v>
          </cell>
          <cell r="GP1460">
            <v>0.09</v>
          </cell>
          <cell r="GQ1460">
            <v>10.523072331015499</v>
          </cell>
          <cell r="GR1460">
            <v>16.218322260993677</v>
          </cell>
          <cell r="GS1460">
            <v>0</v>
          </cell>
          <cell r="GT1460">
            <v>0</v>
          </cell>
          <cell r="GU1460">
            <v>0</v>
          </cell>
          <cell r="GV1460">
            <v>0</v>
          </cell>
          <cell r="GW1460">
            <v>57913</v>
          </cell>
          <cell r="GX1460">
            <v>76616.915902573848</v>
          </cell>
          <cell r="GY1460">
            <v>18384.237530654067</v>
          </cell>
          <cell r="GZ1460">
            <v>47621.64269683852</v>
          </cell>
          <cell r="HA1460">
            <v>0</v>
          </cell>
          <cell r="HB1460">
            <v>0</v>
          </cell>
          <cell r="HC1460">
            <v>0</v>
          </cell>
          <cell r="HD1460">
            <v>0</v>
          </cell>
          <cell r="HE1460">
            <v>0</v>
          </cell>
          <cell r="HF1460">
            <v>0</v>
          </cell>
          <cell r="HG1460">
            <v>57913</v>
          </cell>
          <cell r="HI1460">
            <v>0.1</v>
          </cell>
          <cell r="HJ1460">
            <v>0</v>
          </cell>
          <cell r="HK1460">
            <v>0.09</v>
          </cell>
          <cell r="HL1460">
            <v>10.523072331015499</v>
          </cell>
          <cell r="HM1460">
            <v>16.218322260993677</v>
          </cell>
          <cell r="HN1460">
            <v>0</v>
          </cell>
          <cell r="HO1460">
            <v>0</v>
          </cell>
          <cell r="HP1460">
            <v>0</v>
          </cell>
          <cell r="HQ1460">
            <v>0</v>
          </cell>
          <cell r="HR1460">
            <v>3573</v>
          </cell>
          <cell r="HS1460">
            <v>13977.002118004966</v>
          </cell>
          <cell r="HT1460">
            <v>2689.5814249639416</v>
          </cell>
          <cell r="HU1460">
            <v>5501</v>
          </cell>
          <cell r="HV1460">
            <v>0</v>
          </cell>
          <cell r="HW1460">
            <v>0</v>
          </cell>
          <cell r="HX1460">
            <v>0</v>
          </cell>
          <cell r="HY1460">
            <v>0</v>
          </cell>
          <cell r="HZ1460">
            <v>0</v>
          </cell>
          <cell r="IA1460">
            <v>0</v>
          </cell>
          <cell r="IB1460">
            <v>3573</v>
          </cell>
        </row>
        <row r="1461">
          <cell r="C1461" t="str">
            <v>R0411</v>
          </cell>
          <cell r="D1461" t="str">
            <v>Yayasan Astra Bina Pendidikan</v>
          </cell>
          <cell r="E1461" t="str">
            <v>PEB 2</v>
          </cell>
          <cell r="F1461" t="str">
            <v>122PEB 2</v>
          </cell>
          <cell r="G1461">
            <v>0.1</v>
          </cell>
          <cell r="I1461">
            <v>0.09</v>
          </cell>
          <cell r="J1461">
            <v>10.523072331015499</v>
          </cell>
          <cell r="K1461">
            <v>16.218322260993677</v>
          </cell>
          <cell r="P1461">
            <v>32704</v>
          </cell>
          <cell r="Q1461">
            <v>54645.328593305581</v>
          </cell>
          <cell r="R1461">
            <v>12701.413863796435</v>
          </cell>
          <cell r="S1461">
            <v>0</v>
          </cell>
          <cell r="U1461">
            <v>0</v>
          </cell>
          <cell r="W1461">
            <v>-4840</v>
          </cell>
          <cell r="X1461">
            <v>0</v>
          </cell>
          <cell r="Y1461">
            <v>0</v>
          </cell>
          <cell r="Z1461">
            <v>27864</v>
          </cell>
        </row>
        <row r="1462">
          <cell r="C1462" t="str">
            <v>R0411</v>
          </cell>
          <cell r="D1462" t="str">
            <v>Yayasan Astra Bina Pendidikan</v>
          </cell>
          <cell r="E1462" t="str">
            <v>PEB 3</v>
          </cell>
          <cell r="F1462" t="str">
            <v>122PEB 3</v>
          </cell>
          <cell r="P1462">
            <v>0</v>
          </cell>
          <cell r="U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</row>
        <row r="1463">
          <cell r="C1463" t="str">
            <v>R0411</v>
          </cell>
          <cell r="D1463" t="str">
            <v>Yayasan Astra Bina Pendidikan</v>
          </cell>
          <cell r="E1463" t="str">
            <v>PEB 4</v>
          </cell>
          <cell r="F1463" t="str">
            <v>122PEB 4</v>
          </cell>
          <cell r="G1463">
            <v>0.1</v>
          </cell>
          <cell r="I1463">
            <v>0.09</v>
          </cell>
          <cell r="J1463">
            <v>10.523072331015499</v>
          </cell>
          <cell r="K1463">
            <v>16.218322260993677</v>
          </cell>
          <cell r="P1463">
            <v>125036</v>
          </cell>
          <cell r="Q1463">
            <v>186240.09382730088</v>
          </cell>
          <cell r="R1463">
            <v>48603.54258023735</v>
          </cell>
          <cell r="S1463">
            <v>1113.0285473672652</v>
          </cell>
          <cell r="U1463">
            <v>0</v>
          </cell>
          <cell r="W1463">
            <v>-17443</v>
          </cell>
          <cell r="X1463">
            <v>0</v>
          </cell>
          <cell r="Y1463">
            <v>0</v>
          </cell>
          <cell r="Z1463">
            <v>107593</v>
          </cell>
        </row>
        <row r="1464">
          <cell r="C1464" t="str">
            <v>R0411</v>
          </cell>
          <cell r="D1464" t="str">
            <v>Yayasan Astra Bina Pendidikan</v>
          </cell>
          <cell r="E1464" t="str">
            <v>PEB 5</v>
          </cell>
          <cell r="F1464" t="str">
            <v>122PEB 5</v>
          </cell>
          <cell r="P1464">
            <v>0</v>
          </cell>
          <cell r="U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</row>
        <row r="1465">
          <cell r="C1465" t="str">
            <v>R0411</v>
          </cell>
          <cell r="D1465" t="str">
            <v>Yayasan Astra Bina Pendidikan</v>
          </cell>
          <cell r="E1465" t="str">
            <v>PEB 6</v>
          </cell>
          <cell r="F1465" t="str">
            <v>122PEB 6</v>
          </cell>
          <cell r="P1465">
            <v>0</v>
          </cell>
          <cell r="U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</row>
        <row r="1466">
          <cell r="C1466" t="str">
            <v>R0411</v>
          </cell>
          <cell r="D1466" t="str">
            <v>Yayasan Astra Bina Pendidikan</v>
          </cell>
          <cell r="E1466" t="str">
            <v>PEB 7</v>
          </cell>
          <cell r="F1466" t="str">
            <v>122PEB 7</v>
          </cell>
          <cell r="G1466">
            <v>0.1</v>
          </cell>
          <cell r="I1466">
            <v>0.09</v>
          </cell>
          <cell r="J1466">
            <v>10.523072331015499</v>
          </cell>
          <cell r="K1466">
            <v>16.218322260993677</v>
          </cell>
          <cell r="P1466">
            <v>3140</v>
          </cell>
          <cell r="Q1466">
            <v>6793.8790150995665</v>
          </cell>
          <cell r="R1466">
            <v>1435.3537900603581</v>
          </cell>
          <cell r="S1466">
            <v>850.61675017357743</v>
          </cell>
          <cell r="U1466">
            <v>0</v>
          </cell>
          <cell r="W1466">
            <v>-1901</v>
          </cell>
          <cell r="X1466">
            <v>0</v>
          </cell>
          <cell r="Y1466">
            <v>0</v>
          </cell>
          <cell r="Z1466">
            <v>1239</v>
          </cell>
        </row>
        <row r="1467">
          <cell r="C1467" t="str">
            <v>R0411</v>
          </cell>
          <cell r="D1467" t="str">
            <v>Yayasan Astra Bina Pendidikan</v>
          </cell>
          <cell r="E1467" t="str">
            <v>MPP</v>
          </cell>
          <cell r="F1467" t="str">
            <v>122MPP</v>
          </cell>
          <cell r="G1467">
            <v>0.1</v>
          </cell>
          <cell r="I1467">
            <v>0.09</v>
          </cell>
          <cell r="J1467">
            <v>10.523072331015499</v>
          </cell>
          <cell r="K1467">
            <v>16.218322260993677</v>
          </cell>
          <cell r="P1467">
            <v>0</v>
          </cell>
          <cell r="Q1467">
            <v>16462.579221286454</v>
          </cell>
          <cell r="R1467">
            <v>4151.1453792161719</v>
          </cell>
          <cell r="S1467">
            <v>0</v>
          </cell>
          <cell r="U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</row>
        <row r="1468">
          <cell r="C1468" t="str">
            <v>R0411</v>
          </cell>
          <cell r="D1468" t="str">
            <v>Yayasan Astra Bina Pendidikan</v>
          </cell>
          <cell r="E1468" t="str">
            <v>ID</v>
          </cell>
          <cell r="F1468" t="str">
            <v>122ID</v>
          </cell>
          <cell r="G1468">
            <v>0.1</v>
          </cell>
          <cell r="I1468">
            <v>0.09</v>
          </cell>
          <cell r="J1468">
            <v>10.523072331015499</v>
          </cell>
          <cell r="K1468">
            <v>16.218322260993677</v>
          </cell>
          <cell r="P1468">
            <v>1117</v>
          </cell>
          <cell r="Q1468">
            <v>24401.999646596461</v>
          </cell>
          <cell r="R1468">
            <v>5588.4335013897553</v>
          </cell>
          <cell r="S1468">
            <v>2190.3021966430338</v>
          </cell>
          <cell r="U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1117</v>
          </cell>
        </row>
        <row r="1469">
          <cell r="C1469" t="str">
            <v>R0411</v>
          </cell>
          <cell r="D1469" t="str">
            <v>Yayasan Astra Bina Pendidikan</v>
          </cell>
          <cell r="E1469" t="str">
            <v>LL</v>
          </cell>
          <cell r="F1469" t="str">
            <v>122LL</v>
          </cell>
          <cell r="G1469">
            <v>0.1</v>
          </cell>
          <cell r="I1469">
            <v>0.09</v>
          </cell>
          <cell r="J1469">
            <v>10.523072331015499</v>
          </cell>
          <cell r="K1469">
            <v>16.218322260993677</v>
          </cell>
          <cell r="P1469">
            <v>57913</v>
          </cell>
          <cell r="Q1469">
            <v>76616.915902573848</v>
          </cell>
          <cell r="R1469">
            <v>18384.237530654067</v>
          </cell>
          <cell r="S1469">
            <v>47621.64269683852</v>
          </cell>
          <cell r="U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57913</v>
          </cell>
        </row>
        <row r="1470">
          <cell r="C1470" t="str">
            <v>R0411</v>
          </cell>
          <cell r="D1470" t="str">
            <v>Yayasan Astra Bina Pendidikan</v>
          </cell>
          <cell r="E1470" t="str">
            <v>PMK</v>
          </cell>
          <cell r="F1470" t="str">
            <v>122PMK</v>
          </cell>
          <cell r="G1470">
            <v>0.1</v>
          </cell>
          <cell r="I1470">
            <v>0.09</v>
          </cell>
          <cell r="J1470">
            <v>10.523072331015499</v>
          </cell>
          <cell r="K1470">
            <v>16.218322260993677</v>
          </cell>
          <cell r="P1470">
            <v>3573</v>
          </cell>
          <cell r="Q1470">
            <v>13977.002118004966</v>
          </cell>
          <cell r="R1470">
            <v>2689.5814249639416</v>
          </cell>
          <cell r="S1470">
            <v>5501</v>
          </cell>
          <cell r="U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3573</v>
          </cell>
        </row>
        <row r="1472">
          <cell r="C1472" t="str">
            <v>R0410</v>
          </cell>
          <cell r="D1472" t="str">
            <v>Yayasan Dharma Bhakti Astra</v>
          </cell>
          <cell r="E1472" t="str">
            <v>PEB 1</v>
          </cell>
          <cell r="F1472" t="str">
            <v>123PEB 1</v>
          </cell>
          <cell r="G1472">
            <v>0.1</v>
          </cell>
          <cell r="H1472">
            <v>0.1</v>
          </cell>
          <cell r="I1472">
            <v>0.09</v>
          </cell>
          <cell r="J1472">
            <v>6.4980242382646365</v>
          </cell>
          <cell r="K1472">
            <v>6.3697702894190025</v>
          </cell>
          <cell r="L1472">
            <v>0</v>
          </cell>
          <cell r="N1472">
            <v>88934.676000000007</v>
          </cell>
          <cell r="O1472">
            <v>5526.192</v>
          </cell>
          <cell r="P1472">
            <v>372207</v>
          </cell>
          <cell r="Q1472">
            <v>505882.17922117742</v>
          </cell>
          <cell r="R1472">
            <v>21284.538985810977</v>
          </cell>
          <cell r="S1472">
            <v>4417.1069888630846</v>
          </cell>
          <cell r="U1472">
            <v>-129686</v>
          </cell>
          <cell r="V1472">
            <v>297990.85600000003</v>
          </cell>
          <cell r="W1472">
            <v>-75319</v>
          </cell>
          <cell r="X1472">
            <v>0</v>
          </cell>
          <cell r="Y1472">
            <v>0</v>
          </cell>
          <cell r="Z1472">
            <v>167202</v>
          </cell>
          <cell r="AB1472">
            <v>0.1</v>
          </cell>
          <cell r="AC1472">
            <v>0</v>
          </cell>
          <cell r="AD1472">
            <v>0.09</v>
          </cell>
          <cell r="AE1472">
            <v>9.1709229115936459</v>
          </cell>
          <cell r="AF1472">
            <v>10.322704872457287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222624</v>
          </cell>
          <cell r="AL1472">
            <v>291378.39292931254</v>
          </cell>
          <cell r="AM1472">
            <v>13603.280918342009</v>
          </cell>
          <cell r="AN1472">
            <v>108760.2</v>
          </cell>
          <cell r="AO1472">
            <v>0</v>
          </cell>
          <cell r="AP1472">
            <v>0</v>
          </cell>
          <cell r="AQ1472">
            <v>0</v>
          </cell>
          <cell r="AR1472">
            <v>-32654</v>
          </cell>
          <cell r="AS1472">
            <v>0</v>
          </cell>
          <cell r="AT1472">
            <v>0</v>
          </cell>
          <cell r="AU1472">
            <v>189970</v>
          </cell>
          <cell r="AW1472">
            <v>0.1</v>
          </cell>
          <cell r="AX1472">
            <v>0</v>
          </cell>
          <cell r="AY1472">
            <v>0.09</v>
          </cell>
          <cell r="AZ1472">
            <v>6.4980242382646365</v>
          </cell>
          <cell r="BA1472">
            <v>6.3697702894190025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R1472">
            <v>0.1</v>
          </cell>
          <cell r="BS1472">
            <v>0</v>
          </cell>
          <cell r="BT1472">
            <v>0.09</v>
          </cell>
          <cell r="BU1472">
            <v>10.063870628575648</v>
          </cell>
          <cell r="BV1472">
            <v>12.694465622280259</v>
          </cell>
          <cell r="BW1472">
            <v>0</v>
          </cell>
          <cell r="BX1472">
            <v>0</v>
          </cell>
          <cell r="BY1472">
            <v>0</v>
          </cell>
          <cell r="BZ1472">
            <v>0</v>
          </cell>
          <cell r="CA1472">
            <v>68382</v>
          </cell>
          <cell r="CB1472">
            <v>16173.58513852497</v>
          </cell>
          <cell r="CC1472">
            <v>1478.7619518811384</v>
          </cell>
          <cell r="CD1472">
            <v>778132.79195009207</v>
          </cell>
          <cell r="CE1472">
            <v>0</v>
          </cell>
          <cell r="CF1472">
            <v>0</v>
          </cell>
          <cell r="CG1472">
            <v>0</v>
          </cell>
          <cell r="CH1472">
            <v>-13114</v>
          </cell>
          <cell r="CI1472">
            <v>0</v>
          </cell>
          <cell r="CJ1472">
            <v>0</v>
          </cell>
          <cell r="CK1472">
            <v>55268</v>
          </cell>
          <cell r="CM1472">
            <v>0</v>
          </cell>
          <cell r="CN1472">
            <v>0</v>
          </cell>
          <cell r="CO1472">
            <v>0</v>
          </cell>
          <cell r="CP1472">
            <v>0</v>
          </cell>
          <cell r="CQ1472">
            <v>0</v>
          </cell>
          <cell r="CR1472">
            <v>0</v>
          </cell>
          <cell r="CS1472">
            <v>0</v>
          </cell>
          <cell r="CT1472">
            <v>0</v>
          </cell>
          <cell r="CU1472">
            <v>0</v>
          </cell>
          <cell r="CV1472">
            <v>0</v>
          </cell>
          <cell r="CW1472">
            <v>0</v>
          </cell>
          <cell r="CX1472">
            <v>0</v>
          </cell>
          <cell r="CY1472">
            <v>0</v>
          </cell>
          <cell r="CZ1472">
            <v>0</v>
          </cell>
          <cell r="DA1472">
            <v>0</v>
          </cell>
          <cell r="DB1472">
            <v>0</v>
          </cell>
          <cell r="DC1472">
            <v>0</v>
          </cell>
          <cell r="DD1472">
            <v>0</v>
          </cell>
          <cell r="DE1472">
            <v>0</v>
          </cell>
          <cell r="DF1472">
            <v>0</v>
          </cell>
          <cell r="DH1472">
            <v>0</v>
          </cell>
          <cell r="DI1472">
            <v>0</v>
          </cell>
          <cell r="DJ1472">
            <v>0</v>
          </cell>
          <cell r="DK1472">
            <v>0</v>
          </cell>
          <cell r="DL1472">
            <v>0</v>
          </cell>
          <cell r="DM1472">
            <v>0</v>
          </cell>
          <cell r="DN1472">
            <v>0</v>
          </cell>
          <cell r="DO1472">
            <v>0</v>
          </cell>
          <cell r="DP1472">
            <v>0</v>
          </cell>
          <cell r="DQ1472">
            <v>0</v>
          </cell>
          <cell r="DR1472">
            <v>0</v>
          </cell>
          <cell r="DS1472">
            <v>0</v>
          </cell>
          <cell r="DT1472">
            <v>0</v>
          </cell>
          <cell r="DU1472">
            <v>0</v>
          </cell>
          <cell r="DV1472">
            <v>0</v>
          </cell>
          <cell r="DW1472">
            <v>0</v>
          </cell>
          <cell r="DX1472">
            <v>0</v>
          </cell>
          <cell r="DY1472">
            <v>0</v>
          </cell>
          <cell r="DZ1472">
            <v>0</v>
          </cell>
          <cell r="EA1472">
            <v>0</v>
          </cell>
          <cell r="EC1472">
            <v>0.1</v>
          </cell>
          <cell r="ED1472">
            <v>0</v>
          </cell>
          <cell r="EE1472">
            <v>0.09</v>
          </cell>
          <cell r="EF1472">
            <v>9.1709229115936459</v>
          </cell>
          <cell r="EG1472">
            <v>10.322704872457287</v>
          </cell>
          <cell r="EH1472">
            <v>0</v>
          </cell>
          <cell r="EI1472">
            <v>0</v>
          </cell>
          <cell r="EJ1472">
            <v>0</v>
          </cell>
          <cell r="EK1472">
            <v>0</v>
          </cell>
          <cell r="EL1472">
            <v>11259</v>
          </cell>
          <cell r="EM1472">
            <v>14007.331087445355</v>
          </cell>
          <cell r="EN1472">
            <v>1007.5454047987648</v>
          </cell>
          <cell r="EO1472">
            <v>1964.5766770451567</v>
          </cell>
          <cell r="EP1472">
            <v>0</v>
          </cell>
          <cell r="EQ1472">
            <v>0</v>
          </cell>
          <cell r="ER1472">
            <v>0</v>
          </cell>
          <cell r="ES1472">
            <v>-7334</v>
          </cell>
          <cell r="ET1472">
            <v>0</v>
          </cell>
          <cell r="EU1472">
            <v>0</v>
          </cell>
          <cell r="EV1472">
            <v>3925</v>
          </cell>
          <cell r="EX1472">
            <v>0.1</v>
          </cell>
          <cell r="EY1472">
            <v>0</v>
          </cell>
          <cell r="EZ1472">
            <v>0.09</v>
          </cell>
          <cell r="FA1472">
            <v>9.1709229115936459</v>
          </cell>
          <cell r="FB1472">
            <v>10.322704872457287</v>
          </cell>
          <cell r="FC1472">
            <v>0</v>
          </cell>
          <cell r="FD1472">
            <v>0</v>
          </cell>
          <cell r="FE1472">
            <v>0</v>
          </cell>
          <cell r="FF1472">
            <v>0</v>
          </cell>
          <cell r="FG1472">
            <v>0</v>
          </cell>
          <cell r="FH1472">
            <v>43706.758939396881</v>
          </cell>
          <cell r="FI1472">
            <v>2040.4921377513006</v>
          </cell>
          <cell r="FJ1472">
            <v>16314.03</v>
          </cell>
          <cell r="FK1472">
            <v>0</v>
          </cell>
          <cell r="FL1472">
            <v>0</v>
          </cell>
          <cell r="FM1472">
            <v>0</v>
          </cell>
          <cell r="FN1472">
            <v>0</v>
          </cell>
          <cell r="FO1472">
            <v>0</v>
          </cell>
          <cell r="FP1472">
            <v>0</v>
          </cell>
          <cell r="FQ1472">
            <v>0</v>
          </cell>
          <cell r="FS1472">
            <v>0.1</v>
          </cell>
          <cell r="FT1472">
            <v>0</v>
          </cell>
          <cell r="FU1472">
            <v>0.09</v>
          </cell>
          <cell r="FV1472">
            <v>9.1709229115936459</v>
          </cell>
          <cell r="FW1472">
            <v>10.322704872457287</v>
          </cell>
          <cell r="FX1472">
            <v>0</v>
          </cell>
          <cell r="FY1472">
            <v>0</v>
          </cell>
          <cell r="FZ1472">
            <v>0</v>
          </cell>
          <cell r="GA1472">
            <v>0</v>
          </cell>
          <cell r="GB1472">
            <v>6731</v>
          </cell>
          <cell r="GC1472">
            <v>44362.771218542301</v>
          </cell>
          <cell r="GD1472">
            <v>2978.1078899655195</v>
          </cell>
          <cell r="GE1472">
            <v>4367.3354015922978</v>
          </cell>
          <cell r="GF1472">
            <v>0</v>
          </cell>
          <cell r="GG1472">
            <v>0</v>
          </cell>
          <cell r="GH1472">
            <v>0</v>
          </cell>
          <cell r="GI1472">
            <v>0</v>
          </cell>
          <cell r="GJ1472">
            <v>0</v>
          </cell>
          <cell r="GK1472">
            <v>0</v>
          </cell>
          <cell r="GL1472">
            <v>6731</v>
          </cell>
          <cell r="GN1472">
            <v>0.1</v>
          </cell>
          <cell r="GO1472">
            <v>0</v>
          </cell>
          <cell r="GP1472">
            <v>0.09</v>
          </cell>
          <cell r="GQ1472">
            <v>9.1709229115936459</v>
          </cell>
          <cell r="GR1472">
            <v>10.322704872457287</v>
          </cell>
          <cell r="GS1472">
            <v>0</v>
          </cell>
          <cell r="GT1472">
            <v>0</v>
          </cell>
          <cell r="GU1472">
            <v>0</v>
          </cell>
          <cell r="GV1472">
            <v>0</v>
          </cell>
          <cell r="GW1472">
            <v>40454</v>
          </cell>
          <cell r="GX1472">
            <v>84070.562213340832</v>
          </cell>
          <cell r="GY1472">
            <v>15230.815792709283</v>
          </cell>
          <cell r="GZ1472">
            <v>26790.049112489418</v>
          </cell>
          <cell r="HA1472">
            <v>0</v>
          </cell>
          <cell r="HB1472">
            <v>0</v>
          </cell>
          <cell r="HC1472">
            <v>0</v>
          </cell>
          <cell r="HD1472">
            <v>0</v>
          </cell>
          <cell r="HE1472">
            <v>0</v>
          </cell>
          <cell r="HF1472">
            <v>0</v>
          </cell>
          <cell r="HG1472">
            <v>40454</v>
          </cell>
          <cell r="HI1472">
            <v>0.1</v>
          </cell>
          <cell r="HJ1472">
            <v>0</v>
          </cell>
          <cell r="HK1472">
            <v>0.09</v>
          </cell>
          <cell r="HL1472">
            <v>9.1709229115936459</v>
          </cell>
          <cell r="HM1472">
            <v>10.322704872457287</v>
          </cell>
          <cell r="HN1472">
            <v>0</v>
          </cell>
          <cell r="HO1472">
            <v>0</v>
          </cell>
          <cell r="HP1472">
            <v>0</v>
          </cell>
          <cell r="HQ1472">
            <v>0</v>
          </cell>
          <cell r="HR1472">
            <v>62626</v>
          </cell>
          <cell r="HS1472">
            <v>48807.184237013207</v>
          </cell>
          <cell r="HT1472">
            <v>4012.4615656776432</v>
          </cell>
          <cell r="HU1472">
            <v>20835.184000000001</v>
          </cell>
          <cell r="HV1472">
            <v>0</v>
          </cell>
          <cell r="HW1472">
            <v>0</v>
          </cell>
          <cell r="HX1472">
            <v>0</v>
          </cell>
          <cell r="HY1472">
            <v>0</v>
          </cell>
          <cell r="HZ1472">
            <v>0</v>
          </cell>
          <cell r="IA1472">
            <v>0</v>
          </cell>
          <cell r="IB1472">
            <v>62626</v>
          </cell>
        </row>
        <row r="1473">
          <cell r="C1473" t="str">
            <v>R0410</v>
          </cell>
          <cell r="D1473" t="str">
            <v>Yayasan Dharma Bhakti Astra</v>
          </cell>
          <cell r="E1473" t="str">
            <v>PEB 2</v>
          </cell>
          <cell r="F1473" t="str">
            <v>123PEB 2</v>
          </cell>
          <cell r="G1473">
            <v>0.1</v>
          </cell>
          <cell r="I1473">
            <v>0.09</v>
          </cell>
          <cell r="J1473">
            <v>9.1709229115936459</v>
          </cell>
          <cell r="K1473">
            <v>10.322704872457287</v>
          </cell>
          <cell r="P1473">
            <v>222624</v>
          </cell>
          <cell r="Q1473">
            <v>291378.39292931254</v>
          </cell>
          <cell r="R1473">
            <v>13603.280918342009</v>
          </cell>
          <cell r="S1473">
            <v>108760.2</v>
          </cell>
          <cell r="U1473">
            <v>0</v>
          </cell>
          <cell r="W1473">
            <v>-32654</v>
          </cell>
          <cell r="X1473">
            <v>0</v>
          </cell>
          <cell r="Y1473">
            <v>0</v>
          </cell>
          <cell r="Z1473">
            <v>189970</v>
          </cell>
        </row>
        <row r="1474">
          <cell r="C1474" t="str">
            <v>R0410</v>
          </cell>
          <cell r="D1474" t="str">
            <v>Yayasan Dharma Bhakti Astra</v>
          </cell>
          <cell r="E1474" t="str">
            <v>PEB 3</v>
          </cell>
          <cell r="F1474" t="str">
            <v>123PEB 3</v>
          </cell>
          <cell r="G1474">
            <v>0.1</v>
          </cell>
          <cell r="I1474">
            <v>0.09</v>
          </cell>
          <cell r="J1474">
            <v>6.4980242382646365</v>
          </cell>
          <cell r="K1474">
            <v>6.3697702894190025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U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</row>
        <row r="1475">
          <cell r="C1475" t="str">
            <v>R0410</v>
          </cell>
          <cell r="D1475" t="str">
            <v>Yayasan Dharma Bhakti Astra</v>
          </cell>
          <cell r="E1475" t="str">
            <v>PEB 4</v>
          </cell>
          <cell r="F1475" t="str">
            <v>123PEB 4</v>
          </cell>
          <cell r="G1475">
            <v>0.1</v>
          </cell>
          <cell r="I1475">
            <v>0.09</v>
          </cell>
          <cell r="J1475">
            <v>10.063870628575648</v>
          </cell>
          <cell r="K1475">
            <v>12.694465622280259</v>
          </cell>
          <cell r="P1475">
            <v>68382</v>
          </cell>
          <cell r="Q1475">
            <v>16173.58513852497</v>
          </cell>
          <cell r="R1475">
            <v>1478.7619518811384</v>
          </cell>
          <cell r="S1475">
            <v>778132.79195009207</v>
          </cell>
          <cell r="U1475">
            <v>0</v>
          </cell>
          <cell r="W1475">
            <v>-13114</v>
          </cell>
          <cell r="X1475">
            <v>0</v>
          </cell>
          <cell r="Y1475">
            <v>0</v>
          </cell>
          <cell r="Z1475">
            <v>55268</v>
          </cell>
        </row>
        <row r="1476">
          <cell r="C1476" t="str">
            <v>R0410</v>
          </cell>
          <cell r="D1476" t="str">
            <v>Yayasan Dharma Bhakti Astra</v>
          </cell>
          <cell r="E1476" t="str">
            <v>PEB 5</v>
          </cell>
          <cell r="F1476" t="str">
            <v>123PEB 5</v>
          </cell>
          <cell r="P1476">
            <v>0</v>
          </cell>
          <cell r="U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</row>
        <row r="1477">
          <cell r="C1477" t="str">
            <v>R0410</v>
          </cell>
          <cell r="D1477" t="str">
            <v>Yayasan Dharma Bhakti Astra</v>
          </cell>
          <cell r="E1477" t="str">
            <v>PEB 6</v>
          </cell>
          <cell r="F1477" t="str">
            <v>123PEB 6</v>
          </cell>
          <cell r="P1477">
            <v>0</v>
          </cell>
          <cell r="U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</row>
        <row r="1478">
          <cell r="C1478" t="str">
            <v>R0410</v>
          </cell>
          <cell r="D1478" t="str">
            <v>Yayasan Dharma Bhakti Astra</v>
          </cell>
          <cell r="E1478" t="str">
            <v>PEB 7</v>
          </cell>
          <cell r="F1478" t="str">
            <v>123PEB 7</v>
          </cell>
          <cell r="G1478">
            <v>0.1</v>
          </cell>
          <cell r="I1478">
            <v>0.09</v>
          </cell>
          <cell r="J1478">
            <v>9.1709229115936459</v>
          </cell>
          <cell r="K1478">
            <v>10.322704872457287</v>
          </cell>
          <cell r="P1478">
            <v>11259</v>
          </cell>
          <cell r="Q1478">
            <v>14007.331087445355</v>
          </cell>
          <cell r="R1478">
            <v>1007.5454047987648</v>
          </cell>
          <cell r="S1478">
            <v>1964.5766770451567</v>
          </cell>
          <cell r="U1478">
            <v>0</v>
          </cell>
          <cell r="W1478">
            <v>-7334</v>
          </cell>
          <cell r="X1478">
            <v>0</v>
          </cell>
          <cell r="Y1478">
            <v>0</v>
          </cell>
          <cell r="Z1478">
            <v>3925</v>
          </cell>
        </row>
        <row r="1479">
          <cell r="C1479" t="str">
            <v>R0410</v>
          </cell>
          <cell r="D1479" t="str">
            <v>Yayasan Dharma Bhakti Astra</v>
          </cell>
          <cell r="E1479" t="str">
            <v>MPP</v>
          </cell>
          <cell r="F1479" t="str">
            <v>123MPP</v>
          </cell>
          <cell r="G1479">
            <v>0.1</v>
          </cell>
          <cell r="I1479">
            <v>0.09</v>
          </cell>
          <cell r="J1479">
            <v>9.1709229115936459</v>
          </cell>
          <cell r="K1479">
            <v>10.322704872457287</v>
          </cell>
          <cell r="P1479">
            <v>0</v>
          </cell>
          <cell r="Q1479">
            <v>43706.758939396881</v>
          </cell>
          <cell r="R1479">
            <v>2040.4921377513006</v>
          </cell>
          <cell r="S1479">
            <v>16314.03</v>
          </cell>
          <cell r="U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</row>
        <row r="1480">
          <cell r="C1480" t="str">
            <v>R0410</v>
          </cell>
          <cell r="D1480" t="str">
            <v>Yayasan Dharma Bhakti Astra</v>
          </cell>
          <cell r="E1480" t="str">
            <v>ID</v>
          </cell>
          <cell r="F1480" t="str">
            <v>123ID</v>
          </cell>
          <cell r="G1480">
            <v>0.1</v>
          </cell>
          <cell r="I1480">
            <v>0.09</v>
          </cell>
          <cell r="J1480">
            <v>9.1709229115936459</v>
          </cell>
          <cell r="K1480">
            <v>10.322704872457287</v>
          </cell>
          <cell r="P1480">
            <v>6731</v>
          </cell>
          <cell r="Q1480">
            <v>44362.771218542301</v>
          </cell>
          <cell r="R1480">
            <v>2978.1078899655195</v>
          </cell>
          <cell r="S1480">
            <v>4367.3354015922978</v>
          </cell>
          <cell r="U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6731</v>
          </cell>
        </row>
        <row r="1481">
          <cell r="C1481" t="str">
            <v>R0410</v>
          </cell>
          <cell r="D1481" t="str">
            <v>Yayasan Dharma Bhakti Astra</v>
          </cell>
          <cell r="E1481" t="str">
            <v>LL</v>
          </cell>
          <cell r="F1481" t="str">
            <v>123LL</v>
          </cell>
          <cell r="G1481">
            <v>0.1</v>
          </cell>
          <cell r="I1481">
            <v>0.09</v>
          </cell>
          <cell r="J1481">
            <v>9.1709229115936459</v>
          </cell>
          <cell r="K1481">
            <v>10.322704872457287</v>
          </cell>
          <cell r="P1481">
            <v>40454</v>
          </cell>
          <cell r="Q1481">
            <v>84070.562213340832</v>
          </cell>
          <cell r="R1481">
            <v>15230.815792709283</v>
          </cell>
          <cell r="S1481">
            <v>26790.049112489418</v>
          </cell>
          <cell r="U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40454</v>
          </cell>
        </row>
        <row r="1482">
          <cell r="C1482" t="str">
            <v>R0410</v>
          </cell>
          <cell r="D1482" t="str">
            <v>Yayasan Dharma Bhakti Astra</v>
          </cell>
          <cell r="E1482" t="str">
            <v>PMK</v>
          </cell>
          <cell r="F1482" t="str">
            <v>123PMK</v>
          </cell>
          <cell r="G1482">
            <v>0.1</v>
          </cell>
          <cell r="I1482">
            <v>0.09</v>
          </cell>
          <cell r="J1482">
            <v>9.1709229115936459</v>
          </cell>
          <cell r="K1482">
            <v>10.322704872457287</v>
          </cell>
          <cell r="P1482">
            <v>62626</v>
          </cell>
          <cell r="Q1482">
            <v>48807.184237013207</v>
          </cell>
          <cell r="R1482">
            <v>4012.4615656776432</v>
          </cell>
          <cell r="S1482">
            <v>20835.184000000001</v>
          </cell>
          <cell r="U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62626</v>
          </cell>
        </row>
      </sheetData>
      <sheetData sheetId="2">
        <row r="8">
          <cell r="C8" t="str">
            <v>S0363</v>
          </cell>
          <cell r="D8" t="str">
            <v>AI AWSO</v>
          </cell>
          <cell r="E8" t="str">
            <v>PEB 1</v>
          </cell>
          <cell r="G8">
            <v>0</v>
          </cell>
          <cell r="H8">
            <v>0</v>
          </cell>
          <cell r="M8">
            <v>0</v>
          </cell>
          <cell r="N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9">
          <cell r="E9" t="str">
            <v>PEB 2</v>
          </cell>
          <cell r="G9">
            <v>0</v>
          </cell>
          <cell r="H9">
            <v>0</v>
          </cell>
          <cell r="M9">
            <v>0</v>
          </cell>
          <cell r="N9">
            <v>0</v>
          </cell>
        </row>
        <row r="10">
          <cell r="E10" t="str">
            <v>PEB 3</v>
          </cell>
          <cell r="G10">
            <v>0</v>
          </cell>
          <cell r="H10">
            <v>0</v>
          </cell>
          <cell r="M10">
            <v>0</v>
          </cell>
          <cell r="N10">
            <v>0</v>
          </cell>
        </row>
        <row r="11">
          <cell r="E11" t="str">
            <v>PEB 4</v>
          </cell>
          <cell r="G11">
            <v>0</v>
          </cell>
          <cell r="H11">
            <v>0</v>
          </cell>
          <cell r="M11">
            <v>0</v>
          </cell>
          <cell r="N11">
            <v>0</v>
          </cell>
        </row>
        <row r="12">
          <cell r="E12" t="str">
            <v>PEB 5</v>
          </cell>
          <cell r="M12">
            <v>0</v>
          </cell>
          <cell r="N12">
            <v>0</v>
          </cell>
        </row>
        <row r="13">
          <cell r="E13" t="str">
            <v>PEB 6</v>
          </cell>
          <cell r="M13">
            <v>0</v>
          </cell>
          <cell r="N13">
            <v>0</v>
          </cell>
        </row>
        <row r="14">
          <cell r="E14" t="str">
            <v>PEB 7 / TB</v>
          </cell>
          <cell r="M14">
            <v>0</v>
          </cell>
          <cell r="N14">
            <v>0</v>
          </cell>
        </row>
        <row r="15">
          <cell r="E15" t="str">
            <v>MPP</v>
          </cell>
          <cell r="G15">
            <v>0</v>
          </cell>
          <cell r="H15">
            <v>0</v>
          </cell>
          <cell r="M15">
            <v>0</v>
          </cell>
          <cell r="N15">
            <v>0</v>
          </cell>
        </row>
        <row r="16">
          <cell r="E16" t="str">
            <v>ID</v>
          </cell>
          <cell r="G16">
            <v>0</v>
          </cell>
          <cell r="H16">
            <v>0</v>
          </cell>
          <cell r="M16">
            <v>0</v>
          </cell>
          <cell r="N16">
            <v>0</v>
          </cell>
        </row>
        <row r="17">
          <cell r="E17" t="str">
            <v>LL</v>
          </cell>
          <cell r="G17">
            <v>0</v>
          </cell>
          <cell r="H17">
            <v>0</v>
          </cell>
          <cell r="M17">
            <v>0</v>
          </cell>
          <cell r="N17">
            <v>0</v>
          </cell>
        </row>
        <row r="18">
          <cell r="E18" t="str">
            <v>PMK</v>
          </cell>
          <cell r="G18">
            <v>0</v>
          </cell>
          <cell r="H18">
            <v>0</v>
          </cell>
          <cell r="M18">
            <v>0</v>
          </cell>
          <cell r="N18">
            <v>0</v>
          </cell>
        </row>
        <row r="20">
          <cell r="C20" t="str">
            <v>S0173</v>
          </cell>
          <cell r="D20" t="str">
            <v>AI BSO</v>
          </cell>
          <cell r="E20" t="str">
            <v>PEB 1</v>
          </cell>
          <cell r="G20">
            <v>0</v>
          </cell>
          <cell r="H20">
            <v>0</v>
          </cell>
          <cell r="M20">
            <v>0</v>
          </cell>
          <cell r="N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E21" t="str">
            <v>PEB 2</v>
          </cell>
          <cell r="G21">
            <v>0</v>
          </cell>
          <cell r="H21">
            <v>0</v>
          </cell>
          <cell r="M21">
            <v>0</v>
          </cell>
          <cell r="N21">
            <v>0</v>
          </cell>
        </row>
        <row r="22">
          <cell r="E22" t="str">
            <v>PEB 3</v>
          </cell>
          <cell r="G22">
            <v>0</v>
          </cell>
          <cell r="H22">
            <v>0</v>
          </cell>
          <cell r="M22">
            <v>0</v>
          </cell>
          <cell r="N22">
            <v>0</v>
          </cell>
        </row>
        <row r="23">
          <cell r="E23" t="str">
            <v>PEB 4</v>
          </cell>
          <cell r="G23">
            <v>0</v>
          </cell>
          <cell r="H23">
            <v>0</v>
          </cell>
          <cell r="M23">
            <v>0</v>
          </cell>
          <cell r="N23">
            <v>0</v>
          </cell>
        </row>
        <row r="24">
          <cell r="E24" t="str">
            <v>PEB 5</v>
          </cell>
          <cell r="M24">
            <v>0</v>
          </cell>
          <cell r="N24">
            <v>0</v>
          </cell>
        </row>
        <row r="25">
          <cell r="E25" t="str">
            <v>PEB 6</v>
          </cell>
          <cell r="M25">
            <v>0</v>
          </cell>
          <cell r="N25">
            <v>0</v>
          </cell>
        </row>
        <row r="26">
          <cell r="E26" t="str">
            <v>PEB 7 / TB</v>
          </cell>
          <cell r="M26">
            <v>0</v>
          </cell>
          <cell r="N26">
            <v>0</v>
          </cell>
        </row>
        <row r="27">
          <cell r="E27" t="str">
            <v>MPP</v>
          </cell>
          <cell r="G27">
            <v>0</v>
          </cell>
          <cell r="H27">
            <v>0</v>
          </cell>
          <cell r="M27">
            <v>0</v>
          </cell>
          <cell r="N27">
            <v>0</v>
          </cell>
        </row>
        <row r="28">
          <cell r="E28" t="str">
            <v>ID</v>
          </cell>
          <cell r="G28">
            <v>0</v>
          </cell>
          <cell r="H28">
            <v>0</v>
          </cell>
          <cell r="M28">
            <v>0</v>
          </cell>
          <cell r="N28">
            <v>0</v>
          </cell>
        </row>
        <row r="29">
          <cell r="E29" t="str">
            <v>LL</v>
          </cell>
          <cell r="G29">
            <v>0</v>
          </cell>
          <cell r="H29">
            <v>0</v>
          </cell>
          <cell r="M29">
            <v>0</v>
          </cell>
          <cell r="N29">
            <v>0</v>
          </cell>
        </row>
        <row r="30">
          <cell r="E30" t="str">
            <v>PMK</v>
          </cell>
          <cell r="G30">
            <v>0</v>
          </cell>
          <cell r="H30">
            <v>0</v>
          </cell>
          <cell r="M30">
            <v>0</v>
          </cell>
          <cell r="N30">
            <v>0</v>
          </cell>
        </row>
        <row r="32">
          <cell r="C32" t="str">
            <v>S0003</v>
          </cell>
          <cell r="D32" t="str">
            <v>AI DSO</v>
          </cell>
          <cell r="E32" t="str">
            <v>PEB 1</v>
          </cell>
          <cell r="G32">
            <v>0</v>
          </cell>
          <cell r="H32">
            <v>0</v>
          </cell>
          <cell r="M32">
            <v>0</v>
          </cell>
          <cell r="N32">
            <v>0</v>
          </cell>
          <cell r="P32">
            <v>21706.89750715479</v>
          </cell>
          <cell r="Q32">
            <v>2728.0350390159797</v>
          </cell>
          <cell r="R32">
            <v>0</v>
          </cell>
          <cell r="S32">
            <v>0</v>
          </cell>
          <cell r="T32">
            <v>214790.1129203804</v>
          </cell>
          <cell r="U32">
            <v>222.6520564322872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7983.6075111886566</v>
          </cell>
          <cell r="AA32">
            <v>1022.2402502258165</v>
          </cell>
          <cell r="AB32">
            <v>3256.0346260732194</v>
          </cell>
          <cell r="AC32">
            <v>409.20525585239704</v>
          </cell>
          <cell r="AD32">
            <v>11400.396025780421</v>
          </cell>
          <cell r="AE32">
            <v>1447.7774082033498</v>
          </cell>
          <cell r="AF32">
            <v>23115.108790407066</v>
          </cell>
          <cell r="AG32">
            <v>6190.2833611091919</v>
          </cell>
          <cell r="AH32">
            <v>27702.24093223799</v>
          </cell>
          <cell r="AI32">
            <v>3765.8209999508604</v>
          </cell>
        </row>
        <row r="33">
          <cell r="E33" t="str">
            <v>PEB 2</v>
          </cell>
          <cell r="G33">
            <v>21706.89750715479</v>
          </cell>
          <cell r="H33">
            <v>2728.0350390159797</v>
          </cell>
          <cell r="M33">
            <v>21706.89750715479</v>
          </cell>
          <cell r="N33">
            <v>2728.0350390159797</v>
          </cell>
        </row>
        <row r="34">
          <cell r="E34" t="str">
            <v>PEB 3</v>
          </cell>
          <cell r="G34">
            <v>0</v>
          </cell>
          <cell r="H34">
            <v>0</v>
          </cell>
          <cell r="M34">
            <v>0</v>
          </cell>
          <cell r="N34">
            <v>0</v>
          </cell>
        </row>
        <row r="35">
          <cell r="E35" t="str">
            <v>PEB 4</v>
          </cell>
          <cell r="G35">
            <v>214790.1129203804</v>
          </cell>
          <cell r="H35">
            <v>222.6520564322872</v>
          </cell>
          <cell r="M35">
            <v>214790.1129203804</v>
          </cell>
          <cell r="N35">
            <v>222.6520564322872</v>
          </cell>
        </row>
        <row r="36">
          <cell r="E36" t="str">
            <v>PEB 5</v>
          </cell>
          <cell r="M36">
            <v>0</v>
          </cell>
          <cell r="N36">
            <v>0</v>
          </cell>
        </row>
        <row r="37">
          <cell r="E37" t="str">
            <v>PEB 6</v>
          </cell>
          <cell r="M37">
            <v>0</v>
          </cell>
          <cell r="N37">
            <v>0</v>
          </cell>
        </row>
        <row r="38">
          <cell r="E38" t="str">
            <v>PEB 7 / TB</v>
          </cell>
          <cell r="G38">
            <v>7983.6075111886566</v>
          </cell>
          <cell r="H38">
            <v>1022.2402502258165</v>
          </cell>
          <cell r="M38">
            <v>7983.6075111886566</v>
          </cell>
          <cell r="N38">
            <v>1022.2402502258165</v>
          </cell>
        </row>
        <row r="39">
          <cell r="E39" t="str">
            <v>MPP</v>
          </cell>
          <cell r="G39">
            <v>3256.0346260732194</v>
          </cell>
          <cell r="H39">
            <v>409.20525585239704</v>
          </cell>
          <cell r="M39">
            <v>3256.0346260732194</v>
          </cell>
          <cell r="N39">
            <v>409.20525585239704</v>
          </cell>
        </row>
        <row r="40">
          <cell r="E40" t="str">
            <v>ID</v>
          </cell>
          <cell r="G40">
            <v>11400.396025780421</v>
          </cell>
          <cell r="H40">
            <v>1447.7774082033498</v>
          </cell>
          <cell r="M40">
            <v>11400.396025780421</v>
          </cell>
          <cell r="N40">
            <v>1447.7774082033498</v>
          </cell>
        </row>
        <row r="41">
          <cell r="E41" t="str">
            <v>LL</v>
          </cell>
          <cell r="G41">
            <v>23115.108790407066</v>
          </cell>
          <cell r="H41">
            <v>6190.2833611091919</v>
          </cell>
          <cell r="M41">
            <v>23115.108790407066</v>
          </cell>
          <cell r="N41">
            <v>6190.2833611091919</v>
          </cell>
        </row>
        <row r="42">
          <cell r="E42" t="str">
            <v>PMK</v>
          </cell>
          <cell r="G42">
            <v>27702.24093223799</v>
          </cell>
          <cell r="H42">
            <v>3765.8209999508604</v>
          </cell>
          <cell r="M42">
            <v>27702.24093223799</v>
          </cell>
          <cell r="N42">
            <v>3765.8209999508604</v>
          </cell>
        </row>
        <row r="44">
          <cell r="C44" t="str">
            <v>S0001</v>
          </cell>
          <cell r="D44" t="str">
            <v>AI HO</v>
          </cell>
          <cell r="E44" t="str">
            <v>PEB 1</v>
          </cell>
          <cell r="G44">
            <v>0</v>
          </cell>
          <cell r="H44">
            <v>0</v>
          </cell>
          <cell r="M44">
            <v>0</v>
          </cell>
          <cell r="N44">
            <v>0</v>
          </cell>
          <cell r="P44">
            <v>840118.87669197726</v>
          </cell>
          <cell r="Q44">
            <v>37314.772144549548</v>
          </cell>
          <cell r="R44">
            <v>0</v>
          </cell>
          <cell r="S44">
            <v>0</v>
          </cell>
          <cell r="T44">
            <v>2476387.0068036793</v>
          </cell>
          <cell r="U44">
            <v>75895.523992466333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15363.442040139733</v>
          </cell>
          <cell r="AA44">
            <v>1915.9083968673135</v>
          </cell>
          <cell r="AB44">
            <v>126017.83150379659</v>
          </cell>
          <cell r="AC44">
            <v>5597.2158216824328</v>
          </cell>
          <cell r="AD44">
            <v>40339.028279230995</v>
          </cell>
          <cell r="AE44">
            <v>4237.4579442812992</v>
          </cell>
          <cell r="AF44">
            <v>110378.55839705191</v>
          </cell>
          <cell r="AG44">
            <v>46533.409932996721</v>
          </cell>
          <cell r="AH44">
            <v>15571.952871746711</v>
          </cell>
          <cell r="AI44">
            <v>2812.874322699909</v>
          </cell>
        </row>
        <row r="45">
          <cell r="E45" t="str">
            <v>PEB 2</v>
          </cell>
          <cell r="G45">
            <v>840118.87669197726</v>
          </cell>
          <cell r="H45">
            <v>37314.772144549548</v>
          </cell>
          <cell r="M45">
            <v>840118.87669197726</v>
          </cell>
          <cell r="N45">
            <v>37314.772144549548</v>
          </cell>
        </row>
        <row r="46">
          <cell r="E46" t="str">
            <v>PEB 3</v>
          </cell>
          <cell r="G46">
            <v>0</v>
          </cell>
          <cell r="H46">
            <v>0</v>
          </cell>
          <cell r="M46">
            <v>0</v>
          </cell>
          <cell r="N46">
            <v>0</v>
          </cell>
        </row>
        <row r="47">
          <cell r="E47" t="str">
            <v>PEB 4</v>
          </cell>
          <cell r="G47">
            <v>2476387.0068036793</v>
          </cell>
          <cell r="H47">
            <v>75895.523992466333</v>
          </cell>
          <cell r="M47">
            <v>2476387.0068036793</v>
          </cell>
          <cell r="N47">
            <v>75895.523992466333</v>
          </cell>
        </row>
        <row r="48">
          <cell r="E48" t="str">
            <v>PEB 5</v>
          </cell>
          <cell r="M48">
            <v>0</v>
          </cell>
          <cell r="N48">
            <v>0</v>
          </cell>
        </row>
        <row r="49">
          <cell r="E49" t="str">
            <v>PEB 6</v>
          </cell>
          <cell r="M49">
            <v>0</v>
          </cell>
          <cell r="N49">
            <v>0</v>
          </cell>
        </row>
        <row r="50">
          <cell r="E50" t="str">
            <v>PEB 7 / TB</v>
          </cell>
          <cell r="G50">
            <v>15363.442040139733</v>
          </cell>
          <cell r="H50">
            <v>1915.9083968673135</v>
          </cell>
          <cell r="M50">
            <v>15363.442040139733</v>
          </cell>
          <cell r="N50">
            <v>1915.9083968673135</v>
          </cell>
        </row>
        <row r="51">
          <cell r="E51" t="str">
            <v>MPP</v>
          </cell>
          <cell r="G51">
            <v>126017.83150379659</v>
          </cell>
          <cell r="H51">
            <v>5597.2158216824328</v>
          </cell>
          <cell r="M51">
            <v>126017.83150379659</v>
          </cell>
          <cell r="N51">
            <v>5597.2158216824328</v>
          </cell>
        </row>
        <row r="52">
          <cell r="E52" t="str">
            <v>ID</v>
          </cell>
          <cell r="G52">
            <v>40339.028279230995</v>
          </cell>
          <cell r="H52">
            <v>4237.4579442812992</v>
          </cell>
          <cell r="M52">
            <v>40339.028279230995</v>
          </cell>
          <cell r="N52">
            <v>4237.4579442812992</v>
          </cell>
        </row>
        <row r="53">
          <cell r="E53" t="str">
            <v>LL</v>
          </cell>
          <cell r="G53">
            <v>110378.55839705191</v>
          </cell>
          <cell r="H53">
            <v>46533.409932996721</v>
          </cell>
          <cell r="M53">
            <v>110378.55839705191</v>
          </cell>
          <cell r="N53">
            <v>46533.409932996721</v>
          </cell>
        </row>
        <row r="54">
          <cell r="E54" t="str">
            <v>PMK</v>
          </cell>
          <cell r="G54">
            <v>15571.952871746711</v>
          </cell>
          <cell r="H54">
            <v>2812.874322699909</v>
          </cell>
          <cell r="M54">
            <v>15571.952871746711</v>
          </cell>
          <cell r="N54">
            <v>2812.874322699909</v>
          </cell>
        </row>
        <row r="56">
          <cell r="C56" t="str">
            <v>S0005</v>
          </cell>
          <cell r="D56" t="str">
            <v>AI HSO</v>
          </cell>
          <cell r="E56" t="str">
            <v>PEB 1</v>
          </cell>
          <cell r="G56">
            <v>0</v>
          </cell>
          <cell r="H56">
            <v>0</v>
          </cell>
          <cell r="M56">
            <v>0</v>
          </cell>
          <cell r="N56">
            <v>0</v>
          </cell>
          <cell r="P56">
            <v>72681.289252135321</v>
          </cell>
          <cell r="Q56">
            <v>5114.0128875635573</v>
          </cell>
          <cell r="R56">
            <v>0</v>
          </cell>
          <cell r="S56">
            <v>0</v>
          </cell>
          <cell r="T56">
            <v>96265.764199362806</v>
          </cell>
          <cell r="U56">
            <v>861.92513940950244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1459.9005547442916</v>
          </cell>
          <cell r="AA56">
            <v>102.72176413414613</v>
          </cell>
          <cell r="AB56">
            <v>15574.561982600426</v>
          </cell>
          <cell r="AC56">
            <v>1095.859904477905</v>
          </cell>
          <cell r="AD56">
            <v>11133.624713806596</v>
          </cell>
          <cell r="AE56">
            <v>783.38594234595621</v>
          </cell>
          <cell r="AF56">
            <v>24786.07686944781</v>
          </cell>
          <cell r="AG56">
            <v>5884.3773653336457</v>
          </cell>
          <cell r="AH56">
            <v>0</v>
          </cell>
          <cell r="AI56">
            <v>0</v>
          </cell>
        </row>
        <row r="57">
          <cell r="E57" t="str">
            <v>PEB 2</v>
          </cell>
          <cell r="G57">
            <v>72681.289252135321</v>
          </cell>
          <cell r="H57">
            <v>5114.0128875635573</v>
          </cell>
          <cell r="M57">
            <v>72681.289252135321</v>
          </cell>
          <cell r="N57">
            <v>5114.0128875635573</v>
          </cell>
        </row>
        <row r="58">
          <cell r="E58" t="str">
            <v>PEB 3</v>
          </cell>
          <cell r="G58">
            <v>0</v>
          </cell>
          <cell r="H58">
            <v>0</v>
          </cell>
          <cell r="M58">
            <v>0</v>
          </cell>
          <cell r="N58">
            <v>0</v>
          </cell>
        </row>
        <row r="59">
          <cell r="E59" t="str">
            <v>PEB 4</v>
          </cell>
          <cell r="G59">
            <v>96265.764199362806</v>
          </cell>
          <cell r="H59">
            <v>861.92513940950244</v>
          </cell>
          <cell r="M59">
            <v>96265.764199362806</v>
          </cell>
          <cell r="N59">
            <v>861.92513940950244</v>
          </cell>
        </row>
        <row r="60">
          <cell r="E60" t="str">
            <v>PEB 5</v>
          </cell>
          <cell r="M60">
            <v>0</v>
          </cell>
          <cell r="N60">
            <v>0</v>
          </cell>
        </row>
        <row r="61">
          <cell r="E61" t="str">
            <v>PEB 6</v>
          </cell>
          <cell r="M61">
            <v>0</v>
          </cell>
          <cell r="N61">
            <v>0</v>
          </cell>
        </row>
        <row r="62">
          <cell r="E62" t="str">
            <v>PEB 7 / TB</v>
          </cell>
          <cell r="G62">
            <v>1459.9005547442916</v>
          </cell>
          <cell r="H62">
            <v>102.72176413414613</v>
          </cell>
          <cell r="M62">
            <v>1459.9005547442916</v>
          </cell>
          <cell r="N62">
            <v>102.72176413414613</v>
          </cell>
        </row>
        <row r="63">
          <cell r="E63" t="str">
            <v>MPP</v>
          </cell>
          <cell r="G63">
            <v>15574.561982600426</v>
          </cell>
          <cell r="H63">
            <v>1095.859904477905</v>
          </cell>
          <cell r="M63">
            <v>15574.561982600426</v>
          </cell>
          <cell r="N63">
            <v>1095.859904477905</v>
          </cell>
        </row>
        <row r="64">
          <cell r="E64" t="str">
            <v>ID</v>
          </cell>
          <cell r="G64">
            <v>11133.624713806596</v>
          </cell>
          <cell r="H64">
            <v>783.38594234595621</v>
          </cell>
          <cell r="M64">
            <v>11133.624713806596</v>
          </cell>
          <cell r="N64">
            <v>783.38594234595621</v>
          </cell>
        </row>
        <row r="65">
          <cell r="E65" t="str">
            <v>LL</v>
          </cell>
          <cell r="G65">
            <v>24786.07686944781</v>
          </cell>
          <cell r="H65">
            <v>5884.3773653336457</v>
          </cell>
          <cell r="M65">
            <v>24786.07686944781</v>
          </cell>
          <cell r="N65">
            <v>5884.3773653336457</v>
          </cell>
        </row>
        <row r="66">
          <cell r="E66" t="str">
            <v>PMK</v>
          </cell>
          <cell r="G66">
            <v>0</v>
          </cell>
          <cell r="H66">
            <v>0</v>
          </cell>
          <cell r="M66">
            <v>0</v>
          </cell>
          <cell r="N66">
            <v>0</v>
          </cell>
        </row>
        <row r="68">
          <cell r="C68" t="str">
            <v>S0004</v>
          </cell>
          <cell r="D68" t="str">
            <v>AI ISO</v>
          </cell>
          <cell r="E68" t="str">
            <v>PEB 1</v>
          </cell>
          <cell r="G68">
            <v>0</v>
          </cell>
          <cell r="H68">
            <v>0</v>
          </cell>
          <cell r="M68">
            <v>0</v>
          </cell>
          <cell r="N68">
            <v>0</v>
          </cell>
          <cell r="P68">
            <v>203089.6855583202</v>
          </cell>
          <cell r="Q68">
            <v>13285.849998094769</v>
          </cell>
          <cell r="R68">
            <v>0</v>
          </cell>
          <cell r="S68">
            <v>0</v>
          </cell>
          <cell r="T68">
            <v>841467.66440347268</v>
          </cell>
          <cell r="U68">
            <v>22501.909288857409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13297.465095238456</v>
          </cell>
          <cell r="AA68">
            <v>903.25583330067661</v>
          </cell>
          <cell r="AB68">
            <v>30463.452833748033</v>
          </cell>
          <cell r="AC68">
            <v>1992.8774997142154</v>
          </cell>
          <cell r="AD68">
            <v>56395.351708948001</v>
          </cell>
          <cell r="AE68">
            <v>3746.0369816110187</v>
          </cell>
          <cell r="AF68">
            <v>23403.699064594613</v>
          </cell>
          <cell r="AG68">
            <v>17647.277658972729</v>
          </cell>
          <cell r="AH68">
            <v>15796.933792861713</v>
          </cell>
          <cell r="AI68">
            <v>1614.2783091986159</v>
          </cell>
        </row>
        <row r="69">
          <cell r="E69" t="str">
            <v>PEB 2</v>
          </cell>
          <cell r="G69">
            <v>203089.6855583202</v>
          </cell>
          <cell r="H69">
            <v>13285.849998094769</v>
          </cell>
          <cell r="M69">
            <v>203089.6855583202</v>
          </cell>
          <cell r="N69">
            <v>13285.849998094769</v>
          </cell>
        </row>
        <row r="70">
          <cell r="E70" t="str">
            <v>PEB 3</v>
          </cell>
          <cell r="G70">
            <v>0</v>
          </cell>
          <cell r="H70">
            <v>0</v>
          </cell>
          <cell r="M70">
            <v>0</v>
          </cell>
          <cell r="N70">
            <v>0</v>
          </cell>
        </row>
        <row r="71">
          <cell r="E71" t="str">
            <v>PEB 4</v>
          </cell>
          <cell r="G71">
            <v>841467.66440347268</v>
          </cell>
          <cell r="H71">
            <v>22501.909288857409</v>
          </cell>
          <cell r="M71">
            <v>841467.66440347268</v>
          </cell>
          <cell r="N71">
            <v>22501.909288857409</v>
          </cell>
        </row>
        <row r="72">
          <cell r="E72" t="str">
            <v>PEB 5</v>
          </cell>
          <cell r="M72">
            <v>0</v>
          </cell>
          <cell r="N72">
            <v>0</v>
          </cell>
        </row>
        <row r="73">
          <cell r="E73" t="str">
            <v>PEB 6</v>
          </cell>
          <cell r="M73">
            <v>0</v>
          </cell>
          <cell r="N73">
            <v>0</v>
          </cell>
        </row>
        <row r="74">
          <cell r="E74" t="str">
            <v>PEB 7 / TB</v>
          </cell>
          <cell r="G74">
            <v>13297.465095238456</v>
          </cell>
          <cell r="H74">
            <v>903.25583330067661</v>
          </cell>
          <cell r="M74">
            <v>13297.465095238456</v>
          </cell>
          <cell r="N74">
            <v>903.25583330067661</v>
          </cell>
        </row>
        <row r="75">
          <cell r="E75" t="str">
            <v>MPP</v>
          </cell>
          <cell r="G75">
            <v>30463.452833748033</v>
          </cell>
          <cell r="H75">
            <v>1992.8774997142154</v>
          </cell>
          <cell r="M75">
            <v>30463.452833748033</v>
          </cell>
          <cell r="N75">
            <v>1992.8774997142154</v>
          </cell>
        </row>
        <row r="76">
          <cell r="E76" t="str">
            <v>ID</v>
          </cell>
          <cell r="G76">
            <v>56395.351708948001</v>
          </cell>
          <cell r="H76">
            <v>3746.0369816110187</v>
          </cell>
          <cell r="M76">
            <v>56395.351708948001</v>
          </cell>
          <cell r="N76">
            <v>3746.0369816110187</v>
          </cell>
        </row>
        <row r="77">
          <cell r="E77" t="str">
            <v>LL</v>
          </cell>
          <cell r="G77">
            <v>23403.699064594613</v>
          </cell>
          <cell r="H77">
            <v>17647.277658972729</v>
          </cell>
          <cell r="M77">
            <v>23403.699064594613</v>
          </cell>
          <cell r="N77">
            <v>17647.277658972729</v>
          </cell>
        </row>
        <row r="78">
          <cell r="E78" t="str">
            <v>PMK</v>
          </cell>
          <cell r="G78">
            <v>15796.933792861713</v>
          </cell>
          <cell r="H78">
            <v>1614.2783091986159</v>
          </cell>
          <cell r="M78">
            <v>15796.933792861713</v>
          </cell>
          <cell r="N78">
            <v>1614.2783091986159</v>
          </cell>
        </row>
        <row r="80">
          <cell r="C80" t="str">
            <v>S0172</v>
          </cell>
          <cell r="D80" t="str">
            <v>AI NDSO</v>
          </cell>
          <cell r="E80" t="str">
            <v>PEB 1</v>
          </cell>
          <cell r="G80">
            <v>0</v>
          </cell>
          <cell r="H80">
            <v>0</v>
          </cell>
          <cell r="M80">
            <v>0</v>
          </cell>
          <cell r="N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E81" t="str">
            <v>PEB 2</v>
          </cell>
          <cell r="G81">
            <v>0</v>
          </cell>
          <cell r="H81">
            <v>0</v>
          </cell>
          <cell r="M81">
            <v>0</v>
          </cell>
          <cell r="N81">
            <v>0</v>
          </cell>
        </row>
        <row r="82">
          <cell r="E82" t="str">
            <v>PEB 3</v>
          </cell>
          <cell r="G82">
            <v>0</v>
          </cell>
          <cell r="H82">
            <v>0</v>
          </cell>
          <cell r="M82">
            <v>0</v>
          </cell>
          <cell r="N82">
            <v>0</v>
          </cell>
        </row>
        <row r="83">
          <cell r="E83" t="str">
            <v>PEB 4</v>
          </cell>
          <cell r="G83">
            <v>0</v>
          </cell>
          <cell r="H83">
            <v>0</v>
          </cell>
          <cell r="M83">
            <v>0</v>
          </cell>
          <cell r="N83">
            <v>0</v>
          </cell>
        </row>
        <row r="84">
          <cell r="E84" t="str">
            <v>PEB 5</v>
          </cell>
          <cell r="M84">
            <v>0</v>
          </cell>
          <cell r="N84">
            <v>0</v>
          </cell>
        </row>
        <row r="85">
          <cell r="E85" t="str">
            <v>PEB 6</v>
          </cell>
          <cell r="M85">
            <v>0</v>
          </cell>
          <cell r="N85">
            <v>0</v>
          </cell>
        </row>
        <row r="86">
          <cell r="E86" t="str">
            <v>PEB 7 / TB</v>
          </cell>
          <cell r="M86">
            <v>0</v>
          </cell>
          <cell r="N86">
            <v>0</v>
          </cell>
        </row>
        <row r="87">
          <cell r="E87" t="str">
            <v>MPP</v>
          </cell>
          <cell r="G87">
            <v>0</v>
          </cell>
          <cell r="H87">
            <v>0</v>
          </cell>
          <cell r="M87">
            <v>0</v>
          </cell>
          <cell r="N87">
            <v>0</v>
          </cell>
        </row>
        <row r="88">
          <cell r="E88" t="str">
            <v>ID</v>
          </cell>
          <cell r="G88">
            <v>0</v>
          </cell>
          <cell r="H88">
            <v>0</v>
          </cell>
          <cell r="M88">
            <v>0</v>
          </cell>
          <cell r="N88">
            <v>0</v>
          </cell>
        </row>
        <row r="89">
          <cell r="E89" t="str">
            <v>LL</v>
          </cell>
          <cell r="G89">
            <v>0</v>
          </cell>
          <cell r="H89">
            <v>0</v>
          </cell>
          <cell r="M89">
            <v>0</v>
          </cell>
          <cell r="N89">
            <v>0</v>
          </cell>
        </row>
        <row r="90">
          <cell r="E90" t="str">
            <v>PMK</v>
          </cell>
          <cell r="G90">
            <v>0</v>
          </cell>
          <cell r="H90">
            <v>0</v>
          </cell>
          <cell r="M90">
            <v>0</v>
          </cell>
          <cell r="N90">
            <v>0</v>
          </cell>
        </row>
        <row r="92">
          <cell r="C92" t="str">
            <v>S0174</v>
          </cell>
          <cell r="D92" t="str">
            <v>AI PSO</v>
          </cell>
          <cell r="E92" t="str">
            <v>PEB 1</v>
          </cell>
          <cell r="G92">
            <v>0</v>
          </cell>
          <cell r="H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E93" t="str">
            <v>PEB 2</v>
          </cell>
          <cell r="G93">
            <v>0</v>
          </cell>
          <cell r="H93">
            <v>0</v>
          </cell>
          <cell r="M93">
            <v>0</v>
          </cell>
          <cell r="N93">
            <v>0</v>
          </cell>
        </row>
        <row r="94">
          <cell r="E94" t="str">
            <v>PEB 3</v>
          </cell>
          <cell r="G94">
            <v>0</v>
          </cell>
          <cell r="H94">
            <v>0</v>
          </cell>
          <cell r="M94">
            <v>0</v>
          </cell>
          <cell r="N94">
            <v>0</v>
          </cell>
        </row>
        <row r="95">
          <cell r="E95" t="str">
            <v>PEB 4</v>
          </cell>
          <cell r="G95">
            <v>0</v>
          </cell>
          <cell r="H95">
            <v>0</v>
          </cell>
          <cell r="M95">
            <v>0</v>
          </cell>
          <cell r="N95">
            <v>0</v>
          </cell>
        </row>
        <row r="96">
          <cell r="E96" t="str">
            <v>PEB 5</v>
          </cell>
          <cell r="M96">
            <v>0</v>
          </cell>
          <cell r="N96">
            <v>0</v>
          </cell>
        </row>
        <row r="97">
          <cell r="E97" t="str">
            <v>PEB 6</v>
          </cell>
          <cell r="M97">
            <v>0</v>
          </cell>
          <cell r="N97">
            <v>0</v>
          </cell>
        </row>
        <row r="98">
          <cell r="E98" t="str">
            <v>PEB 7 / TB</v>
          </cell>
          <cell r="M98">
            <v>0</v>
          </cell>
          <cell r="N98">
            <v>0</v>
          </cell>
        </row>
        <row r="99">
          <cell r="E99" t="str">
            <v>MPP</v>
          </cell>
          <cell r="G99">
            <v>0</v>
          </cell>
          <cell r="H99">
            <v>0</v>
          </cell>
          <cell r="M99">
            <v>0</v>
          </cell>
          <cell r="N99">
            <v>0</v>
          </cell>
        </row>
        <row r="100">
          <cell r="E100" t="str">
            <v>ID</v>
          </cell>
          <cell r="G100">
            <v>0</v>
          </cell>
          <cell r="H100">
            <v>0</v>
          </cell>
          <cell r="M100">
            <v>0</v>
          </cell>
          <cell r="N100">
            <v>0</v>
          </cell>
        </row>
        <row r="101">
          <cell r="E101" t="str">
            <v>LL</v>
          </cell>
          <cell r="G101">
            <v>0</v>
          </cell>
          <cell r="H101">
            <v>0</v>
          </cell>
          <cell r="M101">
            <v>0</v>
          </cell>
          <cell r="N101">
            <v>0</v>
          </cell>
        </row>
        <row r="102">
          <cell r="E102" t="str">
            <v>PMK</v>
          </cell>
          <cell r="G102">
            <v>0</v>
          </cell>
          <cell r="H102">
            <v>0</v>
          </cell>
          <cell r="M102">
            <v>0</v>
          </cell>
          <cell r="N102">
            <v>0</v>
          </cell>
        </row>
        <row r="104">
          <cell r="C104" t="str">
            <v>S0015</v>
          </cell>
          <cell r="D104" t="str">
            <v>AI SSC</v>
          </cell>
          <cell r="E104" t="str">
            <v>PEB 1</v>
          </cell>
          <cell r="G104">
            <v>91546.578005171265</v>
          </cell>
          <cell r="H104">
            <v>4654.4247795641422</v>
          </cell>
          <cell r="M104">
            <v>91546.578005171265</v>
          </cell>
          <cell r="N104">
            <v>4654.4247795641422</v>
          </cell>
          <cell r="P104">
            <v>37775.233844617178</v>
          </cell>
          <cell r="Q104">
            <v>3308.0848627048285</v>
          </cell>
          <cell r="R104">
            <v>0</v>
          </cell>
          <cell r="S104">
            <v>0</v>
          </cell>
          <cell r="T104">
            <v>153932.14339901431</v>
          </cell>
          <cell r="U104">
            <v>734.41041218647979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4684.047270121966</v>
          </cell>
          <cell r="AA104">
            <v>540.58419880418512</v>
          </cell>
          <cell r="AB104">
            <v>5953.9960967478946</v>
          </cell>
          <cell r="AC104">
            <v>526.2374294272114</v>
          </cell>
          <cell r="AD104">
            <v>13088.57624647291</v>
          </cell>
          <cell r="AE104">
            <v>1307.4738220027011</v>
          </cell>
          <cell r="AF104">
            <v>20968.619797349722</v>
          </cell>
          <cell r="AG104">
            <v>5555.205086626429</v>
          </cell>
          <cell r="AH104">
            <v>51670.498742588701</v>
          </cell>
          <cell r="AI104">
            <v>5561.1799224725601</v>
          </cell>
        </row>
        <row r="105">
          <cell r="E105" t="str">
            <v>PEB 2</v>
          </cell>
          <cell r="G105">
            <v>37775.233844617178</v>
          </cell>
          <cell r="H105">
            <v>3308.0848627048285</v>
          </cell>
          <cell r="M105">
            <v>37775.233844617178</v>
          </cell>
          <cell r="N105">
            <v>3308.0848627048285</v>
          </cell>
        </row>
        <row r="106">
          <cell r="E106" t="str">
            <v>PEB 3</v>
          </cell>
          <cell r="G106">
            <v>0</v>
          </cell>
          <cell r="H106">
            <v>0</v>
          </cell>
          <cell r="M106">
            <v>0</v>
          </cell>
          <cell r="N106">
            <v>0</v>
          </cell>
        </row>
        <row r="107">
          <cell r="E107" t="str">
            <v>PEB 4</v>
          </cell>
          <cell r="G107">
            <v>153932.14339901431</v>
          </cell>
          <cell r="H107">
            <v>734.41041218647979</v>
          </cell>
          <cell r="M107">
            <v>153932.14339901431</v>
          </cell>
          <cell r="N107">
            <v>734.41041218647979</v>
          </cell>
        </row>
        <row r="108">
          <cell r="E108" t="str">
            <v>PEB 5</v>
          </cell>
          <cell r="M108">
            <v>0</v>
          </cell>
          <cell r="N108">
            <v>0</v>
          </cell>
        </row>
        <row r="109">
          <cell r="E109" t="str">
            <v>PEB 6</v>
          </cell>
          <cell r="M109">
            <v>0</v>
          </cell>
          <cell r="N109">
            <v>0</v>
          </cell>
        </row>
        <row r="110">
          <cell r="E110" t="str">
            <v>PEB 7 / TB</v>
          </cell>
          <cell r="G110">
            <v>4684.047270121966</v>
          </cell>
          <cell r="H110">
            <v>540.58419880418512</v>
          </cell>
          <cell r="M110">
            <v>4684.047270121966</v>
          </cell>
          <cell r="N110">
            <v>540.58419880418512</v>
          </cell>
        </row>
        <row r="111">
          <cell r="E111" t="str">
            <v>MPP</v>
          </cell>
          <cell r="G111">
            <v>5953.9960967478946</v>
          </cell>
          <cell r="H111">
            <v>526.2374294272114</v>
          </cell>
          <cell r="M111">
            <v>5953.9960967478946</v>
          </cell>
          <cell r="N111">
            <v>526.2374294272114</v>
          </cell>
        </row>
        <row r="112">
          <cell r="E112" t="str">
            <v>ID</v>
          </cell>
          <cell r="G112">
            <v>13088.57624647291</v>
          </cell>
          <cell r="H112">
            <v>1307.4738220027011</v>
          </cell>
          <cell r="M112">
            <v>13088.57624647291</v>
          </cell>
          <cell r="N112">
            <v>1307.4738220027011</v>
          </cell>
        </row>
        <row r="113">
          <cell r="E113" t="str">
            <v>LL</v>
          </cell>
          <cell r="G113">
            <v>20968.619797349722</v>
          </cell>
          <cell r="H113">
            <v>5555.205086626429</v>
          </cell>
          <cell r="M113">
            <v>20968.619797349722</v>
          </cell>
          <cell r="N113">
            <v>5555.205086626429</v>
          </cell>
        </row>
        <row r="114">
          <cell r="E114" t="str">
            <v>PMK</v>
          </cell>
          <cell r="G114">
            <v>51670.498742588701</v>
          </cell>
          <cell r="H114">
            <v>5561.1799224725601</v>
          </cell>
          <cell r="M114">
            <v>51670.498742588701</v>
          </cell>
          <cell r="N114">
            <v>5561.1799224725601</v>
          </cell>
        </row>
        <row r="116">
          <cell r="C116" t="str">
            <v>S0002</v>
          </cell>
          <cell r="D116" t="str">
            <v>AI TSO</v>
          </cell>
          <cell r="E116" t="str">
            <v>PEB 1</v>
          </cell>
          <cell r="M116">
            <v>0</v>
          </cell>
          <cell r="N116">
            <v>0</v>
          </cell>
          <cell r="P116">
            <v>8626.873877645432</v>
          </cell>
          <cell r="Q116">
            <v>884.85416563043918</v>
          </cell>
          <cell r="R116">
            <v>0</v>
          </cell>
          <cell r="S116">
            <v>0</v>
          </cell>
          <cell r="T116">
            <v>50868.233495849825</v>
          </cell>
          <cell r="U116">
            <v>468.56203222166386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856.3042329411029</v>
          </cell>
          <cell r="AA116">
            <v>87.830699545559639</v>
          </cell>
          <cell r="AB116">
            <v>1617.5388520585186</v>
          </cell>
          <cell r="AC116">
            <v>165.91015605570735</v>
          </cell>
          <cell r="AD116">
            <v>3532.0109677883356</v>
          </cell>
          <cell r="AE116">
            <v>362.2766093750883</v>
          </cell>
          <cell r="AF116">
            <v>6660.6233696193285</v>
          </cell>
          <cell r="AG116">
            <v>1402.3880592324308</v>
          </cell>
          <cell r="AH116">
            <v>6813.226940425925</v>
          </cell>
          <cell r="AI116">
            <v>698.82930075556555</v>
          </cell>
        </row>
        <row r="117">
          <cell r="E117" t="str">
            <v>PEB 2</v>
          </cell>
          <cell r="G117">
            <v>8626.873877645432</v>
          </cell>
          <cell r="H117">
            <v>884.85416563043918</v>
          </cell>
          <cell r="M117">
            <v>8626.873877645432</v>
          </cell>
          <cell r="N117">
            <v>884.85416563043918</v>
          </cell>
        </row>
        <row r="118">
          <cell r="E118" t="str">
            <v>PEB 3</v>
          </cell>
          <cell r="G118">
            <v>0</v>
          </cell>
          <cell r="H118">
            <v>0</v>
          </cell>
          <cell r="M118">
            <v>0</v>
          </cell>
          <cell r="N118">
            <v>0</v>
          </cell>
        </row>
        <row r="119">
          <cell r="E119" t="str">
            <v>PEB 4</v>
          </cell>
          <cell r="G119">
            <v>50868.233495849825</v>
          </cell>
          <cell r="H119">
            <v>468.56203222166386</v>
          </cell>
          <cell r="M119">
            <v>50868.233495849825</v>
          </cell>
          <cell r="N119">
            <v>468.56203222166386</v>
          </cell>
        </row>
        <row r="120">
          <cell r="E120" t="str">
            <v>PEB 5</v>
          </cell>
          <cell r="M120">
            <v>0</v>
          </cell>
          <cell r="N120">
            <v>0</v>
          </cell>
        </row>
        <row r="121">
          <cell r="E121" t="str">
            <v>PEB 6</v>
          </cell>
          <cell r="M121">
            <v>0</v>
          </cell>
          <cell r="N121">
            <v>0</v>
          </cell>
        </row>
        <row r="122">
          <cell r="E122" t="str">
            <v>PEB 7 / TB</v>
          </cell>
          <cell r="G122">
            <v>856.3042329411029</v>
          </cell>
          <cell r="H122">
            <v>87.830699545559639</v>
          </cell>
          <cell r="M122">
            <v>856.3042329411029</v>
          </cell>
          <cell r="N122">
            <v>87.830699545559639</v>
          </cell>
        </row>
        <row r="123">
          <cell r="E123" t="str">
            <v>MPP</v>
          </cell>
          <cell r="G123">
            <v>1617.5388520585186</v>
          </cell>
          <cell r="H123">
            <v>165.91015605570735</v>
          </cell>
          <cell r="M123">
            <v>1617.5388520585186</v>
          </cell>
          <cell r="N123">
            <v>165.91015605570735</v>
          </cell>
        </row>
        <row r="124">
          <cell r="E124" t="str">
            <v>ID</v>
          </cell>
          <cell r="G124">
            <v>3532.0109677883356</v>
          </cell>
          <cell r="H124">
            <v>362.2766093750883</v>
          </cell>
          <cell r="M124">
            <v>3532.0109677883356</v>
          </cell>
          <cell r="N124">
            <v>362.2766093750883</v>
          </cell>
        </row>
        <row r="125">
          <cell r="E125" t="str">
            <v>LL</v>
          </cell>
          <cell r="G125">
            <v>6660.6233696193285</v>
          </cell>
          <cell r="H125">
            <v>1402.3880592324308</v>
          </cell>
          <cell r="M125">
            <v>6660.6233696193285</v>
          </cell>
          <cell r="N125">
            <v>1402.3880592324308</v>
          </cell>
        </row>
        <row r="126">
          <cell r="E126" t="str">
            <v>PMK</v>
          </cell>
          <cell r="G126">
            <v>6813.226940425925</v>
          </cell>
          <cell r="H126">
            <v>698.82930075556555</v>
          </cell>
          <cell r="M126">
            <v>6813.226940425925</v>
          </cell>
          <cell r="N126">
            <v>698.82930075556555</v>
          </cell>
        </row>
        <row r="128">
          <cell r="C128" t="str">
            <v>A0253</v>
          </cell>
          <cell r="D128" t="str">
            <v>PT Agro Menara Rahmat</v>
          </cell>
          <cell r="E128" t="str">
            <v>PEB 1</v>
          </cell>
          <cell r="M128">
            <v>0</v>
          </cell>
          <cell r="N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E129" t="str">
            <v>PEB 2</v>
          </cell>
          <cell r="M129">
            <v>0</v>
          </cell>
          <cell r="N129">
            <v>0</v>
          </cell>
        </row>
        <row r="130">
          <cell r="E130" t="str">
            <v>PEB 3</v>
          </cell>
          <cell r="M130">
            <v>0</v>
          </cell>
          <cell r="N130">
            <v>0</v>
          </cell>
        </row>
        <row r="131">
          <cell r="E131" t="str">
            <v>PEB 4</v>
          </cell>
          <cell r="M131">
            <v>0</v>
          </cell>
          <cell r="N131">
            <v>0</v>
          </cell>
        </row>
        <row r="132">
          <cell r="E132" t="str">
            <v>PEB 5</v>
          </cell>
          <cell r="M132">
            <v>0</v>
          </cell>
          <cell r="N132">
            <v>0</v>
          </cell>
        </row>
        <row r="133">
          <cell r="E133" t="str">
            <v>PEB 6</v>
          </cell>
          <cell r="M133">
            <v>0</v>
          </cell>
          <cell r="N133">
            <v>0</v>
          </cell>
        </row>
        <row r="134">
          <cell r="E134" t="str">
            <v>PEB 7 / TB</v>
          </cell>
          <cell r="M134">
            <v>0</v>
          </cell>
          <cell r="N134">
            <v>0</v>
          </cell>
        </row>
        <row r="135">
          <cell r="E135" t="str">
            <v>MPP</v>
          </cell>
          <cell r="M135">
            <v>0</v>
          </cell>
          <cell r="N135">
            <v>0</v>
          </cell>
        </row>
        <row r="136">
          <cell r="E136" t="str">
            <v>ID</v>
          </cell>
          <cell r="M136">
            <v>0</v>
          </cell>
          <cell r="N136">
            <v>0</v>
          </cell>
        </row>
        <row r="137">
          <cell r="E137" t="str">
            <v>LL</v>
          </cell>
          <cell r="M137">
            <v>0</v>
          </cell>
          <cell r="N137">
            <v>0</v>
          </cell>
        </row>
        <row r="138">
          <cell r="E138" t="str">
            <v>PMK</v>
          </cell>
          <cell r="M138">
            <v>0</v>
          </cell>
          <cell r="N138">
            <v>0</v>
          </cell>
        </row>
        <row r="140">
          <cell r="C140" t="str">
            <v>A0438</v>
          </cell>
          <cell r="D140" t="str">
            <v>PT Agro Nusa Abadi</v>
          </cell>
          <cell r="E140" t="str">
            <v>PEB 1</v>
          </cell>
          <cell r="M140">
            <v>0</v>
          </cell>
          <cell r="N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E141" t="str">
            <v>PEB 2</v>
          </cell>
          <cell r="M141">
            <v>0</v>
          </cell>
          <cell r="N141">
            <v>0</v>
          </cell>
        </row>
        <row r="142">
          <cell r="E142" t="str">
            <v>PEB 3</v>
          </cell>
          <cell r="M142">
            <v>0</v>
          </cell>
          <cell r="N142">
            <v>0</v>
          </cell>
        </row>
        <row r="143">
          <cell r="E143" t="str">
            <v>PEB 4</v>
          </cell>
          <cell r="M143">
            <v>0</v>
          </cell>
          <cell r="N143">
            <v>0</v>
          </cell>
        </row>
        <row r="144">
          <cell r="E144" t="str">
            <v>PEB 5</v>
          </cell>
          <cell r="M144">
            <v>0</v>
          </cell>
          <cell r="N144">
            <v>0</v>
          </cell>
        </row>
        <row r="145">
          <cell r="E145" t="str">
            <v>PEB 6</v>
          </cell>
          <cell r="M145">
            <v>0</v>
          </cell>
          <cell r="N145">
            <v>0</v>
          </cell>
        </row>
        <row r="146">
          <cell r="E146" t="str">
            <v>PEB 7 / TB</v>
          </cell>
          <cell r="M146">
            <v>0</v>
          </cell>
          <cell r="N146">
            <v>0</v>
          </cell>
        </row>
        <row r="147">
          <cell r="E147" t="str">
            <v>MPP</v>
          </cell>
          <cell r="M147">
            <v>0</v>
          </cell>
          <cell r="N147">
            <v>0</v>
          </cell>
        </row>
        <row r="148">
          <cell r="E148" t="str">
            <v>ID</v>
          </cell>
          <cell r="M148">
            <v>0</v>
          </cell>
          <cell r="N148">
            <v>0</v>
          </cell>
        </row>
        <row r="149">
          <cell r="E149" t="str">
            <v>LL</v>
          </cell>
          <cell r="M149">
            <v>0</v>
          </cell>
          <cell r="N149">
            <v>0</v>
          </cell>
        </row>
        <row r="150">
          <cell r="E150" t="str">
            <v>PMK</v>
          </cell>
          <cell r="M150">
            <v>0</v>
          </cell>
          <cell r="N150">
            <v>0</v>
          </cell>
        </row>
        <row r="152">
          <cell r="C152" t="str">
            <v>A0049</v>
          </cell>
          <cell r="D152" t="str">
            <v>PT Aisin Indonesia</v>
          </cell>
          <cell r="E152" t="str">
            <v>PEB 1</v>
          </cell>
          <cell r="M152">
            <v>0</v>
          </cell>
          <cell r="N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1565527.2359000007</v>
          </cell>
          <cell r="U152">
            <v>109857.60286502888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256045.47996714577</v>
          </cell>
          <cell r="AG152">
            <v>60238.719200000007</v>
          </cell>
          <cell r="AH152">
            <v>1933.2106776180697</v>
          </cell>
          <cell r="AI152">
            <v>303.26</v>
          </cell>
        </row>
        <row r="153">
          <cell r="E153" t="str">
            <v>PEB 2</v>
          </cell>
          <cell r="M153">
            <v>0</v>
          </cell>
          <cell r="N153">
            <v>0</v>
          </cell>
        </row>
        <row r="154">
          <cell r="E154" t="str">
            <v>PEB 3</v>
          </cell>
          <cell r="M154">
            <v>0</v>
          </cell>
          <cell r="N154">
            <v>0</v>
          </cell>
        </row>
        <row r="155">
          <cell r="E155" t="str">
            <v>PEB 4</v>
          </cell>
          <cell r="G155">
            <v>1565527.2359000007</v>
          </cell>
          <cell r="H155">
            <v>109857.60286502888</v>
          </cell>
          <cell r="M155">
            <v>1565527.2359000007</v>
          </cell>
          <cell r="N155">
            <v>109857.60286502888</v>
          </cell>
        </row>
        <row r="156">
          <cell r="E156" t="str">
            <v>PEB 5</v>
          </cell>
          <cell r="M156">
            <v>0</v>
          </cell>
          <cell r="N156">
            <v>0</v>
          </cell>
        </row>
        <row r="157">
          <cell r="E157" t="str">
            <v>PEB 6</v>
          </cell>
          <cell r="M157">
            <v>0</v>
          </cell>
          <cell r="N157">
            <v>0</v>
          </cell>
        </row>
        <row r="158">
          <cell r="E158" t="str">
            <v>PEB 7 / TB</v>
          </cell>
          <cell r="G158">
            <v>0</v>
          </cell>
          <cell r="H158">
            <v>0</v>
          </cell>
          <cell r="M158">
            <v>0</v>
          </cell>
          <cell r="N158">
            <v>0</v>
          </cell>
        </row>
        <row r="159">
          <cell r="E159" t="str">
            <v>MPP</v>
          </cell>
          <cell r="M159">
            <v>0</v>
          </cell>
          <cell r="N159">
            <v>0</v>
          </cell>
        </row>
        <row r="160">
          <cell r="E160" t="str">
            <v>ID</v>
          </cell>
          <cell r="G160">
            <v>0</v>
          </cell>
          <cell r="H160">
            <v>0</v>
          </cell>
          <cell r="M160">
            <v>0</v>
          </cell>
          <cell r="N160">
            <v>0</v>
          </cell>
        </row>
        <row r="161">
          <cell r="E161" t="str">
            <v>LL</v>
          </cell>
          <cell r="G161">
            <v>256045.47996714577</v>
          </cell>
          <cell r="H161">
            <v>60238.719200000007</v>
          </cell>
          <cell r="M161">
            <v>256045.47996714577</v>
          </cell>
          <cell r="N161">
            <v>60238.719200000007</v>
          </cell>
        </row>
        <row r="162">
          <cell r="E162" t="str">
            <v>PMK</v>
          </cell>
          <cell r="G162">
            <v>1933.2106776180697</v>
          </cell>
          <cell r="H162">
            <v>303.26</v>
          </cell>
          <cell r="M162">
            <v>1933.2106776180697</v>
          </cell>
          <cell r="N162">
            <v>303.26</v>
          </cell>
        </row>
        <row r="164">
          <cell r="C164" t="str">
            <v>A0161</v>
          </cell>
          <cell r="D164" t="str">
            <v>PT Ardendi Jaya Sentosa</v>
          </cell>
          <cell r="E164" t="str">
            <v>PEB 1</v>
          </cell>
          <cell r="M164">
            <v>0</v>
          </cell>
          <cell r="N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</row>
        <row r="165">
          <cell r="E165" t="str">
            <v>PEB 2</v>
          </cell>
          <cell r="M165">
            <v>0</v>
          </cell>
          <cell r="N165">
            <v>0</v>
          </cell>
        </row>
        <row r="166">
          <cell r="E166" t="str">
            <v>PEB 3</v>
          </cell>
          <cell r="M166">
            <v>0</v>
          </cell>
          <cell r="N166">
            <v>0</v>
          </cell>
        </row>
        <row r="167">
          <cell r="E167" t="str">
            <v>PEB 4</v>
          </cell>
          <cell r="M167">
            <v>0</v>
          </cell>
          <cell r="N167">
            <v>0</v>
          </cell>
        </row>
        <row r="168">
          <cell r="E168" t="str">
            <v>PEB 5</v>
          </cell>
          <cell r="M168">
            <v>0</v>
          </cell>
          <cell r="N168">
            <v>0</v>
          </cell>
        </row>
        <row r="169">
          <cell r="E169" t="str">
            <v>PEB 6</v>
          </cell>
          <cell r="M169">
            <v>0</v>
          </cell>
          <cell r="N169">
            <v>0</v>
          </cell>
        </row>
        <row r="170">
          <cell r="E170" t="str">
            <v>PEB 7 / TB</v>
          </cell>
          <cell r="M170">
            <v>0</v>
          </cell>
          <cell r="N170">
            <v>0</v>
          </cell>
        </row>
        <row r="171">
          <cell r="E171" t="str">
            <v>MPP</v>
          </cell>
          <cell r="M171">
            <v>0</v>
          </cell>
          <cell r="N171">
            <v>0</v>
          </cell>
        </row>
        <row r="172">
          <cell r="E172" t="str">
            <v>ID</v>
          </cell>
          <cell r="M172">
            <v>0</v>
          </cell>
          <cell r="N172">
            <v>0</v>
          </cell>
        </row>
        <row r="173">
          <cell r="E173" t="str">
            <v>LL</v>
          </cell>
          <cell r="M173">
            <v>0</v>
          </cell>
          <cell r="N173">
            <v>0</v>
          </cell>
        </row>
        <row r="174">
          <cell r="E174" t="str">
            <v>PMK</v>
          </cell>
          <cell r="M174">
            <v>0</v>
          </cell>
          <cell r="N174">
            <v>0</v>
          </cell>
        </row>
        <row r="176">
          <cell r="C176" t="str">
            <v>A0011</v>
          </cell>
          <cell r="D176" t="str">
            <v>PT Astra Agro Lestari Tbk - Parent</v>
          </cell>
          <cell r="E176" t="str">
            <v>PEB 1</v>
          </cell>
          <cell r="G176">
            <v>561106.58428824379</v>
          </cell>
          <cell r="H176">
            <v>31028.641924493728</v>
          </cell>
          <cell r="M176">
            <v>561106.58428824379</v>
          </cell>
          <cell r="N176">
            <v>31028.641924493728</v>
          </cell>
          <cell r="P176">
            <v>129867.04281674643</v>
          </cell>
          <cell r="Q176">
            <v>7181.5196652258346</v>
          </cell>
          <cell r="R176">
            <v>35632.705965884335</v>
          </cell>
          <cell r="S176">
            <v>1970.453573662264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7681.2131578964563</v>
          </cell>
          <cell r="AA176">
            <v>424.76352852712807</v>
          </cell>
          <cell r="AB176">
            <v>38960.112845023934</v>
          </cell>
          <cell r="AC176">
            <v>2154.4558995677507</v>
          </cell>
          <cell r="AD176">
            <v>33381.895131994468</v>
          </cell>
          <cell r="AE176">
            <v>1845.9859495777409</v>
          </cell>
          <cell r="AF176">
            <v>28969.891705806869</v>
          </cell>
          <cell r="AG176">
            <v>9395.1191525380364</v>
          </cell>
          <cell r="AH176">
            <v>11102.495521200901</v>
          </cell>
          <cell r="AI176">
            <v>796.9804966176489</v>
          </cell>
        </row>
        <row r="177">
          <cell r="E177" t="str">
            <v>PEB 2</v>
          </cell>
          <cell r="G177">
            <v>129867.04281674643</v>
          </cell>
          <cell r="H177">
            <v>7181.5196652258346</v>
          </cell>
          <cell r="M177">
            <v>129867.04281674643</v>
          </cell>
          <cell r="N177">
            <v>7181.5196652258346</v>
          </cell>
        </row>
        <row r="178">
          <cell r="E178" t="str">
            <v>PEB 3</v>
          </cell>
          <cell r="G178">
            <v>35632.705965884335</v>
          </cell>
          <cell r="H178">
            <v>1970.453573662264</v>
          </cell>
          <cell r="M178">
            <v>35632.705965884335</v>
          </cell>
          <cell r="N178">
            <v>1970.453573662264</v>
          </cell>
        </row>
        <row r="179">
          <cell r="E179" t="str">
            <v>PEB 4</v>
          </cell>
          <cell r="M179">
            <v>0</v>
          </cell>
          <cell r="N179">
            <v>0</v>
          </cell>
        </row>
        <row r="180">
          <cell r="E180" t="str">
            <v>PEB 5</v>
          </cell>
          <cell r="M180">
            <v>0</v>
          </cell>
          <cell r="N180">
            <v>0</v>
          </cell>
        </row>
        <row r="181">
          <cell r="E181" t="str">
            <v>PEB 6</v>
          </cell>
          <cell r="M181">
            <v>0</v>
          </cell>
          <cell r="N181">
            <v>0</v>
          </cell>
        </row>
        <row r="182">
          <cell r="E182" t="str">
            <v>PEB 7 / TB</v>
          </cell>
          <cell r="G182">
            <v>7681.2131578964563</v>
          </cell>
          <cell r="H182">
            <v>424.76352852712807</v>
          </cell>
          <cell r="M182">
            <v>7681.2131578964563</v>
          </cell>
          <cell r="N182">
            <v>424.76352852712807</v>
          </cell>
        </row>
        <row r="183">
          <cell r="E183" t="str">
            <v>MPP</v>
          </cell>
          <cell r="G183">
            <v>38960.112845023934</v>
          </cell>
          <cell r="H183">
            <v>2154.4558995677507</v>
          </cell>
          <cell r="M183">
            <v>38960.112845023934</v>
          </cell>
          <cell r="N183">
            <v>2154.4558995677507</v>
          </cell>
        </row>
        <row r="184">
          <cell r="E184" t="str">
            <v>ID</v>
          </cell>
          <cell r="G184">
            <v>33381.895131994468</v>
          </cell>
          <cell r="H184">
            <v>1845.9859495777409</v>
          </cell>
          <cell r="M184">
            <v>33381.895131994468</v>
          </cell>
          <cell r="N184">
            <v>1845.9859495777409</v>
          </cell>
        </row>
        <row r="185">
          <cell r="E185" t="str">
            <v>LL</v>
          </cell>
          <cell r="G185">
            <v>28969.891705806869</v>
          </cell>
          <cell r="H185">
            <v>9395.1191525380364</v>
          </cell>
          <cell r="M185">
            <v>28969.891705806869</v>
          </cell>
          <cell r="N185">
            <v>9395.1191525380364</v>
          </cell>
        </row>
        <row r="186">
          <cell r="E186" t="str">
            <v>PMK</v>
          </cell>
          <cell r="G186">
            <v>11102.495521200901</v>
          </cell>
          <cell r="H186">
            <v>796.9804966176489</v>
          </cell>
          <cell r="M186">
            <v>11102.495521200901</v>
          </cell>
          <cell r="N186">
            <v>796.9804966176489</v>
          </cell>
        </row>
        <row r="188">
          <cell r="C188" t="str">
            <v>A0177</v>
          </cell>
          <cell r="D188" t="str">
            <v>PT Astra Auto Finance</v>
          </cell>
          <cell r="E188" t="str">
            <v>PEB 1</v>
          </cell>
          <cell r="M188">
            <v>0</v>
          </cell>
          <cell r="N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E189" t="str">
            <v>PEB 2</v>
          </cell>
          <cell r="M189">
            <v>0</v>
          </cell>
          <cell r="N189">
            <v>0</v>
          </cell>
        </row>
        <row r="190">
          <cell r="E190" t="str">
            <v>PEB 3</v>
          </cell>
          <cell r="M190">
            <v>0</v>
          </cell>
          <cell r="N190">
            <v>0</v>
          </cell>
        </row>
        <row r="191">
          <cell r="E191" t="str">
            <v>PEB 4</v>
          </cell>
          <cell r="M191">
            <v>0</v>
          </cell>
          <cell r="N191">
            <v>0</v>
          </cell>
        </row>
        <row r="192">
          <cell r="E192" t="str">
            <v>PEB 5</v>
          </cell>
          <cell r="M192">
            <v>0</v>
          </cell>
          <cell r="N192">
            <v>0</v>
          </cell>
        </row>
        <row r="193">
          <cell r="E193" t="str">
            <v>PEB 6</v>
          </cell>
          <cell r="M193">
            <v>0</v>
          </cell>
          <cell r="N193">
            <v>0</v>
          </cell>
        </row>
        <row r="194">
          <cell r="E194" t="str">
            <v>PEB 7 / TB</v>
          </cell>
          <cell r="M194">
            <v>0</v>
          </cell>
          <cell r="N194">
            <v>0</v>
          </cell>
        </row>
        <row r="195">
          <cell r="E195" t="str">
            <v>MPP</v>
          </cell>
          <cell r="M195">
            <v>0</v>
          </cell>
          <cell r="N195">
            <v>0</v>
          </cell>
        </row>
        <row r="196">
          <cell r="E196" t="str">
            <v>ID</v>
          </cell>
          <cell r="M196">
            <v>0</v>
          </cell>
          <cell r="N196">
            <v>0</v>
          </cell>
        </row>
        <row r="197">
          <cell r="E197" t="str">
            <v>LL</v>
          </cell>
          <cell r="M197">
            <v>0</v>
          </cell>
          <cell r="N197">
            <v>0</v>
          </cell>
        </row>
        <row r="198">
          <cell r="E198" t="str">
            <v>PMK</v>
          </cell>
          <cell r="M198">
            <v>0</v>
          </cell>
          <cell r="N198">
            <v>0</v>
          </cell>
        </row>
        <row r="200">
          <cell r="C200" t="str">
            <v>A0045</v>
          </cell>
          <cell r="D200" t="str">
            <v>PT Astra Daihatsu Motor</v>
          </cell>
          <cell r="E200" t="str">
            <v>PEB 1</v>
          </cell>
          <cell r="G200">
            <v>0</v>
          </cell>
          <cell r="H200">
            <v>0</v>
          </cell>
          <cell r="M200">
            <v>0</v>
          </cell>
          <cell r="N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</row>
        <row r="201">
          <cell r="E201" t="str">
            <v>PEB 2</v>
          </cell>
          <cell r="G201">
            <v>0</v>
          </cell>
          <cell r="H201">
            <v>0</v>
          </cell>
          <cell r="M201">
            <v>0</v>
          </cell>
          <cell r="N201">
            <v>0</v>
          </cell>
        </row>
        <row r="202">
          <cell r="E202" t="str">
            <v>PEB 3</v>
          </cell>
          <cell r="G202">
            <v>0</v>
          </cell>
          <cell r="H202">
            <v>0</v>
          </cell>
          <cell r="M202">
            <v>0</v>
          </cell>
          <cell r="N202">
            <v>0</v>
          </cell>
        </row>
        <row r="203">
          <cell r="E203" t="str">
            <v>PEB 4</v>
          </cell>
          <cell r="G203">
            <v>0</v>
          </cell>
          <cell r="H203">
            <v>0</v>
          </cell>
          <cell r="M203">
            <v>0</v>
          </cell>
          <cell r="N203">
            <v>0</v>
          </cell>
        </row>
        <row r="204">
          <cell r="E204" t="str">
            <v>PEB 5</v>
          </cell>
          <cell r="G204">
            <v>0</v>
          </cell>
          <cell r="H204">
            <v>0</v>
          </cell>
          <cell r="M204">
            <v>0</v>
          </cell>
          <cell r="N204">
            <v>0</v>
          </cell>
        </row>
        <row r="205">
          <cell r="E205" t="str">
            <v>PEB 6</v>
          </cell>
          <cell r="G205">
            <v>0</v>
          </cell>
          <cell r="H205">
            <v>0</v>
          </cell>
          <cell r="M205">
            <v>0</v>
          </cell>
          <cell r="N205">
            <v>0</v>
          </cell>
        </row>
        <row r="206">
          <cell r="E206" t="str">
            <v>PEB 7 / TB</v>
          </cell>
          <cell r="G206">
            <v>0</v>
          </cell>
          <cell r="H206">
            <v>0</v>
          </cell>
          <cell r="M206">
            <v>0</v>
          </cell>
          <cell r="N206">
            <v>0</v>
          </cell>
        </row>
        <row r="207">
          <cell r="E207" t="str">
            <v>MPP</v>
          </cell>
          <cell r="G207">
            <v>0</v>
          </cell>
          <cell r="H207">
            <v>0</v>
          </cell>
          <cell r="M207">
            <v>0</v>
          </cell>
          <cell r="N207">
            <v>0</v>
          </cell>
        </row>
        <row r="208">
          <cell r="E208" t="str">
            <v>ID</v>
          </cell>
          <cell r="G208">
            <v>0</v>
          </cell>
          <cell r="H208">
            <v>0</v>
          </cell>
          <cell r="M208">
            <v>0</v>
          </cell>
          <cell r="N208">
            <v>0</v>
          </cell>
        </row>
        <row r="209">
          <cell r="E209" t="str">
            <v>LL</v>
          </cell>
          <cell r="G209">
            <v>0</v>
          </cell>
          <cell r="H209">
            <v>0</v>
          </cell>
          <cell r="M209">
            <v>0</v>
          </cell>
          <cell r="N209">
            <v>0</v>
          </cell>
        </row>
        <row r="210">
          <cell r="E210" t="str">
            <v>PMK</v>
          </cell>
          <cell r="G210">
            <v>0</v>
          </cell>
          <cell r="H210">
            <v>0</v>
          </cell>
          <cell r="M210">
            <v>0</v>
          </cell>
          <cell r="N210">
            <v>0</v>
          </cell>
        </row>
        <row r="212">
          <cell r="C212" t="str">
            <v>A0371</v>
          </cell>
          <cell r="D212" t="str">
            <v>PT Astra Graphia Information Technology Tbk</v>
          </cell>
          <cell r="E212" t="str">
            <v>PEB 1</v>
          </cell>
          <cell r="G212">
            <v>1053991.4721051119</v>
          </cell>
          <cell r="H212">
            <v>54779.482505681059</v>
          </cell>
          <cell r="M212">
            <v>1053991.4721051119</v>
          </cell>
          <cell r="N212">
            <v>54779.482505681059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123670.71199712988</v>
          </cell>
          <cell r="U212">
            <v>10180.334424913908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84225.301815534112</v>
          </cell>
          <cell r="AA212">
            <v>7025.0747894725264</v>
          </cell>
          <cell r="AB212">
            <v>0</v>
          </cell>
          <cell r="AC212">
            <v>0</v>
          </cell>
          <cell r="AD212">
            <v>235421.48949582753</v>
          </cell>
          <cell r="AE212">
            <v>17525.559193320947</v>
          </cell>
          <cell r="AF212">
            <v>207089.48316327954</v>
          </cell>
          <cell r="AG212">
            <v>80580.21894002553</v>
          </cell>
          <cell r="AH212">
            <v>0</v>
          </cell>
          <cell r="AI212">
            <v>0</v>
          </cell>
        </row>
        <row r="213">
          <cell r="E213" t="str">
            <v>PEB 2</v>
          </cell>
          <cell r="M213">
            <v>0</v>
          </cell>
          <cell r="N213">
            <v>0</v>
          </cell>
        </row>
        <row r="214">
          <cell r="E214" t="str">
            <v>PEB 3</v>
          </cell>
          <cell r="G214">
            <v>0</v>
          </cell>
          <cell r="H214">
            <v>0</v>
          </cell>
          <cell r="M214">
            <v>0</v>
          </cell>
          <cell r="N214">
            <v>0</v>
          </cell>
        </row>
        <row r="215">
          <cell r="E215" t="str">
            <v>PEB 4</v>
          </cell>
          <cell r="G215">
            <v>123670.71199712988</v>
          </cell>
          <cell r="H215">
            <v>10180.334424913908</v>
          </cell>
          <cell r="M215">
            <v>123670.71199712988</v>
          </cell>
          <cell r="N215">
            <v>10180.334424913908</v>
          </cell>
        </row>
        <row r="216">
          <cell r="E216" t="str">
            <v>PEB 5</v>
          </cell>
          <cell r="M216">
            <v>0</v>
          </cell>
          <cell r="N216">
            <v>0</v>
          </cell>
        </row>
        <row r="217">
          <cell r="E217" t="str">
            <v>PEB 6</v>
          </cell>
          <cell r="M217">
            <v>0</v>
          </cell>
          <cell r="N217">
            <v>0</v>
          </cell>
        </row>
        <row r="218">
          <cell r="E218" t="str">
            <v>PEB 7 / TB</v>
          </cell>
          <cell r="G218">
            <v>84225.301815534112</v>
          </cell>
          <cell r="H218">
            <v>7025.0747894725264</v>
          </cell>
          <cell r="M218">
            <v>84225.301815534112</v>
          </cell>
          <cell r="N218">
            <v>7025.0747894725264</v>
          </cell>
        </row>
        <row r="219">
          <cell r="E219" t="str">
            <v>MPP</v>
          </cell>
          <cell r="M219">
            <v>0</v>
          </cell>
          <cell r="N219">
            <v>0</v>
          </cell>
        </row>
        <row r="220">
          <cell r="E220" t="str">
            <v>ID</v>
          </cell>
          <cell r="G220">
            <v>235421.48949582753</v>
          </cell>
          <cell r="H220">
            <v>17525.559193320947</v>
          </cell>
          <cell r="M220">
            <v>235421.48949582753</v>
          </cell>
          <cell r="N220">
            <v>17525.559193320947</v>
          </cell>
        </row>
        <row r="221">
          <cell r="E221" t="str">
            <v>LL</v>
          </cell>
          <cell r="G221">
            <v>207089.48316327954</v>
          </cell>
          <cell r="H221">
            <v>80580.21894002553</v>
          </cell>
          <cell r="M221">
            <v>207089.48316327954</v>
          </cell>
          <cell r="N221">
            <v>80580.21894002553</v>
          </cell>
        </row>
        <row r="222">
          <cell r="E222" t="str">
            <v>PMK</v>
          </cell>
          <cell r="M222">
            <v>0</v>
          </cell>
          <cell r="N222">
            <v>0</v>
          </cell>
        </row>
        <row r="224">
          <cell r="C224" t="str">
            <v>A0014</v>
          </cell>
          <cell r="D224" t="str">
            <v>PT Astra Graphia Tbk</v>
          </cell>
          <cell r="E224" t="str">
            <v>PEB 1</v>
          </cell>
          <cell r="M224">
            <v>0</v>
          </cell>
          <cell r="N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</row>
        <row r="225">
          <cell r="E225" t="str">
            <v>PEB 2</v>
          </cell>
          <cell r="M225">
            <v>0</v>
          </cell>
          <cell r="N225">
            <v>0</v>
          </cell>
        </row>
        <row r="226">
          <cell r="E226" t="str">
            <v>PEB 3</v>
          </cell>
          <cell r="M226">
            <v>0</v>
          </cell>
          <cell r="N226">
            <v>0</v>
          </cell>
        </row>
        <row r="227">
          <cell r="E227" t="str">
            <v>PEB 4</v>
          </cell>
          <cell r="M227">
            <v>0</v>
          </cell>
          <cell r="N227">
            <v>0</v>
          </cell>
        </row>
        <row r="228">
          <cell r="E228" t="str">
            <v>PEB 5</v>
          </cell>
          <cell r="M228">
            <v>0</v>
          </cell>
          <cell r="N228">
            <v>0</v>
          </cell>
        </row>
        <row r="229">
          <cell r="E229" t="str">
            <v>PEB 6</v>
          </cell>
          <cell r="M229">
            <v>0</v>
          </cell>
          <cell r="N229">
            <v>0</v>
          </cell>
        </row>
        <row r="230">
          <cell r="E230" t="str">
            <v>PEB 7 / TB</v>
          </cell>
          <cell r="M230">
            <v>0</v>
          </cell>
          <cell r="N230">
            <v>0</v>
          </cell>
        </row>
        <row r="231">
          <cell r="E231" t="str">
            <v>MPP</v>
          </cell>
          <cell r="M231">
            <v>0</v>
          </cell>
          <cell r="N231">
            <v>0</v>
          </cell>
        </row>
        <row r="232">
          <cell r="E232" t="str">
            <v>ID</v>
          </cell>
          <cell r="M232">
            <v>0</v>
          </cell>
          <cell r="N232">
            <v>0</v>
          </cell>
        </row>
        <row r="233">
          <cell r="E233" t="str">
            <v>LL</v>
          </cell>
          <cell r="M233">
            <v>0</v>
          </cell>
          <cell r="N233">
            <v>0</v>
          </cell>
        </row>
        <row r="234">
          <cell r="E234" t="str">
            <v>PMK</v>
          </cell>
          <cell r="M234">
            <v>0</v>
          </cell>
          <cell r="N234">
            <v>0</v>
          </cell>
        </row>
        <row r="236">
          <cell r="C236" t="str">
            <v>A0060</v>
          </cell>
          <cell r="D236" t="str">
            <v>PT Astra Honda Motor</v>
          </cell>
          <cell r="E236" t="str">
            <v>PEB 1</v>
          </cell>
          <cell r="M236">
            <v>0</v>
          </cell>
          <cell r="N236">
            <v>0</v>
          </cell>
          <cell r="P236">
            <v>124687.26165884105</v>
          </cell>
          <cell r="Q236">
            <v>19059.091994443595</v>
          </cell>
          <cell r="R236">
            <v>0</v>
          </cell>
          <cell r="S236">
            <v>0</v>
          </cell>
          <cell r="T236">
            <v>312112.54359310213</v>
          </cell>
          <cell r="U236">
            <v>47225.901262211046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9322.8209515700637</v>
          </cell>
          <cell r="AA236">
            <v>1490.0689353202406</v>
          </cell>
          <cell r="AB236">
            <v>59159.88013350869</v>
          </cell>
          <cell r="AC236">
            <v>8967.775493993875</v>
          </cell>
          <cell r="AD236">
            <v>53923.436288398269</v>
          </cell>
          <cell r="AE236">
            <v>8359.3559454350725</v>
          </cell>
          <cell r="AF236">
            <v>37707.861918151393</v>
          </cell>
          <cell r="AG236">
            <v>25574.195795452448</v>
          </cell>
          <cell r="AH236">
            <v>4578.6026044463251</v>
          </cell>
          <cell r="AI236">
            <v>723.33907639658855</v>
          </cell>
        </row>
        <row r="237">
          <cell r="E237" t="str">
            <v>PEB 2</v>
          </cell>
          <cell r="G237">
            <v>124687.26165884105</v>
          </cell>
          <cell r="H237">
            <v>19059.091994443595</v>
          </cell>
          <cell r="M237">
            <v>124687.26165884105</v>
          </cell>
          <cell r="N237">
            <v>19059.091994443595</v>
          </cell>
        </row>
        <row r="238">
          <cell r="E238" t="str">
            <v>PEB 3</v>
          </cell>
          <cell r="M238">
            <v>0</v>
          </cell>
          <cell r="N238">
            <v>0</v>
          </cell>
        </row>
        <row r="239">
          <cell r="E239" t="str">
            <v>PEB 4</v>
          </cell>
          <cell r="G239">
            <v>312112.54359310213</v>
          </cell>
          <cell r="H239">
            <v>47225.901262211046</v>
          </cell>
          <cell r="M239">
            <v>312112.54359310213</v>
          </cell>
          <cell r="N239">
            <v>47225.901262211046</v>
          </cell>
        </row>
        <row r="240">
          <cell r="E240" t="str">
            <v>PEB 5</v>
          </cell>
          <cell r="M240">
            <v>0</v>
          </cell>
          <cell r="N240">
            <v>0</v>
          </cell>
        </row>
        <row r="241">
          <cell r="E241" t="str">
            <v>PEB 6</v>
          </cell>
          <cell r="M241">
            <v>0</v>
          </cell>
          <cell r="N241">
            <v>0</v>
          </cell>
        </row>
        <row r="242">
          <cell r="E242" t="str">
            <v>PEB 7 / TB</v>
          </cell>
          <cell r="G242">
            <v>9322.8209515700637</v>
          </cell>
          <cell r="H242">
            <v>1490.0689353202406</v>
          </cell>
          <cell r="M242">
            <v>9322.8209515700637</v>
          </cell>
          <cell r="N242">
            <v>1490.0689353202406</v>
          </cell>
        </row>
        <row r="243">
          <cell r="E243" t="str">
            <v>MPP</v>
          </cell>
          <cell r="G243">
            <v>59159.88013350869</v>
          </cell>
          <cell r="H243">
            <v>8967.775493993875</v>
          </cell>
          <cell r="M243">
            <v>59159.88013350869</v>
          </cell>
          <cell r="N243">
            <v>8967.775493993875</v>
          </cell>
        </row>
        <row r="244">
          <cell r="E244" t="str">
            <v>ID</v>
          </cell>
          <cell r="G244">
            <v>53923.436288398269</v>
          </cell>
          <cell r="H244">
            <v>8359.3559454350725</v>
          </cell>
          <cell r="M244">
            <v>53923.436288398269</v>
          </cell>
          <cell r="N244">
            <v>8359.3559454350725</v>
          </cell>
        </row>
        <row r="245">
          <cell r="E245" t="str">
            <v>LL</v>
          </cell>
          <cell r="G245">
            <v>37707.861918151393</v>
          </cell>
          <cell r="H245">
            <v>25574.195795452448</v>
          </cell>
          <cell r="M245">
            <v>37707.861918151393</v>
          </cell>
          <cell r="N245">
            <v>25574.195795452448</v>
          </cell>
        </row>
        <row r="246">
          <cell r="E246" t="str">
            <v>PMK</v>
          </cell>
          <cell r="G246">
            <v>4578.6026044463251</v>
          </cell>
          <cell r="H246">
            <v>723.33907639658855</v>
          </cell>
          <cell r="M246">
            <v>4578.6026044463251</v>
          </cell>
          <cell r="N246">
            <v>723.33907639658855</v>
          </cell>
        </row>
        <row r="248">
          <cell r="C248" t="str">
            <v>A0316</v>
          </cell>
          <cell r="D248" t="str">
            <v>PT Astra Komponen Indonesia</v>
          </cell>
          <cell r="E248" t="str">
            <v>PEB 1</v>
          </cell>
          <cell r="M248">
            <v>0</v>
          </cell>
          <cell r="N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</row>
        <row r="249">
          <cell r="E249" t="str">
            <v>PEB 2</v>
          </cell>
          <cell r="M249">
            <v>0</v>
          </cell>
          <cell r="N249">
            <v>0</v>
          </cell>
        </row>
        <row r="250">
          <cell r="E250" t="str">
            <v>PEB 3</v>
          </cell>
          <cell r="M250">
            <v>0</v>
          </cell>
          <cell r="N250">
            <v>0</v>
          </cell>
        </row>
        <row r="251">
          <cell r="E251" t="str">
            <v>PEB 4</v>
          </cell>
          <cell r="M251">
            <v>0</v>
          </cell>
          <cell r="N251">
            <v>0</v>
          </cell>
        </row>
        <row r="252">
          <cell r="E252" t="str">
            <v>PEB 5</v>
          </cell>
          <cell r="M252">
            <v>0</v>
          </cell>
          <cell r="N252">
            <v>0</v>
          </cell>
        </row>
        <row r="253">
          <cell r="E253" t="str">
            <v>PEB 6</v>
          </cell>
          <cell r="M253">
            <v>0</v>
          </cell>
          <cell r="N253">
            <v>0</v>
          </cell>
        </row>
        <row r="254">
          <cell r="E254" t="str">
            <v>PEB 7 / TB</v>
          </cell>
          <cell r="M254">
            <v>0</v>
          </cell>
          <cell r="N254">
            <v>0</v>
          </cell>
        </row>
        <row r="255">
          <cell r="E255" t="str">
            <v>MPP</v>
          </cell>
          <cell r="M255">
            <v>0</v>
          </cell>
          <cell r="N255">
            <v>0</v>
          </cell>
        </row>
        <row r="256">
          <cell r="E256" t="str">
            <v>ID</v>
          </cell>
          <cell r="M256">
            <v>0</v>
          </cell>
          <cell r="N256">
            <v>0</v>
          </cell>
        </row>
        <row r="257">
          <cell r="E257" t="str">
            <v>LL</v>
          </cell>
          <cell r="M257">
            <v>0</v>
          </cell>
          <cell r="N257">
            <v>0</v>
          </cell>
        </row>
        <row r="258">
          <cell r="E258" t="str">
            <v>PMK</v>
          </cell>
          <cell r="M258">
            <v>0</v>
          </cell>
          <cell r="N258">
            <v>0</v>
          </cell>
        </row>
        <row r="260">
          <cell r="C260" t="str">
            <v>A0178</v>
          </cell>
          <cell r="D260" t="str">
            <v>PT Astra Mitra Ventura</v>
          </cell>
          <cell r="E260" t="str">
            <v>PEB 1</v>
          </cell>
          <cell r="M260">
            <v>0</v>
          </cell>
          <cell r="N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E261" t="str">
            <v>PEB 2</v>
          </cell>
          <cell r="M261">
            <v>0</v>
          </cell>
          <cell r="N261">
            <v>0</v>
          </cell>
        </row>
        <row r="262">
          <cell r="E262" t="str">
            <v>PEB 3</v>
          </cell>
          <cell r="M262">
            <v>0</v>
          </cell>
          <cell r="N262">
            <v>0</v>
          </cell>
        </row>
        <row r="263">
          <cell r="E263" t="str">
            <v>PEB 4</v>
          </cell>
          <cell r="M263">
            <v>0</v>
          </cell>
          <cell r="N263">
            <v>0</v>
          </cell>
        </row>
        <row r="264">
          <cell r="E264" t="str">
            <v>PEB 5</v>
          </cell>
          <cell r="M264">
            <v>0</v>
          </cell>
          <cell r="N264">
            <v>0</v>
          </cell>
        </row>
        <row r="265">
          <cell r="E265" t="str">
            <v>PEB 6</v>
          </cell>
          <cell r="M265">
            <v>0</v>
          </cell>
          <cell r="N265">
            <v>0</v>
          </cell>
        </row>
        <row r="266">
          <cell r="E266" t="str">
            <v>PEB 7 / TB</v>
          </cell>
          <cell r="M266">
            <v>0</v>
          </cell>
          <cell r="N266">
            <v>0</v>
          </cell>
        </row>
        <row r="267">
          <cell r="E267" t="str">
            <v>MPP</v>
          </cell>
          <cell r="M267">
            <v>0</v>
          </cell>
          <cell r="N267">
            <v>0</v>
          </cell>
        </row>
        <row r="268">
          <cell r="E268" t="str">
            <v>ID</v>
          </cell>
          <cell r="M268">
            <v>0</v>
          </cell>
          <cell r="N268">
            <v>0</v>
          </cell>
        </row>
        <row r="269">
          <cell r="E269" t="str">
            <v>LL</v>
          </cell>
          <cell r="M269">
            <v>0</v>
          </cell>
          <cell r="N269">
            <v>0</v>
          </cell>
        </row>
        <row r="270">
          <cell r="E270" t="str">
            <v>PMK</v>
          </cell>
          <cell r="M270">
            <v>0</v>
          </cell>
          <cell r="N270">
            <v>0</v>
          </cell>
        </row>
        <row r="272">
          <cell r="C272" t="str">
            <v>A0020</v>
          </cell>
          <cell r="D272" t="str">
            <v>PT Astra Multi Finance</v>
          </cell>
          <cell r="E272" t="str">
            <v>PEB 1</v>
          </cell>
          <cell r="M272">
            <v>0</v>
          </cell>
          <cell r="N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E273" t="str">
            <v>PEB 2</v>
          </cell>
          <cell r="M273">
            <v>0</v>
          </cell>
          <cell r="N273">
            <v>0</v>
          </cell>
        </row>
        <row r="274">
          <cell r="E274" t="str">
            <v>PEB 3</v>
          </cell>
          <cell r="M274">
            <v>0</v>
          </cell>
          <cell r="N274">
            <v>0</v>
          </cell>
        </row>
        <row r="275">
          <cell r="E275" t="str">
            <v>PEB 4</v>
          </cell>
          <cell r="M275">
            <v>0</v>
          </cell>
          <cell r="N275">
            <v>0</v>
          </cell>
        </row>
        <row r="276">
          <cell r="E276" t="str">
            <v>PEB 5</v>
          </cell>
          <cell r="M276">
            <v>0</v>
          </cell>
          <cell r="N276">
            <v>0</v>
          </cell>
        </row>
        <row r="277">
          <cell r="E277" t="str">
            <v>PEB 6</v>
          </cell>
          <cell r="M277">
            <v>0</v>
          </cell>
          <cell r="N277">
            <v>0</v>
          </cell>
        </row>
        <row r="278">
          <cell r="E278" t="str">
            <v>PEB 7 / TB</v>
          </cell>
          <cell r="M278">
            <v>0</v>
          </cell>
          <cell r="N278">
            <v>0</v>
          </cell>
        </row>
        <row r="279">
          <cell r="E279" t="str">
            <v>MPP</v>
          </cell>
          <cell r="M279">
            <v>0</v>
          </cell>
          <cell r="N279">
            <v>0</v>
          </cell>
        </row>
        <row r="280">
          <cell r="E280" t="str">
            <v>ID</v>
          </cell>
          <cell r="M280">
            <v>0</v>
          </cell>
          <cell r="N280">
            <v>0</v>
          </cell>
        </row>
        <row r="281">
          <cell r="E281" t="str">
            <v>LL</v>
          </cell>
          <cell r="M281">
            <v>0</v>
          </cell>
          <cell r="N281">
            <v>0</v>
          </cell>
        </row>
        <row r="282">
          <cell r="E282" t="str">
            <v>PMK</v>
          </cell>
          <cell r="M282">
            <v>0</v>
          </cell>
          <cell r="N282">
            <v>0</v>
          </cell>
        </row>
        <row r="284">
          <cell r="C284" t="str">
            <v>A0306</v>
          </cell>
          <cell r="D284" t="str">
            <v>PT Astra Nippon Gasket Indonesia</v>
          </cell>
          <cell r="E284" t="str">
            <v>PEB 1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E285" t="str">
            <v>PEB 2</v>
          </cell>
          <cell r="M285">
            <v>0</v>
          </cell>
          <cell r="N285">
            <v>0</v>
          </cell>
        </row>
        <row r="286">
          <cell r="E286" t="str">
            <v>PEB 3</v>
          </cell>
          <cell r="M286">
            <v>0</v>
          </cell>
          <cell r="N286">
            <v>0</v>
          </cell>
        </row>
        <row r="287">
          <cell r="E287" t="str">
            <v>PEB 4</v>
          </cell>
          <cell r="M287">
            <v>0</v>
          </cell>
          <cell r="N287">
            <v>0</v>
          </cell>
        </row>
        <row r="288">
          <cell r="E288" t="str">
            <v>PEB 5</v>
          </cell>
          <cell r="M288">
            <v>0</v>
          </cell>
          <cell r="N288">
            <v>0</v>
          </cell>
        </row>
        <row r="289">
          <cell r="E289" t="str">
            <v>PEB 6</v>
          </cell>
          <cell r="M289">
            <v>0</v>
          </cell>
          <cell r="N289">
            <v>0</v>
          </cell>
        </row>
        <row r="290">
          <cell r="E290" t="str">
            <v>PEB 7 / TB</v>
          </cell>
          <cell r="M290">
            <v>0</v>
          </cell>
          <cell r="N290">
            <v>0</v>
          </cell>
        </row>
        <row r="291">
          <cell r="E291" t="str">
            <v>MPP</v>
          </cell>
          <cell r="M291">
            <v>0</v>
          </cell>
          <cell r="N291">
            <v>0</v>
          </cell>
        </row>
        <row r="292">
          <cell r="E292" t="str">
            <v>ID</v>
          </cell>
          <cell r="M292">
            <v>0</v>
          </cell>
          <cell r="N292">
            <v>0</v>
          </cell>
        </row>
        <row r="293">
          <cell r="E293" t="str">
            <v>LL</v>
          </cell>
          <cell r="M293">
            <v>0</v>
          </cell>
          <cell r="N293">
            <v>0</v>
          </cell>
        </row>
        <row r="294">
          <cell r="E294" t="str">
            <v>PMK</v>
          </cell>
          <cell r="M294">
            <v>0</v>
          </cell>
          <cell r="N294">
            <v>0</v>
          </cell>
        </row>
        <row r="296">
          <cell r="C296" t="str">
            <v>A0172</v>
          </cell>
          <cell r="D296" t="str">
            <v>PT Astra Nissan Diesel Indonesia</v>
          </cell>
          <cell r="E296" t="str">
            <v>PEB 1</v>
          </cell>
          <cell r="M296">
            <v>0</v>
          </cell>
          <cell r="N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E297" t="str">
            <v>PEB 2</v>
          </cell>
          <cell r="M297">
            <v>0</v>
          </cell>
          <cell r="N297">
            <v>0</v>
          </cell>
        </row>
        <row r="298">
          <cell r="E298" t="str">
            <v>PEB 3</v>
          </cell>
          <cell r="M298">
            <v>0</v>
          </cell>
          <cell r="N298">
            <v>0</v>
          </cell>
        </row>
        <row r="299">
          <cell r="E299" t="str">
            <v>PEB 4</v>
          </cell>
          <cell r="M299">
            <v>0</v>
          </cell>
          <cell r="N299">
            <v>0</v>
          </cell>
        </row>
        <row r="300">
          <cell r="E300" t="str">
            <v>PEB 5</v>
          </cell>
          <cell r="M300">
            <v>0</v>
          </cell>
          <cell r="N300">
            <v>0</v>
          </cell>
        </row>
        <row r="301">
          <cell r="E301" t="str">
            <v>PEB 6</v>
          </cell>
          <cell r="M301">
            <v>0</v>
          </cell>
          <cell r="N301">
            <v>0</v>
          </cell>
        </row>
        <row r="302">
          <cell r="E302" t="str">
            <v>PEB 7 / TB</v>
          </cell>
          <cell r="M302">
            <v>0</v>
          </cell>
          <cell r="N302">
            <v>0</v>
          </cell>
        </row>
        <row r="303">
          <cell r="E303" t="str">
            <v>MPP</v>
          </cell>
          <cell r="M303">
            <v>0</v>
          </cell>
          <cell r="N303">
            <v>0</v>
          </cell>
        </row>
        <row r="304">
          <cell r="E304" t="str">
            <v>ID</v>
          </cell>
          <cell r="M304">
            <v>0</v>
          </cell>
          <cell r="N304">
            <v>0</v>
          </cell>
        </row>
        <row r="305">
          <cell r="E305" t="str">
            <v>LL</v>
          </cell>
          <cell r="M305">
            <v>0</v>
          </cell>
          <cell r="N305">
            <v>0</v>
          </cell>
        </row>
        <row r="306">
          <cell r="E306" t="str">
            <v>PMK</v>
          </cell>
          <cell r="M306">
            <v>0</v>
          </cell>
          <cell r="N306">
            <v>0</v>
          </cell>
        </row>
        <row r="308">
          <cell r="C308" t="str">
            <v>A0317</v>
          </cell>
          <cell r="D308" t="str">
            <v>PT Astra Otoparts Tbk - HO</v>
          </cell>
          <cell r="E308" t="str">
            <v>PEB 1</v>
          </cell>
          <cell r="G308">
            <v>14237175.275869768</v>
          </cell>
          <cell r="H308">
            <v>511791.88626822794</v>
          </cell>
          <cell r="M308">
            <v>14237175.275869768</v>
          </cell>
          <cell r="N308">
            <v>511791.88626822794</v>
          </cell>
          <cell r="P308">
            <v>472179.15728474496</v>
          </cell>
          <cell r="Q308">
            <v>26789.754418733497</v>
          </cell>
          <cell r="R308">
            <v>99423.109728340161</v>
          </cell>
          <cell r="S308">
            <v>4517.5513982229613</v>
          </cell>
          <cell r="T308">
            <v>1951431.7648554218</v>
          </cell>
          <cell r="U308">
            <v>117235.69864499971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112211.47007569313</v>
          </cell>
          <cell r="AA308">
            <v>6994.1031737049607</v>
          </cell>
          <cell r="AB308">
            <v>556177.65098256967</v>
          </cell>
          <cell r="AC308">
            <v>22758.132658088936</v>
          </cell>
          <cell r="AD308">
            <v>405506.93269255472</v>
          </cell>
          <cell r="AE308">
            <v>22912.965270758978</v>
          </cell>
          <cell r="AF308">
            <v>319927.0344622304</v>
          </cell>
          <cell r="AG308">
            <v>129503.32187295845</v>
          </cell>
          <cell r="AH308">
            <v>432792.54089955345</v>
          </cell>
          <cell r="AI308">
            <v>55144.386670663545</v>
          </cell>
        </row>
        <row r="309">
          <cell r="E309" t="str">
            <v>PEB 2</v>
          </cell>
          <cell r="G309">
            <v>472179.15728474496</v>
          </cell>
          <cell r="H309">
            <v>26789.754418733497</v>
          </cell>
          <cell r="M309">
            <v>472179.15728474496</v>
          </cell>
          <cell r="N309">
            <v>26789.754418733497</v>
          </cell>
        </row>
        <row r="310">
          <cell r="E310" t="str">
            <v>PEB 3</v>
          </cell>
          <cell r="G310">
            <v>99423.109728340161</v>
          </cell>
          <cell r="H310">
            <v>4517.5513982229613</v>
          </cell>
          <cell r="M310">
            <v>99423.109728340161</v>
          </cell>
          <cell r="N310">
            <v>4517.5513982229613</v>
          </cell>
        </row>
        <row r="311">
          <cell r="E311" t="str">
            <v>PEB 4</v>
          </cell>
          <cell r="G311">
            <v>1951431.7648554218</v>
          </cell>
          <cell r="H311">
            <v>117235.69864499971</v>
          </cell>
          <cell r="M311">
            <v>1951431.7648554218</v>
          </cell>
          <cell r="N311">
            <v>117235.69864499971</v>
          </cell>
        </row>
        <row r="312">
          <cell r="E312" t="str">
            <v>PEB 5</v>
          </cell>
          <cell r="M312">
            <v>0</v>
          </cell>
          <cell r="N312">
            <v>0</v>
          </cell>
        </row>
        <row r="313">
          <cell r="E313" t="str">
            <v>PEB 6</v>
          </cell>
          <cell r="M313">
            <v>0</v>
          </cell>
          <cell r="N313">
            <v>0</v>
          </cell>
        </row>
        <row r="314">
          <cell r="E314" t="str">
            <v>PEB 7 / TB</v>
          </cell>
          <cell r="G314">
            <v>112211.47007569313</v>
          </cell>
          <cell r="H314">
            <v>6994.1031737049607</v>
          </cell>
          <cell r="M314">
            <v>112211.47007569313</v>
          </cell>
          <cell r="N314">
            <v>6994.1031737049607</v>
          </cell>
        </row>
        <row r="315">
          <cell r="E315" t="str">
            <v>MPP</v>
          </cell>
          <cell r="G315">
            <v>556177.65098256967</v>
          </cell>
          <cell r="H315">
            <v>22758.132658088936</v>
          </cell>
          <cell r="M315">
            <v>556177.65098256967</v>
          </cell>
          <cell r="N315">
            <v>22758.132658088936</v>
          </cell>
        </row>
        <row r="316">
          <cell r="E316" t="str">
            <v>ID</v>
          </cell>
          <cell r="G316">
            <v>405506.93269255472</v>
          </cell>
          <cell r="H316">
            <v>22912.965270758978</v>
          </cell>
          <cell r="M316">
            <v>405506.93269255472</v>
          </cell>
          <cell r="N316">
            <v>22912.965270758978</v>
          </cell>
        </row>
        <row r="317">
          <cell r="E317" t="str">
            <v>LL</v>
          </cell>
          <cell r="G317">
            <v>319927.0344622304</v>
          </cell>
          <cell r="H317">
            <v>129503.32187295845</v>
          </cell>
          <cell r="M317">
            <v>319927.0344622304</v>
          </cell>
          <cell r="N317">
            <v>129503.32187295845</v>
          </cell>
        </row>
        <row r="318">
          <cell r="E318" t="str">
            <v>PMK</v>
          </cell>
          <cell r="G318">
            <v>432792.54089955345</v>
          </cell>
          <cell r="H318">
            <v>55144.386670663545</v>
          </cell>
          <cell r="M318">
            <v>432792.54089955345</v>
          </cell>
          <cell r="N318">
            <v>55144.386670663545</v>
          </cell>
        </row>
        <row r="320">
          <cell r="C320" t="str">
            <v>Nm</v>
          </cell>
          <cell r="D320" t="str">
            <v>PT Astra Otoparts Tbk - Div. Nusametal</v>
          </cell>
          <cell r="E320" t="str">
            <v>PEB 1</v>
          </cell>
          <cell r="M320">
            <v>0</v>
          </cell>
          <cell r="N320">
            <v>0</v>
          </cell>
          <cell r="P320">
            <v>4607.9445607851794</v>
          </cell>
          <cell r="Q320">
            <v>1475.3624710453819</v>
          </cell>
          <cell r="R320">
            <v>0</v>
          </cell>
          <cell r="S320">
            <v>0</v>
          </cell>
          <cell r="T320">
            <v>7484.2704258938029</v>
          </cell>
          <cell r="U320">
            <v>1151.0020097085101</v>
          </cell>
          <cell r="V320">
            <v>6381.4189702350923</v>
          </cell>
          <cell r="W320">
            <v>6381.4189702350923</v>
          </cell>
          <cell r="X320">
            <v>0</v>
          </cell>
          <cell r="Y320">
            <v>0</v>
          </cell>
          <cell r="Z320">
            <v>2604.7894118443064</v>
          </cell>
          <cell r="AA320">
            <v>569.30411755615614</v>
          </cell>
          <cell r="AB320">
            <v>4604.71900663203</v>
          </cell>
          <cell r="AC320">
            <v>1016.374700854089</v>
          </cell>
          <cell r="AD320">
            <v>10618.956040592355</v>
          </cell>
          <cell r="AE320">
            <v>2136.0951279657279</v>
          </cell>
          <cell r="AF320">
            <v>9283.393462535123</v>
          </cell>
          <cell r="AG320">
            <v>6795.7348862211429</v>
          </cell>
          <cell r="AH320">
            <v>4210.4233971917947</v>
          </cell>
          <cell r="AI320">
            <v>949.47045023062481</v>
          </cell>
        </row>
        <row r="321">
          <cell r="E321" t="str">
            <v>PEB 2</v>
          </cell>
          <cell r="G321">
            <v>4607.9445607851794</v>
          </cell>
          <cell r="H321">
            <v>1475.3624710453819</v>
          </cell>
          <cell r="M321">
            <v>4607.9445607851794</v>
          </cell>
          <cell r="N321">
            <v>1475.3624710453819</v>
          </cell>
        </row>
        <row r="322">
          <cell r="E322" t="str">
            <v>PEB 3</v>
          </cell>
          <cell r="M322">
            <v>0</v>
          </cell>
          <cell r="N322">
            <v>0</v>
          </cell>
        </row>
        <row r="323">
          <cell r="E323" t="str">
            <v>PEB 4</v>
          </cell>
          <cell r="G323">
            <v>7484.2704258938029</v>
          </cell>
          <cell r="H323">
            <v>1151.0020097085101</v>
          </cell>
          <cell r="M323">
            <v>7484.2704258938029</v>
          </cell>
          <cell r="N323">
            <v>1151.0020097085101</v>
          </cell>
        </row>
        <row r="324">
          <cell r="E324" t="str">
            <v>PEB 5</v>
          </cell>
          <cell r="G324">
            <v>6381.4189702350923</v>
          </cell>
          <cell r="H324">
            <v>6381.4189702350923</v>
          </cell>
          <cell r="M324">
            <v>6381.4189702350923</v>
          </cell>
          <cell r="N324">
            <v>6381.4189702350923</v>
          </cell>
        </row>
        <row r="325">
          <cell r="E325" t="str">
            <v>PEB 6</v>
          </cell>
          <cell r="M325">
            <v>0</v>
          </cell>
          <cell r="N325">
            <v>0</v>
          </cell>
        </row>
        <row r="326">
          <cell r="E326" t="str">
            <v>PEB 7 / TB</v>
          </cell>
          <cell r="G326">
            <v>2604.7894118443064</v>
          </cell>
          <cell r="H326">
            <v>569.30411755615614</v>
          </cell>
          <cell r="M326">
            <v>2604.7894118443064</v>
          </cell>
          <cell r="N326">
            <v>569.30411755615614</v>
          </cell>
        </row>
        <row r="327">
          <cell r="E327" t="str">
            <v>MPP</v>
          </cell>
          <cell r="G327">
            <v>4604.71900663203</v>
          </cell>
          <cell r="H327">
            <v>1016.374700854089</v>
          </cell>
          <cell r="M327">
            <v>4604.71900663203</v>
          </cell>
          <cell r="N327">
            <v>1016.374700854089</v>
          </cell>
        </row>
        <row r="328">
          <cell r="E328" t="str">
            <v>ID</v>
          </cell>
          <cell r="G328">
            <v>10618.956040592355</v>
          </cell>
          <cell r="H328">
            <v>2136.0951279657279</v>
          </cell>
          <cell r="M328">
            <v>10618.956040592355</v>
          </cell>
          <cell r="N328">
            <v>2136.0951279657279</v>
          </cell>
        </row>
        <row r="329">
          <cell r="E329" t="str">
            <v>LL</v>
          </cell>
          <cell r="G329">
            <v>9283.393462535123</v>
          </cell>
          <cell r="H329">
            <v>6795.7348862211429</v>
          </cell>
          <cell r="M329">
            <v>9283.393462535123</v>
          </cell>
          <cell r="N329">
            <v>6795.7348862211429</v>
          </cell>
        </row>
        <row r="330">
          <cell r="E330" t="str">
            <v>PMK</v>
          </cell>
          <cell r="G330">
            <v>4210.4233971917947</v>
          </cell>
          <cell r="H330">
            <v>949.47045023062481</v>
          </cell>
          <cell r="M330">
            <v>4210.4233971917947</v>
          </cell>
          <cell r="N330">
            <v>949.47045023062481</v>
          </cell>
        </row>
        <row r="332">
          <cell r="C332" t="str">
            <v>Ap</v>
          </cell>
          <cell r="D332" t="str">
            <v>PT Astra Otoparts Tbk - Div. Adiwira</v>
          </cell>
          <cell r="E332" t="str">
            <v>PEB 1</v>
          </cell>
          <cell r="M332">
            <v>0</v>
          </cell>
          <cell r="N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103854.85974303356</v>
          </cell>
          <cell r="U332">
            <v>59846.849503761165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2673.3478391968924</v>
          </cell>
          <cell r="AA332">
            <v>348.60417646078724</v>
          </cell>
          <cell r="AB332">
            <v>17083.217368465619</v>
          </cell>
          <cell r="AC332">
            <v>9860.7849122915723</v>
          </cell>
          <cell r="AD332">
            <v>7534.9484840713676</v>
          </cell>
          <cell r="AE332">
            <v>1876.6114618208405</v>
          </cell>
          <cell r="AF332">
            <v>22556.265549719588</v>
          </cell>
          <cell r="AG332">
            <v>12296.284598205548</v>
          </cell>
          <cell r="AH332">
            <v>5471.9559522006239</v>
          </cell>
          <cell r="AI332">
            <v>713.54227473804997</v>
          </cell>
        </row>
        <row r="333">
          <cell r="E333" t="str">
            <v>PEB 2</v>
          </cell>
          <cell r="M333">
            <v>0</v>
          </cell>
          <cell r="N333">
            <v>0</v>
          </cell>
        </row>
        <row r="334">
          <cell r="E334" t="str">
            <v>PEB 3</v>
          </cell>
          <cell r="M334">
            <v>0</v>
          </cell>
          <cell r="N334">
            <v>0</v>
          </cell>
        </row>
        <row r="335">
          <cell r="E335" t="str">
            <v>PEB 4</v>
          </cell>
          <cell r="G335">
            <v>103854.85974303356</v>
          </cell>
          <cell r="H335">
            <v>59846.849503761165</v>
          </cell>
          <cell r="M335">
            <v>103854.85974303356</v>
          </cell>
          <cell r="N335">
            <v>59846.849503761165</v>
          </cell>
        </row>
        <row r="336">
          <cell r="E336" t="str">
            <v>PEB 5</v>
          </cell>
          <cell r="M336">
            <v>0</v>
          </cell>
          <cell r="N336">
            <v>0</v>
          </cell>
        </row>
        <row r="337">
          <cell r="E337" t="str">
            <v>PEB 6</v>
          </cell>
          <cell r="M337">
            <v>0</v>
          </cell>
          <cell r="N337">
            <v>0</v>
          </cell>
        </row>
        <row r="338">
          <cell r="E338" t="str">
            <v>PEB 7 / TB</v>
          </cell>
          <cell r="G338">
            <v>2673.3478391968924</v>
          </cell>
          <cell r="H338">
            <v>348.60417646078724</v>
          </cell>
          <cell r="M338">
            <v>2673.3478391968924</v>
          </cell>
          <cell r="N338">
            <v>348.60417646078724</v>
          </cell>
        </row>
        <row r="339">
          <cell r="E339" t="str">
            <v>MPP</v>
          </cell>
          <cell r="G339">
            <v>17083.217368465619</v>
          </cell>
          <cell r="H339">
            <v>9860.7849122915723</v>
          </cell>
          <cell r="M339">
            <v>17083.217368465619</v>
          </cell>
          <cell r="N339">
            <v>9860.7849122915723</v>
          </cell>
        </row>
        <row r="340">
          <cell r="E340" t="str">
            <v>ID</v>
          </cell>
          <cell r="G340">
            <v>7534.9484840713676</v>
          </cell>
          <cell r="H340">
            <v>1876.6114618208405</v>
          </cell>
          <cell r="M340">
            <v>7534.9484840713676</v>
          </cell>
          <cell r="N340">
            <v>1876.6114618208405</v>
          </cell>
        </row>
        <row r="341">
          <cell r="E341" t="str">
            <v>LL</v>
          </cell>
          <cell r="G341">
            <v>22556.265549719588</v>
          </cell>
          <cell r="H341">
            <v>12296.284598205548</v>
          </cell>
          <cell r="M341">
            <v>22556.265549719588</v>
          </cell>
          <cell r="N341">
            <v>12296.284598205548</v>
          </cell>
        </row>
        <row r="342">
          <cell r="E342" t="str">
            <v>PMK</v>
          </cell>
          <cell r="G342">
            <v>5471.9559522006239</v>
          </cell>
          <cell r="H342">
            <v>713.54227473804997</v>
          </cell>
          <cell r="M342">
            <v>5471.9559522006239</v>
          </cell>
          <cell r="N342">
            <v>713.54227473804997</v>
          </cell>
        </row>
        <row r="344">
          <cell r="C344" t="str">
            <v>We</v>
          </cell>
          <cell r="D344" t="str">
            <v>PT Astra Otoparts Tbk - Div. Winteq</v>
          </cell>
          <cell r="E344" t="str">
            <v>PEB 1</v>
          </cell>
          <cell r="M344">
            <v>0</v>
          </cell>
          <cell r="N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E345" t="str">
            <v>PEB 2</v>
          </cell>
          <cell r="M345">
            <v>0</v>
          </cell>
          <cell r="N345">
            <v>0</v>
          </cell>
        </row>
        <row r="346">
          <cell r="E346" t="str">
            <v>PEB 3</v>
          </cell>
          <cell r="M346">
            <v>0</v>
          </cell>
          <cell r="N346">
            <v>0</v>
          </cell>
        </row>
        <row r="347">
          <cell r="E347" t="str">
            <v>PEB 4</v>
          </cell>
          <cell r="M347">
            <v>0</v>
          </cell>
          <cell r="N347">
            <v>0</v>
          </cell>
        </row>
        <row r="348">
          <cell r="E348" t="str">
            <v>PEB 5</v>
          </cell>
          <cell r="M348">
            <v>0</v>
          </cell>
          <cell r="N348">
            <v>0</v>
          </cell>
        </row>
        <row r="349">
          <cell r="E349" t="str">
            <v>PEB 6</v>
          </cell>
          <cell r="M349">
            <v>0</v>
          </cell>
          <cell r="N349">
            <v>0</v>
          </cell>
        </row>
        <row r="350">
          <cell r="E350" t="str">
            <v>PEB 7 / TB</v>
          </cell>
          <cell r="M350">
            <v>0</v>
          </cell>
          <cell r="N350">
            <v>0</v>
          </cell>
        </row>
        <row r="351">
          <cell r="E351" t="str">
            <v>MPP</v>
          </cell>
          <cell r="M351">
            <v>0</v>
          </cell>
          <cell r="N351">
            <v>0</v>
          </cell>
        </row>
        <row r="352">
          <cell r="E352" t="str">
            <v>ID</v>
          </cell>
          <cell r="M352">
            <v>0</v>
          </cell>
          <cell r="N352">
            <v>0</v>
          </cell>
        </row>
        <row r="353">
          <cell r="E353" t="str">
            <v>LL</v>
          </cell>
          <cell r="M353">
            <v>0</v>
          </cell>
          <cell r="N353">
            <v>0</v>
          </cell>
        </row>
        <row r="354">
          <cell r="E354" t="str">
            <v>PMK</v>
          </cell>
          <cell r="M354">
            <v>0</v>
          </cell>
          <cell r="N354">
            <v>0</v>
          </cell>
        </row>
        <row r="356">
          <cell r="C356" t="str">
            <v>A0024</v>
          </cell>
          <cell r="D356" t="str">
            <v>PT Astra Sedaya Finance</v>
          </cell>
          <cell r="E356" t="str">
            <v>PEB 1</v>
          </cell>
          <cell r="G356">
            <v>1899912.5619703138</v>
          </cell>
          <cell r="H356">
            <v>94607.097922243644</v>
          </cell>
          <cell r="M356">
            <v>1899912.5619703138</v>
          </cell>
          <cell r="N356">
            <v>94607.097922243644</v>
          </cell>
          <cell r="P356">
            <v>6095.7513900331105</v>
          </cell>
          <cell r="Q356">
            <v>518.07037927745228</v>
          </cell>
          <cell r="R356">
            <v>0</v>
          </cell>
          <cell r="S356">
            <v>0</v>
          </cell>
          <cell r="T356">
            <v>87034.29465213987</v>
          </cell>
          <cell r="U356">
            <v>17418.781436544705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32052.827829810667</v>
          </cell>
          <cell r="AA356">
            <v>2360.334881814013</v>
          </cell>
          <cell r="AB356">
            <v>0</v>
          </cell>
          <cell r="AC356">
            <v>0</v>
          </cell>
          <cell r="AD356">
            <v>125862.67816821052</v>
          </cell>
          <cell r="AE356">
            <v>8500.7986267493689</v>
          </cell>
          <cell r="AF356">
            <v>46223.279998842583</v>
          </cell>
          <cell r="AG356">
            <v>39259.630975052016</v>
          </cell>
          <cell r="AH356">
            <v>12989.178649613483</v>
          </cell>
          <cell r="AI356">
            <v>1132.0730421153914</v>
          </cell>
        </row>
        <row r="357">
          <cell r="E357" t="str">
            <v>PEB 2</v>
          </cell>
          <cell r="G357">
            <v>6095.7513900331105</v>
          </cell>
          <cell r="H357">
            <v>518.07037927745228</v>
          </cell>
          <cell r="M357">
            <v>6095.7513900331105</v>
          </cell>
          <cell r="N357">
            <v>518.07037927745228</v>
          </cell>
        </row>
        <row r="358">
          <cell r="E358" t="str">
            <v>PEB 3</v>
          </cell>
          <cell r="G358">
            <v>0</v>
          </cell>
          <cell r="H358">
            <v>0</v>
          </cell>
          <cell r="M358">
            <v>0</v>
          </cell>
          <cell r="N358">
            <v>0</v>
          </cell>
        </row>
        <row r="359">
          <cell r="E359" t="str">
            <v>PEB 4</v>
          </cell>
          <cell r="G359">
            <v>87034.29465213987</v>
          </cell>
          <cell r="H359">
            <v>17418.781436544705</v>
          </cell>
          <cell r="M359">
            <v>87034.29465213987</v>
          </cell>
          <cell r="N359">
            <v>17418.781436544705</v>
          </cell>
        </row>
        <row r="360">
          <cell r="E360" t="str">
            <v>PEB 5</v>
          </cell>
          <cell r="M360">
            <v>0</v>
          </cell>
          <cell r="N360">
            <v>0</v>
          </cell>
        </row>
        <row r="361">
          <cell r="E361" t="str">
            <v>PEB 6</v>
          </cell>
          <cell r="M361">
            <v>0</v>
          </cell>
          <cell r="N361">
            <v>0</v>
          </cell>
        </row>
        <row r="362">
          <cell r="E362" t="str">
            <v>PEB 7 / TB</v>
          </cell>
          <cell r="G362">
            <v>32052.827829810667</v>
          </cell>
          <cell r="H362">
            <v>2360.334881814013</v>
          </cell>
          <cell r="M362">
            <v>32052.827829810667</v>
          </cell>
          <cell r="N362">
            <v>2360.334881814013</v>
          </cell>
        </row>
        <row r="363">
          <cell r="E363" t="str">
            <v>MPP</v>
          </cell>
          <cell r="M363">
            <v>0</v>
          </cell>
          <cell r="N363">
            <v>0</v>
          </cell>
        </row>
        <row r="364">
          <cell r="E364" t="str">
            <v>ID</v>
          </cell>
          <cell r="G364">
            <v>125862.67816821052</v>
          </cell>
          <cell r="H364">
            <v>8500.7986267493689</v>
          </cell>
          <cell r="M364">
            <v>125862.67816821052</v>
          </cell>
          <cell r="N364">
            <v>8500.7986267493689</v>
          </cell>
        </row>
        <row r="365">
          <cell r="E365" t="str">
            <v>LL</v>
          </cell>
          <cell r="G365">
            <v>46223.279998842583</v>
          </cell>
          <cell r="H365">
            <v>39259.630975052016</v>
          </cell>
          <cell r="M365">
            <v>46223.279998842583</v>
          </cell>
          <cell r="N365">
            <v>39259.630975052016</v>
          </cell>
        </row>
        <row r="366">
          <cell r="E366" t="str">
            <v>PMK</v>
          </cell>
          <cell r="G366">
            <v>12989.178649613483</v>
          </cell>
          <cell r="H366">
            <v>1132.0730421153914</v>
          </cell>
          <cell r="M366">
            <v>12989.178649613483</v>
          </cell>
          <cell r="N366">
            <v>1132.0730421153914</v>
          </cell>
        </row>
        <row r="368">
          <cell r="C368" t="str">
            <v>A0224</v>
          </cell>
          <cell r="D368" t="str">
            <v>PT Astratel Nusantara</v>
          </cell>
          <cell r="E368" t="str">
            <v>PEB 1</v>
          </cell>
          <cell r="M368">
            <v>0</v>
          </cell>
          <cell r="N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E369" t="str">
            <v>PEB 2</v>
          </cell>
          <cell r="M369">
            <v>0</v>
          </cell>
          <cell r="N369">
            <v>0</v>
          </cell>
        </row>
        <row r="370">
          <cell r="E370" t="str">
            <v>PEB 3</v>
          </cell>
          <cell r="M370">
            <v>0</v>
          </cell>
          <cell r="N370">
            <v>0</v>
          </cell>
        </row>
        <row r="371">
          <cell r="E371" t="str">
            <v>PEB 4</v>
          </cell>
          <cell r="M371">
            <v>0</v>
          </cell>
          <cell r="N371">
            <v>0</v>
          </cell>
        </row>
        <row r="372">
          <cell r="E372" t="str">
            <v>PEB 5</v>
          </cell>
          <cell r="M372">
            <v>0</v>
          </cell>
          <cell r="N372">
            <v>0</v>
          </cell>
        </row>
        <row r="373">
          <cell r="E373" t="str">
            <v>PEB 6</v>
          </cell>
          <cell r="M373">
            <v>0</v>
          </cell>
          <cell r="N373">
            <v>0</v>
          </cell>
        </row>
        <row r="374">
          <cell r="E374" t="str">
            <v>PEB 7 / TB</v>
          </cell>
          <cell r="M374">
            <v>0</v>
          </cell>
          <cell r="N374">
            <v>0</v>
          </cell>
        </row>
        <row r="375">
          <cell r="E375" t="str">
            <v>MPP</v>
          </cell>
          <cell r="M375">
            <v>0</v>
          </cell>
          <cell r="N375">
            <v>0</v>
          </cell>
        </row>
        <row r="376">
          <cell r="E376" t="str">
            <v>ID</v>
          </cell>
          <cell r="M376">
            <v>0</v>
          </cell>
          <cell r="N376">
            <v>0</v>
          </cell>
        </row>
        <row r="377">
          <cell r="E377" t="str">
            <v>LL</v>
          </cell>
          <cell r="M377">
            <v>0</v>
          </cell>
          <cell r="N377">
            <v>0</v>
          </cell>
        </row>
        <row r="378">
          <cell r="E378" t="str">
            <v>PMK</v>
          </cell>
          <cell r="M378">
            <v>0</v>
          </cell>
          <cell r="N378">
            <v>0</v>
          </cell>
        </row>
        <row r="380">
          <cell r="C380" t="str">
            <v>A0026</v>
          </cell>
          <cell r="D380" t="str">
            <v>PT Asuransi Astra Buana</v>
          </cell>
          <cell r="E380" t="str">
            <v>PEB 1</v>
          </cell>
          <cell r="M380">
            <v>0</v>
          </cell>
          <cell r="N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81787.306306186467</v>
          </cell>
          <cell r="U380">
            <v>16368.665001827181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6059.2318972341</v>
          </cell>
          <cell r="AA380">
            <v>1212.6764112135645</v>
          </cell>
          <cell r="AB380">
            <v>0</v>
          </cell>
          <cell r="AC380">
            <v>0</v>
          </cell>
          <cell r="AD380">
            <v>24734.900383890294</v>
          </cell>
          <cell r="AE380">
            <v>4950.3684192963992</v>
          </cell>
          <cell r="AF380">
            <v>78949.135679147526</v>
          </cell>
          <cell r="AG380">
            <v>15800.642085922538</v>
          </cell>
          <cell r="AH380">
            <v>2906.26406556438</v>
          </cell>
          <cell r="AI380">
            <v>581.65093147802168</v>
          </cell>
        </row>
        <row r="381">
          <cell r="E381" t="str">
            <v>PEB 2</v>
          </cell>
          <cell r="M381">
            <v>0</v>
          </cell>
          <cell r="N381">
            <v>0</v>
          </cell>
        </row>
        <row r="382">
          <cell r="E382" t="str">
            <v>PEB 3</v>
          </cell>
          <cell r="M382">
            <v>0</v>
          </cell>
          <cell r="N382">
            <v>0</v>
          </cell>
        </row>
        <row r="383">
          <cell r="E383" t="str">
            <v>PEB 4</v>
          </cell>
          <cell r="G383">
            <v>81787.306306186467</v>
          </cell>
          <cell r="H383">
            <v>16368.665001827181</v>
          </cell>
          <cell r="M383">
            <v>81787.306306186467</v>
          </cell>
          <cell r="N383">
            <v>16368.665001827181</v>
          </cell>
        </row>
        <row r="384">
          <cell r="E384" t="str">
            <v>PEB 5</v>
          </cell>
          <cell r="M384">
            <v>0</v>
          </cell>
          <cell r="N384">
            <v>0</v>
          </cell>
        </row>
        <row r="385">
          <cell r="E385" t="str">
            <v>PEB 6</v>
          </cell>
          <cell r="M385">
            <v>0</v>
          </cell>
          <cell r="N385">
            <v>0</v>
          </cell>
        </row>
        <row r="386">
          <cell r="E386" t="str">
            <v>PEB 7 / TB</v>
          </cell>
          <cell r="G386">
            <v>6059.2318972341</v>
          </cell>
          <cell r="H386">
            <v>1212.6764112135645</v>
          </cell>
          <cell r="M386">
            <v>6059.2318972341</v>
          </cell>
          <cell r="N386">
            <v>1212.6764112135645</v>
          </cell>
        </row>
        <row r="387">
          <cell r="E387" t="str">
            <v>MPP</v>
          </cell>
          <cell r="M387">
            <v>0</v>
          </cell>
          <cell r="N387">
            <v>0</v>
          </cell>
        </row>
        <row r="388">
          <cell r="E388" t="str">
            <v>ID</v>
          </cell>
          <cell r="G388">
            <v>24734.900383890294</v>
          </cell>
          <cell r="H388">
            <v>4950.3684192963992</v>
          </cell>
          <cell r="M388">
            <v>24734.900383890294</v>
          </cell>
          <cell r="N388">
            <v>4950.3684192963992</v>
          </cell>
        </row>
        <row r="389">
          <cell r="E389" t="str">
            <v>LL</v>
          </cell>
          <cell r="G389">
            <v>78949.135679147526</v>
          </cell>
          <cell r="H389">
            <v>15800.642085922538</v>
          </cell>
          <cell r="M389">
            <v>78949.135679147526</v>
          </cell>
          <cell r="N389">
            <v>15800.642085922538</v>
          </cell>
        </row>
        <row r="390">
          <cell r="E390" t="str">
            <v>PMK</v>
          </cell>
          <cell r="G390">
            <v>2906.26406556438</v>
          </cell>
          <cell r="H390">
            <v>581.65093147802168</v>
          </cell>
          <cell r="M390">
            <v>2906.26406556438</v>
          </cell>
          <cell r="N390">
            <v>581.65093147802168</v>
          </cell>
        </row>
        <row r="392">
          <cell r="C392" t="str">
            <v>A0038</v>
          </cell>
          <cell r="D392" t="str">
            <v>PT AT Indonesia</v>
          </cell>
          <cell r="E392" t="str">
            <v>PEB 1</v>
          </cell>
          <cell r="M392">
            <v>0</v>
          </cell>
          <cell r="N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E393" t="str">
            <v>PEB 2</v>
          </cell>
          <cell r="M393">
            <v>0</v>
          </cell>
          <cell r="N393">
            <v>0</v>
          </cell>
        </row>
        <row r="394">
          <cell r="E394" t="str">
            <v>PEB 3</v>
          </cell>
          <cell r="M394">
            <v>0</v>
          </cell>
          <cell r="N394">
            <v>0</v>
          </cell>
        </row>
        <row r="395">
          <cell r="E395" t="str">
            <v>PEB 4</v>
          </cell>
          <cell r="M395">
            <v>0</v>
          </cell>
          <cell r="N395">
            <v>0</v>
          </cell>
        </row>
        <row r="396">
          <cell r="E396" t="str">
            <v>PEB 5</v>
          </cell>
          <cell r="M396">
            <v>0</v>
          </cell>
          <cell r="N396">
            <v>0</v>
          </cell>
        </row>
        <row r="397">
          <cell r="E397" t="str">
            <v>PEB 6</v>
          </cell>
          <cell r="M397">
            <v>0</v>
          </cell>
          <cell r="N397">
            <v>0</v>
          </cell>
        </row>
        <row r="398">
          <cell r="E398" t="str">
            <v>PEB 7 / TB</v>
          </cell>
          <cell r="M398">
            <v>0</v>
          </cell>
          <cell r="N398">
            <v>0</v>
          </cell>
        </row>
        <row r="399">
          <cell r="E399" t="str">
            <v>MPP</v>
          </cell>
          <cell r="M399">
            <v>0</v>
          </cell>
          <cell r="N399">
            <v>0</v>
          </cell>
        </row>
        <row r="400">
          <cell r="E400" t="str">
            <v>ID</v>
          </cell>
          <cell r="M400">
            <v>0</v>
          </cell>
          <cell r="N400">
            <v>0</v>
          </cell>
        </row>
        <row r="401">
          <cell r="E401" t="str">
            <v>LL</v>
          </cell>
          <cell r="M401">
            <v>0</v>
          </cell>
          <cell r="N401">
            <v>0</v>
          </cell>
        </row>
        <row r="402">
          <cell r="E402" t="str">
            <v>PMK</v>
          </cell>
          <cell r="M402">
            <v>0</v>
          </cell>
          <cell r="N402">
            <v>0</v>
          </cell>
        </row>
        <row r="404">
          <cell r="C404" t="str">
            <v>A0331</v>
          </cell>
          <cell r="D404" t="str">
            <v>PT Bhadra Cemerlang</v>
          </cell>
          <cell r="E404" t="str">
            <v>PEB 1</v>
          </cell>
          <cell r="M404">
            <v>0</v>
          </cell>
          <cell r="N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E405" t="str">
            <v>PEB 2</v>
          </cell>
          <cell r="M405">
            <v>0</v>
          </cell>
          <cell r="N405">
            <v>0</v>
          </cell>
        </row>
        <row r="406">
          <cell r="E406" t="str">
            <v>PEB 3</v>
          </cell>
          <cell r="M406">
            <v>0</v>
          </cell>
          <cell r="N406">
            <v>0</v>
          </cell>
        </row>
        <row r="407">
          <cell r="E407" t="str">
            <v>PEB 4</v>
          </cell>
          <cell r="M407">
            <v>0</v>
          </cell>
          <cell r="N407">
            <v>0</v>
          </cell>
        </row>
        <row r="408">
          <cell r="E408" t="str">
            <v>PEB 5</v>
          </cell>
          <cell r="M408">
            <v>0</v>
          </cell>
          <cell r="N408">
            <v>0</v>
          </cell>
        </row>
        <row r="409">
          <cell r="E409" t="str">
            <v>PEB 6</v>
          </cell>
          <cell r="M409">
            <v>0</v>
          </cell>
          <cell r="N409">
            <v>0</v>
          </cell>
        </row>
        <row r="410">
          <cell r="E410" t="str">
            <v>PEB 7 / TB</v>
          </cell>
          <cell r="M410">
            <v>0</v>
          </cell>
          <cell r="N410">
            <v>0</v>
          </cell>
        </row>
        <row r="411">
          <cell r="E411" t="str">
            <v>MPP</v>
          </cell>
          <cell r="M411">
            <v>0</v>
          </cell>
          <cell r="N411">
            <v>0</v>
          </cell>
        </row>
        <row r="412">
          <cell r="E412" t="str">
            <v>ID</v>
          </cell>
          <cell r="M412">
            <v>0</v>
          </cell>
          <cell r="N412">
            <v>0</v>
          </cell>
        </row>
        <row r="413">
          <cell r="E413" t="str">
            <v>LL</v>
          </cell>
          <cell r="M413">
            <v>0</v>
          </cell>
          <cell r="N413">
            <v>0</v>
          </cell>
        </row>
        <row r="414">
          <cell r="E414" t="str">
            <v>PMK</v>
          </cell>
          <cell r="M414">
            <v>0</v>
          </cell>
          <cell r="N414">
            <v>0</v>
          </cell>
        </row>
        <row r="416">
          <cell r="C416" t="str">
            <v>A0398</v>
          </cell>
          <cell r="D416" t="str">
            <v>PT Bhadra Sukses</v>
          </cell>
          <cell r="E416" t="str">
            <v>PEB 1</v>
          </cell>
          <cell r="M416">
            <v>0</v>
          </cell>
          <cell r="N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E417" t="str">
            <v>PEB 2</v>
          </cell>
          <cell r="M417">
            <v>0</v>
          </cell>
          <cell r="N417">
            <v>0</v>
          </cell>
        </row>
        <row r="418">
          <cell r="E418" t="str">
            <v>PEB 3</v>
          </cell>
          <cell r="M418">
            <v>0</v>
          </cell>
          <cell r="N418">
            <v>0</v>
          </cell>
        </row>
        <row r="419">
          <cell r="E419" t="str">
            <v>PEB 4</v>
          </cell>
          <cell r="M419">
            <v>0</v>
          </cell>
          <cell r="N419">
            <v>0</v>
          </cell>
        </row>
        <row r="420">
          <cell r="E420" t="str">
            <v>PEB 5</v>
          </cell>
          <cell r="M420">
            <v>0</v>
          </cell>
          <cell r="N420">
            <v>0</v>
          </cell>
        </row>
        <row r="421">
          <cell r="E421" t="str">
            <v>PEB 6</v>
          </cell>
          <cell r="M421">
            <v>0</v>
          </cell>
          <cell r="N421">
            <v>0</v>
          </cell>
        </row>
        <row r="422">
          <cell r="E422" t="str">
            <v>PEB 7 / TB</v>
          </cell>
          <cell r="M422">
            <v>0</v>
          </cell>
          <cell r="N422">
            <v>0</v>
          </cell>
        </row>
        <row r="423">
          <cell r="E423" t="str">
            <v>MPP</v>
          </cell>
          <cell r="M423">
            <v>0</v>
          </cell>
          <cell r="N423">
            <v>0</v>
          </cell>
        </row>
        <row r="424">
          <cell r="E424" t="str">
            <v>ID</v>
          </cell>
          <cell r="M424">
            <v>0</v>
          </cell>
          <cell r="N424">
            <v>0</v>
          </cell>
        </row>
        <row r="425">
          <cell r="E425" t="str">
            <v>LL</v>
          </cell>
          <cell r="M425">
            <v>0</v>
          </cell>
          <cell r="N425">
            <v>0</v>
          </cell>
        </row>
        <row r="426">
          <cell r="E426" t="str">
            <v>PMK</v>
          </cell>
          <cell r="M426">
            <v>0</v>
          </cell>
          <cell r="N426">
            <v>0</v>
          </cell>
        </row>
        <row r="428">
          <cell r="C428" t="str">
            <v>A0210</v>
          </cell>
          <cell r="D428" t="str">
            <v>PT Bina Pertiwi</v>
          </cell>
          <cell r="E428" t="str">
            <v>PEB 1</v>
          </cell>
          <cell r="G428">
            <v>930473</v>
          </cell>
          <cell r="H428">
            <v>36580</v>
          </cell>
          <cell r="M428">
            <v>930473</v>
          </cell>
          <cell r="N428">
            <v>36580</v>
          </cell>
          <cell r="P428">
            <v>598128</v>
          </cell>
          <cell r="Q428">
            <v>33009</v>
          </cell>
          <cell r="R428">
            <v>105238</v>
          </cell>
          <cell r="S428">
            <v>4505</v>
          </cell>
          <cell r="T428">
            <v>202991</v>
          </cell>
          <cell r="U428">
            <v>16570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33644</v>
          </cell>
          <cell r="AA428">
            <v>2857</v>
          </cell>
          <cell r="AB428">
            <v>273793</v>
          </cell>
          <cell r="AC428">
            <v>15501</v>
          </cell>
          <cell r="AD428">
            <v>99472</v>
          </cell>
          <cell r="AE428">
            <v>6917</v>
          </cell>
          <cell r="AF428">
            <v>86814</v>
          </cell>
          <cell r="AG428">
            <v>35596</v>
          </cell>
          <cell r="AH428">
            <v>121273</v>
          </cell>
          <cell r="AI428">
            <v>18933</v>
          </cell>
        </row>
        <row r="429">
          <cell r="E429" t="str">
            <v>PEB 2</v>
          </cell>
          <cell r="G429">
            <v>598128</v>
          </cell>
          <cell r="H429">
            <v>33009</v>
          </cell>
          <cell r="M429">
            <v>598128</v>
          </cell>
          <cell r="N429">
            <v>33009</v>
          </cell>
        </row>
        <row r="430">
          <cell r="E430" t="str">
            <v>PEB 3</v>
          </cell>
          <cell r="G430">
            <v>105238</v>
          </cell>
          <cell r="H430">
            <v>4505</v>
          </cell>
          <cell r="M430">
            <v>105238</v>
          </cell>
          <cell r="N430">
            <v>4505</v>
          </cell>
        </row>
        <row r="431">
          <cell r="E431" t="str">
            <v>PEB 4</v>
          </cell>
          <cell r="G431">
            <v>202991</v>
          </cell>
          <cell r="H431">
            <v>16570</v>
          </cell>
          <cell r="M431">
            <v>202991</v>
          </cell>
          <cell r="N431">
            <v>16570</v>
          </cell>
        </row>
        <row r="432">
          <cell r="E432" t="str">
            <v>PEB 5</v>
          </cell>
          <cell r="G432">
            <v>0</v>
          </cell>
          <cell r="H432">
            <v>0</v>
          </cell>
          <cell r="M432">
            <v>0</v>
          </cell>
          <cell r="N432">
            <v>0</v>
          </cell>
        </row>
        <row r="433">
          <cell r="E433" t="str">
            <v>PEB 6</v>
          </cell>
          <cell r="M433">
            <v>0</v>
          </cell>
          <cell r="N433">
            <v>0</v>
          </cell>
        </row>
        <row r="434">
          <cell r="E434" t="str">
            <v>PEB 7 / TB</v>
          </cell>
          <cell r="G434">
            <v>33644</v>
          </cell>
          <cell r="H434">
            <v>2857</v>
          </cell>
          <cell r="M434">
            <v>33644</v>
          </cell>
          <cell r="N434">
            <v>2857</v>
          </cell>
        </row>
        <row r="435">
          <cell r="E435" t="str">
            <v>MPP</v>
          </cell>
          <cell r="G435">
            <v>273793</v>
          </cell>
          <cell r="H435">
            <v>15501</v>
          </cell>
          <cell r="M435">
            <v>273793</v>
          </cell>
          <cell r="N435">
            <v>15501</v>
          </cell>
        </row>
        <row r="436">
          <cell r="E436" t="str">
            <v>ID</v>
          </cell>
          <cell r="G436">
            <v>99472</v>
          </cell>
          <cell r="H436">
            <v>6917</v>
          </cell>
          <cell r="M436">
            <v>99472</v>
          </cell>
          <cell r="N436">
            <v>6917</v>
          </cell>
        </row>
        <row r="437">
          <cell r="E437" t="str">
            <v>LL</v>
          </cell>
          <cell r="G437">
            <v>86814</v>
          </cell>
          <cell r="H437">
            <v>35596</v>
          </cell>
          <cell r="M437">
            <v>86814</v>
          </cell>
          <cell r="N437">
            <v>35596</v>
          </cell>
        </row>
        <row r="438">
          <cell r="E438" t="str">
            <v>PMK</v>
          </cell>
          <cell r="G438">
            <v>121273</v>
          </cell>
          <cell r="H438">
            <v>18933</v>
          </cell>
          <cell r="M438">
            <v>121273</v>
          </cell>
          <cell r="N438">
            <v>18933</v>
          </cell>
        </row>
        <row r="440">
          <cell r="C440" t="str">
            <v>A0415</v>
          </cell>
          <cell r="D440" t="str">
            <v>PT Borneo Indah Marjaya</v>
          </cell>
          <cell r="E440" t="str">
            <v>PEB 1</v>
          </cell>
          <cell r="M440">
            <v>0</v>
          </cell>
          <cell r="N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</row>
        <row r="441">
          <cell r="E441" t="str">
            <v>PEB 2</v>
          </cell>
          <cell r="M441">
            <v>0</v>
          </cell>
          <cell r="N441">
            <v>0</v>
          </cell>
        </row>
        <row r="442">
          <cell r="E442" t="str">
            <v>PEB 3</v>
          </cell>
          <cell r="M442">
            <v>0</v>
          </cell>
          <cell r="N442">
            <v>0</v>
          </cell>
        </row>
        <row r="443">
          <cell r="E443" t="str">
            <v>PEB 4</v>
          </cell>
          <cell r="M443">
            <v>0</v>
          </cell>
          <cell r="N443">
            <v>0</v>
          </cell>
        </row>
        <row r="444">
          <cell r="E444" t="str">
            <v>PEB 5</v>
          </cell>
          <cell r="M444">
            <v>0</v>
          </cell>
          <cell r="N444">
            <v>0</v>
          </cell>
        </row>
        <row r="445">
          <cell r="E445" t="str">
            <v>PEB 6</v>
          </cell>
          <cell r="M445">
            <v>0</v>
          </cell>
          <cell r="N445">
            <v>0</v>
          </cell>
        </row>
        <row r="446">
          <cell r="E446" t="str">
            <v>PEB 7 / TB</v>
          </cell>
          <cell r="M446">
            <v>0</v>
          </cell>
          <cell r="N446">
            <v>0</v>
          </cell>
        </row>
        <row r="447">
          <cell r="E447" t="str">
            <v>MPP</v>
          </cell>
          <cell r="M447">
            <v>0</v>
          </cell>
          <cell r="N447">
            <v>0</v>
          </cell>
        </row>
        <row r="448">
          <cell r="E448" t="str">
            <v>ID</v>
          </cell>
          <cell r="M448">
            <v>0</v>
          </cell>
          <cell r="N448">
            <v>0</v>
          </cell>
        </row>
        <row r="449">
          <cell r="E449" t="str">
            <v>LL</v>
          </cell>
          <cell r="M449">
            <v>0</v>
          </cell>
          <cell r="N449">
            <v>0</v>
          </cell>
        </row>
        <row r="450">
          <cell r="E450" t="str">
            <v>PMK</v>
          </cell>
          <cell r="M450">
            <v>0</v>
          </cell>
          <cell r="N450">
            <v>0</v>
          </cell>
        </row>
        <row r="452">
          <cell r="C452" t="str">
            <v>A0232</v>
          </cell>
          <cell r="D452" t="str">
            <v>PT Brahmayasa Bahtera</v>
          </cell>
          <cell r="E452" t="str">
            <v>PEB 1</v>
          </cell>
          <cell r="M452">
            <v>0</v>
          </cell>
          <cell r="N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E453" t="str">
            <v>PEB 2</v>
          </cell>
          <cell r="M453">
            <v>0</v>
          </cell>
          <cell r="N453">
            <v>0</v>
          </cell>
        </row>
        <row r="454">
          <cell r="E454" t="str">
            <v>PEB 3</v>
          </cell>
          <cell r="M454">
            <v>0</v>
          </cell>
          <cell r="N454">
            <v>0</v>
          </cell>
        </row>
        <row r="455">
          <cell r="E455" t="str">
            <v>PEB 4</v>
          </cell>
          <cell r="M455">
            <v>0</v>
          </cell>
          <cell r="N455">
            <v>0</v>
          </cell>
        </row>
        <row r="456">
          <cell r="E456" t="str">
            <v>PEB 5</v>
          </cell>
          <cell r="M456">
            <v>0</v>
          </cell>
          <cell r="N456">
            <v>0</v>
          </cell>
        </row>
        <row r="457">
          <cell r="E457" t="str">
            <v>PEB 6</v>
          </cell>
          <cell r="M457">
            <v>0</v>
          </cell>
          <cell r="N457">
            <v>0</v>
          </cell>
        </row>
        <row r="458">
          <cell r="E458" t="str">
            <v>PEB 7 / TB</v>
          </cell>
          <cell r="M458">
            <v>0</v>
          </cell>
          <cell r="N458">
            <v>0</v>
          </cell>
        </row>
        <row r="459">
          <cell r="E459" t="str">
            <v>MPP</v>
          </cell>
          <cell r="M459">
            <v>0</v>
          </cell>
          <cell r="N459">
            <v>0</v>
          </cell>
        </row>
        <row r="460">
          <cell r="E460" t="str">
            <v>ID</v>
          </cell>
          <cell r="M460">
            <v>0</v>
          </cell>
          <cell r="N460">
            <v>0</v>
          </cell>
        </row>
        <row r="461">
          <cell r="E461" t="str">
            <v>LL</v>
          </cell>
          <cell r="M461">
            <v>0</v>
          </cell>
          <cell r="N461">
            <v>0</v>
          </cell>
        </row>
        <row r="462">
          <cell r="E462" t="str">
            <v>PMK</v>
          </cell>
          <cell r="M462">
            <v>0</v>
          </cell>
          <cell r="N462">
            <v>0</v>
          </cell>
        </row>
        <row r="464">
          <cell r="C464" t="str">
            <v>A0248</v>
          </cell>
          <cell r="D464" t="str">
            <v>PT Cakradenta Agung Pertiwi</v>
          </cell>
          <cell r="E464" t="str">
            <v>PEB 1</v>
          </cell>
          <cell r="M464">
            <v>0</v>
          </cell>
          <cell r="N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E465" t="str">
            <v>PEB 2</v>
          </cell>
          <cell r="M465">
            <v>0</v>
          </cell>
          <cell r="N465">
            <v>0</v>
          </cell>
        </row>
        <row r="466">
          <cell r="E466" t="str">
            <v>PEB 3</v>
          </cell>
          <cell r="M466">
            <v>0</v>
          </cell>
          <cell r="N466">
            <v>0</v>
          </cell>
        </row>
        <row r="467">
          <cell r="E467" t="str">
            <v>PEB 4</v>
          </cell>
          <cell r="M467">
            <v>0</v>
          </cell>
          <cell r="N467">
            <v>0</v>
          </cell>
        </row>
        <row r="468">
          <cell r="E468" t="str">
            <v>PEB 5</v>
          </cell>
          <cell r="M468">
            <v>0</v>
          </cell>
          <cell r="N468">
            <v>0</v>
          </cell>
        </row>
        <row r="469">
          <cell r="E469" t="str">
            <v>PEB 6</v>
          </cell>
          <cell r="M469">
            <v>0</v>
          </cell>
          <cell r="N469">
            <v>0</v>
          </cell>
        </row>
        <row r="470">
          <cell r="E470" t="str">
            <v>PEB 7 / TB</v>
          </cell>
          <cell r="M470">
            <v>0</v>
          </cell>
          <cell r="N470">
            <v>0</v>
          </cell>
        </row>
        <row r="471">
          <cell r="E471" t="str">
            <v>MPP</v>
          </cell>
          <cell r="M471">
            <v>0</v>
          </cell>
          <cell r="N471">
            <v>0</v>
          </cell>
        </row>
        <row r="472">
          <cell r="E472" t="str">
            <v>ID</v>
          </cell>
          <cell r="M472">
            <v>0</v>
          </cell>
          <cell r="N472">
            <v>0</v>
          </cell>
        </row>
        <row r="473">
          <cell r="E473" t="str">
            <v>LL</v>
          </cell>
          <cell r="M473">
            <v>0</v>
          </cell>
          <cell r="N473">
            <v>0</v>
          </cell>
        </row>
        <row r="474">
          <cell r="E474" t="str">
            <v>PMK</v>
          </cell>
          <cell r="M474">
            <v>0</v>
          </cell>
          <cell r="N474">
            <v>0</v>
          </cell>
        </row>
        <row r="476">
          <cell r="C476" t="str">
            <v>A0247</v>
          </cell>
          <cell r="D476" t="str">
            <v>PT Cakung Permata Nusa</v>
          </cell>
          <cell r="E476" t="str">
            <v>PEB 1</v>
          </cell>
          <cell r="M476">
            <v>0</v>
          </cell>
          <cell r="N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E477" t="str">
            <v>PEB 2</v>
          </cell>
          <cell r="M477">
            <v>0</v>
          </cell>
          <cell r="N477">
            <v>0</v>
          </cell>
        </row>
        <row r="478">
          <cell r="E478" t="str">
            <v>PEB 3</v>
          </cell>
          <cell r="M478">
            <v>0</v>
          </cell>
          <cell r="N478">
            <v>0</v>
          </cell>
        </row>
        <row r="479">
          <cell r="E479" t="str">
            <v>PEB 4</v>
          </cell>
          <cell r="M479">
            <v>0</v>
          </cell>
          <cell r="N479">
            <v>0</v>
          </cell>
        </row>
        <row r="480">
          <cell r="E480" t="str">
            <v>PEB 5</v>
          </cell>
          <cell r="M480">
            <v>0</v>
          </cell>
          <cell r="N480">
            <v>0</v>
          </cell>
        </row>
        <row r="481">
          <cell r="E481" t="str">
            <v>PEB 6</v>
          </cell>
          <cell r="M481">
            <v>0</v>
          </cell>
          <cell r="N481">
            <v>0</v>
          </cell>
        </row>
        <row r="482">
          <cell r="E482" t="str">
            <v>PEB 7 / TB</v>
          </cell>
          <cell r="M482">
            <v>0</v>
          </cell>
          <cell r="N482">
            <v>0</v>
          </cell>
        </row>
        <row r="483">
          <cell r="E483" t="str">
            <v>MPP</v>
          </cell>
          <cell r="M483">
            <v>0</v>
          </cell>
          <cell r="N483">
            <v>0</v>
          </cell>
        </row>
        <row r="484">
          <cell r="E484" t="str">
            <v>ID</v>
          </cell>
          <cell r="M484">
            <v>0</v>
          </cell>
          <cell r="N484">
            <v>0</v>
          </cell>
        </row>
        <row r="485">
          <cell r="E485" t="str">
            <v>LL</v>
          </cell>
          <cell r="M485">
            <v>0</v>
          </cell>
          <cell r="N485">
            <v>0</v>
          </cell>
        </row>
        <row r="486">
          <cell r="E486" t="str">
            <v>PMK</v>
          </cell>
          <cell r="M486">
            <v>0</v>
          </cell>
          <cell r="N486">
            <v>0</v>
          </cell>
        </row>
        <row r="488">
          <cell r="C488" t="str">
            <v>A0037</v>
          </cell>
          <cell r="D488" t="str">
            <v>PT Century Batteries Indonesia</v>
          </cell>
          <cell r="E488" t="str">
            <v>PEB 1</v>
          </cell>
          <cell r="G488">
            <v>553537.05867764796</v>
          </cell>
          <cell r="H488">
            <v>27225.883474550352</v>
          </cell>
          <cell r="M488">
            <v>553537.05867764796</v>
          </cell>
          <cell r="N488">
            <v>27225.883474550352</v>
          </cell>
          <cell r="P488">
            <v>0</v>
          </cell>
          <cell r="Q488">
            <v>0</v>
          </cell>
          <cell r="R488">
            <v>879.24201002772213</v>
          </cell>
          <cell r="S488">
            <v>43.24577756027815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6117.7493988792321</v>
          </cell>
          <cell r="AA488">
            <v>300.90330836798273</v>
          </cell>
          <cell r="AB488">
            <v>0</v>
          </cell>
          <cell r="AC488">
            <v>0</v>
          </cell>
          <cell r="AD488">
            <v>45790.486374657776</v>
          </cell>
          <cell r="AE488">
            <v>2252.2185763996436</v>
          </cell>
          <cell r="AF488">
            <v>2856.0603825084077</v>
          </cell>
          <cell r="AG488">
            <v>8621.2897083570278</v>
          </cell>
          <cell r="AH488">
            <v>256.21976501328288</v>
          </cell>
          <cell r="AI488">
            <v>773.4237121578675</v>
          </cell>
        </row>
        <row r="489">
          <cell r="E489" t="str">
            <v>PEB 2</v>
          </cell>
          <cell r="G489">
            <v>0</v>
          </cell>
          <cell r="H489">
            <v>0</v>
          </cell>
          <cell r="M489">
            <v>0</v>
          </cell>
          <cell r="N489">
            <v>0</v>
          </cell>
        </row>
        <row r="490">
          <cell r="E490" t="str">
            <v>PEB 3</v>
          </cell>
          <cell r="G490">
            <v>879.24201002772213</v>
          </cell>
          <cell r="H490">
            <v>43.24577756027815</v>
          </cell>
          <cell r="M490">
            <v>879.24201002772213</v>
          </cell>
          <cell r="N490">
            <v>43.24577756027815</v>
          </cell>
        </row>
        <row r="491">
          <cell r="E491" t="str">
            <v>PEB 4</v>
          </cell>
          <cell r="G491">
            <v>0</v>
          </cell>
          <cell r="H491">
            <v>0</v>
          </cell>
          <cell r="M491">
            <v>0</v>
          </cell>
          <cell r="N491">
            <v>0</v>
          </cell>
        </row>
        <row r="492">
          <cell r="E492" t="str">
            <v>PEB 5</v>
          </cell>
          <cell r="G492">
            <v>0</v>
          </cell>
          <cell r="H492">
            <v>0</v>
          </cell>
          <cell r="M492">
            <v>0</v>
          </cell>
          <cell r="N492">
            <v>0</v>
          </cell>
        </row>
        <row r="493">
          <cell r="E493" t="str">
            <v>PEB 6</v>
          </cell>
          <cell r="G493">
            <v>0</v>
          </cell>
          <cell r="H493">
            <v>0</v>
          </cell>
          <cell r="M493">
            <v>0</v>
          </cell>
          <cell r="N493">
            <v>0</v>
          </cell>
        </row>
        <row r="494">
          <cell r="E494" t="str">
            <v>PEB 7 / TB</v>
          </cell>
          <cell r="G494">
            <v>6117.7493988792321</v>
          </cell>
          <cell r="H494">
            <v>300.90330836798273</v>
          </cell>
          <cell r="M494">
            <v>6117.7493988792321</v>
          </cell>
          <cell r="N494">
            <v>300.90330836798273</v>
          </cell>
        </row>
        <row r="495">
          <cell r="E495" t="str">
            <v>MPP</v>
          </cell>
          <cell r="G495">
            <v>0</v>
          </cell>
          <cell r="H495">
            <v>0</v>
          </cell>
          <cell r="M495">
            <v>0</v>
          </cell>
          <cell r="N495">
            <v>0</v>
          </cell>
        </row>
        <row r="496">
          <cell r="E496" t="str">
            <v>ID</v>
          </cell>
          <cell r="G496">
            <v>45790.486374657776</v>
          </cell>
          <cell r="H496">
            <v>2252.2185763996436</v>
          </cell>
          <cell r="M496">
            <v>45790.486374657776</v>
          </cell>
          <cell r="N496">
            <v>2252.2185763996436</v>
          </cell>
        </row>
        <row r="497">
          <cell r="E497" t="str">
            <v>LL</v>
          </cell>
          <cell r="G497">
            <v>2856.0603825084077</v>
          </cell>
          <cell r="H497">
            <v>8621.2897083570278</v>
          </cell>
          <cell r="M497">
            <v>2856.0603825084077</v>
          </cell>
          <cell r="N497">
            <v>8621.2897083570278</v>
          </cell>
        </row>
        <row r="498">
          <cell r="E498" t="str">
            <v>PMK</v>
          </cell>
          <cell r="G498">
            <v>256.21976501328288</v>
          </cell>
          <cell r="H498">
            <v>773.4237121578675</v>
          </cell>
          <cell r="M498">
            <v>256.21976501328288</v>
          </cell>
          <cell r="N498">
            <v>773.4237121578675</v>
          </cell>
        </row>
        <row r="500">
          <cell r="C500" t="str">
            <v>A0445</v>
          </cell>
          <cell r="D500" t="str">
            <v>PT Citra Agro Nusantara</v>
          </cell>
          <cell r="E500" t="str">
            <v>PEB 1</v>
          </cell>
          <cell r="M500">
            <v>0</v>
          </cell>
          <cell r="N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</row>
        <row r="501">
          <cell r="E501" t="str">
            <v>PEB 2</v>
          </cell>
          <cell r="M501">
            <v>0</v>
          </cell>
          <cell r="N501">
            <v>0</v>
          </cell>
        </row>
        <row r="502">
          <cell r="E502" t="str">
            <v>PEB 3</v>
          </cell>
          <cell r="M502">
            <v>0</v>
          </cell>
          <cell r="N502">
            <v>0</v>
          </cell>
        </row>
        <row r="503">
          <cell r="E503" t="str">
            <v>PEB 4</v>
          </cell>
          <cell r="M503">
            <v>0</v>
          </cell>
          <cell r="N503">
            <v>0</v>
          </cell>
        </row>
        <row r="504">
          <cell r="E504" t="str">
            <v>PEB 5</v>
          </cell>
          <cell r="M504">
            <v>0</v>
          </cell>
          <cell r="N504">
            <v>0</v>
          </cell>
        </row>
        <row r="505">
          <cell r="E505" t="str">
            <v>PEB 6</v>
          </cell>
          <cell r="M505">
            <v>0</v>
          </cell>
          <cell r="N505">
            <v>0</v>
          </cell>
        </row>
        <row r="506">
          <cell r="E506" t="str">
            <v>PEB 7 / TB</v>
          </cell>
          <cell r="M506">
            <v>0</v>
          </cell>
          <cell r="N506">
            <v>0</v>
          </cell>
        </row>
        <row r="507">
          <cell r="E507" t="str">
            <v>MPP</v>
          </cell>
          <cell r="M507">
            <v>0</v>
          </cell>
          <cell r="N507">
            <v>0</v>
          </cell>
        </row>
        <row r="508">
          <cell r="E508" t="str">
            <v>ID</v>
          </cell>
          <cell r="M508">
            <v>0</v>
          </cell>
          <cell r="N508">
            <v>0</v>
          </cell>
        </row>
        <row r="509">
          <cell r="E509" t="str">
            <v>LL</v>
          </cell>
          <cell r="M509">
            <v>0</v>
          </cell>
          <cell r="N509">
            <v>0</v>
          </cell>
        </row>
        <row r="510">
          <cell r="E510" t="str">
            <v>PMK</v>
          </cell>
          <cell r="M510">
            <v>0</v>
          </cell>
          <cell r="N510">
            <v>0</v>
          </cell>
        </row>
        <row r="512">
          <cell r="C512" t="str">
            <v>A0008</v>
          </cell>
          <cell r="D512" t="str">
            <v>PT Daya Mitra Serasi</v>
          </cell>
          <cell r="E512" t="str">
            <v>PEB 1</v>
          </cell>
          <cell r="M512">
            <v>0</v>
          </cell>
          <cell r="N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E513" t="str">
            <v>PEB 2</v>
          </cell>
          <cell r="M513">
            <v>0</v>
          </cell>
          <cell r="N513">
            <v>0</v>
          </cell>
        </row>
        <row r="514">
          <cell r="E514" t="str">
            <v>PEB 3</v>
          </cell>
          <cell r="M514">
            <v>0</v>
          </cell>
          <cell r="N514">
            <v>0</v>
          </cell>
        </row>
        <row r="515">
          <cell r="E515" t="str">
            <v>PEB 4</v>
          </cell>
          <cell r="M515">
            <v>0</v>
          </cell>
          <cell r="N515">
            <v>0</v>
          </cell>
        </row>
        <row r="516">
          <cell r="E516" t="str">
            <v>PEB 5</v>
          </cell>
          <cell r="M516">
            <v>0</v>
          </cell>
          <cell r="N516">
            <v>0</v>
          </cell>
        </row>
        <row r="517">
          <cell r="E517" t="str">
            <v>PEB 6</v>
          </cell>
          <cell r="M517">
            <v>0</v>
          </cell>
          <cell r="N517">
            <v>0</v>
          </cell>
        </row>
        <row r="518">
          <cell r="E518" t="str">
            <v>PEB 7 / TB</v>
          </cell>
          <cell r="M518">
            <v>0</v>
          </cell>
          <cell r="N518">
            <v>0</v>
          </cell>
        </row>
        <row r="519">
          <cell r="E519" t="str">
            <v>MPP</v>
          </cell>
          <cell r="M519">
            <v>0</v>
          </cell>
          <cell r="N519">
            <v>0</v>
          </cell>
        </row>
        <row r="520">
          <cell r="E520" t="str">
            <v>ID</v>
          </cell>
          <cell r="M520">
            <v>0</v>
          </cell>
          <cell r="N520">
            <v>0</v>
          </cell>
        </row>
        <row r="521">
          <cell r="E521" t="str">
            <v>LL</v>
          </cell>
          <cell r="M521">
            <v>0</v>
          </cell>
          <cell r="N521">
            <v>0</v>
          </cell>
        </row>
        <row r="522">
          <cell r="E522" t="str">
            <v>PMK</v>
          </cell>
          <cell r="M522">
            <v>0</v>
          </cell>
          <cell r="N522">
            <v>0</v>
          </cell>
        </row>
        <row r="524">
          <cell r="C524" t="str">
            <v>A0051</v>
          </cell>
          <cell r="D524" t="str">
            <v>PT DIC Astra Chemicals</v>
          </cell>
          <cell r="E524" t="str">
            <v>PEB 1</v>
          </cell>
          <cell r="G524">
            <v>688029.45193240186</v>
          </cell>
          <cell r="H524">
            <v>34260.771277206513</v>
          </cell>
          <cell r="M524">
            <v>688029.45193240186</v>
          </cell>
          <cell r="N524">
            <v>34260.771277206513</v>
          </cell>
          <cell r="P524">
            <v>0</v>
          </cell>
          <cell r="Q524">
            <v>0</v>
          </cell>
          <cell r="R524">
            <v>124903.22617647177</v>
          </cell>
          <cell r="S524">
            <v>6219.6187267834102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8261.5309068707793</v>
          </cell>
          <cell r="AA524">
            <v>411.38707072045702</v>
          </cell>
          <cell r="AB524">
            <v>31973.750939216799</v>
          </cell>
          <cell r="AC524">
            <v>3184.2978951735363</v>
          </cell>
          <cell r="AD524">
            <v>41227.902489785411</v>
          </cell>
          <cell r="AE524">
            <v>2052.9640605854288</v>
          </cell>
          <cell r="AF524">
            <v>890.58163388226853</v>
          </cell>
          <cell r="AG524">
            <v>10842.831392516517</v>
          </cell>
          <cell r="AH524">
            <v>1417.5968091905354</v>
          </cell>
          <cell r="AI524">
            <v>290.13103662696483</v>
          </cell>
        </row>
        <row r="525">
          <cell r="E525" t="str">
            <v>PEB 2</v>
          </cell>
          <cell r="M525">
            <v>0</v>
          </cell>
          <cell r="N525">
            <v>0</v>
          </cell>
        </row>
        <row r="526">
          <cell r="E526" t="str">
            <v>PEB 3</v>
          </cell>
          <cell r="G526">
            <v>124903.22617647177</v>
          </cell>
          <cell r="H526">
            <v>6219.6187267834102</v>
          </cell>
          <cell r="M526">
            <v>124903.22617647177</v>
          </cell>
          <cell r="N526">
            <v>6219.6187267834102</v>
          </cell>
        </row>
        <row r="527">
          <cell r="E527" t="str">
            <v>PEB 4</v>
          </cell>
          <cell r="G527">
            <v>0</v>
          </cell>
          <cell r="H527">
            <v>0</v>
          </cell>
          <cell r="M527">
            <v>0</v>
          </cell>
          <cell r="N527">
            <v>0</v>
          </cell>
        </row>
        <row r="528">
          <cell r="E528" t="str">
            <v>PEB 5</v>
          </cell>
          <cell r="M528">
            <v>0</v>
          </cell>
          <cell r="N528">
            <v>0</v>
          </cell>
        </row>
        <row r="529">
          <cell r="E529" t="str">
            <v>PEB 6</v>
          </cell>
          <cell r="M529">
            <v>0</v>
          </cell>
          <cell r="N529">
            <v>0</v>
          </cell>
        </row>
        <row r="530">
          <cell r="E530" t="str">
            <v>PEB 7 / TB</v>
          </cell>
          <cell r="G530">
            <v>8261.5309068707793</v>
          </cell>
          <cell r="H530">
            <v>411.38707072045702</v>
          </cell>
          <cell r="M530">
            <v>8261.5309068707793</v>
          </cell>
          <cell r="N530">
            <v>411.38707072045702</v>
          </cell>
        </row>
        <row r="531">
          <cell r="E531" t="str">
            <v>MPP</v>
          </cell>
          <cell r="G531">
            <v>31973.750939216799</v>
          </cell>
          <cell r="H531">
            <v>3184.2978951735363</v>
          </cell>
          <cell r="M531">
            <v>31973.750939216799</v>
          </cell>
          <cell r="N531">
            <v>3184.2978951735363</v>
          </cell>
        </row>
        <row r="532">
          <cell r="E532" t="str">
            <v>ID</v>
          </cell>
          <cell r="G532">
            <v>41227.902489785411</v>
          </cell>
          <cell r="H532">
            <v>2052.9640605854288</v>
          </cell>
          <cell r="M532">
            <v>41227.902489785411</v>
          </cell>
          <cell r="N532">
            <v>2052.9640605854288</v>
          </cell>
        </row>
        <row r="533">
          <cell r="E533" t="str">
            <v>LL</v>
          </cell>
          <cell r="G533">
            <v>890.58163388226853</v>
          </cell>
          <cell r="H533">
            <v>10842.831392516517</v>
          </cell>
          <cell r="M533">
            <v>890.58163388226853</v>
          </cell>
          <cell r="N533">
            <v>10842.831392516517</v>
          </cell>
        </row>
        <row r="534">
          <cell r="E534" t="str">
            <v>PMK</v>
          </cell>
          <cell r="G534">
            <v>1417.5968091905354</v>
          </cell>
          <cell r="H534">
            <v>290.13103662696483</v>
          </cell>
          <cell r="M534">
            <v>1417.5968091905354</v>
          </cell>
          <cell r="N534">
            <v>290.13103662696483</v>
          </cell>
        </row>
        <row r="536">
          <cell r="C536" t="str">
            <v>A0239</v>
          </cell>
          <cell r="D536" t="str">
            <v>PT Astra Daido Steel Indonesia (d/h PT Dirgamenara Nusadwipa)</v>
          </cell>
          <cell r="E536" t="str">
            <v>PEB 1</v>
          </cell>
          <cell r="M536">
            <v>0</v>
          </cell>
          <cell r="N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96128.50624583973</v>
          </cell>
          <cell r="U536">
            <v>7033.4408866772756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5465.0482884704415</v>
          </cell>
          <cell r="AA536">
            <v>399.86155596230554</v>
          </cell>
          <cell r="AB536">
            <v>0</v>
          </cell>
          <cell r="AC536">
            <v>0</v>
          </cell>
          <cell r="AD536">
            <v>22218.379662468866</v>
          </cell>
          <cell r="AE536">
            <v>1625.6536802317214</v>
          </cell>
          <cell r="AF536">
            <v>23054.679959930996</v>
          </cell>
          <cell r="AG536">
            <v>6286.466484034936</v>
          </cell>
          <cell r="AH536">
            <v>10264.752974777208</v>
          </cell>
          <cell r="AI536">
            <v>999.52241307935731</v>
          </cell>
        </row>
        <row r="537">
          <cell r="E537" t="str">
            <v>PEB 2</v>
          </cell>
          <cell r="M537">
            <v>0</v>
          </cell>
          <cell r="N537">
            <v>0</v>
          </cell>
        </row>
        <row r="538">
          <cell r="E538" t="str">
            <v>PEB 3</v>
          </cell>
          <cell r="M538">
            <v>0</v>
          </cell>
          <cell r="N538">
            <v>0</v>
          </cell>
        </row>
        <row r="539">
          <cell r="E539" t="str">
            <v>PEB 4</v>
          </cell>
          <cell r="G539">
            <v>96128.50624583973</v>
          </cell>
          <cell r="H539">
            <v>7033.4408866772756</v>
          </cell>
          <cell r="M539">
            <v>96128.50624583973</v>
          </cell>
          <cell r="N539">
            <v>7033.4408866772756</v>
          </cell>
        </row>
        <row r="540">
          <cell r="E540" t="str">
            <v>PEB 5</v>
          </cell>
          <cell r="M540">
            <v>0</v>
          </cell>
          <cell r="N540">
            <v>0</v>
          </cell>
        </row>
        <row r="541">
          <cell r="E541" t="str">
            <v>PEB 6</v>
          </cell>
          <cell r="M541">
            <v>0</v>
          </cell>
          <cell r="N541">
            <v>0</v>
          </cell>
        </row>
        <row r="542">
          <cell r="E542" t="str">
            <v>PEB 7 / TB</v>
          </cell>
          <cell r="G542">
            <v>5465.0482884704415</v>
          </cell>
          <cell r="H542">
            <v>399.86155596230554</v>
          </cell>
          <cell r="M542">
            <v>5465.0482884704415</v>
          </cell>
          <cell r="N542">
            <v>399.86155596230554</v>
          </cell>
        </row>
        <row r="543">
          <cell r="E543" t="str">
            <v>MPP</v>
          </cell>
          <cell r="M543">
            <v>0</v>
          </cell>
          <cell r="N543">
            <v>0</v>
          </cell>
        </row>
        <row r="544">
          <cell r="E544" t="str">
            <v>ID</v>
          </cell>
          <cell r="G544">
            <v>22218.379662468866</v>
          </cell>
          <cell r="H544">
            <v>1625.6536802317214</v>
          </cell>
          <cell r="M544">
            <v>22218.379662468866</v>
          </cell>
          <cell r="N544">
            <v>1625.6536802317214</v>
          </cell>
        </row>
        <row r="545">
          <cell r="E545" t="str">
            <v>LL</v>
          </cell>
          <cell r="G545">
            <v>23054.679959930996</v>
          </cell>
          <cell r="H545">
            <v>6286.466484034936</v>
          </cell>
          <cell r="M545">
            <v>23054.679959930996</v>
          </cell>
          <cell r="N545">
            <v>6286.466484034936</v>
          </cell>
        </row>
        <row r="546">
          <cell r="E546" t="str">
            <v>PMK</v>
          </cell>
          <cell r="G546">
            <v>10264.752974777208</v>
          </cell>
          <cell r="H546">
            <v>999.52241307935731</v>
          </cell>
          <cell r="M546">
            <v>10264.752974777208</v>
          </cell>
          <cell r="N546">
            <v>999.52241307935731</v>
          </cell>
        </row>
        <row r="548">
          <cell r="C548" t="str">
            <v xml:space="preserve">A0054 </v>
          </cell>
          <cell r="D548" t="str">
            <v>PT Ekadura Indonesia &amp; Ekadura Dumai</v>
          </cell>
          <cell r="E548" t="str">
            <v>PEB 1</v>
          </cell>
          <cell r="M548">
            <v>0</v>
          </cell>
          <cell r="N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</row>
        <row r="549">
          <cell r="E549" t="str">
            <v>PEB 2</v>
          </cell>
          <cell r="M549">
            <v>0</v>
          </cell>
          <cell r="N549">
            <v>0</v>
          </cell>
        </row>
        <row r="550">
          <cell r="E550" t="str">
            <v>PEB 3</v>
          </cell>
          <cell r="M550">
            <v>0</v>
          </cell>
          <cell r="N550">
            <v>0</v>
          </cell>
        </row>
        <row r="551">
          <cell r="E551" t="str">
            <v>PEB 4</v>
          </cell>
          <cell r="M551">
            <v>0</v>
          </cell>
          <cell r="N551">
            <v>0</v>
          </cell>
        </row>
        <row r="552">
          <cell r="E552" t="str">
            <v>PEB 5</v>
          </cell>
          <cell r="M552">
            <v>0</v>
          </cell>
          <cell r="N552">
            <v>0</v>
          </cell>
        </row>
        <row r="553">
          <cell r="E553" t="str">
            <v>PEB 6</v>
          </cell>
          <cell r="M553">
            <v>0</v>
          </cell>
          <cell r="N553">
            <v>0</v>
          </cell>
        </row>
        <row r="554">
          <cell r="E554" t="str">
            <v>PEB 7 / TB</v>
          </cell>
          <cell r="M554">
            <v>0</v>
          </cell>
          <cell r="N554">
            <v>0</v>
          </cell>
        </row>
        <row r="555">
          <cell r="E555" t="str">
            <v>MPP</v>
          </cell>
          <cell r="M555">
            <v>0</v>
          </cell>
          <cell r="N555">
            <v>0</v>
          </cell>
        </row>
        <row r="556">
          <cell r="E556" t="str">
            <v>ID</v>
          </cell>
          <cell r="M556">
            <v>0</v>
          </cell>
          <cell r="N556">
            <v>0</v>
          </cell>
        </row>
        <row r="557">
          <cell r="E557" t="str">
            <v>LL</v>
          </cell>
          <cell r="M557">
            <v>0</v>
          </cell>
          <cell r="N557">
            <v>0</v>
          </cell>
        </row>
        <row r="558">
          <cell r="E558" t="str">
            <v>PMK</v>
          </cell>
          <cell r="M558">
            <v>0</v>
          </cell>
          <cell r="N558">
            <v>0</v>
          </cell>
        </row>
        <row r="560">
          <cell r="C560" t="str">
            <v>A0266</v>
          </cell>
          <cell r="D560" t="str">
            <v>PT Ekadura Perdana</v>
          </cell>
          <cell r="E560" t="str">
            <v>PEB 1</v>
          </cell>
          <cell r="M560">
            <v>0</v>
          </cell>
          <cell r="N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E561" t="str">
            <v>PEB 2</v>
          </cell>
          <cell r="M561">
            <v>0</v>
          </cell>
          <cell r="N561">
            <v>0</v>
          </cell>
        </row>
        <row r="562">
          <cell r="E562" t="str">
            <v>PEB 3</v>
          </cell>
          <cell r="M562">
            <v>0</v>
          </cell>
          <cell r="N562">
            <v>0</v>
          </cell>
        </row>
        <row r="563">
          <cell r="E563" t="str">
            <v>PEB 4</v>
          </cell>
          <cell r="M563">
            <v>0</v>
          </cell>
          <cell r="N563">
            <v>0</v>
          </cell>
        </row>
        <row r="564">
          <cell r="E564" t="str">
            <v>PEB 5</v>
          </cell>
          <cell r="M564">
            <v>0</v>
          </cell>
          <cell r="N564">
            <v>0</v>
          </cell>
        </row>
        <row r="565">
          <cell r="E565" t="str">
            <v>PEB 6</v>
          </cell>
          <cell r="M565">
            <v>0</v>
          </cell>
          <cell r="N565">
            <v>0</v>
          </cell>
        </row>
        <row r="566">
          <cell r="E566" t="str">
            <v>PEB 7 / TB</v>
          </cell>
          <cell r="M566">
            <v>0</v>
          </cell>
          <cell r="N566">
            <v>0</v>
          </cell>
        </row>
        <row r="567">
          <cell r="E567" t="str">
            <v>MPP</v>
          </cell>
          <cell r="M567">
            <v>0</v>
          </cell>
          <cell r="N567">
            <v>0</v>
          </cell>
        </row>
        <row r="568">
          <cell r="E568" t="str">
            <v>ID</v>
          </cell>
          <cell r="M568">
            <v>0</v>
          </cell>
          <cell r="N568">
            <v>0</v>
          </cell>
        </row>
        <row r="569">
          <cell r="E569" t="str">
            <v>LL</v>
          </cell>
          <cell r="M569">
            <v>0</v>
          </cell>
          <cell r="N569">
            <v>0</v>
          </cell>
        </row>
        <row r="570">
          <cell r="E570" t="str">
            <v>PMK</v>
          </cell>
          <cell r="M570">
            <v>0</v>
          </cell>
          <cell r="N570">
            <v>0</v>
          </cell>
        </row>
        <row r="572">
          <cell r="C572" t="str">
            <v>A0062</v>
          </cell>
          <cell r="D572" t="str">
            <v>PT FCSM Manufacturing Indonesia</v>
          </cell>
          <cell r="E572" t="str">
            <v>PEB 1</v>
          </cell>
          <cell r="M572">
            <v>0</v>
          </cell>
          <cell r="N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E573" t="str">
            <v>PEB 2</v>
          </cell>
          <cell r="M573">
            <v>0</v>
          </cell>
          <cell r="N573">
            <v>0</v>
          </cell>
        </row>
        <row r="574">
          <cell r="E574" t="str">
            <v>PEB 3</v>
          </cell>
          <cell r="M574">
            <v>0</v>
          </cell>
          <cell r="N574">
            <v>0</v>
          </cell>
        </row>
        <row r="575">
          <cell r="E575" t="str">
            <v>PEB 4</v>
          </cell>
          <cell r="M575">
            <v>0</v>
          </cell>
          <cell r="N575">
            <v>0</v>
          </cell>
        </row>
        <row r="576">
          <cell r="E576" t="str">
            <v>PEB 5</v>
          </cell>
          <cell r="M576">
            <v>0</v>
          </cell>
          <cell r="N576">
            <v>0</v>
          </cell>
        </row>
        <row r="577">
          <cell r="E577" t="str">
            <v>PEB 6</v>
          </cell>
          <cell r="M577">
            <v>0</v>
          </cell>
          <cell r="N577">
            <v>0</v>
          </cell>
        </row>
        <row r="578">
          <cell r="E578" t="str">
            <v>PEB 7 / TB</v>
          </cell>
          <cell r="M578">
            <v>0</v>
          </cell>
          <cell r="N578">
            <v>0</v>
          </cell>
        </row>
        <row r="579">
          <cell r="E579" t="str">
            <v>MPP</v>
          </cell>
          <cell r="M579">
            <v>0</v>
          </cell>
          <cell r="N579">
            <v>0</v>
          </cell>
        </row>
        <row r="580">
          <cell r="E580" t="str">
            <v>ID</v>
          </cell>
          <cell r="M580">
            <v>0</v>
          </cell>
          <cell r="N580">
            <v>0</v>
          </cell>
        </row>
        <row r="581">
          <cell r="E581" t="str">
            <v>LL</v>
          </cell>
          <cell r="M581">
            <v>0</v>
          </cell>
          <cell r="N581">
            <v>0</v>
          </cell>
        </row>
        <row r="582">
          <cell r="E582" t="str">
            <v>PMK</v>
          </cell>
          <cell r="M582">
            <v>0</v>
          </cell>
          <cell r="N582">
            <v>0</v>
          </cell>
        </row>
        <row r="584">
          <cell r="C584" t="str">
            <v>A0098</v>
          </cell>
          <cell r="D584" t="str">
            <v>PT Federal International Finance</v>
          </cell>
          <cell r="E584" t="str">
            <v>PEB 1</v>
          </cell>
          <cell r="M584">
            <v>0</v>
          </cell>
          <cell r="N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1647378.0606196865</v>
          </cell>
          <cell r="U584">
            <v>78399.96365085787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1652.7513727348266</v>
          </cell>
          <cell r="AA584">
            <v>182.90100353423469</v>
          </cell>
          <cell r="AB584">
            <v>0</v>
          </cell>
          <cell r="AC584">
            <v>0</v>
          </cell>
          <cell r="AD584">
            <v>35023.171417686499</v>
          </cell>
          <cell r="AE584">
            <v>2702.5413456507631</v>
          </cell>
          <cell r="AF584">
            <v>64815.603973295962</v>
          </cell>
          <cell r="AG584">
            <v>39716.483126287749</v>
          </cell>
          <cell r="AH584">
            <v>5439.2000275628388</v>
          </cell>
          <cell r="AI584">
            <v>68.193045541971756</v>
          </cell>
        </row>
        <row r="585">
          <cell r="E585" t="str">
            <v>PEB 2</v>
          </cell>
          <cell r="M585">
            <v>0</v>
          </cell>
          <cell r="N585">
            <v>0</v>
          </cell>
          <cell r="P585">
            <v>0</v>
          </cell>
          <cell r="Q585">
            <v>0</v>
          </cell>
          <cell r="R585">
            <v>1647378.0606196865</v>
          </cell>
          <cell r="S585">
            <v>78399.96365085787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1652.7513727348266</v>
          </cell>
          <cell r="Y585">
            <v>182.90100353423469</v>
          </cell>
          <cell r="Z585">
            <v>0</v>
          </cell>
          <cell r="AA585">
            <v>0</v>
          </cell>
          <cell r="AB585">
            <v>35023.171417686499</v>
          </cell>
          <cell r="AC585">
            <v>2702.5413456507631</v>
          </cell>
          <cell r="AD585">
            <v>64815.603973295962</v>
          </cell>
          <cell r="AE585">
            <v>39716.483126287749</v>
          </cell>
          <cell r="AF585">
            <v>5439.2000275628388</v>
          </cell>
          <cell r="AG585">
            <v>68.193045541971756</v>
          </cell>
          <cell r="AH585">
            <v>0</v>
          </cell>
          <cell r="AI585">
            <v>0</v>
          </cell>
        </row>
        <row r="586">
          <cell r="E586" t="str">
            <v>PEB 3</v>
          </cell>
          <cell r="M586">
            <v>0</v>
          </cell>
          <cell r="N586">
            <v>0</v>
          </cell>
          <cell r="P586">
            <v>1647378.0606196865</v>
          </cell>
          <cell r="Q586">
            <v>78399.96365085787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1652.7513727348266</v>
          </cell>
          <cell r="W586">
            <v>182.90100353423469</v>
          </cell>
          <cell r="X586">
            <v>0</v>
          </cell>
          <cell r="Y586">
            <v>0</v>
          </cell>
          <cell r="Z586">
            <v>35023.171417686499</v>
          </cell>
          <cell r="AA586">
            <v>2702.5413456507631</v>
          </cell>
          <cell r="AB586">
            <v>64815.603973295962</v>
          </cell>
          <cell r="AC586">
            <v>39716.483126287749</v>
          </cell>
          <cell r="AD586">
            <v>5439.2000275628388</v>
          </cell>
          <cell r="AE586">
            <v>68.193045541971756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E587" t="str">
            <v>PEB 4</v>
          </cell>
          <cell r="G587">
            <v>1647378.0606196865</v>
          </cell>
          <cell r="H587">
            <v>78399.96365085787</v>
          </cell>
          <cell r="M587">
            <v>1647378.0606196865</v>
          </cell>
          <cell r="N587">
            <v>78399.96365085787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1652.7513727348266</v>
          </cell>
          <cell r="U587">
            <v>182.90100353423469</v>
          </cell>
          <cell r="V587">
            <v>0</v>
          </cell>
          <cell r="W587">
            <v>0</v>
          </cell>
          <cell r="X587">
            <v>35023.171417686499</v>
          </cell>
          <cell r="Y587">
            <v>2702.5413456507631</v>
          </cell>
          <cell r="Z587">
            <v>64815.603973295962</v>
          </cell>
          <cell r="AA587">
            <v>39716.483126287749</v>
          </cell>
          <cell r="AB587">
            <v>5439.2000275628388</v>
          </cell>
          <cell r="AC587">
            <v>68.193045541971756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E588" t="str">
            <v>PEB 5</v>
          </cell>
          <cell r="M588">
            <v>0</v>
          </cell>
          <cell r="N588">
            <v>0</v>
          </cell>
          <cell r="P588">
            <v>0</v>
          </cell>
          <cell r="Q588">
            <v>0</v>
          </cell>
          <cell r="R588">
            <v>1652.7513727348266</v>
          </cell>
          <cell r="S588">
            <v>182.90100353423469</v>
          </cell>
          <cell r="T588">
            <v>0</v>
          </cell>
          <cell r="U588">
            <v>0</v>
          </cell>
          <cell r="V588">
            <v>35023.171417686499</v>
          </cell>
          <cell r="W588">
            <v>2702.5413456507631</v>
          </cell>
          <cell r="X588">
            <v>64815.603973295962</v>
          </cell>
          <cell r="Y588">
            <v>39716.483126287749</v>
          </cell>
          <cell r="Z588">
            <v>5439.2000275628388</v>
          </cell>
          <cell r="AA588">
            <v>68.193045541971756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</row>
        <row r="589">
          <cell r="E589" t="str">
            <v>PEB 6</v>
          </cell>
          <cell r="M589">
            <v>0</v>
          </cell>
          <cell r="N589">
            <v>0</v>
          </cell>
          <cell r="P589">
            <v>1652.7513727348266</v>
          </cell>
          <cell r="Q589">
            <v>182.90100353423469</v>
          </cell>
          <cell r="R589">
            <v>0</v>
          </cell>
          <cell r="S589">
            <v>0</v>
          </cell>
          <cell r="T589">
            <v>35023.171417686499</v>
          </cell>
          <cell r="U589">
            <v>2702.5413456507631</v>
          </cell>
          <cell r="V589">
            <v>64815.603973295962</v>
          </cell>
          <cell r="W589">
            <v>39716.483126287749</v>
          </cell>
          <cell r="X589">
            <v>5439.2000275628388</v>
          </cell>
          <cell r="Y589">
            <v>68.193045541971756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E590" t="str">
            <v>PEB 7 / TB</v>
          </cell>
          <cell r="G590">
            <v>1652.7513727348266</v>
          </cell>
          <cell r="H590">
            <v>182.90100353423469</v>
          </cell>
          <cell r="M590">
            <v>1652.7513727348266</v>
          </cell>
          <cell r="N590">
            <v>182.90100353423469</v>
          </cell>
          <cell r="P590">
            <v>0</v>
          </cell>
          <cell r="Q590">
            <v>0</v>
          </cell>
          <cell r="R590">
            <v>35023.171417686499</v>
          </cell>
          <cell r="S590">
            <v>2702.5413456507631</v>
          </cell>
          <cell r="T590">
            <v>64815.603973295962</v>
          </cell>
          <cell r="U590">
            <v>39716.483126287749</v>
          </cell>
          <cell r="V590">
            <v>5439.2000275628388</v>
          </cell>
          <cell r="W590">
            <v>68.193045541971756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E591" t="str">
            <v>MPP</v>
          </cell>
          <cell r="M591">
            <v>0</v>
          </cell>
          <cell r="N591">
            <v>0</v>
          </cell>
          <cell r="P591">
            <v>35023.171417686499</v>
          </cell>
          <cell r="Q591">
            <v>2702.5413456507631</v>
          </cell>
          <cell r="R591">
            <v>64815.603973295962</v>
          </cell>
          <cell r="S591">
            <v>39716.483126287749</v>
          </cell>
          <cell r="T591">
            <v>5439.2000275628388</v>
          </cell>
          <cell r="U591">
            <v>68.193045541971756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</row>
        <row r="592">
          <cell r="E592" t="str">
            <v>ID</v>
          </cell>
          <cell r="G592">
            <v>35023.171417686499</v>
          </cell>
          <cell r="H592">
            <v>2702.5413456507631</v>
          </cell>
          <cell r="M592">
            <v>35023.171417686499</v>
          </cell>
          <cell r="N592">
            <v>2702.5413456507631</v>
          </cell>
          <cell r="P592">
            <v>64815.603973295962</v>
          </cell>
          <cell r="Q592">
            <v>39716.483126287749</v>
          </cell>
          <cell r="R592">
            <v>5439.2000275628388</v>
          </cell>
          <cell r="S592">
            <v>68.193045541971756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E593" t="str">
            <v>LL</v>
          </cell>
          <cell r="G593">
            <v>64815.603973295962</v>
          </cell>
          <cell r="H593">
            <v>39716.483126287749</v>
          </cell>
          <cell r="M593">
            <v>64815.603973295962</v>
          </cell>
          <cell r="N593">
            <v>39716.483126287749</v>
          </cell>
          <cell r="P593">
            <v>5439.2000275628388</v>
          </cell>
          <cell r="Q593">
            <v>68.193045541971756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E594" t="str">
            <v>PMK</v>
          </cell>
          <cell r="G594">
            <v>5439.2000275628388</v>
          </cell>
          <cell r="H594">
            <v>68.193045541971756</v>
          </cell>
          <cell r="M594">
            <v>5439.2000275628388</v>
          </cell>
          <cell r="N594">
            <v>68.193045541971756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6">
          <cell r="C596" t="str">
            <v>A0059</v>
          </cell>
          <cell r="D596" t="str">
            <v>PT Federal Izumi Manufacturing</v>
          </cell>
          <cell r="E596" t="str">
            <v>PEB 1</v>
          </cell>
          <cell r="M596">
            <v>0</v>
          </cell>
          <cell r="N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E597" t="str">
            <v>PEB 2</v>
          </cell>
          <cell r="M597">
            <v>0</v>
          </cell>
          <cell r="N597">
            <v>0</v>
          </cell>
        </row>
        <row r="598">
          <cell r="E598" t="str">
            <v>PEB 3</v>
          </cell>
          <cell r="M598">
            <v>0</v>
          </cell>
          <cell r="N598">
            <v>0</v>
          </cell>
        </row>
        <row r="599">
          <cell r="E599" t="str">
            <v>PEB 4</v>
          </cell>
          <cell r="M599">
            <v>0</v>
          </cell>
          <cell r="N599">
            <v>0</v>
          </cell>
        </row>
        <row r="600">
          <cell r="E600" t="str">
            <v>PEB 5</v>
          </cell>
          <cell r="M600">
            <v>0</v>
          </cell>
          <cell r="N600">
            <v>0</v>
          </cell>
        </row>
        <row r="601">
          <cell r="E601" t="str">
            <v>PEB 6</v>
          </cell>
          <cell r="M601">
            <v>0</v>
          </cell>
          <cell r="N601">
            <v>0</v>
          </cell>
        </row>
        <row r="602">
          <cell r="E602" t="str">
            <v>PEB 7 / TB</v>
          </cell>
          <cell r="M602">
            <v>0</v>
          </cell>
          <cell r="N602">
            <v>0</v>
          </cell>
        </row>
        <row r="603">
          <cell r="E603" t="str">
            <v>MPP</v>
          </cell>
          <cell r="M603">
            <v>0</v>
          </cell>
          <cell r="N603">
            <v>0</v>
          </cell>
        </row>
        <row r="604">
          <cell r="E604" t="str">
            <v>ID</v>
          </cell>
          <cell r="M604">
            <v>0</v>
          </cell>
          <cell r="N604">
            <v>0</v>
          </cell>
        </row>
        <row r="605">
          <cell r="E605" t="str">
            <v>LL</v>
          </cell>
          <cell r="M605">
            <v>0</v>
          </cell>
          <cell r="N605">
            <v>0</v>
          </cell>
        </row>
        <row r="606">
          <cell r="E606" t="str">
            <v>PMK</v>
          </cell>
          <cell r="M606">
            <v>0</v>
          </cell>
          <cell r="N606">
            <v>0</v>
          </cell>
        </row>
        <row r="608">
          <cell r="C608" t="str">
            <v>A0274</v>
          </cell>
          <cell r="D608" t="str">
            <v>PT Federal Nittan Industries</v>
          </cell>
          <cell r="E608" t="str">
            <v>PEB 1</v>
          </cell>
          <cell r="M608">
            <v>0</v>
          </cell>
          <cell r="N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1435.1066927373322</v>
          </cell>
          <cell r="U608">
            <v>135.58528699490702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955.96310267670265</v>
          </cell>
          <cell r="AA608">
            <v>90.317000324021095</v>
          </cell>
          <cell r="AB608">
            <v>933.89647867946178</v>
          </cell>
          <cell r="AC608">
            <v>88.232200940939833</v>
          </cell>
          <cell r="AD608">
            <v>2503.8213900970545</v>
          </cell>
          <cell r="AE608">
            <v>236.55477566811933</v>
          </cell>
          <cell r="AF608">
            <v>551.07088619830813</v>
          </cell>
          <cell r="AG608">
            <v>942.757101564084</v>
          </cell>
          <cell r="AH608">
            <v>3711.6306860366317</v>
          </cell>
          <cell r="AI608">
            <v>485.53801313544375</v>
          </cell>
        </row>
        <row r="609">
          <cell r="E609" t="str">
            <v>PEB 2</v>
          </cell>
          <cell r="M609">
            <v>0</v>
          </cell>
          <cell r="N609">
            <v>0</v>
          </cell>
        </row>
        <row r="610">
          <cell r="E610" t="str">
            <v>PEB 3</v>
          </cell>
          <cell r="M610">
            <v>0</v>
          </cell>
          <cell r="N610">
            <v>0</v>
          </cell>
        </row>
        <row r="611">
          <cell r="E611" t="str">
            <v>PEB 4</v>
          </cell>
          <cell r="G611">
            <v>1435.1066927373322</v>
          </cell>
          <cell r="H611">
            <v>135.58528699490702</v>
          </cell>
          <cell r="M611">
            <v>1435.1066927373322</v>
          </cell>
          <cell r="N611">
            <v>135.58528699490702</v>
          </cell>
        </row>
        <row r="612">
          <cell r="E612" t="str">
            <v>PEB 5</v>
          </cell>
          <cell r="M612">
            <v>0</v>
          </cell>
          <cell r="N612">
            <v>0</v>
          </cell>
        </row>
        <row r="613">
          <cell r="E613" t="str">
            <v>PEB 6</v>
          </cell>
          <cell r="M613">
            <v>0</v>
          </cell>
          <cell r="N613">
            <v>0</v>
          </cell>
        </row>
        <row r="614">
          <cell r="E614" t="str">
            <v>PEB 7 / TB</v>
          </cell>
          <cell r="G614">
            <v>955.96310267670265</v>
          </cell>
          <cell r="H614">
            <v>90.317000324021095</v>
          </cell>
          <cell r="M614">
            <v>955.96310267670265</v>
          </cell>
          <cell r="N614">
            <v>90.317000324021095</v>
          </cell>
        </row>
        <row r="615">
          <cell r="E615" t="str">
            <v>MPP</v>
          </cell>
          <cell r="G615">
            <v>933.89647867946178</v>
          </cell>
          <cell r="H615">
            <v>88.232200940939833</v>
          </cell>
          <cell r="M615">
            <v>933.89647867946178</v>
          </cell>
          <cell r="N615">
            <v>88.232200940939833</v>
          </cell>
        </row>
        <row r="616">
          <cell r="E616" t="str">
            <v>ID</v>
          </cell>
          <cell r="G616">
            <v>2503.8213900970545</v>
          </cell>
          <cell r="H616">
            <v>236.55477566811933</v>
          </cell>
          <cell r="M616">
            <v>2503.8213900970545</v>
          </cell>
          <cell r="N616">
            <v>236.55477566811933</v>
          </cell>
        </row>
        <row r="617">
          <cell r="E617" t="str">
            <v>LL</v>
          </cell>
          <cell r="G617">
            <v>551.07088619830813</v>
          </cell>
          <cell r="H617">
            <v>942.757101564084</v>
          </cell>
          <cell r="M617">
            <v>551.07088619830813</v>
          </cell>
          <cell r="N617">
            <v>942.757101564084</v>
          </cell>
        </row>
        <row r="618">
          <cell r="E618" t="str">
            <v>PMK</v>
          </cell>
          <cell r="G618">
            <v>3711.6306860366317</v>
          </cell>
          <cell r="H618">
            <v>485.53801313544375</v>
          </cell>
          <cell r="M618">
            <v>3711.6306860366317</v>
          </cell>
          <cell r="N618">
            <v>485.53801313544375</v>
          </cell>
        </row>
        <row r="620">
          <cell r="C620" t="str">
            <v>A0275</v>
          </cell>
          <cell r="D620" t="str">
            <v>PT Fuji Technica Indonesia</v>
          </cell>
          <cell r="E620" t="str">
            <v>PEB 1</v>
          </cell>
          <cell r="M620">
            <v>0</v>
          </cell>
          <cell r="N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E621" t="str">
            <v>PEB 2</v>
          </cell>
          <cell r="M621">
            <v>0</v>
          </cell>
          <cell r="N621">
            <v>0</v>
          </cell>
        </row>
        <row r="622">
          <cell r="E622" t="str">
            <v>PEB 3</v>
          </cell>
          <cell r="M622">
            <v>0</v>
          </cell>
          <cell r="N622">
            <v>0</v>
          </cell>
        </row>
        <row r="623">
          <cell r="E623" t="str">
            <v>PEB 4</v>
          </cell>
          <cell r="M623">
            <v>0</v>
          </cell>
          <cell r="N623">
            <v>0</v>
          </cell>
        </row>
        <row r="624">
          <cell r="E624" t="str">
            <v>PEB 5</v>
          </cell>
          <cell r="M624">
            <v>0</v>
          </cell>
          <cell r="N624">
            <v>0</v>
          </cell>
        </row>
        <row r="625">
          <cell r="E625" t="str">
            <v>PEB 6</v>
          </cell>
          <cell r="M625">
            <v>0</v>
          </cell>
          <cell r="N625">
            <v>0</v>
          </cell>
        </row>
        <row r="626">
          <cell r="E626" t="str">
            <v>PEB 7 / TB</v>
          </cell>
          <cell r="M626">
            <v>0</v>
          </cell>
          <cell r="N626">
            <v>0</v>
          </cell>
        </row>
        <row r="627">
          <cell r="E627" t="str">
            <v>MPP</v>
          </cell>
          <cell r="M627">
            <v>0</v>
          </cell>
          <cell r="N627">
            <v>0</v>
          </cell>
        </row>
        <row r="628">
          <cell r="E628" t="str">
            <v>ID</v>
          </cell>
          <cell r="M628">
            <v>0</v>
          </cell>
          <cell r="N628">
            <v>0</v>
          </cell>
        </row>
        <row r="629">
          <cell r="E629" t="str">
            <v>LL</v>
          </cell>
          <cell r="M629">
            <v>0</v>
          </cell>
          <cell r="N629">
            <v>0</v>
          </cell>
        </row>
        <row r="630">
          <cell r="E630" t="str">
            <v>PMK</v>
          </cell>
          <cell r="M630">
            <v>0</v>
          </cell>
          <cell r="N630">
            <v>0</v>
          </cell>
        </row>
        <row r="632">
          <cell r="C632" t="str">
            <v>A0065</v>
          </cell>
          <cell r="D632" t="str">
            <v>PT Gaya Motor</v>
          </cell>
          <cell r="E632" t="str">
            <v>PEB 1</v>
          </cell>
          <cell r="M632">
            <v>0</v>
          </cell>
          <cell r="N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E633" t="str">
            <v>PEB 2</v>
          </cell>
          <cell r="M633">
            <v>0</v>
          </cell>
          <cell r="N633">
            <v>0</v>
          </cell>
        </row>
        <row r="634">
          <cell r="E634" t="str">
            <v>PEB 3</v>
          </cell>
          <cell r="M634">
            <v>0</v>
          </cell>
          <cell r="N634">
            <v>0</v>
          </cell>
        </row>
        <row r="635">
          <cell r="E635" t="str">
            <v>PEB 4</v>
          </cell>
          <cell r="M635">
            <v>0</v>
          </cell>
          <cell r="N635">
            <v>0</v>
          </cell>
        </row>
        <row r="636">
          <cell r="E636" t="str">
            <v>PEB 5</v>
          </cell>
          <cell r="M636">
            <v>0</v>
          </cell>
          <cell r="N636">
            <v>0</v>
          </cell>
        </row>
        <row r="637">
          <cell r="E637" t="str">
            <v>PEB 6</v>
          </cell>
          <cell r="M637">
            <v>0</v>
          </cell>
          <cell r="N637">
            <v>0</v>
          </cell>
        </row>
        <row r="638">
          <cell r="E638" t="str">
            <v>PEB 7 / TB</v>
          </cell>
          <cell r="M638">
            <v>0</v>
          </cell>
          <cell r="N638">
            <v>0</v>
          </cell>
        </row>
        <row r="639">
          <cell r="E639" t="str">
            <v>MPP</v>
          </cell>
          <cell r="M639">
            <v>0</v>
          </cell>
          <cell r="N639">
            <v>0</v>
          </cell>
        </row>
        <row r="640">
          <cell r="E640" t="str">
            <v>ID</v>
          </cell>
          <cell r="M640">
            <v>0</v>
          </cell>
          <cell r="N640">
            <v>0</v>
          </cell>
        </row>
        <row r="641">
          <cell r="E641" t="str">
            <v>LL</v>
          </cell>
          <cell r="M641">
            <v>0</v>
          </cell>
          <cell r="N641">
            <v>0</v>
          </cell>
        </row>
        <row r="642">
          <cell r="E642" t="str">
            <v>PMK</v>
          </cell>
          <cell r="M642">
            <v>0</v>
          </cell>
          <cell r="N642">
            <v>0</v>
          </cell>
        </row>
        <row r="644">
          <cell r="C644" t="str">
            <v>A0070</v>
          </cell>
          <cell r="D644" t="str">
            <v>PT GS Battery</v>
          </cell>
          <cell r="E644" t="str">
            <v>PEB 1</v>
          </cell>
          <cell r="G644">
            <v>3574244.7049250002</v>
          </cell>
          <cell r="H644">
            <v>113166.85839752568</v>
          </cell>
          <cell r="M644">
            <v>3574244.7049250002</v>
          </cell>
          <cell r="N644">
            <v>113166.85839752568</v>
          </cell>
          <cell r="P644">
            <v>0</v>
          </cell>
          <cell r="Q644">
            <v>0</v>
          </cell>
          <cell r="R644">
            <v>294349.5278254007</v>
          </cell>
          <cell r="S644">
            <v>9319.6224894441402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165744.03750000001</v>
          </cell>
          <cell r="AC644">
            <v>5247.7470264281383</v>
          </cell>
          <cell r="AD644">
            <v>0</v>
          </cell>
          <cell r="AE644">
            <v>0</v>
          </cell>
          <cell r="AF644">
            <v>68718.205455167772</v>
          </cell>
          <cell r="AG644">
            <v>43386.905000000006</v>
          </cell>
          <cell r="AH644">
            <v>0</v>
          </cell>
          <cell r="AI644">
            <v>0</v>
          </cell>
        </row>
        <row r="645">
          <cell r="E645" t="str">
            <v>PEB 2</v>
          </cell>
          <cell r="M645">
            <v>0</v>
          </cell>
          <cell r="N645">
            <v>0</v>
          </cell>
        </row>
        <row r="646">
          <cell r="E646" t="str">
            <v>PEB 3</v>
          </cell>
          <cell r="G646">
            <v>294349.5278254007</v>
          </cell>
          <cell r="H646">
            <v>9319.6224894441402</v>
          </cell>
          <cell r="M646">
            <v>294349.5278254007</v>
          </cell>
          <cell r="N646">
            <v>9319.6224894441402</v>
          </cell>
        </row>
        <row r="647">
          <cell r="E647" t="str">
            <v>PEB 4</v>
          </cell>
          <cell r="M647">
            <v>0</v>
          </cell>
          <cell r="N647">
            <v>0</v>
          </cell>
        </row>
        <row r="648">
          <cell r="E648" t="str">
            <v>PEB 5</v>
          </cell>
          <cell r="M648">
            <v>0</v>
          </cell>
          <cell r="N648">
            <v>0</v>
          </cell>
        </row>
        <row r="649">
          <cell r="E649" t="str">
            <v>PEB 6</v>
          </cell>
          <cell r="M649">
            <v>0</v>
          </cell>
          <cell r="N649">
            <v>0</v>
          </cell>
        </row>
        <row r="650">
          <cell r="E650" t="str">
            <v>PEB 7 / TB</v>
          </cell>
          <cell r="G650">
            <v>0</v>
          </cell>
          <cell r="H650">
            <v>0</v>
          </cell>
          <cell r="M650">
            <v>0</v>
          </cell>
          <cell r="N650">
            <v>0</v>
          </cell>
        </row>
        <row r="651">
          <cell r="E651" t="str">
            <v>MPP</v>
          </cell>
          <cell r="G651">
            <v>165744.03750000001</v>
          </cell>
          <cell r="H651">
            <v>5247.7470264281383</v>
          </cell>
          <cell r="M651">
            <v>165744.03750000001</v>
          </cell>
          <cell r="N651">
            <v>5247.7470264281383</v>
          </cell>
        </row>
        <row r="652">
          <cell r="E652" t="str">
            <v>ID</v>
          </cell>
          <cell r="G652">
            <v>0</v>
          </cell>
          <cell r="H652">
            <v>0</v>
          </cell>
          <cell r="M652">
            <v>0</v>
          </cell>
          <cell r="N652">
            <v>0</v>
          </cell>
        </row>
        <row r="653">
          <cell r="E653" t="str">
            <v>LL</v>
          </cell>
          <cell r="G653">
            <v>68718.205455167772</v>
          </cell>
          <cell r="H653">
            <v>43386.905000000006</v>
          </cell>
          <cell r="M653">
            <v>68718.205455167772</v>
          </cell>
          <cell r="N653">
            <v>43386.905000000006</v>
          </cell>
        </row>
        <row r="654">
          <cell r="E654" t="str">
            <v>PMK</v>
          </cell>
          <cell r="G654">
            <v>0</v>
          </cell>
          <cell r="H654">
            <v>0</v>
          </cell>
          <cell r="M654">
            <v>0</v>
          </cell>
          <cell r="N654">
            <v>0</v>
          </cell>
        </row>
        <row r="656">
          <cell r="C656" t="str">
            <v>A0254</v>
          </cell>
          <cell r="D656" t="str">
            <v>PT Gunung Sejahtera Dua Indah</v>
          </cell>
          <cell r="E656" t="str">
            <v>PEB 1</v>
          </cell>
          <cell r="M656">
            <v>0</v>
          </cell>
          <cell r="N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E657" t="str">
            <v>PEB 2</v>
          </cell>
          <cell r="M657">
            <v>0</v>
          </cell>
          <cell r="N657">
            <v>0</v>
          </cell>
        </row>
        <row r="658">
          <cell r="E658" t="str">
            <v>PEB 3</v>
          </cell>
          <cell r="M658">
            <v>0</v>
          </cell>
          <cell r="N658">
            <v>0</v>
          </cell>
        </row>
        <row r="659">
          <cell r="E659" t="str">
            <v>PEB 4</v>
          </cell>
          <cell r="M659">
            <v>0</v>
          </cell>
          <cell r="N659">
            <v>0</v>
          </cell>
        </row>
        <row r="660">
          <cell r="E660" t="str">
            <v>PEB 5</v>
          </cell>
          <cell r="M660">
            <v>0</v>
          </cell>
          <cell r="N660">
            <v>0</v>
          </cell>
        </row>
        <row r="661">
          <cell r="E661" t="str">
            <v>PEB 6</v>
          </cell>
          <cell r="M661">
            <v>0</v>
          </cell>
          <cell r="N661">
            <v>0</v>
          </cell>
        </row>
        <row r="662">
          <cell r="E662" t="str">
            <v>PEB 7 / TB</v>
          </cell>
          <cell r="M662">
            <v>0</v>
          </cell>
          <cell r="N662">
            <v>0</v>
          </cell>
        </row>
        <row r="663">
          <cell r="E663" t="str">
            <v>MPP</v>
          </cell>
          <cell r="M663">
            <v>0</v>
          </cell>
          <cell r="N663">
            <v>0</v>
          </cell>
        </row>
        <row r="664">
          <cell r="E664" t="str">
            <v>ID</v>
          </cell>
          <cell r="M664">
            <v>0</v>
          </cell>
          <cell r="N664">
            <v>0</v>
          </cell>
        </row>
        <row r="665">
          <cell r="E665" t="str">
            <v>LL</v>
          </cell>
          <cell r="M665">
            <v>0</v>
          </cell>
          <cell r="N665">
            <v>0</v>
          </cell>
        </row>
        <row r="666">
          <cell r="E666" t="str">
            <v>PMK</v>
          </cell>
          <cell r="M666">
            <v>0</v>
          </cell>
          <cell r="N666">
            <v>0</v>
          </cell>
        </row>
        <row r="668">
          <cell r="C668" t="str">
            <v>A0256</v>
          </cell>
          <cell r="D668" t="str">
            <v>PT Gunung Sejahtera Ibu Pertiwi</v>
          </cell>
          <cell r="E668" t="str">
            <v>PEB 1</v>
          </cell>
          <cell r="M668">
            <v>0</v>
          </cell>
          <cell r="N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</row>
        <row r="669">
          <cell r="E669" t="str">
            <v>PEB 2</v>
          </cell>
          <cell r="M669">
            <v>0</v>
          </cell>
          <cell r="N669">
            <v>0</v>
          </cell>
        </row>
        <row r="670">
          <cell r="E670" t="str">
            <v>PEB 3</v>
          </cell>
          <cell r="M670">
            <v>0</v>
          </cell>
          <cell r="N670">
            <v>0</v>
          </cell>
        </row>
        <row r="671">
          <cell r="E671" t="str">
            <v>PEB 4</v>
          </cell>
          <cell r="M671">
            <v>0</v>
          </cell>
          <cell r="N671">
            <v>0</v>
          </cell>
        </row>
        <row r="672">
          <cell r="E672" t="str">
            <v>PEB 5</v>
          </cell>
          <cell r="M672">
            <v>0</v>
          </cell>
          <cell r="N672">
            <v>0</v>
          </cell>
        </row>
        <row r="673">
          <cell r="E673" t="str">
            <v>PEB 6</v>
          </cell>
          <cell r="M673">
            <v>0</v>
          </cell>
          <cell r="N673">
            <v>0</v>
          </cell>
        </row>
        <row r="674">
          <cell r="E674" t="str">
            <v>PEB 7 / TB</v>
          </cell>
          <cell r="M674">
            <v>0</v>
          </cell>
          <cell r="N674">
            <v>0</v>
          </cell>
        </row>
        <row r="675">
          <cell r="E675" t="str">
            <v>MPP</v>
          </cell>
          <cell r="M675">
            <v>0</v>
          </cell>
          <cell r="N675">
            <v>0</v>
          </cell>
        </row>
        <row r="676">
          <cell r="E676" t="str">
            <v>ID</v>
          </cell>
          <cell r="M676">
            <v>0</v>
          </cell>
          <cell r="N676">
            <v>0</v>
          </cell>
        </row>
        <row r="677">
          <cell r="E677" t="str">
            <v>LL</v>
          </cell>
          <cell r="M677">
            <v>0</v>
          </cell>
          <cell r="N677">
            <v>0</v>
          </cell>
        </row>
        <row r="678">
          <cell r="E678" t="str">
            <v>PMK</v>
          </cell>
          <cell r="M678">
            <v>0</v>
          </cell>
          <cell r="N678">
            <v>0</v>
          </cell>
        </row>
        <row r="680">
          <cell r="C680" t="str">
            <v>A0250</v>
          </cell>
          <cell r="D680" t="str">
            <v>PT Gunung Sejahtera Puti Pesona</v>
          </cell>
          <cell r="E680" t="str">
            <v>PEB 1</v>
          </cell>
          <cell r="M680">
            <v>0</v>
          </cell>
          <cell r="N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</row>
        <row r="681">
          <cell r="E681" t="str">
            <v>PEB 2</v>
          </cell>
          <cell r="M681">
            <v>0</v>
          </cell>
          <cell r="N681">
            <v>0</v>
          </cell>
        </row>
        <row r="682">
          <cell r="E682" t="str">
            <v>PEB 3</v>
          </cell>
          <cell r="M682">
            <v>0</v>
          </cell>
          <cell r="N682">
            <v>0</v>
          </cell>
        </row>
        <row r="683">
          <cell r="E683" t="str">
            <v>PEB 4</v>
          </cell>
          <cell r="M683">
            <v>0</v>
          </cell>
          <cell r="N683">
            <v>0</v>
          </cell>
        </row>
        <row r="684">
          <cell r="E684" t="str">
            <v>PEB 5</v>
          </cell>
          <cell r="M684">
            <v>0</v>
          </cell>
          <cell r="N684">
            <v>0</v>
          </cell>
        </row>
        <row r="685">
          <cell r="E685" t="str">
            <v>PEB 6</v>
          </cell>
          <cell r="M685">
            <v>0</v>
          </cell>
          <cell r="N685">
            <v>0</v>
          </cell>
        </row>
        <row r="686">
          <cell r="E686" t="str">
            <v>PEB 7 / TB</v>
          </cell>
          <cell r="M686">
            <v>0</v>
          </cell>
          <cell r="N686">
            <v>0</v>
          </cell>
        </row>
        <row r="687">
          <cell r="E687" t="str">
            <v>MPP</v>
          </cell>
          <cell r="M687">
            <v>0</v>
          </cell>
          <cell r="N687">
            <v>0</v>
          </cell>
        </row>
        <row r="688">
          <cell r="E688" t="str">
            <v>ID</v>
          </cell>
          <cell r="M688">
            <v>0</v>
          </cell>
          <cell r="N688">
            <v>0</v>
          </cell>
        </row>
        <row r="689">
          <cell r="E689" t="str">
            <v>LL</v>
          </cell>
          <cell r="M689">
            <v>0</v>
          </cell>
          <cell r="N689">
            <v>0</v>
          </cell>
        </row>
        <row r="690">
          <cell r="E690" t="str">
            <v>PMK</v>
          </cell>
          <cell r="M690">
            <v>0</v>
          </cell>
          <cell r="N690">
            <v>0</v>
          </cell>
        </row>
        <row r="692">
          <cell r="C692" t="str">
            <v>A0252</v>
          </cell>
          <cell r="D692" t="str">
            <v>PT Gunung Sejahtera Yoli Makmur</v>
          </cell>
          <cell r="E692" t="str">
            <v>PEB 1</v>
          </cell>
          <cell r="M692">
            <v>0</v>
          </cell>
          <cell r="N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</row>
        <row r="693">
          <cell r="E693" t="str">
            <v>PEB 2</v>
          </cell>
          <cell r="M693">
            <v>0</v>
          </cell>
          <cell r="N693">
            <v>0</v>
          </cell>
        </row>
        <row r="694">
          <cell r="E694" t="str">
            <v>PEB 3</v>
          </cell>
          <cell r="M694">
            <v>0</v>
          </cell>
          <cell r="N694">
            <v>0</v>
          </cell>
        </row>
        <row r="695">
          <cell r="E695" t="str">
            <v>PEB 4</v>
          </cell>
          <cell r="M695">
            <v>0</v>
          </cell>
          <cell r="N695">
            <v>0</v>
          </cell>
        </row>
        <row r="696">
          <cell r="E696" t="str">
            <v>PEB 5</v>
          </cell>
          <cell r="M696">
            <v>0</v>
          </cell>
          <cell r="N696">
            <v>0</v>
          </cell>
        </row>
        <row r="697">
          <cell r="E697" t="str">
            <v>PEB 6</v>
          </cell>
          <cell r="M697">
            <v>0</v>
          </cell>
          <cell r="N697">
            <v>0</v>
          </cell>
        </row>
        <row r="698">
          <cell r="E698" t="str">
            <v>PEB 7 / TB</v>
          </cell>
          <cell r="M698">
            <v>0</v>
          </cell>
          <cell r="N698">
            <v>0</v>
          </cell>
        </row>
        <row r="699">
          <cell r="E699" t="str">
            <v>MPP</v>
          </cell>
          <cell r="M699">
            <v>0</v>
          </cell>
          <cell r="N699">
            <v>0</v>
          </cell>
        </row>
        <row r="700">
          <cell r="E700" t="str">
            <v>ID</v>
          </cell>
          <cell r="M700">
            <v>0</v>
          </cell>
          <cell r="N700">
            <v>0</v>
          </cell>
        </row>
        <row r="701">
          <cell r="E701" t="str">
            <v>LL</v>
          </cell>
          <cell r="M701">
            <v>0</v>
          </cell>
          <cell r="N701">
            <v>0</v>
          </cell>
        </row>
        <row r="702">
          <cell r="E702" t="str">
            <v>PMK</v>
          </cell>
          <cell r="M702">
            <v>0</v>
          </cell>
          <cell r="N702">
            <v>0</v>
          </cell>
        </row>
        <row r="704">
          <cell r="C704" t="str">
            <v>A0077</v>
          </cell>
          <cell r="D704" t="str">
            <v>PT Indokarlo Perkasa</v>
          </cell>
          <cell r="E704" t="str">
            <v>PEB 1</v>
          </cell>
          <cell r="M704">
            <v>0</v>
          </cell>
          <cell r="N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</row>
        <row r="705">
          <cell r="E705" t="str">
            <v>PEB 2</v>
          </cell>
          <cell r="M705">
            <v>0</v>
          </cell>
          <cell r="N705">
            <v>0</v>
          </cell>
        </row>
        <row r="706">
          <cell r="E706" t="str">
            <v>PEB 3</v>
          </cell>
          <cell r="M706">
            <v>0</v>
          </cell>
          <cell r="N706">
            <v>0</v>
          </cell>
        </row>
        <row r="707">
          <cell r="E707" t="str">
            <v>PEB 4</v>
          </cell>
          <cell r="M707">
            <v>0</v>
          </cell>
          <cell r="N707">
            <v>0</v>
          </cell>
        </row>
        <row r="708">
          <cell r="E708" t="str">
            <v>PEB 5</v>
          </cell>
          <cell r="M708">
            <v>0</v>
          </cell>
          <cell r="N708">
            <v>0</v>
          </cell>
        </row>
        <row r="709">
          <cell r="E709" t="str">
            <v>PEB 6</v>
          </cell>
          <cell r="M709">
            <v>0</v>
          </cell>
          <cell r="N709">
            <v>0</v>
          </cell>
        </row>
        <row r="710">
          <cell r="E710" t="str">
            <v>PEB 7 / TB</v>
          </cell>
          <cell r="M710">
            <v>0</v>
          </cell>
          <cell r="N710">
            <v>0</v>
          </cell>
        </row>
        <row r="711">
          <cell r="E711" t="str">
            <v>MPP</v>
          </cell>
          <cell r="M711">
            <v>0</v>
          </cell>
          <cell r="N711">
            <v>0</v>
          </cell>
        </row>
        <row r="712">
          <cell r="E712" t="str">
            <v>ID</v>
          </cell>
          <cell r="M712">
            <v>0</v>
          </cell>
          <cell r="N712">
            <v>0</v>
          </cell>
        </row>
        <row r="713">
          <cell r="E713" t="str">
            <v>LL</v>
          </cell>
          <cell r="M713">
            <v>0</v>
          </cell>
          <cell r="N713">
            <v>0</v>
          </cell>
        </row>
        <row r="714">
          <cell r="E714" t="str">
            <v>PMK</v>
          </cell>
          <cell r="M714">
            <v>0</v>
          </cell>
          <cell r="N714">
            <v>0</v>
          </cell>
        </row>
        <row r="716">
          <cell r="C716" t="str">
            <v>A0079</v>
          </cell>
          <cell r="D716" t="str">
            <v>PT Intertel Nusaperdana</v>
          </cell>
          <cell r="E716" t="str">
            <v>PEB 1</v>
          </cell>
          <cell r="M716">
            <v>0</v>
          </cell>
          <cell r="N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</row>
        <row r="717">
          <cell r="E717" t="str">
            <v>PEB 2</v>
          </cell>
          <cell r="M717">
            <v>0</v>
          </cell>
          <cell r="N717">
            <v>0</v>
          </cell>
        </row>
        <row r="718">
          <cell r="E718" t="str">
            <v>PEB 3</v>
          </cell>
          <cell r="M718">
            <v>0</v>
          </cell>
          <cell r="N718">
            <v>0</v>
          </cell>
        </row>
        <row r="719">
          <cell r="E719" t="str">
            <v>PEB 4</v>
          </cell>
          <cell r="M719">
            <v>0</v>
          </cell>
          <cell r="N719">
            <v>0</v>
          </cell>
        </row>
        <row r="720">
          <cell r="E720" t="str">
            <v>PEB 5</v>
          </cell>
          <cell r="M720">
            <v>0</v>
          </cell>
          <cell r="N720">
            <v>0</v>
          </cell>
        </row>
        <row r="721">
          <cell r="E721" t="str">
            <v>PEB 6</v>
          </cell>
          <cell r="M721">
            <v>0</v>
          </cell>
          <cell r="N721">
            <v>0</v>
          </cell>
        </row>
        <row r="722">
          <cell r="E722" t="str">
            <v>PEB 7 / TB</v>
          </cell>
          <cell r="M722">
            <v>0</v>
          </cell>
          <cell r="N722">
            <v>0</v>
          </cell>
        </row>
        <row r="723">
          <cell r="E723" t="str">
            <v>MPP</v>
          </cell>
          <cell r="M723">
            <v>0</v>
          </cell>
          <cell r="N723">
            <v>0</v>
          </cell>
        </row>
        <row r="724">
          <cell r="E724" t="str">
            <v>ID</v>
          </cell>
          <cell r="M724">
            <v>0</v>
          </cell>
          <cell r="N724">
            <v>0</v>
          </cell>
        </row>
        <row r="725">
          <cell r="E725" t="str">
            <v>LL</v>
          </cell>
          <cell r="M725">
            <v>0</v>
          </cell>
          <cell r="N725">
            <v>0</v>
          </cell>
        </row>
        <row r="726">
          <cell r="E726" t="str">
            <v>PMK</v>
          </cell>
          <cell r="M726">
            <v>0</v>
          </cell>
          <cell r="N726">
            <v>0</v>
          </cell>
        </row>
        <row r="728">
          <cell r="C728" t="str">
            <v>A0081</v>
          </cell>
          <cell r="D728" t="str">
            <v>PT Inti Pantja Press Industry</v>
          </cell>
          <cell r="E728" t="str">
            <v>PEB 1</v>
          </cell>
          <cell r="M728">
            <v>0</v>
          </cell>
          <cell r="N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</row>
        <row r="729">
          <cell r="E729" t="str">
            <v>PEB 2</v>
          </cell>
          <cell r="M729">
            <v>0</v>
          </cell>
          <cell r="N729">
            <v>0</v>
          </cell>
        </row>
        <row r="730">
          <cell r="E730" t="str">
            <v>PEB 3</v>
          </cell>
          <cell r="M730">
            <v>0</v>
          </cell>
          <cell r="N730">
            <v>0</v>
          </cell>
        </row>
        <row r="731">
          <cell r="E731" t="str">
            <v>PEB 4</v>
          </cell>
          <cell r="M731">
            <v>0</v>
          </cell>
          <cell r="N731">
            <v>0</v>
          </cell>
        </row>
        <row r="732">
          <cell r="E732" t="str">
            <v>PEB 5</v>
          </cell>
          <cell r="M732">
            <v>0</v>
          </cell>
          <cell r="N732">
            <v>0</v>
          </cell>
        </row>
        <row r="733">
          <cell r="E733" t="str">
            <v>PEB 6</v>
          </cell>
          <cell r="M733">
            <v>0</v>
          </cell>
          <cell r="N733">
            <v>0</v>
          </cell>
        </row>
        <row r="734">
          <cell r="E734" t="str">
            <v>PEB 7 / TB</v>
          </cell>
          <cell r="M734">
            <v>0</v>
          </cell>
          <cell r="N734">
            <v>0</v>
          </cell>
        </row>
        <row r="735">
          <cell r="E735" t="str">
            <v>MPP</v>
          </cell>
          <cell r="M735">
            <v>0</v>
          </cell>
          <cell r="N735">
            <v>0</v>
          </cell>
        </row>
        <row r="736">
          <cell r="E736" t="str">
            <v>ID</v>
          </cell>
          <cell r="M736">
            <v>0</v>
          </cell>
          <cell r="N736">
            <v>0</v>
          </cell>
        </row>
        <row r="737">
          <cell r="E737" t="str">
            <v>LL</v>
          </cell>
          <cell r="M737">
            <v>0</v>
          </cell>
          <cell r="N737">
            <v>0</v>
          </cell>
        </row>
        <row r="738">
          <cell r="E738" t="str">
            <v>PMK</v>
          </cell>
          <cell r="M738">
            <v>0</v>
          </cell>
          <cell r="N738">
            <v>0</v>
          </cell>
        </row>
        <row r="740">
          <cell r="C740" t="str">
            <v>A0115</v>
          </cell>
          <cell r="D740" t="str">
            <v>PT Isuzu Astra Motor Indonesia (d/h Pantja Motor)</v>
          </cell>
          <cell r="E740" t="str">
            <v>PEB 1</v>
          </cell>
          <cell r="G740">
            <v>0</v>
          </cell>
          <cell r="H740">
            <v>0</v>
          </cell>
          <cell r="M740">
            <v>0</v>
          </cell>
          <cell r="N740">
            <v>0</v>
          </cell>
          <cell r="P740">
            <v>72267</v>
          </cell>
          <cell r="Q740">
            <v>2229.3514991554052</v>
          </cell>
          <cell r="R740">
            <v>0</v>
          </cell>
          <cell r="S740">
            <v>0</v>
          </cell>
          <cell r="T740">
            <v>181595.10812876813</v>
          </cell>
          <cell r="U740">
            <v>2035.8601269015303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6018.2474602760512</v>
          </cell>
          <cell r="AC740">
            <v>694.30350122104471</v>
          </cell>
          <cell r="AD740">
            <v>9556.5455936132166</v>
          </cell>
          <cell r="AE740">
            <v>1102.5041939567991</v>
          </cell>
          <cell r="AF740">
            <v>10847.300999315547</v>
          </cell>
          <cell r="AG740">
            <v>4489.4920000000002</v>
          </cell>
          <cell r="AH740">
            <v>6455.8919622855465</v>
          </cell>
          <cell r="AI740">
            <v>744.79296880126208</v>
          </cell>
        </row>
        <row r="741">
          <cell r="E741" t="str">
            <v>PEB 2</v>
          </cell>
          <cell r="G741">
            <v>72267</v>
          </cell>
          <cell r="H741">
            <v>2229.3514991554052</v>
          </cell>
          <cell r="M741">
            <v>72267</v>
          </cell>
          <cell r="N741">
            <v>2229.3514991554052</v>
          </cell>
        </row>
        <row r="742">
          <cell r="E742" t="str">
            <v>PEB 3</v>
          </cell>
          <cell r="G742">
            <v>0</v>
          </cell>
          <cell r="H742">
            <v>0</v>
          </cell>
          <cell r="M742">
            <v>0</v>
          </cell>
          <cell r="N742">
            <v>0</v>
          </cell>
        </row>
        <row r="743">
          <cell r="E743" t="str">
            <v>PEB 4</v>
          </cell>
          <cell r="G743">
            <v>181595.10812876813</v>
          </cell>
          <cell r="H743">
            <v>2035.8601269015303</v>
          </cell>
          <cell r="M743">
            <v>181595.10812876813</v>
          </cell>
          <cell r="N743">
            <v>2035.8601269015303</v>
          </cell>
        </row>
        <row r="744">
          <cell r="E744" t="str">
            <v>PEB 5</v>
          </cell>
          <cell r="G744">
            <v>0</v>
          </cell>
          <cell r="H744">
            <v>0</v>
          </cell>
          <cell r="M744">
            <v>0</v>
          </cell>
          <cell r="N744">
            <v>0</v>
          </cell>
        </row>
        <row r="745">
          <cell r="E745" t="str">
            <v>PEB 6</v>
          </cell>
          <cell r="G745">
            <v>0</v>
          </cell>
          <cell r="H745">
            <v>0</v>
          </cell>
          <cell r="M745">
            <v>0</v>
          </cell>
          <cell r="N745">
            <v>0</v>
          </cell>
        </row>
        <row r="746">
          <cell r="E746" t="str">
            <v>PEB 7 / TB</v>
          </cell>
          <cell r="G746">
            <v>0</v>
          </cell>
          <cell r="H746">
            <v>0</v>
          </cell>
          <cell r="M746">
            <v>0</v>
          </cell>
          <cell r="N746">
            <v>0</v>
          </cell>
        </row>
        <row r="747">
          <cell r="E747" t="str">
            <v>MPP</v>
          </cell>
          <cell r="G747">
            <v>6018.2474602760512</v>
          </cell>
          <cell r="H747">
            <v>694.30350122104471</v>
          </cell>
          <cell r="M747">
            <v>6018.2474602760512</v>
          </cell>
          <cell r="N747">
            <v>694.30350122104471</v>
          </cell>
        </row>
        <row r="748">
          <cell r="E748" t="str">
            <v>ID</v>
          </cell>
          <cell r="G748">
            <v>9556.5455936132166</v>
          </cell>
          <cell r="H748">
            <v>1102.5041939567991</v>
          </cell>
          <cell r="M748">
            <v>9556.5455936132166</v>
          </cell>
          <cell r="N748">
            <v>1102.5041939567991</v>
          </cell>
        </row>
        <row r="749">
          <cell r="E749" t="str">
            <v>LL</v>
          </cell>
          <cell r="G749">
            <v>10847.300999315547</v>
          </cell>
          <cell r="H749">
            <v>4489.4920000000002</v>
          </cell>
          <cell r="M749">
            <v>10847.300999315547</v>
          </cell>
          <cell r="N749">
            <v>4489.4920000000002</v>
          </cell>
        </row>
        <row r="750">
          <cell r="E750" t="str">
            <v>PMK</v>
          </cell>
          <cell r="G750">
            <v>6455.8919622855465</v>
          </cell>
          <cell r="H750">
            <v>744.79296880126208</v>
          </cell>
          <cell r="M750">
            <v>6455.8919622855465</v>
          </cell>
          <cell r="N750">
            <v>744.79296880126208</v>
          </cell>
        </row>
        <row r="752">
          <cell r="C752" t="str">
            <v>A0360</v>
          </cell>
          <cell r="D752" t="str">
            <v>PT Kalimantan Prima Persada</v>
          </cell>
          <cell r="E752" t="str">
            <v>PEB 1</v>
          </cell>
          <cell r="G752">
            <v>455400.71665890369</v>
          </cell>
          <cell r="H752">
            <v>21661.824314077385</v>
          </cell>
          <cell r="M752">
            <v>455400.71665890369</v>
          </cell>
          <cell r="N752">
            <v>21661.824314077385</v>
          </cell>
          <cell r="P752">
            <v>0</v>
          </cell>
          <cell r="Q752">
            <v>0</v>
          </cell>
          <cell r="R752">
            <v>18052.529666614308</v>
          </cell>
          <cell r="S752">
            <v>802.57078151634403</v>
          </cell>
          <cell r="T752">
            <v>220642.98621398769</v>
          </cell>
          <cell r="U752">
            <v>26446.958011179686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18377.692942216156</v>
          </cell>
          <cell r="AA752">
            <v>2047.6961265024554</v>
          </cell>
          <cell r="AB752">
            <v>71625.156457215257</v>
          </cell>
          <cell r="AC752">
            <v>6282.6114790183783</v>
          </cell>
          <cell r="AD752">
            <v>61339.588589697225</v>
          </cell>
          <cell r="AE752">
            <v>6527.0620819466176</v>
          </cell>
          <cell r="AF752">
            <v>68671.015734179804</v>
          </cell>
          <cell r="AG752">
            <v>24969.184166626488</v>
          </cell>
          <cell r="AH752">
            <v>119493.21505858334</v>
          </cell>
          <cell r="AI752">
            <v>11846.132368236204</v>
          </cell>
        </row>
        <row r="753">
          <cell r="E753" t="str">
            <v>PEB 2</v>
          </cell>
          <cell r="G753">
            <v>0</v>
          </cell>
          <cell r="H753">
            <v>0</v>
          </cell>
          <cell r="M753">
            <v>0</v>
          </cell>
          <cell r="N753">
            <v>0</v>
          </cell>
        </row>
        <row r="754">
          <cell r="E754" t="str">
            <v>PEB 3</v>
          </cell>
          <cell r="G754">
            <v>18052.529666614308</v>
          </cell>
          <cell r="H754">
            <v>802.57078151634403</v>
          </cell>
          <cell r="M754">
            <v>18052.529666614308</v>
          </cell>
          <cell r="N754">
            <v>802.57078151634403</v>
          </cell>
        </row>
        <row r="755">
          <cell r="E755" t="str">
            <v>PEB 4</v>
          </cell>
          <cell r="G755">
            <v>220642.98621398769</v>
          </cell>
          <cell r="H755">
            <v>26446.958011179686</v>
          </cell>
          <cell r="M755">
            <v>220642.98621398769</v>
          </cell>
          <cell r="N755">
            <v>26446.958011179686</v>
          </cell>
        </row>
        <row r="756">
          <cell r="E756" t="str">
            <v>PEB 5</v>
          </cell>
          <cell r="G756">
            <v>0</v>
          </cell>
          <cell r="H756">
            <v>0</v>
          </cell>
          <cell r="M756">
            <v>0</v>
          </cell>
          <cell r="N756">
            <v>0</v>
          </cell>
        </row>
        <row r="757">
          <cell r="E757" t="str">
            <v>PEB 6</v>
          </cell>
          <cell r="G757">
            <v>0</v>
          </cell>
          <cell r="H757">
            <v>0</v>
          </cell>
          <cell r="M757">
            <v>0</v>
          </cell>
          <cell r="N757">
            <v>0</v>
          </cell>
        </row>
        <row r="758">
          <cell r="E758" t="str">
            <v>PEB 7 / TB</v>
          </cell>
          <cell r="G758">
            <v>18377.692942216156</v>
          </cell>
          <cell r="H758">
            <v>2047.6961265024554</v>
          </cell>
          <cell r="M758">
            <v>18377.692942216156</v>
          </cell>
          <cell r="N758">
            <v>2047.6961265024554</v>
          </cell>
        </row>
        <row r="759">
          <cell r="E759" t="str">
            <v>MPP</v>
          </cell>
          <cell r="G759">
            <v>71625.156457215257</v>
          </cell>
          <cell r="H759">
            <v>6282.6114790183783</v>
          </cell>
          <cell r="M759">
            <v>71625.156457215257</v>
          </cell>
          <cell r="N759">
            <v>6282.6114790183783</v>
          </cell>
        </row>
        <row r="760">
          <cell r="E760" t="str">
            <v>ID</v>
          </cell>
          <cell r="G760">
            <v>61339.588589697225</v>
          </cell>
          <cell r="H760">
            <v>6527.0620819466176</v>
          </cell>
          <cell r="M760">
            <v>61339.588589697225</v>
          </cell>
          <cell r="N760">
            <v>6527.0620819466176</v>
          </cell>
        </row>
        <row r="761">
          <cell r="E761" t="str">
            <v>LL</v>
          </cell>
          <cell r="G761">
            <v>68671.015734179804</v>
          </cell>
          <cell r="H761">
            <v>24969.184166626488</v>
          </cell>
          <cell r="M761">
            <v>68671.015734179804</v>
          </cell>
          <cell r="N761">
            <v>24969.184166626488</v>
          </cell>
        </row>
        <row r="762">
          <cell r="E762" t="str">
            <v>PMK</v>
          </cell>
          <cell r="G762">
            <v>119493.21505858334</v>
          </cell>
          <cell r="H762">
            <v>11846.132368236204</v>
          </cell>
          <cell r="M762">
            <v>119493.21505858334</v>
          </cell>
          <cell r="N762">
            <v>11846.132368236204</v>
          </cell>
        </row>
        <row r="764">
          <cell r="C764" t="str">
            <v>A0350</v>
          </cell>
          <cell r="D764" t="str">
            <v>PT Karya Nusa Eka Daya</v>
          </cell>
          <cell r="E764" t="str">
            <v>PEB 1</v>
          </cell>
          <cell r="M764">
            <v>0</v>
          </cell>
          <cell r="N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</row>
        <row r="765">
          <cell r="E765" t="str">
            <v>PEB 2</v>
          </cell>
          <cell r="M765">
            <v>0</v>
          </cell>
          <cell r="N765">
            <v>0</v>
          </cell>
        </row>
        <row r="766">
          <cell r="E766" t="str">
            <v>PEB 3</v>
          </cell>
          <cell r="M766">
            <v>0</v>
          </cell>
          <cell r="N766">
            <v>0</v>
          </cell>
        </row>
        <row r="767">
          <cell r="E767" t="str">
            <v>PEB 4</v>
          </cell>
          <cell r="M767">
            <v>0</v>
          </cell>
          <cell r="N767">
            <v>0</v>
          </cell>
        </row>
        <row r="768">
          <cell r="E768" t="str">
            <v>PEB 5</v>
          </cell>
          <cell r="M768">
            <v>0</v>
          </cell>
          <cell r="N768">
            <v>0</v>
          </cell>
        </row>
        <row r="769">
          <cell r="E769" t="str">
            <v>PEB 6</v>
          </cell>
          <cell r="M769">
            <v>0</v>
          </cell>
          <cell r="N769">
            <v>0</v>
          </cell>
        </row>
        <row r="770">
          <cell r="E770" t="str">
            <v>PEB 7 / TB</v>
          </cell>
          <cell r="M770">
            <v>0</v>
          </cell>
          <cell r="N770">
            <v>0</v>
          </cell>
        </row>
        <row r="771">
          <cell r="E771" t="str">
            <v>MPP</v>
          </cell>
          <cell r="M771">
            <v>0</v>
          </cell>
          <cell r="N771">
            <v>0</v>
          </cell>
        </row>
        <row r="772">
          <cell r="E772" t="str">
            <v>ID</v>
          </cell>
          <cell r="M772">
            <v>0</v>
          </cell>
          <cell r="N772">
            <v>0</v>
          </cell>
        </row>
        <row r="773">
          <cell r="E773" t="str">
            <v>LL</v>
          </cell>
          <cell r="M773">
            <v>0</v>
          </cell>
          <cell r="N773">
            <v>0</v>
          </cell>
        </row>
        <row r="774">
          <cell r="E774" t="str">
            <v>PMK</v>
          </cell>
          <cell r="M774">
            <v>0</v>
          </cell>
          <cell r="N774">
            <v>0</v>
          </cell>
        </row>
        <row r="776">
          <cell r="C776" t="str">
            <v>A0083</v>
          </cell>
          <cell r="D776" t="str">
            <v>PT Karya Tanah Subur</v>
          </cell>
          <cell r="E776" t="str">
            <v>PEB 1</v>
          </cell>
          <cell r="M776">
            <v>0</v>
          </cell>
          <cell r="N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</row>
        <row r="777">
          <cell r="E777" t="str">
            <v>PEB 2</v>
          </cell>
          <cell r="M777">
            <v>0</v>
          </cell>
          <cell r="N777">
            <v>0</v>
          </cell>
        </row>
        <row r="778">
          <cell r="E778" t="str">
            <v>PEB 3</v>
          </cell>
          <cell r="M778">
            <v>0</v>
          </cell>
          <cell r="N778">
            <v>0</v>
          </cell>
        </row>
        <row r="779">
          <cell r="E779" t="str">
            <v>PEB 4</v>
          </cell>
          <cell r="M779">
            <v>0</v>
          </cell>
          <cell r="N779">
            <v>0</v>
          </cell>
        </row>
        <row r="780">
          <cell r="E780" t="str">
            <v>PEB 5</v>
          </cell>
          <cell r="M780">
            <v>0</v>
          </cell>
          <cell r="N780">
            <v>0</v>
          </cell>
        </row>
        <row r="781">
          <cell r="E781" t="str">
            <v>PEB 6</v>
          </cell>
          <cell r="M781">
            <v>0</v>
          </cell>
          <cell r="N781">
            <v>0</v>
          </cell>
        </row>
        <row r="782">
          <cell r="E782" t="str">
            <v>PEB 7 / TB</v>
          </cell>
          <cell r="M782">
            <v>0</v>
          </cell>
          <cell r="N782">
            <v>0</v>
          </cell>
        </row>
        <row r="783">
          <cell r="E783" t="str">
            <v>MPP</v>
          </cell>
          <cell r="M783">
            <v>0</v>
          </cell>
          <cell r="N783">
            <v>0</v>
          </cell>
        </row>
        <row r="784">
          <cell r="E784" t="str">
            <v>ID</v>
          </cell>
          <cell r="M784">
            <v>0</v>
          </cell>
          <cell r="N784">
            <v>0</v>
          </cell>
        </row>
        <row r="785">
          <cell r="E785" t="str">
            <v>LL</v>
          </cell>
          <cell r="M785">
            <v>0</v>
          </cell>
          <cell r="N785">
            <v>0</v>
          </cell>
        </row>
        <row r="786">
          <cell r="E786" t="str">
            <v>PMK</v>
          </cell>
          <cell r="M786">
            <v>0</v>
          </cell>
          <cell r="N786">
            <v>0</v>
          </cell>
        </row>
        <row r="788">
          <cell r="C788" t="str">
            <v>A0084</v>
          </cell>
          <cell r="D788" t="str">
            <v>PT Kayaba Indonesia</v>
          </cell>
          <cell r="E788" t="str">
            <v>PEB 1</v>
          </cell>
          <cell r="M788">
            <v>0</v>
          </cell>
          <cell r="N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</row>
        <row r="789">
          <cell r="E789" t="str">
            <v>PEB 2</v>
          </cell>
          <cell r="M789">
            <v>0</v>
          </cell>
          <cell r="N789">
            <v>0</v>
          </cell>
        </row>
        <row r="790">
          <cell r="E790" t="str">
            <v>PEB 3</v>
          </cell>
          <cell r="M790">
            <v>0</v>
          </cell>
          <cell r="N790">
            <v>0</v>
          </cell>
        </row>
        <row r="791">
          <cell r="E791" t="str">
            <v>PEB 4</v>
          </cell>
          <cell r="M791">
            <v>0</v>
          </cell>
          <cell r="N791">
            <v>0</v>
          </cell>
        </row>
        <row r="792">
          <cell r="E792" t="str">
            <v>PEB 5</v>
          </cell>
          <cell r="M792">
            <v>0</v>
          </cell>
          <cell r="N792">
            <v>0</v>
          </cell>
        </row>
        <row r="793">
          <cell r="E793" t="str">
            <v>PEB 6</v>
          </cell>
          <cell r="M793">
            <v>0</v>
          </cell>
          <cell r="N793">
            <v>0</v>
          </cell>
        </row>
        <row r="794">
          <cell r="E794" t="str">
            <v>PEB 7 / TB</v>
          </cell>
          <cell r="M794">
            <v>0</v>
          </cell>
          <cell r="N794">
            <v>0</v>
          </cell>
        </row>
        <row r="795">
          <cell r="E795" t="str">
            <v>MPP</v>
          </cell>
          <cell r="M795">
            <v>0</v>
          </cell>
          <cell r="N795">
            <v>0</v>
          </cell>
        </row>
        <row r="796">
          <cell r="E796" t="str">
            <v>ID</v>
          </cell>
          <cell r="M796">
            <v>0</v>
          </cell>
          <cell r="N796">
            <v>0</v>
          </cell>
        </row>
        <row r="797">
          <cell r="E797" t="str">
            <v>LL</v>
          </cell>
          <cell r="M797">
            <v>0</v>
          </cell>
          <cell r="N797">
            <v>0</v>
          </cell>
        </row>
        <row r="798">
          <cell r="E798" t="str">
            <v>PMK</v>
          </cell>
          <cell r="M798">
            <v>0</v>
          </cell>
          <cell r="N798">
            <v>0</v>
          </cell>
        </row>
        <row r="800">
          <cell r="C800" t="str">
            <v>A0086</v>
          </cell>
          <cell r="D800" t="str">
            <v>PT Kimia Tirta Utama</v>
          </cell>
          <cell r="E800" t="str">
            <v>PEB 1</v>
          </cell>
          <cell r="M800">
            <v>0</v>
          </cell>
          <cell r="N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</row>
        <row r="801">
          <cell r="E801" t="str">
            <v>PEB 2</v>
          </cell>
          <cell r="M801">
            <v>0</v>
          </cell>
          <cell r="N801">
            <v>0</v>
          </cell>
        </row>
        <row r="802">
          <cell r="E802" t="str">
            <v>PEB 3</v>
          </cell>
          <cell r="M802">
            <v>0</v>
          </cell>
          <cell r="N802">
            <v>0</v>
          </cell>
        </row>
        <row r="803">
          <cell r="E803" t="str">
            <v>PEB 4</v>
          </cell>
          <cell r="M803">
            <v>0</v>
          </cell>
          <cell r="N803">
            <v>0</v>
          </cell>
        </row>
        <row r="804">
          <cell r="E804" t="str">
            <v>PEB 5</v>
          </cell>
          <cell r="M804">
            <v>0</v>
          </cell>
          <cell r="N804">
            <v>0</v>
          </cell>
        </row>
        <row r="805">
          <cell r="E805" t="str">
            <v>PEB 6</v>
          </cell>
          <cell r="M805">
            <v>0</v>
          </cell>
          <cell r="N805">
            <v>0</v>
          </cell>
        </row>
        <row r="806">
          <cell r="E806" t="str">
            <v>PEB 7 / TB</v>
          </cell>
          <cell r="M806">
            <v>0</v>
          </cell>
          <cell r="N806">
            <v>0</v>
          </cell>
        </row>
        <row r="807">
          <cell r="E807" t="str">
            <v>MPP</v>
          </cell>
          <cell r="M807">
            <v>0</v>
          </cell>
          <cell r="N807">
            <v>0</v>
          </cell>
        </row>
        <row r="808">
          <cell r="E808" t="str">
            <v>ID</v>
          </cell>
          <cell r="M808">
            <v>0</v>
          </cell>
          <cell r="N808">
            <v>0</v>
          </cell>
        </row>
        <row r="809">
          <cell r="E809" t="str">
            <v>LL</v>
          </cell>
          <cell r="M809">
            <v>0</v>
          </cell>
          <cell r="N809">
            <v>0</v>
          </cell>
        </row>
        <row r="810">
          <cell r="E810" t="str">
            <v>PMK</v>
          </cell>
          <cell r="M810">
            <v>0</v>
          </cell>
          <cell r="N810">
            <v>0</v>
          </cell>
        </row>
        <row r="812">
          <cell r="C812" t="str">
            <v>A0378</v>
          </cell>
          <cell r="D812" t="str">
            <v>PT Komatsu Astra Finance</v>
          </cell>
          <cell r="E812" t="str">
            <v>PEB 1</v>
          </cell>
          <cell r="M812">
            <v>0</v>
          </cell>
          <cell r="N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</row>
        <row r="813">
          <cell r="E813" t="str">
            <v>PEB 2</v>
          </cell>
          <cell r="M813">
            <v>0</v>
          </cell>
          <cell r="N813">
            <v>0</v>
          </cell>
        </row>
        <row r="814">
          <cell r="E814" t="str">
            <v>PEB 3</v>
          </cell>
          <cell r="M814">
            <v>0</v>
          </cell>
          <cell r="N814">
            <v>0</v>
          </cell>
        </row>
        <row r="815">
          <cell r="E815" t="str">
            <v>PEB 4</v>
          </cell>
          <cell r="M815">
            <v>0</v>
          </cell>
          <cell r="N815">
            <v>0</v>
          </cell>
        </row>
        <row r="816">
          <cell r="E816" t="str">
            <v>PEB 5</v>
          </cell>
          <cell r="M816">
            <v>0</v>
          </cell>
          <cell r="N816">
            <v>0</v>
          </cell>
        </row>
        <row r="817">
          <cell r="E817" t="str">
            <v>PEB 6</v>
          </cell>
          <cell r="M817">
            <v>0</v>
          </cell>
          <cell r="N817">
            <v>0</v>
          </cell>
        </row>
        <row r="818">
          <cell r="E818" t="str">
            <v>PEB 7 / TB</v>
          </cell>
          <cell r="M818">
            <v>0</v>
          </cell>
          <cell r="N818">
            <v>0</v>
          </cell>
        </row>
        <row r="819">
          <cell r="E819" t="str">
            <v>MPP</v>
          </cell>
          <cell r="M819">
            <v>0</v>
          </cell>
          <cell r="N819">
            <v>0</v>
          </cell>
        </row>
        <row r="820">
          <cell r="E820" t="str">
            <v>ID</v>
          </cell>
          <cell r="M820">
            <v>0</v>
          </cell>
          <cell r="N820">
            <v>0</v>
          </cell>
        </row>
        <row r="821">
          <cell r="E821" t="str">
            <v>LL</v>
          </cell>
          <cell r="M821">
            <v>0</v>
          </cell>
          <cell r="N821">
            <v>0</v>
          </cell>
        </row>
        <row r="822">
          <cell r="E822" t="str">
            <v>PMK</v>
          </cell>
          <cell r="M822">
            <v>0</v>
          </cell>
          <cell r="N822">
            <v>0</v>
          </cell>
        </row>
        <row r="824">
          <cell r="C824" t="str">
            <v>A0328</v>
          </cell>
          <cell r="D824" t="str">
            <v>PT Komatsu Remanufacturing Asia</v>
          </cell>
          <cell r="E824" t="str">
            <v>PEB 1</v>
          </cell>
          <cell r="G824">
            <v>0</v>
          </cell>
          <cell r="H824">
            <v>0</v>
          </cell>
          <cell r="M824">
            <v>0</v>
          </cell>
          <cell r="N824">
            <v>0</v>
          </cell>
          <cell r="P824">
            <v>130734</v>
          </cell>
          <cell r="Q824">
            <v>10479</v>
          </cell>
          <cell r="R824">
            <v>0</v>
          </cell>
          <cell r="S824">
            <v>0</v>
          </cell>
          <cell r="T824">
            <v>519562</v>
          </cell>
          <cell r="U824">
            <v>9100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13747</v>
          </cell>
          <cell r="AA824">
            <v>1519</v>
          </cell>
          <cell r="AB824">
            <v>60012</v>
          </cell>
          <cell r="AC824">
            <v>4766</v>
          </cell>
          <cell r="AD824">
            <v>17135</v>
          </cell>
          <cell r="AE824">
            <v>3017</v>
          </cell>
          <cell r="AF824">
            <v>38388</v>
          </cell>
          <cell r="AG824">
            <v>12042</v>
          </cell>
          <cell r="AH824">
            <v>23941</v>
          </cell>
          <cell r="AI824">
            <v>3541</v>
          </cell>
        </row>
        <row r="825">
          <cell r="E825" t="str">
            <v>PEB 2</v>
          </cell>
          <cell r="G825">
            <v>130734</v>
          </cell>
          <cell r="H825">
            <v>10479</v>
          </cell>
          <cell r="M825">
            <v>130734</v>
          </cell>
          <cell r="N825">
            <v>10479</v>
          </cell>
        </row>
        <row r="826">
          <cell r="E826" t="str">
            <v>PEB 3</v>
          </cell>
          <cell r="G826">
            <v>0</v>
          </cell>
          <cell r="H826">
            <v>0</v>
          </cell>
          <cell r="M826">
            <v>0</v>
          </cell>
          <cell r="N826">
            <v>0</v>
          </cell>
        </row>
        <row r="827">
          <cell r="E827" t="str">
            <v>PEB 4</v>
          </cell>
          <cell r="G827">
            <v>519562</v>
          </cell>
          <cell r="H827">
            <v>9100</v>
          </cell>
          <cell r="M827">
            <v>519562</v>
          </cell>
          <cell r="N827">
            <v>9100</v>
          </cell>
        </row>
        <row r="828">
          <cell r="E828" t="str">
            <v>PEB 5</v>
          </cell>
          <cell r="G828">
            <v>0</v>
          </cell>
          <cell r="H828">
            <v>0</v>
          </cell>
          <cell r="M828">
            <v>0</v>
          </cell>
          <cell r="N828">
            <v>0</v>
          </cell>
        </row>
        <row r="829">
          <cell r="E829" t="str">
            <v>PEB 6</v>
          </cell>
          <cell r="M829">
            <v>0</v>
          </cell>
          <cell r="N829">
            <v>0</v>
          </cell>
        </row>
        <row r="830">
          <cell r="E830" t="str">
            <v>PEB 7 / TB</v>
          </cell>
          <cell r="G830">
            <v>13747</v>
          </cell>
          <cell r="H830">
            <v>1519</v>
          </cell>
          <cell r="M830">
            <v>13747</v>
          </cell>
          <cell r="N830">
            <v>1519</v>
          </cell>
        </row>
        <row r="831">
          <cell r="E831" t="str">
            <v>MPP</v>
          </cell>
          <cell r="G831">
            <v>60012</v>
          </cell>
          <cell r="H831">
            <v>4766</v>
          </cell>
          <cell r="M831">
            <v>60012</v>
          </cell>
          <cell r="N831">
            <v>4766</v>
          </cell>
        </row>
        <row r="832">
          <cell r="E832" t="str">
            <v>ID</v>
          </cell>
          <cell r="G832">
            <v>17135</v>
          </cell>
          <cell r="H832">
            <v>3017</v>
          </cell>
          <cell r="M832">
            <v>17135</v>
          </cell>
          <cell r="N832">
            <v>3017</v>
          </cell>
        </row>
        <row r="833">
          <cell r="E833" t="str">
            <v>LL</v>
          </cell>
          <cell r="G833">
            <v>38388</v>
          </cell>
          <cell r="H833">
            <v>12042</v>
          </cell>
          <cell r="M833">
            <v>38388</v>
          </cell>
          <cell r="N833">
            <v>12042</v>
          </cell>
        </row>
        <row r="834">
          <cell r="E834" t="str">
            <v>PMK</v>
          </cell>
          <cell r="G834">
            <v>23941</v>
          </cell>
          <cell r="H834">
            <v>3541</v>
          </cell>
          <cell r="M834">
            <v>23941</v>
          </cell>
          <cell r="N834">
            <v>3541</v>
          </cell>
        </row>
        <row r="836">
          <cell r="C836" t="str">
            <v>A0262</v>
          </cell>
          <cell r="D836" t="str">
            <v>PT Lestari Tani Teladan</v>
          </cell>
          <cell r="E836" t="str">
            <v>PEB 1</v>
          </cell>
          <cell r="M836">
            <v>0</v>
          </cell>
          <cell r="N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</row>
        <row r="837">
          <cell r="E837" t="str">
            <v>PEB 2</v>
          </cell>
          <cell r="M837">
            <v>0</v>
          </cell>
          <cell r="N837">
            <v>0</v>
          </cell>
        </row>
        <row r="838">
          <cell r="E838" t="str">
            <v>PEB 3</v>
          </cell>
          <cell r="M838">
            <v>0</v>
          </cell>
          <cell r="N838">
            <v>0</v>
          </cell>
        </row>
        <row r="839">
          <cell r="E839" t="str">
            <v>PEB 4</v>
          </cell>
          <cell r="M839">
            <v>0</v>
          </cell>
          <cell r="N839">
            <v>0</v>
          </cell>
        </row>
        <row r="840">
          <cell r="E840" t="str">
            <v>PEB 5</v>
          </cell>
          <cell r="M840">
            <v>0</v>
          </cell>
          <cell r="N840">
            <v>0</v>
          </cell>
        </row>
        <row r="841">
          <cell r="E841" t="str">
            <v>PEB 6</v>
          </cell>
          <cell r="M841">
            <v>0</v>
          </cell>
          <cell r="N841">
            <v>0</v>
          </cell>
        </row>
        <row r="842">
          <cell r="E842" t="str">
            <v>PEB 7 / TB</v>
          </cell>
          <cell r="M842">
            <v>0</v>
          </cell>
          <cell r="N842">
            <v>0</v>
          </cell>
        </row>
        <row r="843">
          <cell r="E843" t="str">
            <v>MPP</v>
          </cell>
          <cell r="M843">
            <v>0</v>
          </cell>
          <cell r="N843">
            <v>0</v>
          </cell>
        </row>
        <row r="844">
          <cell r="E844" t="str">
            <v>ID</v>
          </cell>
          <cell r="M844">
            <v>0</v>
          </cell>
          <cell r="N844">
            <v>0</v>
          </cell>
        </row>
        <row r="845">
          <cell r="E845" t="str">
            <v>LL</v>
          </cell>
          <cell r="M845">
            <v>0</v>
          </cell>
          <cell r="N845">
            <v>0</v>
          </cell>
        </row>
        <row r="846">
          <cell r="E846" t="str">
            <v>PMK</v>
          </cell>
          <cell r="M846">
            <v>0</v>
          </cell>
          <cell r="N846">
            <v>0</v>
          </cell>
        </row>
        <row r="848">
          <cell r="C848" t="str">
            <v>A0261</v>
          </cell>
          <cell r="D848" t="str">
            <v>PT LETAWA</v>
          </cell>
          <cell r="E848" t="str">
            <v>PEB 1</v>
          </cell>
          <cell r="M848">
            <v>0</v>
          </cell>
          <cell r="N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</row>
        <row r="849">
          <cell r="E849" t="str">
            <v>PEB 2</v>
          </cell>
          <cell r="M849">
            <v>0</v>
          </cell>
          <cell r="N849">
            <v>0</v>
          </cell>
        </row>
        <row r="850">
          <cell r="E850" t="str">
            <v>PEB 3</v>
          </cell>
          <cell r="M850">
            <v>0</v>
          </cell>
          <cell r="N850">
            <v>0</v>
          </cell>
        </row>
        <row r="851">
          <cell r="E851" t="str">
            <v>PEB 4</v>
          </cell>
          <cell r="M851">
            <v>0</v>
          </cell>
          <cell r="N851">
            <v>0</v>
          </cell>
        </row>
        <row r="852">
          <cell r="E852" t="str">
            <v>PEB 5</v>
          </cell>
          <cell r="M852">
            <v>0</v>
          </cell>
          <cell r="N852">
            <v>0</v>
          </cell>
        </row>
        <row r="853">
          <cell r="E853" t="str">
            <v>PEB 6</v>
          </cell>
          <cell r="M853">
            <v>0</v>
          </cell>
          <cell r="N853">
            <v>0</v>
          </cell>
        </row>
        <row r="854">
          <cell r="E854" t="str">
            <v>PEB 7 / TB</v>
          </cell>
          <cell r="M854">
            <v>0</v>
          </cell>
          <cell r="N854">
            <v>0</v>
          </cell>
        </row>
        <row r="855">
          <cell r="E855" t="str">
            <v>MPP</v>
          </cell>
          <cell r="M855">
            <v>0</v>
          </cell>
          <cell r="N855">
            <v>0</v>
          </cell>
        </row>
        <row r="856">
          <cell r="E856" t="str">
            <v>ID</v>
          </cell>
          <cell r="M856">
            <v>0</v>
          </cell>
          <cell r="N856">
            <v>0</v>
          </cell>
        </row>
        <row r="857">
          <cell r="E857" t="str">
            <v>LL</v>
          </cell>
          <cell r="M857">
            <v>0</v>
          </cell>
          <cell r="N857">
            <v>0</v>
          </cell>
        </row>
        <row r="858">
          <cell r="E858" t="str">
            <v>PMK</v>
          </cell>
          <cell r="M858">
            <v>0</v>
          </cell>
          <cell r="N858">
            <v>0</v>
          </cell>
        </row>
        <row r="860">
          <cell r="C860" t="str">
            <v>A0263</v>
          </cell>
          <cell r="D860" t="str">
            <v>PT Mamuang</v>
          </cell>
          <cell r="E860" t="str">
            <v>PEB 1</v>
          </cell>
          <cell r="M860">
            <v>0</v>
          </cell>
          <cell r="N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</row>
        <row r="861">
          <cell r="E861" t="str">
            <v>PEB 2</v>
          </cell>
          <cell r="M861">
            <v>0</v>
          </cell>
          <cell r="N861">
            <v>0</v>
          </cell>
        </row>
        <row r="862">
          <cell r="E862" t="str">
            <v>PEB 3</v>
          </cell>
          <cell r="M862">
            <v>0</v>
          </cell>
          <cell r="N862">
            <v>0</v>
          </cell>
        </row>
        <row r="863">
          <cell r="E863" t="str">
            <v>PEB 4</v>
          </cell>
          <cell r="M863">
            <v>0</v>
          </cell>
          <cell r="N863">
            <v>0</v>
          </cell>
        </row>
        <row r="864">
          <cell r="E864" t="str">
            <v>PEB 5</v>
          </cell>
          <cell r="M864">
            <v>0</v>
          </cell>
          <cell r="N864">
            <v>0</v>
          </cell>
        </row>
        <row r="865">
          <cell r="E865" t="str">
            <v>PEB 6</v>
          </cell>
          <cell r="M865">
            <v>0</v>
          </cell>
          <cell r="N865">
            <v>0</v>
          </cell>
        </row>
        <row r="866">
          <cell r="E866" t="str">
            <v>PEB 7 / TB</v>
          </cell>
          <cell r="M866">
            <v>0</v>
          </cell>
          <cell r="N866">
            <v>0</v>
          </cell>
        </row>
        <row r="867">
          <cell r="E867" t="str">
            <v>MPP</v>
          </cell>
          <cell r="M867">
            <v>0</v>
          </cell>
          <cell r="N867">
            <v>0</v>
          </cell>
        </row>
        <row r="868">
          <cell r="E868" t="str">
            <v>ID</v>
          </cell>
          <cell r="M868">
            <v>0</v>
          </cell>
          <cell r="N868">
            <v>0</v>
          </cell>
        </row>
        <row r="869">
          <cell r="E869" t="str">
            <v>LL</v>
          </cell>
          <cell r="M869">
            <v>0</v>
          </cell>
          <cell r="N869">
            <v>0</v>
          </cell>
        </row>
        <row r="870">
          <cell r="E870" t="str">
            <v>PMK</v>
          </cell>
          <cell r="M870">
            <v>0</v>
          </cell>
          <cell r="N870">
            <v>0</v>
          </cell>
        </row>
        <row r="872">
          <cell r="C872" t="str">
            <v>A0096</v>
          </cell>
          <cell r="D872" t="str">
            <v>PT Menara Terus Makmur</v>
          </cell>
          <cell r="E872" t="str">
            <v>PEB 1</v>
          </cell>
          <cell r="M872">
            <v>0</v>
          </cell>
          <cell r="N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</row>
        <row r="873">
          <cell r="E873" t="str">
            <v>PEB 2</v>
          </cell>
          <cell r="M873">
            <v>0</v>
          </cell>
          <cell r="N873">
            <v>0</v>
          </cell>
        </row>
        <row r="874">
          <cell r="E874" t="str">
            <v>PEB 3</v>
          </cell>
          <cell r="M874">
            <v>0</v>
          </cell>
          <cell r="N874">
            <v>0</v>
          </cell>
        </row>
        <row r="875">
          <cell r="E875" t="str">
            <v>PEB 4</v>
          </cell>
          <cell r="M875">
            <v>0</v>
          </cell>
          <cell r="N875">
            <v>0</v>
          </cell>
        </row>
        <row r="876">
          <cell r="E876" t="str">
            <v>PEB 5</v>
          </cell>
          <cell r="M876">
            <v>0</v>
          </cell>
          <cell r="N876">
            <v>0</v>
          </cell>
        </row>
        <row r="877">
          <cell r="E877" t="str">
            <v>PEB 6</v>
          </cell>
          <cell r="M877">
            <v>0</v>
          </cell>
          <cell r="N877">
            <v>0</v>
          </cell>
        </row>
        <row r="878">
          <cell r="E878" t="str">
            <v>PEB 7 / TB</v>
          </cell>
          <cell r="M878">
            <v>0</v>
          </cell>
          <cell r="N878">
            <v>0</v>
          </cell>
        </row>
        <row r="879">
          <cell r="E879" t="str">
            <v>MPP</v>
          </cell>
          <cell r="M879">
            <v>0</v>
          </cell>
          <cell r="N879">
            <v>0</v>
          </cell>
        </row>
        <row r="880">
          <cell r="E880" t="str">
            <v>ID</v>
          </cell>
          <cell r="M880">
            <v>0</v>
          </cell>
          <cell r="N880">
            <v>0</v>
          </cell>
        </row>
        <row r="881">
          <cell r="E881" t="str">
            <v>LL</v>
          </cell>
          <cell r="M881">
            <v>0</v>
          </cell>
          <cell r="N881">
            <v>0</v>
          </cell>
        </row>
        <row r="882">
          <cell r="E882" t="str">
            <v>PMK</v>
          </cell>
          <cell r="M882">
            <v>0</v>
          </cell>
          <cell r="N882">
            <v>0</v>
          </cell>
        </row>
        <row r="884">
          <cell r="C884" t="str">
            <v>A0097</v>
          </cell>
          <cell r="D884" t="str">
            <v>PT Mesin Isuzu Indonesia</v>
          </cell>
          <cell r="E884" t="str">
            <v>PEB 1</v>
          </cell>
          <cell r="M884">
            <v>0</v>
          </cell>
          <cell r="N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</row>
        <row r="885">
          <cell r="E885" t="str">
            <v>PEB 2</v>
          </cell>
          <cell r="M885">
            <v>0</v>
          </cell>
          <cell r="N885">
            <v>0</v>
          </cell>
        </row>
        <row r="886">
          <cell r="E886" t="str">
            <v>PEB 3</v>
          </cell>
          <cell r="M886">
            <v>0</v>
          </cell>
          <cell r="N886">
            <v>0</v>
          </cell>
        </row>
        <row r="887">
          <cell r="E887" t="str">
            <v>PEB 4</v>
          </cell>
          <cell r="M887">
            <v>0</v>
          </cell>
          <cell r="N887">
            <v>0</v>
          </cell>
        </row>
        <row r="888">
          <cell r="E888" t="str">
            <v>PEB 5</v>
          </cell>
          <cell r="M888">
            <v>0</v>
          </cell>
          <cell r="N888">
            <v>0</v>
          </cell>
        </row>
        <row r="889">
          <cell r="E889" t="str">
            <v>PEB 6</v>
          </cell>
          <cell r="M889">
            <v>0</v>
          </cell>
          <cell r="N889">
            <v>0</v>
          </cell>
        </row>
        <row r="890">
          <cell r="E890" t="str">
            <v>PEB 7 / TB</v>
          </cell>
          <cell r="M890">
            <v>0</v>
          </cell>
          <cell r="N890">
            <v>0</v>
          </cell>
        </row>
        <row r="891">
          <cell r="E891" t="str">
            <v>MPP</v>
          </cell>
          <cell r="M891">
            <v>0</v>
          </cell>
          <cell r="N891">
            <v>0</v>
          </cell>
        </row>
        <row r="892">
          <cell r="E892" t="str">
            <v>ID</v>
          </cell>
          <cell r="M892">
            <v>0</v>
          </cell>
          <cell r="N892">
            <v>0</v>
          </cell>
        </row>
        <row r="893">
          <cell r="E893" t="str">
            <v>LL</v>
          </cell>
          <cell r="M893">
            <v>0</v>
          </cell>
          <cell r="N893">
            <v>0</v>
          </cell>
        </row>
        <row r="894">
          <cell r="E894" t="str">
            <v>PMK</v>
          </cell>
          <cell r="M894">
            <v>0</v>
          </cell>
          <cell r="N894">
            <v>0</v>
          </cell>
        </row>
        <row r="896">
          <cell r="C896" t="str">
            <v>A0451</v>
          </cell>
          <cell r="D896" t="str">
            <v>PT Multi Prima Universal</v>
          </cell>
          <cell r="E896" t="str">
            <v>PEB 1</v>
          </cell>
          <cell r="G896">
            <v>1725238.2219004105</v>
          </cell>
          <cell r="H896">
            <v>87835.477964876802</v>
          </cell>
          <cell r="M896">
            <v>1725238.2219004105</v>
          </cell>
          <cell r="N896">
            <v>87835.477964876802</v>
          </cell>
          <cell r="P896">
            <v>640441.66688034183</v>
          </cell>
          <cell r="Q896">
            <v>33036.718621319043</v>
          </cell>
          <cell r="R896">
            <v>242832.68404143091</v>
          </cell>
          <cell r="S896">
            <v>12595.756042857862</v>
          </cell>
          <cell r="T896">
            <v>217.67432838266541</v>
          </cell>
          <cell r="U896">
            <v>14.598888806788199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36017.851272336658</v>
          </cell>
          <cell r="AA896">
            <v>1887.2019071057148</v>
          </cell>
          <cell r="AB896">
            <v>150602.66916191246</v>
          </cell>
          <cell r="AC896">
            <v>7778.175158957768</v>
          </cell>
          <cell r="AD896">
            <v>119038.08834917661</v>
          </cell>
          <cell r="AE896">
            <v>6181.4282360787493</v>
          </cell>
          <cell r="AF896">
            <v>88388.84857342203</v>
          </cell>
          <cell r="AG896">
            <v>32640.80297291531</v>
          </cell>
          <cell r="AH896">
            <v>45216.926711162843</v>
          </cell>
          <cell r="AI896">
            <v>4983.0797632863387</v>
          </cell>
        </row>
        <row r="897">
          <cell r="E897" t="str">
            <v>PEB 2</v>
          </cell>
          <cell r="G897">
            <v>640441.66688034183</v>
          </cell>
          <cell r="H897">
            <v>33036.718621319043</v>
          </cell>
          <cell r="M897">
            <v>640441.66688034183</v>
          </cell>
          <cell r="N897">
            <v>33036.718621319043</v>
          </cell>
        </row>
        <row r="898">
          <cell r="E898" t="str">
            <v>PEB 3</v>
          </cell>
          <cell r="G898">
            <v>242832.68404143091</v>
          </cell>
          <cell r="H898">
            <v>12595.756042857862</v>
          </cell>
          <cell r="M898">
            <v>242832.68404143091</v>
          </cell>
          <cell r="N898">
            <v>12595.756042857862</v>
          </cell>
        </row>
        <row r="899">
          <cell r="E899" t="str">
            <v>PEB 4</v>
          </cell>
          <cell r="G899">
            <v>217.67432838266541</v>
          </cell>
          <cell r="H899">
            <v>14.598888806788199</v>
          </cell>
          <cell r="M899">
            <v>217.67432838266541</v>
          </cell>
          <cell r="N899">
            <v>14.598888806788199</v>
          </cell>
        </row>
        <row r="900">
          <cell r="E900" t="str">
            <v>PEB 5</v>
          </cell>
          <cell r="G900">
            <v>0</v>
          </cell>
          <cell r="H900">
            <v>0</v>
          </cell>
          <cell r="M900">
            <v>0</v>
          </cell>
          <cell r="N900">
            <v>0</v>
          </cell>
        </row>
        <row r="901">
          <cell r="E901" t="str">
            <v>PEB 6</v>
          </cell>
          <cell r="G901">
            <v>0</v>
          </cell>
          <cell r="H901">
            <v>0</v>
          </cell>
          <cell r="M901">
            <v>0</v>
          </cell>
          <cell r="N901">
            <v>0</v>
          </cell>
        </row>
        <row r="902">
          <cell r="E902" t="str">
            <v>PEB 7 / TB</v>
          </cell>
          <cell r="G902">
            <v>36017.851272336658</v>
          </cell>
          <cell r="H902">
            <v>1887.2019071057148</v>
          </cell>
          <cell r="M902">
            <v>36017.851272336658</v>
          </cell>
          <cell r="N902">
            <v>1887.2019071057148</v>
          </cell>
        </row>
        <row r="903">
          <cell r="E903" t="str">
            <v>MPP</v>
          </cell>
          <cell r="G903">
            <v>150602.66916191246</v>
          </cell>
          <cell r="H903">
            <v>7778.175158957768</v>
          </cell>
          <cell r="M903">
            <v>150602.66916191246</v>
          </cell>
          <cell r="N903">
            <v>7778.175158957768</v>
          </cell>
        </row>
        <row r="904">
          <cell r="E904" t="str">
            <v>ID</v>
          </cell>
          <cell r="G904">
            <v>119038.08834917661</v>
          </cell>
          <cell r="H904">
            <v>6181.4282360787493</v>
          </cell>
          <cell r="M904">
            <v>119038.08834917661</v>
          </cell>
          <cell r="N904">
            <v>6181.4282360787493</v>
          </cell>
        </row>
        <row r="905">
          <cell r="E905" t="str">
            <v>LL</v>
          </cell>
          <cell r="G905">
            <v>88388.84857342203</v>
          </cell>
          <cell r="H905">
            <v>32640.80297291531</v>
          </cell>
          <cell r="M905">
            <v>88388.84857342203</v>
          </cell>
          <cell r="N905">
            <v>32640.80297291531</v>
          </cell>
        </row>
        <row r="906">
          <cell r="E906" t="str">
            <v>PMK</v>
          </cell>
          <cell r="G906">
            <v>45216.926711162843</v>
          </cell>
          <cell r="H906">
            <v>4983.0797632863387</v>
          </cell>
          <cell r="M906">
            <v>45216.926711162843</v>
          </cell>
          <cell r="N906">
            <v>4983.0797632863387</v>
          </cell>
        </row>
        <row r="908">
          <cell r="C908" t="str">
            <v>A0329</v>
          </cell>
          <cell r="D908" t="str">
            <v>PT Nirmala Agro Lestari</v>
          </cell>
          <cell r="E908" t="str">
            <v>PEB 1</v>
          </cell>
          <cell r="M908">
            <v>0</v>
          </cell>
          <cell r="N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</row>
        <row r="909">
          <cell r="E909" t="str">
            <v>PEB 2</v>
          </cell>
          <cell r="M909">
            <v>0</v>
          </cell>
          <cell r="N909">
            <v>0</v>
          </cell>
        </row>
        <row r="910">
          <cell r="E910" t="str">
            <v>PEB 3</v>
          </cell>
          <cell r="M910">
            <v>0</v>
          </cell>
          <cell r="N910">
            <v>0</v>
          </cell>
        </row>
        <row r="911">
          <cell r="E911" t="str">
            <v>PEB 4</v>
          </cell>
          <cell r="M911">
            <v>0</v>
          </cell>
          <cell r="N911">
            <v>0</v>
          </cell>
        </row>
        <row r="912">
          <cell r="E912" t="str">
            <v>PEB 5</v>
          </cell>
          <cell r="M912">
            <v>0</v>
          </cell>
          <cell r="N912">
            <v>0</v>
          </cell>
        </row>
        <row r="913">
          <cell r="E913" t="str">
            <v>PEB 6</v>
          </cell>
          <cell r="M913">
            <v>0</v>
          </cell>
          <cell r="N913">
            <v>0</v>
          </cell>
        </row>
        <row r="914">
          <cell r="E914" t="str">
            <v>PEB 7 / TB</v>
          </cell>
          <cell r="M914">
            <v>0</v>
          </cell>
          <cell r="N914">
            <v>0</v>
          </cell>
        </row>
        <row r="915">
          <cell r="E915" t="str">
            <v>MPP</v>
          </cell>
          <cell r="M915">
            <v>0</v>
          </cell>
          <cell r="N915">
            <v>0</v>
          </cell>
        </row>
        <row r="916">
          <cell r="E916" t="str">
            <v>ID</v>
          </cell>
          <cell r="M916">
            <v>0</v>
          </cell>
          <cell r="N916">
            <v>0</v>
          </cell>
        </row>
        <row r="917">
          <cell r="E917" t="str">
            <v>LL</v>
          </cell>
          <cell r="M917">
            <v>0</v>
          </cell>
          <cell r="N917">
            <v>0</v>
          </cell>
        </row>
        <row r="918">
          <cell r="E918" t="str">
            <v>PMK</v>
          </cell>
          <cell r="M918">
            <v>0</v>
          </cell>
          <cell r="N918">
            <v>0</v>
          </cell>
        </row>
        <row r="920">
          <cell r="C920" t="str">
            <v>A0345</v>
          </cell>
          <cell r="D920" t="str">
            <v>PT Nusa Keihin Indonesia</v>
          </cell>
          <cell r="E920" t="str">
            <v>PEB 1</v>
          </cell>
          <cell r="M920">
            <v>0</v>
          </cell>
          <cell r="N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</row>
        <row r="921">
          <cell r="E921" t="str">
            <v>PEB 2</v>
          </cell>
          <cell r="M921">
            <v>0</v>
          </cell>
          <cell r="N921">
            <v>0</v>
          </cell>
        </row>
        <row r="922">
          <cell r="E922" t="str">
            <v>PEB 3</v>
          </cell>
          <cell r="M922">
            <v>0</v>
          </cell>
          <cell r="N922">
            <v>0</v>
          </cell>
        </row>
        <row r="923">
          <cell r="E923" t="str">
            <v>PEB 4</v>
          </cell>
          <cell r="M923">
            <v>0</v>
          </cell>
          <cell r="N923">
            <v>0</v>
          </cell>
        </row>
        <row r="924">
          <cell r="E924" t="str">
            <v>PEB 5</v>
          </cell>
          <cell r="M924">
            <v>0</v>
          </cell>
          <cell r="N924">
            <v>0</v>
          </cell>
        </row>
        <row r="925">
          <cell r="E925" t="str">
            <v>PEB 6</v>
          </cell>
          <cell r="M925">
            <v>0</v>
          </cell>
          <cell r="N925">
            <v>0</v>
          </cell>
        </row>
        <row r="926">
          <cell r="E926" t="str">
            <v>PEB 7 / TB</v>
          </cell>
          <cell r="M926">
            <v>0</v>
          </cell>
          <cell r="N926">
            <v>0</v>
          </cell>
        </row>
        <row r="927">
          <cell r="E927" t="str">
            <v>MPP</v>
          </cell>
          <cell r="M927">
            <v>0</v>
          </cell>
          <cell r="N927">
            <v>0</v>
          </cell>
        </row>
        <row r="928">
          <cell r="E928" t="str">
            <v>ID</v>
          </cell>
          <cell r="M928">
            <v>0</v>
          </cell>
          <cell r="N928">
            <v>0</v>
          </cell>
        </row>
        <row r="929">
          <cell r="E929" t="str">
            <v>LL</v>
          </cell>
          <cell r="M929">
            <v>0</v>
          </cell>
          <cell r="N929">
            <v>0</v>
          </cell>
        </row>
        <row r="930">
          <cell r="E930" t="str">
            <v>PMK</v>
          </cell>
          <cell r="M930">
            <v>0</v>
          </cell>
          <cell r="N930">
            <v>0</v>
          </cell>
        </row>
        <row r="932">
          <cell r="C932" t="str">
            <v>A0231</v>
          </cell>
          <cell r="D932" t="str">
            <v>PT Pama Indo Mining</v>
          </cell>
          <cell r="E932" t="str">
            <v>PEB 1</v>
          </cell>
          <cell r="M932">
            <v>0</v>
          </cell>
          <cell r="N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</row>
        <row r="933">
          <cell r="E933" t="str">
            <v>PEB 2</v>
          </cell>
          <cell r="M933">
            <v>0</v>
          </cell>
          <cell r="N933">
            <v>0</v>
          </cell>
        </row>
        <row r="934">
          <cell r="E934" t="str">
            <v>PEB 3</v>
          </cell>
          <cell r="M934">
            <v>0</v>
          </cell>
          <cell r="N934">
            <v>0</v>
          </cell>
        </row>
        <row r="935">
          <cell r="E935" t="str">
            <v>PEB 4</v>
          </cell>
          <cell r="M935">
            <v>0</v>
          </cell>
          <cell r="N935">
            <v>0</v>
          </cell>
        </row>
        <row r="936">
          <cell r="E936" t="str">
            <v>PEB 5</v>
          </cell>
          <cell r="M936">
            <v>0</v>
          </cell>
          <cell r="N936">
            <v>0</v>
          </cell>
        </row>
        <row r="937">
          <cell r="E937" t="str">
            <v>PEB 6</v>
          </cell>
          <cell r="M937">
            <v>0</v>
          </cell>
          <cell r="N937">
            <v>0</v>
          </cell>
        </row>
        <row r="938">
          <cell r="E938" t="str">
            <v>PEB 7 / TB</v>
          </cell>
          <cell r="M938">
            <v>0</v>
          </cell>
          <cell r="N938">
            <v>0</v>
          </cell>
        </row>
        <row r="939">
          <cell r="E939" t="str">
            <v>MPP</v>
          </cell>
          <cell r="M939">
            <v>0</v>
          </cell>
          <cell r="N939">
            <v>0</v>
          </cell>
        </row>
        <row r="940">
          <cell r="E940" t="str">
            <v>ID</v>
          </cell>
          <cell r="M940">
            <v>0</v>
          </cell>
          <cell r="N940">
            <v>0</v>
          </cell>
        </row>
        <row r="941">
          <cell r="E941" t="str">
            <v>LL</v>
          </cell>
          <cell r="M941">
            <v>0</v>
          </cell>
          <cell r="N941">
            <v>0</v>
          </cell>
        </row>
        <row r="942">
          <cell r="E942" t="str">
            <v>PMK</v>
          </cell>
          <cell r="M942">
            <v>0</v>
          </cell>
          <cell r="N942">
            <v>0</v>
          </cell>
        </row>
        <row r="944">
          <cell r="C944" t="str">
            <v>A0112</v>
          </cell>
          <cell r="D944" t="str">
            <v>PT Pama Persada Nusantara</v>
          </cell>
          <cell r="E944" t="str">
            <v>PEB 1</v>
          </cell>
          <cell r="G944">
            <v>0</v>
          </cell>
          <cell r="H944">
            <v>0</v>
          </cell>
          <cell r="M944">
            <v>0</v>
          </cell>
          <cell r="N944">
            <v>0</v>
          </cell>
          <cell r="P944">
            <v>5030</v>
          </cell>
          <cell r="Q944">
            <v>1596</v>
          </cell>
          <cell r="R944">
            <v>0</v>
          </cell>
          <cell r="S944">
            <v>0</v>
          </cell>
          <cell r="T944">
            <v>68606</v>
          </cell>
          <cell r="U944">
            <v>4165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2159</v>
          </cell>
          <cell r="AA944">
            <v>685</v>
          </cell>
          <cell r="AB944">
            <v>2156</v>
          </cell>
          <cell r="AC944">
            <v>684</v>
          </cell>
          <cell r="AD944">
            <v>2257</v>
          </cell>
          <cell r="AE944">
            <v>716</v>
          </cell>
          <cell r="AF944">
            <v>7746</v>
          </cell>
          <cell r="AG944">
            <v>2459</v>
          </cell>
          <cell r="AH944">
            <v>3422</v>
          </cell>
          <cell r="AI944">
            <v>1086</v>
          </cell>
        </row>
        <row r="945">
          <cell r="E945" t="str">
            <v>PEB 2</v>
          </cell>
          <cell r="G945">
            <v>5030</v>
          </cell>
          <cell r="H945">
            <v>1596</v>
          </cell>
          <cell r="M945">
            <v>5030</v>
          </cell>
          <cell r="N945">
            <v>1596</v>
          </cell>
        </row>
        <row r="946">
          <cell r="E946" t="str">
            <v>PEB 3</v>
          </cell>
          <cell r="G946">
            <v>0</v>
          </cell>
          <cell r="H946">
            <v>0</v>
          </cell>
          <cell r="M946">
            <v>0</v>
          </cell>
          <cell r="N946">
            <v>0</v>
          </cell>
        </row>
        <row r="947">
          <cell r="E947" t="str">
            <v>PEB 4</v>
          </cell>
          <cell r="G947">
            <v>68606</v>
          </cell>
          <cell r="H947">
            <v>4165</v>
          </cell>
          <cell r="M947">
            <v>68606</v>
          </cell>
          <cell r="N947">
            <v>4165</v>
          </cell>
        </row>
        <row r="948">
          <cell r="E948" t="str">
            <v>PEB 5</v>
          </cell>
          <cell r="G948">
            <v>0</v>
          </cell>
          <cell r="H948">
            <v>0</v>
          </cell>
          <cell r="M948">
            <v>0</v>
          </cell>
          <cell r="N948">
            <v>0</v>
          </cell>
        </row>
        <row r="949">
          <cell r="E949" t="str">
            <v>PEB 6</v>
          </cell>
          <cell r="M949">
            <v>0</v>
          </cell>
          <cell r="N949">
            <v>0</v>
          </cell>
        </row>
        <row r="950">
          <cell r="E950" t="str">
            <v>PEB 7 / TB</v>
          </cell>
          <cell r="G950">
            <v>2159</v>
          </cell>
          <cell r="H950">
            <v>685</v>
          </cell>
          <cell r="M950">
            <v>2159</v>
          </cell>
          <cell r="N950">
            <v>685</v>
          </cell>
        </row>
        <row r="951">
          <cell r="E951" t="str">
            <v>MPP</v>
          </cell>
          <cell r="G951">
            <v>2156</v>
          </cell>
          <cell r="H951">
            <v>684</v>
          </cell>
          <cell r="M951">
            <v>2156</v>
          </cell>
          <cell r="N951">
            <v>684</v>
          </cell>
        </row>
        <row r="952">
          <cell r="E952" t="str">
            <v>ID</v>
          </cell>
          <cell r="G952">
            <v>2257</v>
          </cell>
          <cell r="H952">
            <v>716</v>
          </cell>
          <cell r="M952">
            <v>2257</v>
          </cell>
          <cell r="N952">
            <v>716</v>
          </cell>
        </row>
        <row r="953">
          <cell r="E953" t="str">
            <v>LL</v>
          </cell>
          <cell r="G953">
            <v>7746</v>
          </cell>
          <cell r="H953">
            <v>2459</v>
          </cell>
          <cell r="M953">
            <v>7746</v>
          </cell>
          <cell r="N953">
            <v>2459</v>
          </cell>
        </row>
        <row r="954">
          <cell r="E954" t="str">
            <v>PMK</v>
          </cell>
          <cell r="G954">
            <v>3422</v>
          </cell>
          <cell r="H954">
            <v>1086</v>
          </cell>
          <cell r="M954">
            <v>3422</v>
          </cell>
          <cell r="N954">
            <v>1086</v>
          </cell>
        </row>
        <row r="956">
          <cell r="C956" t="str">
            <v>A0258</v>
          </cell>
          <cell r="D956" t="str">
            <v>PT Pandji Waringin</v>
          </cell>
          <cell r="E956" t="str">
            <v>PEB 1</v>
          </cell>
          <cell r="M956">
            <v>0</v>
          </cell>
          <cell r="N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</row>
        <row r="957">
          <cell r="E957" t="str">
            <v>PEB 2</v>
          </cell>
          <cell r="M957">
            <v>0</v>
          </cell>
          <cell r="N957">
            <v>0</v>
          </cell>
        </row>
        <row r="958">
          <cell r="E958" t="str">
            <v>PEB 3</v>
          </cell>
          <cell r="M958">
            <v>0</v>
          </cell>
          <cell r="N958">
            <v>0</v>
          </cell>
        </row>
        <row r="959">
          <cell r="E959" t="str">
            <v>PEB 4</v>
          </cell>
          <cell r="M959">
            <v>0</v>
          </cell>
          <cell r="N959">
            <v>0</v>
          </cell>
        </row>
        <row r="960">
          <cell r="E960" t="str">
            <v>PEB 5</v>
          </cell>
          <cell r="M960">
            <v>0</v>
          </cell>
          <cell r="N960">
            <v>0</v>
          </cell>
        </row>
        <row r="961">
          <cell r="E961" t="str">
            <v>PEB 6</v>
          </cell>
          <cell r="M961">
            <v>0</v>
          </cell>
          <cell r="N961">
            <v>0</v>
          </cell>
        </row>
        <row r="962">
          <cell r="E962" t="str">
            <v>PEB 7 / TB</v>
          </cell>
          <cell r="M962">
            <v>0</v>
          </cell>
          <cell r="N962">
            <v>0</v>
          </cell>
        </row>
        <row r="963">
          <cell r="E963" t="str">
            <v>MPP</v>
          </cell>
          <cell r="M963">
            <v>0</v>
          </cell>
          <cell r="N963">
            <v>0</v>
          </cell>
        </row>
        <row r="964">
          <cell r="E964" t="str">
            <v>ID</v>
          </cell>
          <cell r="M964">
            <v>0</v>
          </cell>
          <cell r="N964">
            <v>0</v>
          </cell>
        </row>
        <row r="965">
          <cell r="E965" t="str">
            <v>LL</v>
          </cell>
          <cell r="M965">
            <v>0</v>
          </cell>
          <cell r="N965">
            <v>0</v>
          </cell>
        </row>
        <row r="966">
          <cell r="E966" t="str">
            <v>PMK</v>
          </cell>
          <cell r="M966">
            <v>0</v>
          </cell>
          <cell r="N966">
            <v>0</v>
          </cell>
        </row>
        <row r="968">
          <cell r="C968" t="str">
            <v>A0267</v>
          </cell>
          <cell r="D968" t="str">
            <v>PT Pasang Kayu</v>
          </cell>
          <cell r="E968" t="str">
            <v>PEB 1</v>
          </cell>
          <cell r="M968">
            <v>0</v>
          </cell>
          <cell r="N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</row>
        <row r="969">
          <cell r="E969" t="str">
            <v>PEB 2</v>
          </cell>
          <cell r="M969">
            <v>0</v>
          </cell>
          <cell r="N969">
            <v>0</v>
          </cell>
        </row>
        <row r="970">
          <cell r="E970" t="str">
            <v>PEB 3</v>
          </cell>
          <cell r="M970">
            <v>0</v>
          </cell>
          <cell r="N970">
            <v>0</v>
          </cell>
        </row>
        <row r="971">
          <cell r="E971" t="str">
            <v>PEB 4</v>
          </cell>
          <cell r="M971">
            <v>0</v>
          </cell>
          <cell r="N971">
            <v>0</v>
          </cell>
        </row>
        <row r="972">
          <cell r="E972" t="str">
            <v>PEB 5</v>
          </cell>
          <cell r="M972">
            <v>0</v>
          </cell>
          <cell r="N972">
            <v>0</v>
          </cell>
        </row>
        <row r="973">
          <cell r="E973" t="str">
            <v>PEB 6</v>
          </cell>
          <cell r="M973">
            <v>0</v>
          </cell>
          <cell r="N973">
            <v>0</v>
          </cell>
        </row>
        <row r="974">
          <cell r="E974" t="str">
            <v>PEB 7 / TB</v>
          </cell>
          <cell r="M974">
            <v>0</v>
          </cell>
          <cell r="N974">
            <v>0</v>
          </cell>
        </row>
        <row r="975">
          <cell r="E975" t="str">
            <v>MPP</v>
          </cell>
          <cell r="M975">
            <v>0</v>
          </cell>
          <cell r="N975">
            <v>0</v>
          </cell>
        </row>
        <row r="976">
          <cell r="E976" t="str">
            <v>ID</v>
          </cell>
          <cell r="M976">
            <v>0</v>
          </cell>
          <cell r="N976">
            <v>0</v>
          </cell>
        </row>
        <row r="977">
          <cell r="E977" t="str">
            <v>LL</v>
          </cell>
          <cell r="M977">
            <v>0</v>
          </cell>
          <cell r="N977">
            <v>0</v>
          </cell>
        </row>
        <row r="978">
          <cell r="E978" t="str">
            <v>PMK</v>
          </cell>
          <cell r="M978">
            <v>0</v>
          </cell>
          <cell r="N978">
            <v>0</v>
          </cell>
        </row>
        <row r="980">
          <cell r="C980" t="str">
            <v>A0117</v>
          </cell>
          <cell r="D980" t="str">
            <v>PT Perkebunan Lembah Bhakti</v>
          </cell>
          <cell r="E980" t="str">
            <v>PEB 1</v>
          </cell>
          <cell r="M980">
            <v>0</v>
          </cell>
          <cell r="N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</row>
        <row r="981">
          <cell r="E981" t="str">
            <v>PEB 2</v>
          </cell>
          <cell r="M981">
            <v>0</v>
          </cell>
          <cell r="N981">
            <v>0</v>
          </cell>
        </row>
        <row r="982">
          <cell r="E982" t="str">
            <v>PEB 3</v>
          </cell>
          <cell r="M982">
            <v>0</v>
          </cell>
          <cell r="N982">
            <v>0</v>
          </cell>
        </row>
        <row r="983">
          <cell r="E983" t="str">
            <v>PEB 4</v>
          </cell>
          <cell r="M983">
            <v>0</v>
          </cell>
          <cell r="N983">
            <v>0</v>
          </cell>
        </row>
        <row r="984">
          <cell r="E984" t="str">
            <v>PEB 5</v>
          </cell>
          <cell r="M984">
            <v>0</v>
          </cell>
          <cell r="N984">
            <v>0</v>
          </cell>
        </row>
        <row r="985">
          <cell r="E985" t="str">
            <v>PEB 6</v>
          </cell>
          <cell r="M985">
            <v>0</v>
          </cell>
          <cell r="N985">
            <v>0</v>
          </cell>
        </row>
        <row r="986">
          <cell r="E986" t="str">
            <v>PEB 7 / TB</v>
          </cell>
          <cell r="M986">
            <v>0</v>
          </cell>
          <cell r="N986">
            <v>0</v>
          </cell>
        </row>
        <row r="987">
          <cell r="E987" t="str">
            <v>MPP</v>
          </cell>
          <cell r="M987">
            <v>0</v>
          </cell>
          <cell r="N987">
            <v>0</v>
          </cell>
        </row>
        <row r="988">
          <cell r="E988" t="str">
            <v>ID</v>
          </cell>
          <cell r="M988">
            <v>0</v>
          </cell>
          <cell r="N988">
            <v>0</v>
          </cell>
        </row>
        <row r="989">
          <cell r="E989" t="str">
            <v>LL</v>
          </cell>
          <cell r="M989">
            <v>0</v>
          </cell>
          <cell r="N989">
            <v>0</v>
          </cell>
        </row>
        <row r="990">
          <cell r="E990" t="str">
            <v>PMK</v>
          </cell>
          <cell r="M990">
            <v>0</v>
          </cell>
          <cell r="N990">
            <v>0</v>
          </cell>
        </row>
        <row r="992">
          <cell r="C992" t="str">
            <v>A0249</v>
          </cell>
          <cell r="D992" t="str">
            <v>PT Persada Bina Nusantara Abadi</v>
          </cell>
          <cell r="E992" t="str">
            <v>PEB 1</v>
          </cell>
          <cell r="M992">
            <v>0</v>
          </cell>
          <cell r="N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</row>
        <row r="993">
          <cell r="E993" t="str">
            <v>PEB 2</v>
          </cell>
          <cell r="M993">
            <v>0</v>
          </cell>
          <cell r="N993">
            <v>0</v>
          </cell>
        </row>
        <row r="994">
          <cell r="E994" t="str">
            <v>PEB 3</v>
          </cell>
          <cell r="M994">
            <v>0</v>
          </cell>
          <cell r="N994">
            <v>0</v>
          </cell>
        </row>
        <row r="995">
          <cell r="E995" t="str">
            <v>PEB 4</v>
          </cell>
          <cell r="M995">
            <v>0</v>
          </cell>
          <cell r="N995">
            <v>0</v>
          </cell>
        </row>
        <row r="996">
          <cell r="E996" t="str">
            <v>PEB 5</v>
          </cell>
          <cell r="M996">
            <v>0</v>
          </cell>
          <cell r="N996">
            <v>0</v>
          </cell>
        </row>
        <row r="997">
          <cell r="E997" t="str">
            <v>PEB 6</v>
          </cell>
          <cell r="M997">
            <v>0</v>
          </cell>
          <cell r="N997">
            <v>0</v>
          </cell>
        </row>
        <row r="998">
          <cell r="E998" t="str">
            <v>PEB 7 / TB</v>
          </cell>
          <cell r="M998">
            <v>0</v>
          </cell>
          <cell r="N998">
            <v>0</v>
          </cell>
        </row>
        <row r="999">
          <cell r="E999" t="str">
            <v>MPP</v>
          </cell>
          <cell r="M999">
            <v>0</v>
          </cell>
          <cell r="N999">
            <v>0</v>
          </cell>
        </row>
        <row r="1000">
          <cell r="E1000" t="str">
            <v>ID</v>
          </cell>
          <cell r="M1000">
            <v>0</v>
          </cell>
          <cell r="N1000">
            <v>0</v>
          </cell>
        </row>
        <row r="1001">
          <cell r="E1001" t="str">
            <v>LL</v>
          </cell>
          <cell r="M1001">
            <v>0</v>
          </cell>
          <cell r="N1001">
            <v>0</v>
          </cell>
        </row>
        <row r="1002">
          <cell r="E1002" t="str">
            <v>PMK</v>
          </cell>
          <cell r="M1002">
            <v>0</v>
          </cell>
          <cell r="N1002">
            <v>0</v>
          </cell>
        </row>
        <row r="1004">
          <cell r="C1004" t="str">
            <v>A0057</v>
          </cell>
          <cell r="D1004" t="str">
            <v>PT Pratama Sedaya Finance</v>
          </cell>
          <cell r="E1004" t="str">
            <v>PEB 1</v>
          </cell>
          <cell r="M1004">
            <v>0</v>
          </cell>
          <cell r="N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</row>
        <row r="1005">
          <cell r="E1005" t="str">
            <v>PEB 2</v>
          </cell>
          <cell r="M1005">
            <v>0</v>
          </cell>
          <cell r="N1005">
            <v>0</v>
          </cell>
        </row>
        <row r="1006">
          <cell r="E1006" t="str">
            <v>PEB 3</v>
          </cell>
          <cell r="M1006">
            <v>0</v>
          </cell>
          <cell r="N1006">
            <v>0</v>
          </cell>
        </row>
        <row r="1007">
          <cell r="E1007" t="str">
            <v>PEB 4</v>
          </cell>
          <cell r="M1007">
            <v>0</v>
          </cell>
          <cell r="N1007">
            <v>0</v>
          </cell>
        </row>
        <row r="1008">
          <cell r="E1008" t="str">
            <v>PEB 5</v>
          </cell>
          <cell r="M1008">
            <v>0</v>
          </cell>
          <cell r="N1008">
            <v>0</v>
          </cell>
        </row>
        <row r="1009">
          <cell r="E1009" t="str">
            <v>PEB 6</v>
          </cell>
          <cell r="M1009">
            <v>0</v>
          </cell>
          <cell r="N1009">
            <v>0</v>
          </cell>
        </row>
        <row r="1010">
          <cell r="E1010" t="str">
            <v>PEB 7 / TB</v>
          </cell>
          <cell r="M1010">
            <v>0</v>
          </cell>
          <cell r="N1010">
            <v>0</v>
          </cell>
        </row>
        <row r="1011">
          <cell r="E1011" t="str">
            <v>MPP</v>
          </cell>
          <cell r="M1011">
            <v>0</v>
          </cell>
          <cell r="N1011">
            <v>0</v>
          </cell>
        </row>
        <row r="1012">
          <cell r="E1012" t="str">
            <v>ID</v>
          </cell>
          <cell r="M1012">
            <v>0</v>
          </cell>
          <cell r="N1012">
            <v>0</v>
          </cell>
        </row>
        <row r="1013">
          <cell r="E1013" t="str">
            <v>LL</v>
          </cell>
          <cell r="M1013">
            <v>0</v>
          </cell>
          <cell r="N1013">
            <v>0</v>
          </cell>
        </row>
        <row r="1014">
          <cell r="E1014" t="str">
            <v>PMK</v>
          </cell>
          <cell r="M1014">
            <v>0</v>
          </cell>
          <cell r="N1014">
            <v>0</v>
          </cell>
        </row>
        <row r="1016">
          <cell r="C1016" t="str">
            <v>A0424</v>
          </cell>
          <cell r="D1016" t="str">
            <v>PT Prima Multi Mineral</v>
          </cell>
          <cell r="E1016" t="str">
            <v>PEB 1</v>
          </cell>
          <cell r="M1016">
            <v>0</v>
          </cell>
          <cell r="N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</row>
        <row r="1017">
          <cell r="E1017" t="str">
            <v>PEB 2</v>
          </cell>
          <cell r="M1017">
            <v>0</v>
          </cell>
          <cell r="N1017">
            <v>0</v>
          </cell>
        </row>
        <row r="1018">
          <cell r="E1018" t="str">
            <v>PEB 3</v>
          </cell>
          <cell r="M1018">
            <v>0</v>
          </cell>
          <cell r="N1018">
            <v>0</v>
          </cell>
        </row>
        <row r="1019">
          <cell r="E1019" t="str">
            <v>PEB 4</v>
          </cell>
          <cell r="M1019">
            <v>0</v>
          </cell>
          <cell r="N1019">
            <v>0</v>
          </cell>
        </row>
        <row r="1020">
          <cell r="E1020" t="str">
            <v>PEB 5</v>
          </cell>
          <cell r="M1020">
            <v>0</v>
          </cell>
          <cell r="N1020">
            <v>0</v>
          </cell>
        </row>
        <row r="1021">
          <cell r="E1021" t="str">
            <v>PEB 6</v>
          </cell>
          <cell r="M1021">
            <v>0</v>
          </cell>
          <cell r="N1021">
            <v>0</v>
          </cell>
        </row>
        <row r="1022">
          <cell r="E1022" t="str">
            <v>PEB 7 / TB</v>
          </cell>
          <cell r="M1022">
            <v>0</v>
          </cell>
          <cell r="N1022">
            <v>0</v>
          </cell>
        </row>
        <row r="1023">
          <cell r="E1023" t="str">
            <v>MPP</v>
          </cell>
          <cell r="M1023">
            <v>0</v>
          </cell>
          <cell r="N1023">
            <v>0</v>
          </cell>
        </row>
        <row r="1024">
          <cell r="E1024" t="str">
            <v>ID</v>
          </cell>
          <cell r="M1024">
            <v>0</v>
          </cell>
          <cell r="N1024">
            <v>0</v>
          </cell>
        </row>
        <row r="1025">
          <cell r="E1025" t="str">
            <v>LL</v>
          </cell>
          <cell r="M1025">
            <v>0</v>
          </cell>
          <cell r="N1025">
            <v>0</v>
          </cell>
        </row>
        <row r="1026">
          <cell r="E1026" t="str">
            <v>PMK</v>
          </cell>
          <cell r="M1026">
            <v>0</v>
          </cell>
          <cell r="N1026">
            <v>0</v>
          </cell>
        </row>
        <row r="1028">
          <cell r="C1028" t="str">
            <v>A0439</v>
          </cell>
          <cell r="D1028" t="str">
            <v>PT Rimbunan Alam Sentosa</v>
          </cell>
          <cell r="E1028" t="str">
            <v>PEB 1</v>
          </cell>
          <cell r="M1028">
            <v>0</v>
          </cell>
          <cell r="N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</row>
        <row r="1029">
          <cell r="E1029" t="str">
            <v>PEB 2</v>
          </cell>
          <cell r="M1029">
            <v>0</v>
          </cell>
          <cell r="N1029">
            <v>0</v>
          </cell>
        </row>
        <row r="1030">
          <cell r="E1030" t="str">
            <v>PEB 3</v>
          </cell>
          <cell r="M1030">
            <v>0</v>
          </cell>
          <cell r="N1030">
            <v>0</v>
          </cell>
        </row>
        <row r="1031">
          <cell r="E1031" t="str">
            <v>PEB 4</v>
          </cell>
          <cell r="M1031">
            <v>0</v>
          </cell>
          <cell r="N1031">
            <v>0</v>
          </cell>
        </row>
        <row r="1032">
          <cell r="E1032" t="str">
            <v>PEB 5</v>
          </cell>
          <cell r="M1032">
            <v>0</v>
          </cell>
          <cell r="N1032">
            <v>0</v>
          </cell>
        </row>
        <row r="1033">
          <cell r="E1033" t="str">
            <v>PEB 6</v>
          </cell>
          <cell r="M1033">
            <v>0</v>
          </cell>
          <cell r="N1033">
            <v>0</v>
          </cell>
        </row>
        <row r="1034">
          <cell r="E1034" t="str">
            <v>PEB 7 / TB</v>
          </cell>
          <cell r="M1034">
            <v>0</v>
          </cell>
          <cell r="N1034">
            <v>0</v>
          </cell>
        </row>
        <row r="1035">
          <cell r="E1035" t="str">
            <v>MPP</v>
          </cell>
          <cell r="M1035">
            <v>0</v>
          </cell>
          <cell r="N1035">
            <v>0</v>
          </cell>
        </row>
        <row r="1036">
          <cell r="E1036" t="str">
            <v>ID</v>
          </cell>
          <cell r="M1036">
            <v>0</v>
          </cell>
          <cell r="N1036">
            <v>0</v>
          </cell>
        </row>
        <row r="1037">
          <cell r="E1037" t="str">
            <v>LL</v>
          </cell>
          <cell r="M1037">
            <v>0</v>
          </cell>
          <cell r="N1037">
            <v>0</v>
          </cell>
        </row>
        <row r="1038">
          <cell r="E1038" t="str">
            <v>PMK</v>
          </cell>
          <cell r="M1038">
            <v>0</v>
          </cell>
          <cell r="N1038">
            <v>0</v>
          </cell>
        </row>
        <row r="1040">
          <cell r="C1040" t="str">
            <v>A0126</v>
          </cell>
          <cell r="D1040" t="str">
            <v>PT Sari Aditya Loka</v>
          </cell>
          <cell r="E1040" t="str">
            <v>PEB 1</v>
          </cell>
          <cell r="M1040">
            <v>0</v>
          </cell>
          <cell r="N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</row>
        <row r="1041">
          <cell r="E1041" t="str">
            <v>PEB 2</v>
          </cell>
          <cell r="M1041">
            <v>0</v>
          </cell>
          <cell r="N1041">
            <v>0</v>
          </cell>
        </row>
        <row r="1042">
          <cell r="E1042" t="str">
            <v>PEB 3</v>
          </cell>
          <cell r="M1042">
            <v>0</v>
          </cell>
          <cell r="N1042">
            <v>0</v>
          </cell>
        </row>
        <row r="1043">
          <cell r="E1043" t="str">
            <v>PEB 4</v>
          </cell>
          <cell r="M1043">
            <v>0</v>
          </cell>
          <cell r="N1043">
            <v>0</v>
          </cell>
        </row>
        <row r="1044">
          <cell r="E1044" t="str">
            <v>PEB 5</v>
          </cell>
          <cell r="M1044">
            <v>0</v>
          </cell>
          <cell r="N1044">
            <v>0</v>
          </cell>
        </row>
        <row r="1045">
          <cell r="E1045" t="str">
            <v>PEB 6</v>
          </cell>
          <cell r="M1045">
            <v>0</v>
          </cell>
          <cell r="N1045">
            <v>0</v>
          </cell>
        </row>
        <row r="1046">
          <cell r="E1046" t="str">
            <v>PEB 7 / TB</v>
          </cell>
          <cell r="M1046">
            <v>0</v>
          </cell>
          <cell r="N1046">
            <v>0</v>
          </cell>
        </row>
        <row r="1047">
          <cell r="E1047" t="str">
            <v>MPP</v>
          </cell>
          <cell r="M1047">
            <v>0</v>
          </cell>
          <cell r="N1047">
            <v>0</v>
          </cell>
        </row>
        <row r="1048">
          <cell r="E1048" t="str">
            <v>ID</v>
          </cell>
          <cell r="M1048">
            <v>0</v>
          </cell>
          <cell r="N1048">
            <v>0</v>
          </cell>
        </row>
        <row r="1049">
          <cell r="E1049" t="str">
            <v>LL</v>
          </cell>
          <cell r="M1049">
            <v>0</v>
          </cell>
          <cell r="N1049">
            <v>0</v>
          </cell>
        </row>
        <row r="1050">
          <cell r="E1050" t="str">
            <v>PMK</v>
          </cell>
          <cell r="M1050">
            <v>0</v>
          </cell>
          <cell r="N1050">
            <v>0</v>
          </cell>
        </row>
        <row r="1052">
          <cell r="C1052" t="str">
            <v>A0127</v>
          </cell>
          <cell r="D1052" t="str">
            <v>PT Sari Lembah Subur</v>
          </cell>
          <cell r="E1052" t="str">
            <v>PEB 1</v>
          </cell>
          <cell r="M1052">
            <v>0</v>
          </cell>
          <cell r="N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</row>
        <row r="1053">
          <cell r="E1053" t="str">
            <v>PEB 2</v>
          </cell>
          <cell r="M1053">
            <v>0</v>
          </cell>
          <cell r="N1053">
            <v>0</v>
          </cell>
        </row>
        <row r="1054">
          <cell r="E1054" t="str">
            <v>PEB 3</v>
          </cell>
          <cell r="M1054">
            <v>0</v>
          </cell>
          <cell r="N1054">
            <v>0</v>
          </cell>
        </row>
        <row r="1055">
          <cell r="E1055" t="str">
            <v>PEB 4</v>
          </cell>
          <cell r="M1055">
            <v>0</v>
          </cell>
          <cell r="N1055">
            <v>0</v>
          </cell>
        </row>
        <row r="1056">
          <cell r="E1056" t="str">
            <v>PEB 5</v>
          </cell>
          <cell r="M1056">
            <v>0</v>
          </cell>
          <cell r="N1056">
            <v>0</v>
          </cell>
        </row>
        <row r="1057">
          <cell r="E1057" t="str">
            <v>PEB 6</v>
          </cell>
          <cell r="M1057">
            <v>0</v>
          </cell>
          <cell r="N1057">
            <v>0</v>
          </cell>
        </row>
        <row r="1058">
          <cell r="E1058" t="str">
            <v>PEB 7 / TB</v>
          </cell>
          <cell r="M1058">
            <v>0</v>
          </cell>
          <cell r="N1058">
            <v>0</v>
          </cell>
        </row>
        <row r="1059">
          <cell r="E1059" t="str">
            <v>MPP</v>
          </cell>
          <cell r="M1059">
            <v>0</v>
          </cell>
          <cell r="N1059">
            <v>0</v>
          </cell>
        </row>
        <row r="1060">
          <cell r="E1060" t="str">
            <v>ID</v>
          </cell>
          <cell r="M1060">
            <v>0</v>
          </cell>
          <cell r="N1060">
            <v>0</v>
          </cell>
        </row>
        <row r="1061">
          <cell r="E1061" t="str">
            <v>LL</v>
          </cell>
          <cell r="M1061">
            <v>0</v>
          </cell>
          <cell r="N1061">
            <v>0</v>
          </cell>
        </row>
        <row r="1062">
          <cell r="E1062" t="str">
            <v>PMK</v>
          </cell>
          <cell r="M1062">
            <v>0</v>
          </cell>
          <cell r="N1062">
            <v>0</v>
          </cell>
        </row>
        <row r="1064">
          <cell r="C1064" t="str">
            <v>A0278</v>
          </cell>
          <cell r="D1064" t="str">
            <v>PT Sawit Asahan Indah</v>
          </cell>
          <cell r="E1064" t="str">
            <v>PEB 1</v>
          </cell>
          <cell r="M1064">
            <v>0</v>
          </cell>
          <cell r="N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</row>
        <row r="1065">
          <cell r="E1065" t="str">
            <v>PEB 2</v>
          </cell>
          <cell r="M1065">
            <v>0</v>
          </cell>
          <cell r="N1065">
            <v>0</v>
          </cell>
        </row>
        <row r="1066">
          <cell r="E1066" t="str">
            <v>PEB 3</v>
          </cell>
          <cell r="M1066">
            <v>0</v>
          </cell>
          <cell r="N1066">
            <v>0</v>
          </cell>
        </row>
        <row r="1067">
          <cell r="E1067" t="str">
            <v>PEB 4</v>
          </cell>
          <cell r="M1067">
            <v>0</v>
          </cell>
          <cell r="N1067">
            <v>0</v>
          </cell>
        </row>
        <row r="1068">
          <cell r="E1068" t="str">
            <v>PEB 5</v>
          </cell>
          <cell r="M1068">
            <v>0</v>
          </cell>
          <cell r="N1068">
            <v>0</v>
          </cell>
        </row>
        <row r="1069">
          <cell r="E1069" t="str">
            <v>PEB 6</v>
          </cell>
          <cell r="M1069">
            <v>0</v>
          </cell>
          <cell r="N1069">
            <v>0</v>
          </cell>
        </row>
        <row r="1070">
          <cell r="E1070" t="str">
            <v>PEB 7 / TB</v>
          </cell>
          <cell r="M1070">
            <v>0</v>
          </cell>
          <cell r="N1070">
            <v>0</v>
          </cell>
        </row>
        <row r="1071">
          <cell r="E1071" t="str">
            <v>MPP</v>
          </cell>
          <cell r="M1071">
            <v>0</v>
          </cell>
          <cell r="N1071">
            <v>0</v>
          </cell>
        </row>
        <row r="1072">
          <cell r="E1072" t="str">
            <v>ID</v>
          </cell>
          <cell r="M1072">
            <v>0</v>
          </cell>
          <cell r="N1072">
            <v>0</v>
          </cell>
        </row>
        <row r="1073">
          <cell r="E1073" t="str">
            <v>LL</v>
          </cell>
          <cell r="M1073">
            <v>0</v>
          </cell>
          <cell r="N1073">
            <v>0</v>
          </cell>
        </row>
        <row r="1074">
          <cell r="E1074" t="str">
            <v>PMK</v>
          </cell>
          <cell r="M1074">
            <v>0</v>
          </cell>
          <cell r="N1074">
            <v>0</v>
          </cell>
        </row>
        <row r="1076">
          <cell r="C1076" t="str">
            <v>A0436</v>
          </cell>
          <cell r="D1076" t="str">
            <v>PT Sawit Jaya Abadi</v>
          </cell>
          <cell r="E1076" t="str">
            <v>PEB 1</v>
          </cell>
          <cell r="M1076">
            <v>0</v>
          </cell>
          <cell r="N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</row>
        <row r="1077">
          <cell r="E1077" t="str">
            <v>PEB 2</v>
          </cell>
          <cell r="M1077">
            <v>0</v>
          </cell>
          <cell r="N1077">
            <v>0</v>
          </cell>
        </row>
        <row r="1078">
          <cell r="E1078" t="str">
            <v>PEB 3</v>
          </cell>
          <cell r="M1078">
            <v>0</v>
          </cell>
          <cell r="N1078">
            <v>0</v>
          </cell>
        </row>
        <row r="1079">
          <cell r="E1079" t="str">
            <v>PEB 4</v>
          </cell>
          <cell r="M1079">
            <v>0</v>
          </cell>
          <cell r="N1079">
            <v>0</v>
          </cell>
        </row>
        <row r="1080">
          <cell r="E1080" t="str">
            <v>PEB 5</v>
          </cell>
          <cell r="M1080">
            <v>0</v>
          </cell>
          <cell r="N1080">
            <v>0</v>
          </cell>
        </row>
        <row r="1081">
          <cell r="E1081" t="str">
            <v>PEB 6</v>
          </cell>
          <cell r="M1081">
            <v>0</v>
          </cell>
          <cell r="N1081">
            <v>0</v>
          </cell>
        </row>
        <row r="1082">
          <cell r="E1082" t="str">
            <v>PEB 7 / TB</v>
          </cell>
          <cell r="M1082">
            <v>0</v>
          </cell>
          <cell r="N1082">
            <v>0</v>
          </cell>
        </row>
        <row r="1083">
          <cell r="E1083" t="str">
            <v>MPP</v>
          </cell>
          <cell r="M1083">
            <v>0</v>
          </cell>
          <cell r="N1083">
            <v>0</v>
          </cell>
        </row>
        <row r="1084">
          <cell r="E1084" t="str">
            <v>ID</v>
          </cell>
          <cell r="M1084">
            <v>0</v>
          </cell>
          <cell r="N1084">
            <v>0</v>
          </cell>
        </row>
        <row r="1085">
          <cell r="E1085" t="str">
            <v>LL</v>
          </cell>
          <cell r="M1085">
            <v>0</v>
          </cell>
          <cell r="N1085">
            <v>0</v>
          </cell>
        </row>
        <row r="1086">
          <cell r="E1086" t="str">
            <v>PMK</v>
          </cell>
          <cell r="M1086">
            <v>0</v>
          </cell>
          <cell r="N1086">
            <v>0</v>
          </cell>
        </row>
        <row r="1088">
          <cell r="C1088" t="str">
            <v>A0128</v>
          </cell>
          <cell r="D1088" t="str">
            <v>PT Sedaya Multi Investama</v>
          </cell>
          <cell r="E1088" t="str">
            <v>PEB 1</v>
          </cell>
          <cell r="M1088">
            <v>0</v>
          </cell>
          <cell r="N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</row>
        <row r="1089">
          <cell r="E1089" t="str">
            <v>PEB 2</v>
          </cell>
          <cell r="M1089">
            <v>0</v>
          </cell>
          <cell r="N1089">
            <v>0</v>
          </cell>
        </row>
        <row r="1090">
          <cell r="E1090" t="str">
            <v>PEB 3</v>
          </cell>
          <cell r="M1090">
            <v>0</v>
          </cell>
          <cell r="N1090">
            <v>0</v>
          </cell>
        </row>
        <row r="1091">
          <cell r="E1091" t="str">
            <v>PEB 4</v>
          </cell>
          <cell r="M1091">
            <v>0</v>
          </cell>
          <cell r="N1091">
            <v>0</v>
          </cell>
        </row>
        <row r="1092">
          <cell r="E1092" t="str">
            <v>PEB 5</v>
          </cell>
          <cell r="M1092">
            <v>0</v>
          </cell>
          <cell r="N1092">
            <v>0</v>
          </cell>
        </row>
        <row r="1093">
          <cell r="E1093" t="str">
            <v>PEB 6</v>
          </cell>
          <cell r="M1093">
            <v>0</v>
          </cell>
          <cell r="N1093">
            <v>0</v>
          </cell>
        </row>
        <row r="1094">
          <cell r="E1094" t="str">
            <v>PEB 7 / TB</v>
          </cell>
          <cell r="M1094">
            <v>0</v>
          </cell>
          <cell r="N1094">
            <v>0</v>
          </cell>
        </row>
        <row r="1095">
          <cell r="E1095" t="str">
            <v>MPP</v>
          </cell>
          <cell r="M1095">
            <v>0</v>
          </cell>
          <cell r="N1095">
            <v>0</v>
          </cell>
        </row>
        <row r="1096">
          <cell r="E1096" t="str">
            <v>ID</v>
          </cell>
          <cell r="M1096">
            <v>0</v>
          </cell>
          <cell r="N1096">
            <v>0</v>
          </cell>
        </row>
        <row r="1097">
          <cell r="E1097" t="str">
            <v>LL</v>
          </cell>
          <cell r="M1097">
            <v>0</v>
          </cell>
          <cell r="N1097">
            <v>0</v>
          </cell>
        </row>
        <row r="1098">
          <cell r="E1098" t="str">
            <v>PMK</v>
          </cell>
          <cell r="M1098">
            <v>0</v>
          </cell>
          <cell r="N1098">
            <v>0</v>
          </cell>
        </row>
        <row r="1100">
          <cell r="C1100" t="str">
            <v>A0240</v>
          </cell>
          <cell r="D1100" t="str">
            <v>PT Sedaya Pratama</v>
          </cell>
          <cell r="E1100" t="str">
            <v>PEB 1</v>
          </cell>
          <cell r="M1100">
            <v>0</v>
          </cell>
          <cell r="N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</row>
        <row r="1101">
          <cell r="E1101" t="str">
            <v>PEB 2</v>
          </cell>
          <cell r="M1101">
            <v>0</v>
          </cell>
          <cell r="N1101">
            <v>0</v>
          </cell>
        </row>
        <row r="1102">
          <cell r="E1102" t="str">
            <v>PEB 3</v>
          </cell>
          <cell r="M1102">
            <v>0</v>
          </cell>
          <cell r="N1102">
            <v>0</v>
          </cell>
        </row>
        <row r="1103">
          <cell r="E1103" t="str">
            <v>PEB 4</v>
          </cell>
          <cell r="M1103">
            <v>0</v>
          </cell>
          <cell r="N1103">
            <v>0</v>
          </cell>
        </row>
        <row r="1104">
          <cell r="E1104" t="str">
            <v>PEB 5</v>
          </cell>
          <cell r="M1104">
            <v>0</v>
          </cell>
          <cell r="N1104">
            <v>0</v>
          </cell>
        </row>
        <row r="1105">
          <cell r="E1105" t="str">
            <v>PEB 6</v>
          </cell>
          <cell r="M1105">
            <v>0</v>
          </cell>
          <cell r="N1105">
            <v>0</v>
          </cell>
        </row>
        <row r="1106">
          <cell r="E1106" t="str">
            <v>PEB 7 / TB</v>
          </cell>
          <cell r="M1106">
            <v>0</v>
          </cell>
          <cell r="N1106">
            <v>0</v>
          </cell>
        </row>
        <row r="1107">
          <cell r="E1107" t="str">
            <v>MPP</v>
          </cell>
          <cell r="M1107">
            <v>0</v>
          </cell>
          <cell r="N1107">
            <v>0</v>
          </cell>
        </row>
        <row r="1108">
          <cell r="E1108" t="str">
            <v>ID</v>
          </cell>
          <cell r="M1108">
            <v>0</v>
          </cell>
          <cell r="N1108">
            <v>0</v>
          </cell>
        </row>
        <row r="1109">
          <cell r="E1109" t="str">
            <v>LL</v>
          </cell>
          <cell r="M1109">
            <v>0</v>
          </cell>
          <cell r="N1109">
            <v>0</v>
          </cell>
        </row>
        <row r="1110">
          <cell r="E1110" t="str">
            <v>PMK</v>
          </cell>
          <cell r="M1110">
            <v>0</v>
          </cell>
          <cell r="N1110">
            <v>0</v>
          </cell>
        </row>
        <row r="1112">
          <cell r="C1112" t="str">
            <v>A0209</v>
          </cell>
          <cell r="D1112" t="str">
            <v>PT Serasi Auto Raya</v>
          </cell>
          <cell r="E1112" t="str">
            <v>PEB 1</v>
          </cell>
          <cell r="G1112">
            <v>2963578</v>
          </cell>
          <cell r="H1112">
            <v>131589</v>
          </cell>
          <cell r="M1112">
            <v>2963578</v>
          </cell>
          <cell r="N1112">
            <v>131589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111813</v>
          </cell>
          <cell r="U1112">
            <v>8757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915521</v>
          </cell>
          <cell r="AA1112">
            <v>3570</v>
          </cell>
          <cell r="AB1112">
            <v>0</v>
          </cell>
          <cell r="AC1112">
            <v>0</v>
          </cell>
          <cell r="AD1112">
            <v>175781</v>
          </cell>
          <cell r="AE1112">
            <v>10367</v>
          </cell>
          <cell r="AF1112">
            <v>155482</v>
          </cell>
          <cell r="AG1112">
            <v>64138</v>
          </cell>
          <cell r="AH1112">
            <v>373170</v>
          </cell>
          <cell r="AI1112">
            <v>32987</v>
          </cell>
        </row>
        <row r="1113">
          <cell r="E1113" t="str">
            <v>PEB 2</v>
          </cell>
          <cell r="G1113">
            <v>0</v>
          </cell>
          <cell r="H1113">
            <v>0</v>
          </cell>
          <cell r="M1113">
            <v>0</v>
          </cell>
          <cell r="N1113">
            <v>0</v>
          </cell>
        </row>
        <row r="1114">
          <cell r="E1114" t="str">
            <v>PEB 3</v>
          </cell>
          <cell r="G1114">
            <v>0</v>
          </cell>
          <cell r="H1114">
            <v>0</v>
          </cell>
          <cell r="M1114">
            <v>0</v>
          </cell>
          <cell r="N1114">
            <v>0</v>
          </cell>
        </row>
        <row r="1115">
          <cell r="E1115" t="str">
            <v>PEB 4</v>
          </cell>
          <cell r="G1115">
            <v>111813</v>
          </cell>
          <cell r="H1115">
            <v>8757</v>
          </cell>
          <cell r="M1115">
            <v>111813</v>
          </cell>
          <cell r="N1115">
            <v>8757</v>
          </cell>
        </row>
        <row r="1116">
          <cell r="E1116" t="str">
            <v>PEB 5</v>
          </cell>
          <cell r="G1116">
            <v>0</v>
          </cell>
          <cell r="H1116">
            <v>0</v>
          </cell>
          <cell r="M1116">
            <v>0</v>
          </cell>
          <cell r="N1116">
            <v>0</v>
          </cell>
        </row>
        <row r="1117">
          <cell r="E1117" t="str">
            <v>PEB 6</v>
          </cell>
          <cell r="M1117">
            <v>0</v>
          </cell>
          <cell r="N1117">
            <v>0</v>
          </cell>
        </row>
        <row r="1118">
          <cell r="E1118" t="str">
            <v>PEB 7 / TB</v>
          </cell>
          <cell r="G1118">
            <v>915521</v>
          </cell>
          <cell r="H1118">
            <v>3570</v>
          </cell>
          <cell r="M1118">
            <v>915521</v>
          </cell>
          <cell r="N1118">
            <v>3570</v>
          </cell>
        </row>
        <row r="1119">
          <cell r="E1119" t="str">
            <v>MPP</v>
          </cell>
          <cell r="G1119">
            <v>0</v>
          </cell>
          <cell r="H1119">
            <v>0</v>
          </cell>
          <cell r="M1119">
            <v>0</v>
          </cell>
          <cell r="N1119">
            <v>0</v>
          </cell>
        </row>
        <row r="1120">
          <cell r="E1120" t="str">
            <v>ID</v>
          </cell>
          <cell r="G1120">
            <v>175781</v>
          </cell>
          <cell r="H1120">
            <v>10367</v>
          </cell>
          <cell r="M1120">
            <v>175781</v>
          </cell>
          <cell r="N1120">
            <v>10367</v>
          </cell>
        </row>
        <row r="1121">
          <cell r="E1121" t="str">
            <v>LL</v>
          </cell>
          <cell r="G1121">
            <v>155482</v>
          </cell>
          <cell r="H1121">
            <v>64138</v>
          </cell>
          <cell r="M1121">
            <v>155482</v>
          </cell>
          <cell r="N1121">
            <v>64138</v>
          </cell>
        </row>
        <row r="1122">
          <cell r="E1122" t="str">
            <v>PMK</v>
          </cell>
          <cell r="G1122">
            <v>373170</v>
          </cell>
          <cell r="H1122">
            <v>32987</v>
          </cell>
          <cell r="M1122">
            <v>373170</v>
          </cell>
          <cell r="N1122">
            <v>32987</v>
          </cell>
        </row>
        <row r="1124">
          <cell r="C1124" t="str">
            <v>A0373</v>
          </cell>
          <cell r="D1124" t="str">
            <v>PT Serasi Transportasi Nusantara</v>
          </cell>
          <cell r="E1124" t="str">
            <v>PEB 1</v>
          </cell>
          <cell r="M1124">
            <v>0</v>
          </cell>
          <cell r="N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</row>
        <row r="1125">
          <cell r="E1125" t="str">
            <v>PEB 2</v>
          </cell>
          <cell r="M1125">
            <v>0</v>
          </cell>
          <cell r="N1125">
            <v>0</v>
          </cell>
        </row>
        <row r="1126">
          <cell r="E1126" t="str">
            <v>PEB 3</v>
          </cell>
          <cell r="M1126">
            <v>0</v>
          </cell>
          <cell r="N1126">
            <v>0</v>
          </cell>
        </row>
        <row r="1127">
          <cell r="E1127" t="str">
            <v>PEB 4</v>
          </cell>
          <cell r="M1127">
            <v>0</v>
          </cell>
          <cell r="N1127">
            <v>0</v>
          </cell>
        </row>
        <row r="1128">
          <cell r="E1128" t="str">
            <v>PEB 5</v>
          </cell>
          <cell r="M1128">
            <v>0</v>
          </cell>
          <cell r="N1128">
            <v>0</v>
          </cell>
        </row>
        <row r="1129">
          <cell r="E1129" t="str">
            <v>PEB 6</v>
          </cell>
          <cell r="M1129">
            <v>0</v>
          </cell>
          <cell r="N1129">
            <v>0</v>
          </cell>
        </row>
        <row r="1130">
          <cell r="E1130" t="str">
            <v>PEB 7 / TB</v>
          </cell>
          <cell r="M1130">
            <v>0</v>
          </cell>
          <cell r="N1130">
            <v>0</v>
          </cell>
        </row>
        <row r="1131">
          <cell r="E1131" t="str">
            <v>MPP</v>
          </cell>
          <cell r="M1131">
            <v>0</v>
          </cell>
          <cell r="N1131">
            <v>0</v>
          </cell>
        </row>
        <row r="1132">
          <cell r="E1132" t="str">
            <v>ID</v>
          </cell>
          <cell r="M1132">
            <v>0</v>
          </cell>
          <cell r="N1132">
            <v>0</v>
          </cell>
        </row>
        <row r="1133">
          <cell r="E1133" t="str">
            <v>LL</v>
          </cell>
          <cell r="M1133">
            <v>0</v>
          </cell>
          <cell r="N1133">
            <v>0</v>
          </cell>
        </row>
        <row r="1134">
          <cell r="E1134" t="str">
            <v>PMK</v>
          </cell>
          <cell r="M1134">
            <v>0</v>
          </cell>
          <cell r="N1134">
            <v>0</v>
          </cell>
        </row>
        <row r="1136">
          <cell r="C1136" t="str">
            <v>A0132</v>
          </cell>
          <cell r="D1136" t="str">
            <v>PT Showa Indonesia</v>
          </cell>
          <cell r="E1136" t="str">
            <v>PEB 1</v>
          </cell>
          <cell r="M1136">
            <v>0</v>
          </cell>
          <cell r="N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</row>
        <row r="1137">
          <cell r="E1137" t="str">
            <v>PEB 2</v>
          </cell>
          <cell r="M1137">
            <v>0</v>
          </cell>
          <cell r="N1137">
            <v>0</v>
          </cell>
        </row>
        <row r="1138">
          <cell r="E1138" t="str">
            <v>PEB 3</v>
          </cell>
          <cell r="M1138">
            <v>0</v>
          </cell>
          <cell r="N1138">
            <v>0</v>
          </cell>
        </row>
        <row r="1139">
          <cell r="E1139" t="str">
            <v>PEB 4</v>
          </cell>
          <cell r="M1139">
            <v>0</v>
          </cell>
          <cell r="N1139">
            <v>0</v>
          </cell>
        </row>
        <row r="1140">
          <cell r="E1140" t="str">
            <v>PEB 5</v>
          </cell>
          <cell r="M1140">
            <v>0</v>
          </cell>
          <cell r="N1140">
            <v>0</v>
          </cell>
        </row>
        <row r="1141">
          <cell r="E1141" t="str">
            <v>PEB 6</v>
          </cell>
          <cell r="M1141">
            <v>0</v>
          </cell>
          <cell r="N1141">
            <v>0</v>
          </cell>
        </row>
        <row r="1142">
          <cell r="E1142" t="str">
            <v>PEB 7 / TB</v>
          </cell>
          <cell r="M1142">
            <v>0</v>
          </cell>
          <cell r="N1142">
            <v>0</v>
          </cell>
        </row>
        <row r="1143">
          <cell r="E1143" t="str">
            <v>MPP</v>
          </cell>
          <cell r="M1143">
            <v>0</v>
          </cell>
          <cell r="N1143">
            <v>0</v>
          </cell>
        </row>
        <row r="1144">
          <cell r="E1144" t="str">
            <v>ID</v>
          </cell>
          <cell r="M1144">
            <v>0</v>
          </cell>
          <cell r="N1144">
            <v>0</v>
          </cell>
        </row>
        <row r="1145">
          <cell r="E1145" t="str">
            <v>LL</v>
          </cell>
          <cell r="M1145">
            <v>0</v>
          </cell>
          <cell r="N1145">
            <v>0</v>
          </cell>
        </row>
        <row r="1146">
          <cell r="E1146" t="str">
            <v>PMK</v>
          </cell>
          <cell r="M1146">
            <v>0</v>
          </cell>
          <cell r="N1146">
            <v>0</v>
          </cell>
        </row>
        <row r="1148">
          <cell r="C1148" t="str">
            <v>A0135</v>
          </cell>
          <cell r="D1148" t="str">
            <v>PT Staco Estika Sedaya Finance</v>
          </cell>
          <cell r="E1148" t="str">
            <v>PEB 1</v>
          </cell>
          <cell r="M1148">
            <v>0</v>
          </cell>
          <cell r="N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</row>
        <row r="1149">
          <cell r="E1149" t="str">
            <v>PEB 2</v>
          </cell>
          <cell r="M1149">
            <v>0</v>
          </cell>
          <cell r="N1149">
            <v>0</v>
          </cell>
        </row>
        <row r="1150">
          <cell r="E1150" t="str">
            <v>PEB 3</v>
          </cell>
          <cell r="M1150">
            <v>0</v>
          </cell>
          <cell r="N1150">
            <v>0</v>
          </cell>
        </row>
        <row r="1151">
          <cell r="E1151" t="str">
            <v>PEB 4</v>
          </cell>
          <cell r="M1151">
            <v>0</v>
          </cell>
          <cell r="N1151">
            <v>0</v>
          </cell>
        </row>
        <row r="1152">
          <cell r="E1152" t="str">
            <v>PEB 5</v>
          </cell>
          <cell r="M1152">
            <v>0</v>
          </cell>
          <cell r="N1152">
            <v>0</v>
          </cell>
        </row>
        <row r="1153">
          <cell r="E1153" t="str">
            <v>PEB 6</v>
          </cell>
          <cell r="M1153">
            <v>0</v>
          </cell>
          <cell r="N1153">
            <v>0</v>
          </cell>
        </row>
        <row r="1154">
          <cell r="E1154" t="str">
            <v>PEB 7 / TB</v>
          </cell>
          <cell r="M1154">
            <v>0</v>
          </cell>
          <cell r="N1154">
            <v>0</v>
          </cell>
        </row>
        <row r="1155">
          <cell r="E1155" t="str">
            <v>MPP</v>
          </cell>
          <cell r="M1155">
            <v>0</v>
          </cell>
          <cell r="N1155">
            <v>0</v>
          </cell>
        </row>
        <row r="1156">
          <cell r="E1156" t="str">
            <v>ID</v>
          </cell>
          <cell r="M1156">
            <v>0</v>
          </cell>
          <cell r="N1156">
            <v>0</v>
          </cell>
        </row>
        <row r="1157">
          <cell r="E1157" t="str">
            <v>LL</v>
          </cell>
          <cell r="M1157">
            <v>0</v>
          </cell>
          <cell r="N1157">
            <v>0</v>
          </cell>
        </row>
        <row r="1158">
          <cell r="E1158" t="str">
            <v>PMK</v>
          </cell>
          <cell r="M1158">
            <v>0</v>
          </cell>
          <cell r="N1158">
            <v>0</v>
          </cell>
        </row>
        <row r="1160">
          <cell r="C1160" t="str">
            <v>A0273</v>
          </cell>
          <cell r="D1160" t="str">
            <v>PT Stacomitra Graha</v>
          </cell>
          <cell r="E1160" t="str">
            <v>PEB 1</v>
          </cell>
          <cell r="M1160">
            <v>0</v>
          </cell>
          <cell r="N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</row>
        <row r="1161">
          <cell r="E1161" t="str">
            <v>PEB 2</v>
          </cell>
          <cell r="M1161">
            <v>0</v>
          </cell>
          <cell r="N1161">
            <v>0</v>
          </cell>
        </row>
        <row r="1162">
          <cell r="E1162" t="str">
            <v>PEB 3</v>
          </cell>
          <cell r="M1162">
            <v>0</v>
          </cell>
          <cell r="N1162">
            <v>0</v>
          </cell>
        </row>
        <row r="1163">
          <cell r="E1163" t="str">
            <v>PEB 4</v>
          </cell>
          <cell r="M1163">
            <v>0</v>
          </cell>
          <cell r="N1163">
            <v>0</v>
          </cell>
        </row>
        <row r="1164">
          <cell r="E1164" t="str">
            <v>PEB 5</v>
          </cell>
          <cell r="M1164">
            <v>0</v>
          </cell>
          <cell r="N1164">
            <v>0</v>
          </cell>
        </row>
        <row r="1165">
          <cell r="E1165" t="str">
            <v>PEB 6</v>
          </cell>
          <cell r="M1165">
            <v>0</v>
          </cell>
          <cell r="N1165">
            <v>0</v>
          </cell>
        </row>
        <row r="1166">
          <cell r="E1166" t="str">
            <v>PEB 7 / TB</v>
          </cell>
          <cell r="M1166">
            <v>0</v>
          </cell>
          <cell r="N1166">
            <v>0</v>
          </cell>
        </row>
        <row r="1167">
          <cell r="E1167" t="str">
            <v>MPP</v>
          </cell>
          <cell r="M1167">
            <v>0</v>
          </cell>
          <cell r="N1167">
            <v>0</v>
          </cell>
        </row>
        <row r="1168">
          <cell r="E1168" t="str">
            <v>ID</v>
          </cell>
          <cell r="M1168">
            <v>0</v>
          </cell>
          <cell r="N1168">
            <v>0</v>
          </cell>
        </row>
        <row r="1169">
          <cell r="E1169" t="str">
            <v>LL</v>
          </cell>
          <cell r="M1169">
            <v>0</v>
          </cell>
          <cell r="N1169">
            <v>0</v>
          </cell>
        </row>
        <row r="1170">
          <cell r="E1170" t="str">
            <v>PMK</v>
          </cell>
          <cell r="M1170">
            <v>0</v>
          </cell>
          <cell r="N1170">
            <v>0</v>
          </cell>
        </row>
        <row r="1172">
          <cell r="C1172" t="str">
            <v>A0435</v>
          </cell>
          <cell r="D1172" t="str">
            <v>PT Subur Abadi Plantation</v>
          </cell>
          <cell r="E1172" t="str">
            <v>PEB 1</v>
          </cell>
          <cell r="M1172">
            <v>0</v>
          </cell>
          <cell r="N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</row>
        <row r="1173">
          <cell r="E1173" t="str">
            <v>PEB 2</v>
          </cell>
          <cell r="M1173">
            <v>0</v>
          </cell>
          <cell r="N1173">
            <v>0</v>
          </cell>
        </row>
        <row r="1174">
          <cell r="E1174" t="str">
            <v>PEB 3</v>
          </cell>
          <cell r="M1174">
            <v>0</v>
          </cell>
          <cell r="N1174">
            <v>0</v>
          </cell>
        </row>
        <row r="1175">
          <cell r="E1175" t="str">
            <v>PEB 4</v>
          </cell>
          <cell r="M1175">
            <v>0</v>
          </cell>
          <cell r="N1175">
            <v>0</v>
          </cell>
        </row>
        <row r="1176">
          <cell r="E1176" t="str">
            <v>PEB 5</v>
          </cell>
          <cell r="M1176">
            <v>0</v>
          </cell>
          <cell r="N1176">
            <v>0</v>
          </cell>
        </row>
        <row r="1177">
          <cell r="E1177" t="str">
            <v>PEB 6</v>
          </cell>
          <cell r="M1177">
            <v>0</v>
          </cell>
          <cell r="N1177">
            <v>0</v>
          </cell>
        </row>
        <row r="1178">
          <cell r="E1178" t="str">
            <v>PEB 7 / TB</v>
          </cell>
          <cell r="M1178">
            <v>0</v>
          </cell>
          <cell r="N1178">
            <v>0</v>
          </cell>
        </row>
        <row r="1179">
          <cell r="E1179" t="str">
            <v>MPP</v>
          </cell>
          <cell r="M1179">
            <v>0</v>
          </cell>
          <cell r="N1179">
            <v>0</v>
          </cell>
        </row>
        <row r="1180">
          <cell r="E1180" t="str">
            <v>ID</v>
          </cell>
          <cell r="M1180">
            <v>0</v>
          </cell>
          <cell r="N1180">
            <v>0</v>
          </cell>
        </row>
        <row r="1181">
          <cell r="E1181" t="str">
            <v>LL</v>
          </cell>
          <cell r="M1181">
            <v>0</v>
          </cell>
          <cell r="N1181">
            <v>0</v>
          </cell>
        </row>
        <row r="1182">
          <cell r="E1182" t="str">
            <v>PMK</v>
          </cell>
          <cell r="M1182">
            <v>0</v>
          </cell>
          <cell r="N1182">
            <v>0</v>
          </cell>
        </row>
        <row r="1184">
          <cell r="C1184" t="str">
            <v>A0169</v>
          </cell>
          <cell r="D1184" t="str">
            <v>PT Sukses Tani Nusa Subur</v>
          </cell>
          <cell r="E1184" t="str">
            <v>PEB 1</v>
          </cell>
          <cell r="M1184">
            <v>0</v>
          </cell>
          <cell r="N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</row>
        <row r="1185">
          <cell r="E1185" t="str">
            <v>PEB 2</v>
          </cell>
          <cell r="M1185">
            <v>0</v>
          </cell>
          <cell r="N1185">
            <v>0</v>
          </cell>
        </row>
        <row r="1186">
          <cell r="E1186" t="str">
            <v>PEB 3</v>
          </cell>
          <cell r="M1186">
            <v>0</v>
          </cell>
          <cell r="N1186">
            <v>0</v>
          </cell>
        </row>
        <row r="1187">
          <cell r="E1187" t="str">
            <v>PEB 4</v>
          </cell>
          <cell r="M1187">
            <v>0</v>
          </cell>
          <cell r="N1187">
            <v>0</v>
          </cell>
        </row>
        <row r="1188">
          <cell r="E1188" t="str">
            <v>PEB 5</v>
          </cell>
          <cell r="M1188">
            <v>0</v>
          </cell>
          <cell r="N1188">
            <v>0</v>
          </cell>
        </row>
        <row r="1189">
          <cell r="E1189" t="str">
            <v>PEB 6</v>
          </cell>
          <cell r="M1189">
            <v>0</v>
          </cell>
          <cell r="N1189">
            <v>0</v>
          </cell>
        </row>
        <row r="1190">
          <cell r="E1190" t="str">
            <v>PEB 7 / TB</v>
          </cell>
          <cell r="M1190">
            <v>0</v>
          </cell>
          <cell r="N1190">
            <v>0</v>
          </cell>
        </row>
        <row r="1191">
          <cell r="E1191" t="str">
            <v>MPP</v>
          </cell>
          <cell r="M1191">
            <v>0</v>
          </cell>
          <cell r="N1191">
            <v>0</v>
          </cell>
        </row>
        <row r="1192">
          <cell r="E1192" t="str">
            <v>ID</v>
          </cell>
          <cell r="M1192">
            <v>0</v>
          </cell>
          <cell r="N1192">
            <v>0</v>
          </cell>
        </row>
        <row r="1193">
          <cell r="E1193" t="str">
            <v>LL</v>
          </cell>
          <cell r="M1193">
            <v>0</v>
          </cell>
          <cell r="N1193">
            <v>0</v>
          </cell>
        </row>
        <row r="1194">
          <cell r="E1194" t="str">
            <v>PMK</v>
          </cell>
          <cell r="M1194">
            <v>0</v>
          </cell>
          <cell r="N1194">
            <v>0</v>
          </cell>
        </row>
        <row r="1196">
          <cell r="C1196" t="str">
            <v>A0377</v>
          </cell>
          <cell r="D1196" t="str">
            <v>PT Sumber Kharisma Persada</v>
          </cell>
          <cell r="E1196" t="str">
            <v>PEB 1</v>
          </cell>
          <cell r="M1196">
            <v>0</v>
          </cell>
          <cell r="N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</row>
        <row r="1197">
          <cell r="E1197" t="str">
            <v>PEB 2</v>
          </cell>
          <cell r="M1197">
            <v>0</v>
          </cell>
          <cell r="N1197">
            <v>0</v>
          </cell>
        </row>
        <row r="1198">
          <cell r="E1198" t="str">
            <v>PEB 3</v>
          </cell>
          <cell r="M1198">
            <v>0</v>
          </cell>
          <cell r="N1198">
            <v>0</v>
          </cell>
        </row>
        <row r="1199">
          <cell r="E1199" t="str">
            <v>PEB 4</v>
          </cell>
          <cell r="M1199">
            <v>0</v>
          </cell>
          <cell r="N1199">
            <v>0</v>
          </cell>
        </row>
        <row r="1200">
          <cell r="E1200" t="str">
            <v>PEB 5</v>
          </cell>
          <cell r="M1200">
            <v>0</v>
          </cell>
          <cell r="N1200">
            <v>0</v>
          </cell>
        </row>
        <row r="1201">
          <cell r="E1201" t="str">
            <v>PEB 6</v>
          </cell>
          <cell r="M1201">
            <v>0</v>
          </cell>
          <cell r="N1201">
            <v>0</v>
          </cell>
        </row>
        <row r="1202">
          <cell r="E1202" t="str">
            <v>PEB 7 / TB</v>
          </cell>
          <cell r="M1202">
            <v>0</v>
          </cell>
          <cell r="N1202">
            <v>0</v>
          </cell>
        </row>
        <row r="1203">
          <cell r="E1203" t="str">
            <v>MPP</v>
          </cell>
          <cell r="M1203">
            <v>0</v>
          </cell>
          <cell r="N1203">
            <v>0</v>
          </cell>
        </row>
        <row r="1204">
          <cell r="E1204" t="str">
            <v>ID</v>
          </cell>
          <cell r="M1204">
            <v>0</v>
          </cell>
          <cell r="N1204">
            <v>0</v>
          </cell>
        </row>
        <row r="1205">
          <cell r="E1205" t="str">
            <v>LL</v>
          </cell>
          <cell r="M1205">
            <v>0</v>
          </cell>
          <cell r="N1205">
            <v>0</v>
          </cell>
        </row>
        <row r="1206">
          <cell r="E1206" t="str">
            <v>PMK</v>
          </cell>
          <cell r="M1206">
            <v>0</v>
          </cell>
          <cell r="N1206">
            <v>0</v>
          </cell>
        </row>
        <row r="1208">
          <cell r="C1208" t="str">
            <v>A0421</v>
          </cell>
          <cell r="D1208" t="str">
            <v>PT Sumber Utama Makmur</v>
          </cell>
          <cell r="E1208" t="str">
            <v>PEB 1</v>
          </cell>
          <cell r="M1208">
            <v>0</v>
          </cell>
          <cell r="N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</row>
        <row r="1209">
          <cell r="E1209" t="str">
            <v>PEB 2</v>
          </cell>
          <cell r="M1209">
            <v>0</v>
          </cell>
          <cell r="N1209">
            <v>0</v>
          </cell>
        </row>
        <row r="1210">
          <cell r="E1210" t="str">
            <v>PEB 3</v>
          </cell>
          <cell r="M1210">
            <v>0</v>
          </cell>
          <cell r="N1210">
            <v>0</v>
          </cell>
        </row>
        <row r="1211">
          <cell r="E1211" t="str">
            <v>PEB 4</v>
          </cell>
          <cell r="M1211">
            <v>0</v>
          </cell>
          <cell r="N1211">
            <v>0</v>
          </cell>
        </row>
        <row r="1212">
          <cell r="E1212" t="str">
            <v>PEB 5</v>
          </cell>
          <cell r="M1212">
            <v>0</v>
          </cell>
          <cell r="N1212">
            <v>0</v>
          </cell>
        </row>
        <row r="1213">
          <cell r="E1213" t="str">
            <v>PEB 6</v>
          </cell>
          <cell r="M1213">
            <v>0</v>
          </cell>
          <cell r="N1213">
            <v>0</v>
          </cell>
        </row>
        <row r="1214">
          <cell r="E1214" t="str">
            <v>PEB 7 / TB</v>
          </cell>
          <cell r="M1214">
            <v>0</v>
          </cell>
          <cell r="N1214">
            <v>0</v>
          </cell>
        </row>
        <row r="1215">
          <cell r="E1215" t="str">
            <v>MPP</v>
          </cell>
          <cell r="M1215">
            <v>0</v>
          </cell>
          <cell r="N1215">
            <v>0</v>
          </cell>
        </row>
        <row r="1216">
          <cell r="E1216" t="str">
            <v>ID</v>
          </cell>
          <cell r="M1216">
            <v>0</v>
          </cell>
          <cell r="N1216">
            <v>0</v>
          </cell>
        </row>
        <row r="1217">
          <cell r="E1217" t="str">
            <v>LL</v>
          </cell>
          <cell r="M1217">
            <v>0</v>
          </cell>
          <cell r="N1217">
            <v>0</v>
          </cell>
        </row>
        <row r="1218">
          <cell r="E1218" t="str">
            <v>PMK</v>
          </cell>
          <cell r="M1218">
            <v>0</v>
          </cell>
          <cell r="N1218">
            <v>0</v>
          </cell>
        </row>
        <row r="1220">
          <cell r="C1220" t="str">
            <v>A0142</v>
          </cell>
          <cell r="D1220" t="str">
            <v>PT Surya Artha Nusantara Finance</v>
          </cell>
          <cell r="E1220" t="str">
            <v>PEB 1</v>
          </cell>
          <cell r="M1220">
            <v>0</v>
          </cell>
          <cell r="N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</row>
        <row r="1221">
          <cell r="E1221" t="str">
            <v>PEB 2</v>
          </cell>
          <cell r="M1221">
            <v>0</v>
          </cell>
          <cell r="N1221">
            <v>0</v>
          </cell>
        </row>
        <row r="1222">
          <cell r="E1222" t="str">
            <v>PEB 3</v>
          </cell>
          <cell r="M1222">
            <v>0</v>
          </cell>
          <cell r="N1222">
            <v>0</v>
          </cell>
        </row>
        <row r="1223">
          <cell r="E1223" t="str">
            <v>PEB 4</v>
          </cell>
          <cell r="M1223">
            <v>0</v>
          </cell>
          <cell r="N1223">
            <v>0</v>
          </cell>
        </row>
        <row r="1224">
          <cell r="E1224" t="str">
            <v>PEB 5</v>
          </cell>
          <cell r="M1224">
            <v>0</v>
          </cell>
          <cell r="N1224">
            <v>0</v>
          </cell>
        </row>
        <row r="1225">
          <cell r="E1225" t="str">
            <v>PEB 6</v>
          </cell>
          <cell r="M1225">
            <v>0</v>
          </cell>
          <cell r="N1225">
            <v>0</v>
          </cell>
        </row>
        <row r="1226">
          <cell r="E1226" t="str">
            <v>PEB 7 / TB</v>
          </cell>
          <cell r="M1226">
            <v>0</v>
          </cell>
          <cell r="N1226">
            <v>0</v>
          </cell>
        </row>
        <row r="1227">
          <cell r="E1227" t="str">
            <v>MPP</v>
          </cell>
          <cell r="M1227">
            <v>0</v>
          </cell>
          <cell r="N1227">
            <v>0</v>
          </cell>
        </row>
        <row r="1228">
          <cell r="E1228" t="str">
            <v>ID</v>
          </cell>
          <cell r="M1228">
            <v>0</v>
          </cell>
          <cell r="N1228">
            <v>0</v>
          </cell>
        </row>
        <row r="1229">
          <cell r="E1229" t="str">
            <v>LL</v>
          </cell>
          <cell r="M1229">
            <v>0</v>
          </cell>
          <cell r="N1229">
            <v>0</v>
          </cell>
        </row>
        <row r="1230">
          <cell r="E1230" t="str">
            <v>PMK</v>
          </cell>
          <cell r="M1230">
            <v>0</v>
          </cell>
          <cell r="N1230">
            <v>0</v>
          </cell>
        </row>
        <row r="1232">
          <cell r="C1232" t="str">
            <v>A0251</v>
          </cell>
          <cell r="D1232" t="str">
            <v>PT Surya Indah Nusantara Pagi</v>
          </cell>
          <cell r="E1232" t="str">
            <v>PEB 1</v>
          </cell>
          <cell r="M1232">
            <v>0</v>
          </cell>
          <cell r="N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</row>
        <row r="1233">
          <cell r="E1233" t="str">
            <v>PEB 2</v>
          </cell>
          <cell r="M1233">
            <v>0</v>
          </cell>
          <cell r="N1233">
            <v>0</v>
          </cell>
        </row>
        <row r="1234">
          <cell r="E1234" t="str">
            <v>PEB 3</v>
          </cell>
          <cell r="M1234">
            <v>0</v>
          </cell>
          <cell r="N1234">
            <v>0</v>
          </cell>
        </row>
        <row r="1235">
          <cell r="E1235" t="str">
            <v>PEB 4</v>
          </cell>
          <cell r="M1235">
            <v>0</v>
          </cell>
          <cell r="N1235">
            <v>0</v>
          </cell>
        </row>
        <row r="1236">
          <cell r="E1236" t="str">
            <v>PEB 5</v>
          </cell>
          <cell r="M1236">
            <v>0</v>
          </cell>
          <cell r="N1236">
            <v>0</v>
          </cell>
        </row>
        <row r="1237">
          <cell r="E1237" t="str">
            <v>PEB 6</v>
          </cell>
          <cell r="M1237">
            <v>0</v>
          </cell>
          <cell r="N1237">
            <v>0</v>
          </cell>
        </row>
        <row r="1238">
          <cell r="E1238" t="str">
            <v>PEB 7 / TB</v>
          </cell>
          <cell r="M1238">
            <v>0</v>
          </cell>
          <cell r="N1238">
            <v>0</v>
          </cell>
        </row>
        <row r="1239">
          <cell r="E1239" t="str">
            <v>MPP</v>
          </cell>
          <cell r="M1239">
            <v>0</v>
          </cell>
          <cell r="N1239">
            <v>0</v>
          </cell>
        </row>
        <row r="1240">
          <cell r="E1240" t="str">
            <v>ID</v>
          </cell>
          <cell r="M1240">
            <v>0</v>
          </cell>
          <cell r="N1240">
            <v>0</v>
          </cell>
        </row>
        <row r="1241">
          <cell r="E1241" t="str">
            <v>LL</v>
          </cell>
          <cell r="M1241">
            <v>0</v>
          </cell>
          <cell r="N1241">
            <v>0</v>
          </cell>
        </row>
        <row r="1242">
          <cell r="E1242" t="str">
            <v>PMK</v>
          </cell>
          <cell r="M1242">
            <v>0</v>
          </cell>
          <cell r="N1242">
            <v>0</v>
          </cell>
        </row>
        <row r="1244">
          <cell r="C1244" t="str">
            <v>A0259</v>
          </cell>
          <cell r="D1244" t="str">
            <v>PT Surya Panen Subur</v>
          </cell>
          <cell r="E1244" t="str">
            <v>PEB 1</v>
          </cell>
          <cell r="M1244">
            <v>0</v>
          </cell>
          <cell r="N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</row>
        <row r="1245">
          <cell r="E1245" t="str">
            <v>PEB 2</v>
          </cell>
          <cell r="M1245">
            <v>0</v>
          </cell>
          <cell r="N1245">
            <v>0</v>
          </cell>
        </row>
        <row r="1246">
          <cell r="E1246" t="str">
            <v>PEB 3</v>
          </cell>
          <cell r="M1246">
            <v>0</v>
          </cell>
          <cell r="N1246">
            <v>0</v>
          </cell>
        </row>
        <row r="1247">
          <cell r="E1247" t="str">
            <v>PEB 4</v>
          </cell>
          <cell r="M1247">
            <v>0</v>
          </cell>
          <cell r="N1247">
            <v>0</v>
          </cell>
        </row>
        <row r="1248">
          <cell r="E1248" t="str">
            <v>PEB 5</v>
          </cell>
          <cell r="M1248">
            <v>0</v>
          </cell>
          <cell r="N1248">
            <v>0</v>
          </cell>
        </row>
        <row r="1249">
          <cell r="E1249" t="str">
            <v>PEB 6</v>
          </cell>
          <cell r="M1249">
            <v>0</v>
          </cell>
          <cell r="N1249">
            <v>0</v>
          </cell>
        </row>
        <row r="1250">
          <cell r="E1250" t="str">
            <v>PEB 7 / TB</v>
          </cell>
          <cell r="M1250">
            <v>0</v>
          </cell>
          <cell r="N1250">
            <v>0</v>
          </cell>
        </row>
        <row r="1251">
          <cell r="E1251" t="str">
            <v>MPP</v>
          </cell>
          <cell r="M1251">
            <v>0</v>
          </cell>
          <cell r="N1251">
            <v>0</v>
          </cell>
        </row>
        <row r="1252">
          <cell r="E1252" t="str">
            <v>ID</v>
          </cell>
          <cell r="M1252">
            <v>0</v>
          </cell>
          <cell r="N1252">
            <v>0</v>
          </cell>
        </row>
        <row r="1253">
          <cell r="E1253" t="str">
            <v>LL</v>
          </cell>
          <cell r="M1253">
            <v>0</v>
          </cell>
          <cell r="N1253">
            <v>0</v>
          </cell>
        </row>
        <row r="1254">
          <cell r="E1254" t="str">
            <v>PMK</v>
          </cell>
          <cell r="M1254">
            <v>0</v>
          </cell>
          <cell r="N1254">
            <v>0</v>
          </cell>
        </row>
        <row r="1256">
          <cell r="C1256" t="str">
            <v>A0170</v>
          </cell>
          <cell r="D1256" t="str">
            <v>PT Suryaraya Lestari</v>
          </cell>
          <cell r="E1256" t="str">
            <v>PEB 1</v>
          </cell>
          <cell r="M1256">
            <v>0</v>
          </cell>
          <cell r="N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</row>
        <row r="1257">
          <cell r="E1257" t="str">
            <v>PEB 2</v>
          </cell>
          <cell r="M1257">
            <v>0</v>
          </cell>
          <cell r="N1257">
            <v>0</v>
          </cell>
        </row>
        <row r="1258">
          <cell r="E1258" t="str">
            <v>PEB 3</v>
          </cell>
          <cell r="M1258">
            <v>0</v>
          </cell>
          <cell r="N1258">
            <v>0</v>
          </cell>
        </row>
        <row r="1259">
          <cell r="E1259" t="str">
            <v>PEB 4</v>
          </cell>
          <cell r="M1259">
            <v>0</v>
          </cell>
          <cell r="N1259">
            <v>0</v>
          </cell>
        </row>
        <row r="1260">
          <cell r="E1260" t="str">
            <v>PEB 5</v>
          </cell>
          <cell r="M1260">
            <v>0</v>
          </cell>
          <cell r="N1260">
            <v>0</v>
          </cell>
        </row>
        <row r="1261">
          <cell r="E1261" t="str">
            <v>PEB 6</v>
          </cell>
          <cell r="M1261">
            <v>0</v>
          </cell>
          <cell r="N1261">
            <v>0</v>
          </cell>
        </row>
        <row r="1262">
          <cell r="E1262" t="str">
            <v>PEB 7 / TB</v>
          </cell>
          <cell r="M1262">
            <v>0</v>
          </cell>
          <cell r="N1262">
            <v>0</v>
          </cell>
        </row>
        <row r="1263">
          <cell r="E1263" t="str">
            <v>MPP</v>
          </cell>
          <cell r="M1263">
            <v>0</v>
          </cell>
          <cell r="N1263">
            <v>0</v>
          </cell>
        </row>
        <row r="1264">
          <cell r="E1264" t="str">
            <v>ID</v>
          </cell>
          <cell r="M1264">
            <v>0</v>
          </cell>
          <cell r="N1264">
            <v>0</v>
          </cell>
        </row>
        <row r="1265">
          <cell r="E1265" t="str">
            <v>LL</v>
          </cell>
          <cell r="M1265">
            <v>0</v>
          </cell>
          <cell r="N1265">
            <v>0</v>
          </cell>
        </row>
        <row r="1266">
          <cell r="E1266" t="str">
            <v>PMK</v>
          </cell>
          <cell r="M1266">
            <v>0</v>
          </cell>
          <cell r="N1266">
            <v>0</v>
          </cell>
        </row>
        <row r="1268">
          <cell r="C1268" t="str">
            <v>A0140</v>
          </cell>
          <cell r="D1268" t="str">
            <v>PT Suryaraya Prawira</v>
          </cell>
          <cell r="E1268" t="str">
            <v>PEB 1</v>
          </cell>
          <cell r="M1268">
            <v>0</v>
          </cell>
          <cell r="N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</row>
        <row r="1269">
          <cell r="E1269" t="str">
            <v>PEB 2</v>
          </cell>
          <cell r="M1269">
            <v>0</v>
          </cell>
          <cell r="N1269">
            <v>0</v>
          </cell>
        </row>
        <row r="1270">
          <cell r="E1270" t="str">
            <v>PEB 3</v>
          </cell>
          <cell r="M1270">
            <v>0</v>
          </cell>
          <cell r="N1270">
            <v>0</v>
          </cell>
        </row>
        <row r="1271">
          <cell r="E1271" t="str">
            <v>PEB 4</v>
          </cell>
          <cell r="M1271">
            <v>0</v>
          </cell>
          <cell r="N1271">
            <v>0</v>
          </cell>
        </row>
        <row r="1272">
          <cell r="E1272" t="str">
            <v>PEB 5</v>
          </cell>
          <cell r="M1272">
            <v>0</v>
          </cell>
          <cell r="N1272">
            <v>0</v>
          </cell>
        </row>
        <row r="1273">
          <cell r="E1273" t="str">
            <v>PEB 6</v>
          </cell>
          <cell r="M1273">
            <v>0</v>
          </cell>
          <cell r="N1273">
            <v>0</v>
          </cell>
        </row>
        <row r="1274">
          <cell r="E1274" t="str">
            <v>PEB 7 / TB</v>
          </cell>
          <cell r="M1274">
            <v>0</v>
          </cell>
          <cell r="N1274">
            <v>0</v>
          </cell>
        </row>
        <row r="1275">
          <cell r="E1275" t="str">
            <v>MPP</v>
          </cell>
          <cell r="M1275">
            <v>0</v>
          </cell>
          <cell r="N1275">
            <v>0</v>
          </cell>
        </row>
        <row r="1276">
          <cell r="E1276" t="str">
            <v>ID</v>
          </cell>
          <cell r="M1276">
            <v>0</v>
          </cell>
          <cell r="N1276">
            <v>0</v>
          </cell>
        </row>
        <row r="1277">
          <cell r="E1277" t="str">
            <v>LL</v>
          </cell>
          <cell r="M1277">
            <v>0</v>
          </cell>
          <cell r="N1277">
            <v>0</v>
          </cell>
        </row>
        <row r="1278">
          <cell r="E1278" t="str">
            <v>PMK</v>
          </cell>
          <cell r="M1278">
            <v>0</v>
          </cell>
          <cell r="N1278">
            <v>0</v>
          </cell>
        </row>
        <row r="1280">
          <cell r="C1280" t="str">
            <v>A0199</v>
          </cell>
          <cell r="D1280" t="str">
            <v>PT Suryaraya Rubberindo Industries</v>
          </cell>
          <cell r="E1280" t="str">
            <v>PEB 1</v>
          </cell>
          <cell r="M1280">
            <v>0</v>
          </cell>
          <cell r="N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</row>
        <row r="1281">
          <cell r="E1281" t="str">
            <v>PEB 2</v>
          </cell>
          <cell r="M1281">
            <v>0</v>
          </cell>
          <cell r="N1281">
            <v>0</v>
          </cell>
        </row>
        <row r="1282">
          <cell r="E1282" t="str">
            <v>PEB 3</v>
          </cell>
          <cell r="M1282">
            <v>0</v>
          </cell>
          <cell r="N1282">
            <v>0</v>
          </cell>
        </row>
        <row r="1283">
          <cell r="E1283" t="str">
            <v>PEB 4</v>
          </cell>
          <cell r="M1283">
            <v>0</v>
          </cell>
          <cell r="N1283">
            <v>0</v>
          </cell>
        </row>
        <row r="1284">
          <cell r="E1284" t="str">
            <v>PEB 5</v>
          </cell>
          <cell r="M1284">
            <v>0</v>
          </cell>
          <cell r="N1284">
            <v>0</v>
          </cell>
        </row>
        <row r="1285">
          <cell r="E1285" t="str">
            <v>PEB 6</v>
          </cell>
          <cell r="M1285">
            <v>0</v>
          </cell>
          <cell r="N1285">
            <v>0</v>
          </cell>
        </row>
        <row r="1286">
          <cell r="E1286" t="str">
            <v>PEB 7 / TB</v>
          </cell>
          <cell r="M1286">
            <v>0</v>
          </cell>
          <cell r="N1286">
            <v>0</v>
          </cell>
        </row>
        <row r="1287">
          <cell r="E1287" t="str">
            <v>MPP</v>
          </cell>
          <cell r="M1287">
            <v>0</v>
          </cell>
          <cell r="N1287">
            <v>0</v>
          </cell>
        </row>
        <row r="1288">
          <cell r="E1288" t="str">
            <v>ID</v>
          </cell>
          <cell r="M1288">
            <v>0</v>
          </cell>
          <cell r="N1288">
            <v>0</v>
          </cell>
        </row>
        <row r="1289">
          <cell r="E1289" t="str">
            <v>LL</v>
          </cell>
          <cell r="M1289">
            <v>0</v>
          </cell>
          <cell r="N1289">
            <v>0</v>
          </cell>
        </row>
        <row r="1290">
          <cell r="E1290" t="str">
            <v>PMK</v>
          </cell>
          <cell r="M1290">
            <v>0</v>
          </cell>
          <cell r="N1290">
            <v>0</v>
          </cell>
        </row>
        <row r="1292">
          <cell r="C1292" t="str">
            <v>A0221</v>
          </cell>
          <cell r="D1292" t="str">
            <v>PT Swadaya Harapan Nusantara</v>
          </cell>
          <cell r="E1292" t="str">
            <v>PEB 1</v>
          </cell>
          <cell r="G1292">
            <v>590846</v>
          </cell>
          <cell r="H1292">
            <v>29351</v>
          </cell>
          <cell r="M1292">
            <v>590846</v>
          </cell>
          <cell r="N1292">
            <v>29351</v>
          </cell>
          <cell r="P1292">
            <v>171914</v>
          </cell>
          <cell r="Q1292">
            <v>8885</v>
          </cell>
          <cell r="R1292">
            <v>46460</v>
          </cell>
          <cell r="S1292">
            <v>2279</v>
          </cell>
          <cell r="T1292">
            <v>19092</v>
          </cell>
          <cell r="U1292">
            <v>1445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8710</v>
          </cell>
          <cell r="AA1292">
            <v>510</v>
          </cell>
          <cell r="AB1292">
            <v>108786</v>
          </cell>
          <cell r="AC1292">
            <v>5626</v>
          </cell>
          <cell r="AD1292">
            <v>38200</v>
          </cell>
          <cell r="AE1292">
            <v>2099</v>
          </cell>
          <cell r="AF1292">
            <v>37183</v>
          </cell>
          <cell r="AG1292">
            <v>11833</v>
          </cell>
          <cell r="AH1292">
            <v>28016</v>
          </cell>
          <cell r="AI1292">
            <v>3234</v>
          </cell>
        </row>
        <row r="1293">
          <cell r="E1293" t="str">
            <v>PEB 2</v>
          </cell>
          <cell r="G1293">
            <v>171914</v>
          </cell>
          <cell r="H1293">
            <v>8885</v>
          </cell>
          <cell r="M1293">
            <v>171914</v>
          </cell>
          <cell r="N1293">
            <v>8885</v>
          </cell>
        </row>
        <row r="1294">
          <cell r="E1294" t="str">
            <v>PEB 3</v>
          </cell>
          <cell r="G1294">
            <v>46460</v>
          </cell>
          <cell r="H1294">
            <v>2279</v>
          </cell>
          <cell r="M1294">
            <v>46460</v>
          </cell>
          <cell r="N1294">
            <v>2279</v>
          </cell>
        </row>
        <row r="1295">
          <cell r="E1295" t="str">
            <v>PEB 4</v>
          </cell>
          <cell r="G1295">
            <v>19092</v>
          </cell>
          <cell r="H1295">
            <v>1445</v>
          </cell>
          <cell r="M1295">
            <v>19092</v>
          </cell>
          <cell r="N1295">
            <v>1445</v>
          </cell>
        </row>
        <row r="1296">
          <cell r="E1296" t="str">
            <v>PEB 5</v>
          </cell>
          <cell r="G1296">
            <v>0</v>
          </cell>
          <cell r="H1296">
            <v>0</v>
          </cell>
          <cell r="M1296">
            <v>0</v>
          </cell>
          <cell r="N1296">
            <v>0</v>
          </cell>
        </row>
        <row r="1297">
          <cell r="E1297" t="str">
            <v>PEB 6</v>
          </cell>
          <cell r="M1297">
            <v>0</v>
          </cell>
          <cell r="N1297">
            <v>0</v>
          </cell>
        </row>
        <row r="1298">
          <cell r="E1298" t="str">
            <v>PEB 7 / TB</v>
          </cell>
          <cell r="G1298">
            <v>8710</v>
          </cell>
          <cell r="H1298">
            <v>510</v>
          </cell>
          <cell r="M1298">
            <v>8710</v>
          </cell>
          <cell r="N1298">
            <v>510</v>
          </cell>
        </row>
        <row r="1299">
          <cell r="E1299" t="str">
            <v>MPP</v>
          </cell>
          <cell r="G1299">
            <v>108786</v>
          </cell>
          <cell r="H1299">
            <v>5626</v>
          </cell>
          <cell r="M1299">
            <v>108786</v>
          </cell>
          <cell r="N1299">
            <v>5626</v>
          </cell>
        </row>
        <row r="1300">
          <cell r="E1300" t="str">
            <v>ID</v>
          </cell>
          <cell r="G1300">
            <v>38200</v>
          </cell>
          <cell r="H1300">
            <v>2099</v>
          </cell>
          <cell r="M1300">
            <v>38200</v>
          </cell>
          <cell r="N1300">
            <v>2099</v>
          </cell>
        </row>
        <row r="1301">
          <cell r="E1301" t="str">
            <v>LL</v>
          </cell>
          <cell r="G1301">
            <v>37183</v>
          </cell>
          <cell r="H1301">
            <v>11833</v>
          </cell>
          <cell r="M1301">
            <v>37183</v>
          </cell>
          <cell r="N1301">
            <v>11833</v>
          </cell>
        </row>
        <row r="1302">
          <cell r="E1302" t="str">
            <v>PMK</v>
          </cell>
          <cell r="G1302">
            <v>28016</v>
          </cell>
          <cell r="H1302">
            <v>3234</v>
          </cell>
          <cell r="M1302">
            <v>28016</v>
          </cell>
          <cell r="N1302">
            <v>3234</v>
          </cell>
        </row>
        <row r="1304">
          <cell r="C1304" t="str">
            <v>A0143</v>
          </cell>
          <cell r="D1304" t="str">
            <v>PT Swadharma Bhakti Sedaya Finance</v>
          </cell>
          <cell r="E1304" t="str">
            <v>PEB 1</v>
          </cell>
          <cell r="M1304">
            <v>0</v>
          </cell>
          <cell r="N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</row>
        <row r="1305">
          <cell r="E1305" t="str">
            <v>PEB 2</v>
          </cell>
          <cell r="M1305">
            <v>0</v>
          </cell>
          <cell r="N1305">
            <v>0</v>
          </cell>
        </row>
        <row r="1306">
          <cell r="E1306" t="str">
            <v>PEB 3</v>
          </cell>
          <cell r="M1306">
            <v>0</v>
          </cell>
          <cell r="N1306">
            <v>0</v>
          </cell>
        </row>
        <row r="1307">
          <cell r="E1307" t="str">
            <v>PEB 4</v>
          </cell>
          <cell r="M1307">
            <v>0</v>
          </cell>
          <cell r="N1307">
            <v>0</v>
          </cell>
        </row>
        <row r="1308">
          <cell r="E1308" t="str">
            <v>PEB 5</v>
          </cell>
          <cell r="M1308">
            <v>0</v>
          </cell>
          <cell r="N1308">
            <v>0</v>
          </cell>
        </row>
        <row r="1309">
          <cell r="E1309" t="str">
            <v>PEB 6</v>
          </cell>
          <cell r="M1309">
            <v>0</v>
          </cell>
          <cell r="N1309">
            <v>0</v>
          </cell>
        </row>
        <row r="1310">
          <cell r="E1310" t="str">
            <v>PEB 7 / TB</v>
          </cell>
          <cell r="M1310">
            <v>0</v>
          </cell>
          <cell r="N1310">
            <v>0</v>
          </cell>
        </row>
        <row r="1311">
          <cell r="E1311" t="str">
            <v>MPP</v>
          </cell>
          <cell r="M1311">
            <v>0</v>
          </cell>
          <cell r="N1311">
            <v>0</v>
          </cell>
        </row>
        <row r="1312">
          <cell r="E1312" t="str">
            <v>ID</v>
          </cell>
          <cell r="M1312">
            <v>0</v>
          </cell>
          <cell r="N1312">
            <v>0</v>
          </cell>
        </row>
        <row r="1313">
          <cell r="E1313" t="str">
            <v>LL</v>
          </cell>
          <cell r="M1313">
            <v>0</v>
          </cell>
          <cell r="N1313">
            <v>0</v>
          </cell>
        </row>
        <row r="1314">
          <cell r="E1314" t="str">
            <v>PMK</v>
          </cell>
          <cell r="M1314">
            <v>0</v>
          </cell>
          <cell r="N1314">
            <v>0</v>
          </cell>
        </row>
        <row r="1316">
          <cell r="C1316" t="str">
            <v>A0452</v>
          </cell>
          <cell r="D1316" t="str">
            <v>PT Telen Orbit Prima</v>
          </cell>
          <cell r="E1316" t="str">
            <v>PEB 1</v>
          </cell>
          <cell r="G1316">
            <v>113322</v>
          </cell>
          <cell r="H1316">
            <v>5468</v>
          </cell>
          <cell r="M1316">
            <v>113322</v>
          </cell>
          <cell r="N1316">
            <v>5468</v>
          </cell>
          <cell r="P1316">
            <v>41890</v>
          </cell>
          <cell r="Q1316">
            <v>2021</v>
          </cell>
          <cell r="R1316">
            <v>9719</v>
          </cell>
          <cell r="S1316">
            <v>469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3077</v>
          </cell>
          <cell r="AA1316">
            <v>148</v>
          </cell>
          <cell r="AB1316">
            <v>16756</v>
          </cell>
          <cell r="AC1316">
            <v>808</v>
          </cell>
          <cell r="AD1316">
            <v>8678</v>
          </cell>
          <cell r="AE1316">
            <v>419</v>
          </cell>
          <cell r="AF1316">
            <v>1508</v>
          </cell>
          <cell r="AG1316">
            <v>2079</v>
          </cell>
          <cell r="AH1316">
            <v>5835</v>
          </cell>
          <cell r="AI1316">
            <v>848</v>
          </cell>
        </row>
        <row r="1317">
          <cell r="E1317" t="str">
            <v>PEB 2</v>
          </cell>
          <cell r="G1317">
            <v>41890</v>
          </cell>
          <cell r="H1317">
            <v>2021</v>
          </cell>
          <cell r="M1317">
            <v>41890</v>
          </cell>
          <cell r="N1317">
            <v>2021</v>
          </cell>
        </row>
        <row r="1318">
          <cell r="E1318" t="str">
            <v>PEB 3</v>
          </cell>
          <cell r="G1318">
            <v>9719</v>
          </cell>
          <cell r="H1318">
            <v>469</v>
          </cell>
          <cell r="M1318">
            <v>9719</v>
          </cell>
          <cell r="N1318">
            <v>469</v>
          </cell>
        </row>
        <row r="1319">
          <cell r="E1319" t="str">
            <v>PEB 4</v>
          </cell>
          <cell r="G1319">
            <v>0</v>
          </cell>
          <cell r="H1319">
            <v>0</v>
          </cell>
          <cell r="M1319">
            <v>0</v>
          </cell>
          <cell r="N1319">
            <v>0</v>
          </cell>
        </row>
        <row r="1320">
          <cell r="E1320" t="str">
            <v>PEB 5</v>
          </cell>
          <cell r="G1320">
            <v>0</v>
          </cell>
          <cell r="H1320">
            <v>0</v>
          </cell>
          <cell r="M1320">
            <v>0</v>
          </cell>
          <cell r="N1320">
            <v>0</v>
          </cell>
        </row>
        <row r="1321">
          <cell r="E1321" t="str">
            <v>PEB 6</v>
          </cell>
          <cell r="M1321">
            <v>0</v>
          </cell>
          <cell r="N1321">
            <v>0</v>
          </cell>
        </row>
        <row r="1322">
          <cell r="E1322" t="str">
            <v>PEB 7 / TB</v>
          </cell>
          <cell r="G1322">
            <v>3077</v>
          </cell>
          <cell r="H1322">
            <v>148</v>
          </cell>
          <cell r="M1322">
            <v>3077</v>
          </cell>
          <cell r="N1322">
            <v>148</v>
          </cell>
        </row>
        <row r="1323">
          <cell r="E1323" t="str">
            <v>MPP</v>
          </cell>
          <cell r="G1323">
            <v>16756</v>
          </cell>
          <cell r="H1323">
            <v>808</v>
          </cell>
          <cell r="M1323">
            <v>16756</v>
          </cell>
          <cell r="N1323">
            <v>808</v>
          </cell>
        </row>
        <row r="1324">
          <cell r="E1324" t="str">
            <v>ID</v>
          </cell>
          <cell r="G1324">
            <v>8678</v>
          </cell>
          <cell r="H1324">
            <v>419</v>
          </cell>
          <cell r="M1324">
            <v>8678</v>
          </cell>
          <cell r="N1324">
            <v>419</v>
          </cell>
        </row>
        <row r="1325">
          <cell r="E1325" t="str">
            <v>LL</v>
          </cell>
          <cell r="G1325">
            <v>1508</v>
          </cell>
          <cell r="H1325">
            <v>2079</v>
          </cell>
          <cell r="M1325">
            <v>1508</v>
          </cell>
          <cell r="N1325">
            <v>2079</v>
          </cell>
        </row>
        <row r="1326">
          <cell r="E1326" t="str">
            <v>PMK</v>
          </cell>
          <cell r="G1326">
            <v>5835</v>
          </cell>
          <cell r="H1326">
            <v>848</v>
          </cell>
          <cell r="M1326">
            <v>5835</v>
          </cell>
          <cell r="N1326">
            <v>848</v>
          </cell>
        </row>
        <row r="1328">
          <cell r="C1328" t="str">
            <v>A0146</v>
          </cell>
          <cell r="D1328" t="str">
            <v>PT Tjahja Sakti Motor</v>
          </cell>
          <cell r="E1328" t="str">
            <v>PEB 1</v>
          </cell>
          <cell r="M1328">
            <v>0</v>
          </cell>
          <cell r="N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</row>
        <row r="1329">
          <cell r="E1329" t="str">
            <v>PEB 2</v>
          </cell>
          <cell r="M1329">
            <v>0</v>
          </cell>
          <cell r="N1329">
            <v>0</v>
          </cell>
        </row>
        <row r="1330">
          <cell r="E1330" t="str">
            <v>PEB 3</v>
          </cell>
          <cell r="M1330">
            <v>0</v>
          </cell>
          <cell r="N1330">
            <v>0</v>
          </cell>
        </row>
        <row r="1331">
          <cell r="E1331" t="str">
            <v>PEB 4</v>
          </cell>
          <cell r="M1331">
            <v>0</v>
          </cell>
          <cell r="N1331">
            <v>0</v>
          </cell>
        </row>
        <row r="1332">
          <cell r="E1332" t="str">
            <v>PEB 5</v>
          </cell>
          <cell r="M1332">
            <v>0</v>
          </cell>
          <cell r="N1332">
            <v>0</v>
          </cell>
        </row>
        <row r="1333">
          <cell r="E1333" t="str">
            <v>PEB 6</v>
          </cell>
          <cell r="M1333">
            <v>0</v>
          </cell>
          <cell r="N1333">
            <v>0</v>
          </cell>
        </row>
        <row r="1334">
          <cell r="E1334" t="str">
            <v>PEB 7 / TB</v>
          </cell>
          <cell r="M1334">
            <v>0</v>
          </cell>
          <cell r="N1334">
            <v>0</v>
          </cell>
        </row>
        <row r="1335">
          <cell r="E1335" t="str">
            <v>MPP</v>
          </cell>
          <cell r="M1335">
            <v>0</v>
          </cell>
          <cell r="N1335">
            <v>0</v>
          </cell>
        </row>
        <row r="1336">
          <cell r="E1336" t="str">
            <v>ID</v>
          </cell>
          <cell r="M1336">
            <v>0</v>
          </cell>
          <cell r="N1336">
            <v>0</v>
          </cell>
        </row>
        <row r="1337">
          <cell r="E1337" t="str">
            <v>LL</v>
          </cell>
          <cell r="M1337">
            <v>0</v>
          </cell>
          <cell r="N1337">
            <v>0</v>
          </cell>
        </row>
        <row r="1338">
          <cell r="E1338" t="str">
            <v>PMK</v>
          </cell>
          <cell r="M1338">
            <v>0</v>
          </cell>
          <cell r="N1338">
            <v>0</v>
          </cell>
        </row>
        <row r="1340">
          <cell r="C1340" t="str">
            <v>A0364</v>
          </cell>
          <cell r="D1340" t="str">
            <v>PT Toyoda Gosei Safety System Indonesia</v>
          </cell>
          <cell r="E1340" t="str">
            <v>PEB 1</v>
          </cell>
          <cell r="M1340">
            <v>0</v>
          </cell>
          <cell r="N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</row>
        <row r="1341">
          <cell r="E1341" t="str">
            <v>PEB 2</v>
          </cell>
          <cell r="M1341">
            <v>0</v>
          </cell>
          <cell r="N1341">
            <v>0</v>
          </cell>
        </row>
        <row r="1342">
          <cell r="E1342" t="str">
            <v>PEB 3</v>
          </cell>
          <cell r="M1342">
            <v>0</v>
          </cell>
          <cell r="N1342">
            <v>0</v>
          </cell>
        </row>
        <row r="1343">
          <cell r="E1343" t="str">
            <v>PEB 4</v>
          </cell>
          <cell r="M1343">
            <v>0</v>
          </cell>
          <cell r="N1343">
            <v>0</v>
          </cell>
        </row>
        <row r="1344">
          <cell r="E1344" t="str">
            <v>PEB 5</v>
          </cell>
          <cell r="M1344">
            <v>0</v>
          </cell>
          <cell r="N1344">
            <v>0</v>
          </cell>
        </row>
        <row r="1345">
          <cell r="E1345" t="str">
            <v>PEB 6</v>
          </cell>
          <cell r="M1345">
            <v>0</v>
          </cell>
          <cell r="N1345">
            <v>0</v>
          </cell>
        </row>
        <row r="1346">
          <cell r="E1346" t="str">
            <v>PEB 7 / TB</v>
          </cell>
          <cell r="M1346">
            <v>0</v>
          </cell>
          <cell r="N1346">
            <v>0</v>
          </cell>
        </row>
        <row r="1347">
          <cell r="E1347" t="str">
            <v>MPP</v>
          </cell>
          <cell r="M1347">
            <v>0</v>
          </cell>
          <cell r="N1347">
            <v>0</v>
          </cell>
        </row>
        <row r="1348">
          <cell r="E1348" t="str">
            <v>ID</v>
          </cell>
          <cell r="M1348">
            <v>0</v>
          </cell>
          <cell r="N1348">
            <v>0</v>
          </cell>
        </row>
        <row r="1349">
          <cell r="E1349" t="str">
            <v>LL</v>
          </cell>
          <cell r="M1349">
            <v>0</v>
          </cell>
          <cell r="N1349">
            <v>0</v>
          </cell>
        </row>
        <row r="1350">
          <cell r="E1350" t="str">
            <v>PMK</v>
          </cell>
          <cell r="M1350">
            <v>0</v>
          </cell>
          <cell r="N1350">
            <v>0</v>
          </cell>
        </row>
        <row r="1352">
          <cell r="C1352" t="str">
            <v>A0411</v>
          </cell>
          <cell r="D1352" t="str">
            <v>PT Toyota Astra Financial Services</v>
          </cell>
          <cell r="E1352" t="str">
            <v>PEB 1</v>
          </cell>
          <cell r="M1352">
            <v>0</v>
          </cell>
          <cell r="N1352">
            <v>0</v>
          </cell>
          <cell r="P1352">
            <v>6313.2746757951691</v>
          </cell>
          <cell r="Q1352">
            <v>1174.6936196302524</v>
          </cell>
          <cell r="R1352">
            <v>0</v>
          </cell>
          <cell r="S1352">
            <v>0</v>
          </cell>
          <cell r="T1352">
            <v>5744.7309097995312</v>
          </cell>
          <cell r="U1352">
            <v>1068.9062479899535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2567.7960702120281</v>
          </cell>
          <cell r="AA1352">
            <v>477.7827379750093</v>
          </cell>
          <cell r="AB1352">
            <v>0</v>
          </cell>
          <cell r="AC1352">
            <v>0</v>
          </cell>
          <cell r="AD1352">
            <v>3450.647670517028</v>
          </cell>
          <cell r="AE1352">
            <v>642.0525021173429</v>
          </cell>
          <cell r="AF1352">
            <v>894.9529767650165</v>
          </cell>
          <cell r="AG1352">
            <v>2390.3588648147875</v>
          </cell>
          <cell r="AH1352">
            <v>2972.3604295975501</v>
          </cell>
          <cell r="AI1352">
            <v>553.05891335226966</v>
          </cell>
        </row>
        <row r="1353">
          <cell r="E1353" t="str">
            <v>PEB 2</v>
          </cell>
          <cell r="G1353">
            <v>6313.2746757951691</v>
          </cell>
          <cell r="H1353">
            <v>1174.6936196302524</v>
          </cell>
          <cell r="M1353">
            <v>6313.2746757951691</v>
          </cell>
          <cell r="N1353">
            <v>1174.6936196302524</v>
          </cell>
        </row>
        <row r="1354">
          <cell r="E1354" t="str">
            <v>PEB 3</v>
          </cell>
          <cell r="M1354">
            <v>0</v>
          </cell>
          <cell r="N1354">
            <v>0</v>
          </cell>
        </row>
        <row r="1355">
          <cell r="E1355" t="str">
            <v>PEB 4</v>
          </cell>
          <cell r="G1355">
            <v>5744.7309097995312</v>
          </cell>
          <cell r="H1355">
            <v>1068.9062479899535</v>
          </cell>
          <cell r="M1355">
            <v>5744.7309097995312</v>
          </cell>
          <cell r="N1355">
            <v>1068.9062479899535</v>
          </cell>
        </row>
        <row r="1356">
          <cell r="E1356" t="str">
            <v>PEB 5</v>
          </cell>
          <cell r="M1356">
            <v>0</v>
          </cell>
          <cell r="N1356">
            <v>0</v>
          </cell>
        </row>
        <row r="1357">
          <cell r="E1357" t="str">
            <v>PEB 6</v>
          </cell>
          <cell r="M1357">
            <v>0</v>
          </cell>
          <cell r="N1357">
            <v>0</v>
          </cell>
        </row>
        <row r="1358">
          <cell r="E1358" t="str">
            <v>PEB 7 / TB</v>
          </cell>
          <cell r="G1358">
            <v>2567.7960702120281</v>
          </cell>
          <cell r="H1358">
            <v>477.7827379750093</v>
          </cell>
          <cell r="M1358">
            <v>2567.7960702120281</v>
          </cell>
          <cell r="N1358">
            <v>477.7827379750093</v>
          </cell>
        </row>
        <row r="1359">
          <cell r="E1359" t="str">
            <v>MPP</v>
          </cell>
          <cell r="M1359">
            <v>0</v>
          </cell>
          <cell r="N1359">
            <v>0</v>
          </cell>
        </row>
        <row r="1360">
          <cell r="E1360" t="str">
            <v>ID</v>
          </cell>
          <cell r="G1360">
            <v>3450.647670517028</v>
          </cell>
          <cell r="H1360">
            <v>642.0525021173429</v>
          </cell>
          <cell r="M1360">
            <v>3450.647670517028</v>
          </cell>
          <cell r="N1360">
            <v>642.0525021173429</v>
          </cell>
        </row>
        <row r="1361">
          <cell r="E1361" t="str">
            <v>LL</v>
          </cell>
          <cell r="G1361">
            <v>894.9529767650165</v>
          </cell>
          <cell r="H1361">
            <v>2390.3588648147875</v>
          </cell>
          <cell r="M1361">
            <v>894.9529767650165</v>
          </cell>
          <cell r="N1361">
            <v>2390.3588648147875</v>
          </cell>
        </row>
        <row r="1362">
          <cell r="E1362" t="str">
            <v>PMK</v>
          </cell>
          <cell r="G1362">
            <v>2972.3604295975501</v>
          </cell>
          <cell r="H1362">
            <v>553.05891335226966</v>
          </cell>
          <cell r="M1362">
            <v>2972.3604295975501</v>
          </cell>
          <cell r="N1362">
            <v>553.05891335226966</v>
          </cell>
        </row>
        <row r="1364">
          <cell r="C1364" t="str">
            <v>A0150</v>
          </cell>
          <cell r="D1364" t="str">
            <v>PT Traktor Nusantara</v>
          </cell>
          <cell r="E1364" t="str">
            <v>PEB 1</v>
          </cell>
          <cell r="G1364">
            <v>0</v>
          </cell>
          <cell r="H1364">
            <v>0</v>
          </cell>
          <cell r="M1364">
            <v>0</v>
          </cell>
          <cell r="N1364">
            <v>0</v>
          </cell>
          <cell r="P1364">
            <v>48423</v>
          </cell>
          <cell r="Q1364">
            <v>3359</v>
          </cell>
          <cell r="R1364">
            <v>0</v>
          </cell>
          <cell r="S1364">
            <v>0</v>
          </cell>
          <cell r="T1364">
            <v>23489</v>
          </cell>
          <cell r="U1364">
            <v>1629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4842</v>
          </cell>
          <cell r="AA1364">
            <v>336</v>
          </cell>
          <cell r="AB1364">
            <v>29054</v>
          </cell>
          <cell r="AC1364">
            <v>2015</v>
          </cell>
          <cell r="AD1364">
            <v>17607</v>
          </cell>
          <cell r="AE1364">
            <v>1221</v>
          </cell>
          <cell r="AF1364">
            <v>22312</v>
          </cell>
          <cell r="AG1364">
            <v>5051</v>
          </cell>
          <cell r="AH1364">
            <v>9756</v>
          </cell>
          <cell r="AI1364">
            <v>888</v>
          </cell>
        </row>
        <row r="1365">
          <cell r="E1365" t="str">
            <v>PEB 2</v>
          </cell>
          <cell r="G1365">
            <v>48423</v>
          </cell>
          <cell r="H1365">
            <v>3359</v>
          </cell>
          <cell r="M1365">
            <v>48423</v>
          </cell>
          <cell r="N1365">
            <v>3359</v>
          </cell>
          <cell r="P1365">
            <v>0</v>
          </cell>
          <cell r="Q1365">
            <v>0</v>
          </cell>
          <cell r="R1365">
            <v>23489</v>
          </cell>
          <cell r="S1365">
            <v>1629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4842</v>
          </cell>
          <cell r="Y1365">
            <v>336</v>
          </cell>
          <cell r="Z1365">
            <v>29054</v>
          </cell>
          <cell r="AA1365">
            <v>2015</v>
          </cell>
          <cell r="AB1365">
            <v>17607</v>
          </cell>
          <cell r="AC1365">
            <v>1221</v>
          </cell>
          <cell r="AD1365">
            <v>22312</v>
          </cell>
          <cell r="AE1365">
            <v>5051</v>
          </cell>
          <cell r="AF1365">
            <v>9756</v>
          </cell>
          <cell r="AG1365">
            <v>888</v>
          </cell>
          <cell r="AH1365">
            <v>0</v>
          </cell>
          <cell r="AI1365">
            <v>0</v>
          </cell>
        </row>
        <row r="1366">
          <cell r="E1366" t="str">
            <v>PEB 3</v>
          </cell>
          <cell r="G1366">
            <v>0</v>
          </cell>
          <cell r="H1366">
            <v>0</v>
          </cell>
          <cell r="M1366">
            <v>0</v>
          </cell>
          <cell r="N1366">
            <v>0</v>
          </cell>
          <cell r="P1366">
            <v>23489</v>
          </cell>
          <cell r="Q1366">
            <v>1629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4842</v>
          </cell>
          <cell r="W1366">
            <v>336</v>
          </cell>
          <cell r="X1366">
            <v>29054</v>
          </cell>
          <cell r="Y1366">
            <v>2015</v>
          </cell>
          <cell r="Z1366">
            <v>17607</v>
          </cell>
          <cell r="AA1366">
            <v>1221</v>
          </cell>
          <cell r="AB1366">
            <v>22312</v>
          </cell>
          <cell r="AC1366">
            <v>5051</v>
          </cell>
          <cell r="AD1366">
            <v>9756</v>
          </cell>
          <cell r="AE1366">
            <v>888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</row>
        <row r="1367">
          <cell r="E1367" t="str">
            <v>PEB 4</v>
          </cell>
          <cell r="G1367">
            <v>23489</v>
          </cell>
          <cell r="H1367">
            <v>1629</v>
          </cell>
          <cell r="M1367">
            <v>23489</v>
          </cell>
          <cell r="N1367">
            <v>1629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4842</v>
          </cell>
          <cell r="U1367">
            <v>336</v>
          </cell>
          <cell r="V1367">
            <v>29054</v>
          </cell>
          <cell r="W1367">
            <v>2015</v>
          </cell>
          <cell r="X1367">
            <v>17607</v>
          </cell>
          <cell r="Y1367">
            <v>1221</v>
          </cell>
          <cell r="Z1367">
            <v>22312</v>
          </cell>
          <cell r="AA1367">
            <v>5051</v>
          </cell>
          <cell r="AB1367">
            <v>9756</v>
          </cell>
          <cell r="AC1367">
            <v>888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</row>
        <row r="1368">
          <cell r="E1368" t="str">
            <v>PEB 5</v>
          </cell>
        </row>
        <row r="1369">
          <cell r="E1369" t="str">
            <v>PEB 6</v>
          </cell>
        </row>
        <row r="1370">
          <cell r="E1370" t="str">
            <v>PEB 7 / TB</v>
          </cell>
          <cell r="G1370">
            <v>4842</v>
          </cell>
          <cell r="H1370">
            <v>336</v>
          </cell>
          <cell r="M1370">
            <v>4842</v>
          </cell>
          <cell r="N1370">
            <v>336</v>
          </cell>
          <cell r="P1370">
            <v>29054</v>
          </cell>
          <cell r="Q1370">
            <v>2015</v>
          </cell>
          <cell r="R1370">
            <v>17607</v>
          </cell>
          <cell r="S1370">
            <v>1221</v>
          </cell>
          <cell r="T1370">
            <v>22312</v>
          </cell>
          <cell r="U1370">
            <v>5051</v>
          </cell>
          <cell r="V1370">
            <v>9756</v>
          </cell>
          <cell r="W1370">
            <v>888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</row>
        <row r="1371">
          <cell r="E1371" t="str">
            <v>MPP</v>
          </cell>
          <cell r="G1371">
            <v>29054</v>
          </cell>
          <cell r="H1371">
            <v>2015</v>
          </cell>
          <cell r="M1371">
            <v>29054</v>
          </cell>
          <cell r="N1371">
            <v>2015</v>
          </cell>
          <cell r="P1371">
            <v>17607</v>
          </cell>
          <cell r="Q1371">
            <v>1221</v>
          </cell>
          <cell r="R1371">
            <v>22312</v>
          </cell>
          <cell r="S1371">
            <v>5051</v>
          </cell>
          <cell r="T1371">
            <v>9756</v>
          </cell>
          <cell r="U1371">
            <v>888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</row>
        <row r="1372">
          <cell r="E1372" t="str">
            <v>ID</v>
          </cell>
          <cell r="G1372">
            <v>17607</v>
          </cell>
          <cell r="H1372">
            <v>1221</v>
          </cell>
          <cell r="M1372">
            <v>17607</v>
          </cell>
          <cell r="N1372">
            <v>1221</v>
          </cell>
          <cell r="P1372">
            <v>22312</v>
          </cell>
          <cell r="Q1372">
            <v>5051</v>
          </cell>
          <cell r="R1372">
            <v>9756</v>
          </cell>
          <cell r="S1372">
            <v>888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</row>
        <row r="1373">
          <cell r="E1373" t="str">
            <v>LL</v>
          </cell>
          <cell r="G1373">
            <v>22312</v>
          </cell>
          <cell r="H1373">
            <v>5051</v>
          </cell>
          <cell r="M1373">
            <v>22312</v>
          </cell>
          <cell r="N1373">
            <v>5051</v>
          </cell>
          <cell r="P1373">
            <v>9756</v>
          </cell>
          <cell r="Q1373">
            <v>888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</row>
        <row r="1374">
          <cell r="E1374" t="str">
            <v>PMK</v>
          </cell>
          <cell r="G1374">
            <v>9756</v>
          </cell>
          <cell r="H1374">
            <v>888</v>
          </cell>
          <cell r="M1374">
            <v>9756</v>
          </cell>
          <cell r="N1374">
            <v>888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</row>
        <row r="1376">
          <cell r="C1376" t="str">
            <v>A0151</v>
          </cell>
          <cell r="D1376" t="str">
            <v>Dana Pensiun Astra</v>
          </cell>
          <cell r="E1376" t="str">
            <v>PEB 1</v>
          </cell>
          <cell r="M1376">
            <v>0</v>
          </cell>
          <cell r="N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</row>
        <row r="1377">
          <cell r="E1377" t="str">
            <v>PEB 2</v>
          </cell>
          <cell r="M1377">
            <v>0</v>
          </cell>
          <cell r="N1377">
            <v>0</v>
          </cell>
        </row>
        <row r="1378">
          <cell r="E1378" t="str">
            <v>PEB 3</v>
          </cell>
          <cell r="M1378">
            <v>0</v>
          </cell>
          <cell r="N1378">
            <v>0</v>
          </cell>
        </row>
        <row r="1379">
          <cell r="E1379" t="str">
            <v>PEB 4</v>
          </cell>
          <cell r="M1379">
            <v>0</v>
          </cell>
          <cell r="N1379">
            <v>0</v>
          </cell>
        </row>
        <row r="1380">
          <cell r="E1380" t="str">
            <v>PEB 5</v>
          </cell>
          <cell r="M1380">
            <v>0</v>
          </cell>
          <cell r="N1380">
            <v>0</v>
          </cell>
        </row>
        <row r="1381">
          <cell r="E1381" t="str">
            <v>PEB 6</v>
          </cell>
          <cell r="M1381">
            <v>0</v>
          </cell>
          <cell r="N1381">
            <v>0</v>
          </cell>
        </row>
        <row r="1382">
          <cell r="E1382" t="str">
            <v>PEB 7 / TB</v>
          </cell>
          <cell r="M1382">
            <v>0</v>
          </cell>
          <cell r="N1382">
            <v>0</v>
          </cell>
        </row>
        <row r="1383">
          <cell r="E1383" t="str">
            <v>MPP</v>
          </cell>
          <cell r="M1383">
            <v>0</v>
          </cell>
          <cell r="N1383">
            <v>0</v>
          </cell>
        </row>
        <row r="1384">
          <cell r="E1384" t="str">
            <v>ID</v>
          </cell>
          <cell r="M1384">
            <v>0</v>
          </cell>
          <cell r="N1384">
            <v>0</v>
          </cell>
        </row>
        <row r="1385">
          <cell r="E1385" t="str">
            <v>LL</v>
          </cell>
          <cell r="M1385">
            <v>0</v>
          </cell>
          <cell r="N1385">
            <v>0</v>
          </cell>
        </row>
        <row r="1386">
          <cell r="E1386" t="str">
            <v>PMK</v>
          </cell>
          <cell r="M1386">
            <v>0</v>
          </cell>
          <cell r="N1386">
            <v>0</v>
          </cell>
        </row>
        <row r="1388">
          <cell r="C1388" t="str">
            <v>A0153</v>
          </cell>
          <cell r="D1388" t="str">
            <v>PT Tunggal Perkasa Plantation</v>
          </cell>
          <cell r="E1388" t="str">
            <v>PEB 1</v>
          </cell>
          <cell r="M1388">
            <v>0</v>
          </cell>
          <cell r="N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</row>
        <row r="1389">
          <cell r="E1389" t="str">
            <v>PEB 2</v>
          </cell>
          <cell r="M1389">
            <v>0</v>
          </cell>
          <cell r="N1389">
            <v>0</v>
          </cell>
        </row>
        <row r="1390">
          <cell r="E1390" t="str">
            <v>PEB 3</v>
          </cell>
          <cell r="M1390">
            <v>0</v>
          </cell>
          <cell r="N1390">
            <v>0</v>
          </cell>
        </row>
        <row r="1391">
          <cell r="E1391" t="str">
            <v>PEB 4</v>
          </cell>
          <cell r="M1391">
            <v>0</v>
          </cell>
          <cell r="N1391">
            <v>0</v>
          </cell>
        </row>
        <row r="1392">
          <cell r="E1392" t="str">
            <v>PEB 5</v>
          </cell>
          <cell r="M1392">
            <v>0</v>
          </cell>
          <cell r="N1392">
            <v>0</v>
          </cell>
        </row>
        <row r="1393">
          <cell r="E1393" t="str">
            <v>PEB 6</v>
          </cell>
          <cell r="M1393">
            <v>0</v>
          </cell>
          <cell r="N1393">
            <v>0</v>
          </cell>
        </row>
        <row r="1394">
          <cell r="E1394" t="str">
            <v>PEB 7 / TB</v>
          </cell>
          <cell r="M1394">
            <v>0</v>
          </cell>
          <cell r="N1394">
            <v>0</v>
          </cell>
        </row>
        <row r="1395">
          <cell r="E1395" t="str">
            <v>MPP</v>
          </cell>
          <cell r="M1395">
            <v>0</v>
          </cell>
          <cell r="N1395">
            <v>0</v>
          </cell>
        </row>
        <row r="1396">
          <cell r="E1396" t="str">
            <v>ID</v>
          </cell>
          <cell r="M1396">
            <v>0</v>
          </cell>
          <cell r="N1396">
            <v>0</v>
          </cell>
        </row>
        <row r="1397">
          <cell r="E1397" t="str">
            <v>LL</v>
          </cell>
          <cell r="M1397">
            <v>0</v>
          </cell>
          <cell r="N1397">
            <v>0</v>
          </cell>
        </row>
        <row r="1398">
          <cell r="E1398" t="str">
            <v>PMK</v>
          </cell>
          <cell r="M1398">
            <v>0</v>
          </cell>
          <cell r="N1398">
            <v>0</v>
          </cell>
        </row>
        <row r="1400">
          <cell r="C1400" t="str">
            <v>A0156</v>
          </cell>
          <cell r="D1400" t="str">
            <v>PT United Tractors Pandu Eng.</v>
          </cell>
          <cell r="E1400" t="str">
            <v>PEB 1</v>
          </cell>
          <cell r="M1400">
            <v>0</v>
          </cell>
          <cell r="N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</row>
        <row r="1401">
          <cell r="E1401" t="str">
            <v>PEB 2</v>
          </cell>
          <cell r="M1401">
            <v>0</v>
          </cell>
          <cell r="N1401">
            <v>0</v>
          </cell>
        </row>
        <row r="1402">
          <cell r="E1402" t="str">
            <v>PEB 3</v>
          </cell>
          <cell r="M1402">
            <v>0</v>
          </cell>
          <cell r="N1402">
            <v>0</v>
          </cell>
        </row>
        <row r="1403">
          <cell r="E1403" t="str">
            <v>PEB 4</v>
          </cell>
          <cell r="M1403">
            <v>0</v>
          </cell>
          <cell r="N1403">
            <v>0</v>
          </cell>
        </row>
        <row r="1404">
          <cell r="E1404" t="str">
            <v>PEB 5</v>
          </cell>
          <cell r="M1404">
            <v>0</v>
          </cell>
          <cell r="N1404">
            <v>0</v>
          </cell>
        </row>
        <row r="1405">
          <cell r="E1405" t="str">
            <v>PEB 6</v>
          </cell>
          <cell r="M1405">
            <v>0</v>
          </cell>
          <cell r="N1405">
            <v>0</v>
          </cell>
        </row>
        <row r="1406">
          <cell r="E1406" t="str">
            <v>PEB 7 / TB</v>
          </cell>
          <cell r="M1406">
            <v>0</v>
          </cell>
          <cell r="N1406">
            <v>0</v>
          </cell>
        </row>
        <row r="1407">
          <cell r="E1407" t="str">
            <v>MPP</v>
          </cell>
          <cell r="M1407">
            <v>0</v>
          </cell>
          <cell r="N1407">
            <v>0</v>
          </cell>
        </row>
        <row r="1408">
          <cell r="E1408" t="str">
            <v>ID</v>
          </cell>
          <cell r="M1408">
            <v>0</v>
          </cell>
          <cell r="N1408">
            <v>0</v>
          </cell>
        </row>
        <row r="1409">
          <cell r="E1409" t="str">
            <v>LL</v>
          </cell>
          <cell r="M1409">
            <v>0</v>
          </cell>
          <cell r="N1409">
            <v>0</v>
          </cell>
        </row>
        <row r="1410">
          <cell r="E1410" t="str">
            <v>PMK</v>
          </cell>
          <cell r="M1410">
            <v>0</v>
          </cell>
          <cell r="N1410">
            <v>0</v>
          </cell>
        </row>
        <row r="1412">
          <cell r="C1412" t="str">
            <v>A0155</v>
          </cell>
          <cell r="D1412" t="str">
            <v>PT United Tractors TBK (Parent)</v>
          </cell>
          <cell r="E1412" t="str">
            <v>PEB 1</v>
          </cell>
          <cell r="G1412">
            <v>1104188</v>
          </cell>
          <cell r="H1412">
            <v>38631</v>
          </cell>
          <cell r="M1412">
            <v>1104188</v>
          </cell>
          <cell r="N1412">
            <v>38631</v>
          </cell>
          <cell r="P1412">
            <v>374449</v>
          </cell>
          <cell r="Q1412">
            <v>14550</v>
          </cell>
          <cell r="R1412">
            <v>85208</v>
          </cell>
          <cell r="S1412">
            <v>2981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6551</v>
          </cell>
          <cell r="AA1412">
            <v>728</v>
          </cell>
          <cell r="AB1412">
            <v>160619</v>
          </cell>
          <cell r="AC1412">
            <v>6288</v>
          </cell>
          <cell r="AD1412">
            <v>25744</v>
          </cell>
          <cell r="AE1412">
            <v>1555</v>
          </cell>
          <cell r="AF1412">
            <v>48230</v>
          </cell>
          <cell r="AG1412">
            <v>14078</v>
          </cell>
          <cell r="AH1412">
            <v>4423</v>
          </cell>
          <cell r="AI1412">
            <v>1388</v>
          </cell>
        </row>
        <row r="1413">
          <cell r="E1413" t="str">
            <v>PEB 2</v>
          </cell>
          <cell r="G1413">
            <v>374449</v>
          </cell>
          <cell r="H1413">
            <v>14550</v>
          </cell>
          <cell r="M1413">
            <v>374449</v>
          </cell>
          <cell r="N1413">
            <v>14550</v>
          </cell>
        </row>
        <row r="1414">
          <cell r="E1414" t="str">
            <v>PEB 3</v>
          </cell>
          <cell r="G1414">
            <v>85208</v>
          </cell>
          <cell r="H1414">
            <v>2981</v>
          </cell>
          <cell r="M1414">
            <v>85208</v>
          </cell>
          <cell r="N1414">
            <v>2981</v>
          </cell>
        </row>
        <row r="1415">
          <cell r="E1415" t="str">
            <v>PEB 4</v>
          </cell>
          <cell r="G1415">
            <v>0</v>
          </cell>
          <cell r="H1415">
            <v>0</v>
          </cell>
          <cell r="M1415">
            <v>0</v>
          </cell>
          <cell r="N1415">
            <v>0</v>
          </cell>
        </row>
        <row r="1416">
          <cell r="E1416" t="str">
            <v>PEB 5</v>
          </cell>
          <cell r="G1416">
            <v>0</v>
          </cell>
          <cell r="H1416">
            <v>0</v>
          </cell>
          <cell r="M1416">
            <v>0</v>
          </cell>
          <cell r="N1416">
            <v>0</v>
          </cell>
        </row>
        <row r="1417">
          <cell r="E1417" t="str">
            <v>PEB 6</v>
          </cell>
          <cell r="M1417">
            <v>0</v>
          </cell>
          <cell r="N1417">
            <v>0</v>
          </cell>
        </row>
        <row r="1418">
          <cell r="E1418" t="str">
            <v>PEB 7 / TB</v>
          </cell>
          <cell r="G1418">
            <v>6551</v>
          </cell>
          <cell r="H1418">
            <v>728</v>
          </cell>
          <cell r="M1418">
            <v>6551</v>
          </cell>
          <cell r="N1418">
            <v>728</v>
          </cell>
        </row>
        <row r="1419">
          <cell r="E1419" t="str">
            <v>MPP</v>
          </cell>
          <cell r="G1419">
            <v>160619</v>
          </cell>
          <cell r="H1419">
            <v>6288</v>
          </cell>
          <cell r="M1419">
            <v>160619</v>
          </cell>
          <cell r="N1419">
            <v>6288</v>
          </cell>
        </row>
        <row r="1420">
          <cell r="E1420" t="str">
            <v>ID</v>
          </cell>
          <cell r="G1420">
            <v>25744</v>
          </cell>
          <cell r="H1420">
            <v>1555</v>
          </cell>
          <cell r="M1420">
            <v>25744</v>
          </cell>
          <cell r="N1420">
            <v>1555</v>
          </cell>
        </row>
        <row r="1421">
          <cell r="E1421" t="str">
            <v>LL</v>
          </cell>
          <cell r="G1421">
            <v>48230</v>
          </cell>
          <cell r="H1421">
            <v>14078</v>
          </cell>
          <cell r="M1421">
            <v>48230</v>
          </cell>
          <cell r="N1421">
            <v>14078</v>
          </cell>
        </row>
        <row r="1422">
          <cell r="E1422" t="str">
            <v>PMK</v>
          </cell>
          <cell r="G1422">
            <v>4423</v>
          </cell>
          <cell r="H1422">
            <v>1388</v>
          </cell>
          <cell r="M1422">
            <v>4423</v>
          </cell>
          <cell r="N1422">
            <v>1388</v>
          </cell>
        </row>
        <row r="1424">
          <cell r="C1424" t="str">
            <v>A0099</v>
          </cell>
          <cell r="D1424" t="str">
            <v>PT Waru Kalimantan Plantation</v>
          </cell>
          <cell r="E1424" t="str">
            <v>PEB 1</v>
          </cell>
          <cell r="M1424">
            <v>0</v>
          </cell>
          <cell r="N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</row>
        <row r="1425">
          <cell r="E1425" t="str">
            <v>PEB 2</v>
          </cell>
          <cell r="M1425">
            <v>0</v>
          </cell>
          <cell r="N1425">
            <v>0</v>
          </cell>
        </row>
        <row r="1426">
          <cell r="E1426" t="str">
            <v>PEB 3</v>
          </cell>
          <cell r="M1426">
            <v>0</v>
          </cell>
          <cell r="N1426">
            <v>0</v>
          </cell>
        </row>
        <row r="1427">
          <cell r="E1427" t="str">
            <v>PEB 4</v>
          </cell>
          <cell r="M1427">
            <v>0</v>
          </cell>
          <cell r="N1427">
            <v>0</v>
          </cell>
        </row>
        <row r="1428">
          <cell r="E1428" t="str">
            <v>PEB 5</v>
          </cell>
          <cell r="M1428">
            <v>0</v>
          </cell>
          <cell r="N1428">
            <v>0</v>
          </cell>
        </row>
        <row r="1429">
          <cell r="E1429" t="str">
            <v>PEB 6</v>
          </cell>
          <cell r="M1429">
            <v>0</v>
          </cell>
          <cell r="N1429">
            <v>0</v>
          </cell>
        </row>
        <row r="1430">
          <cell r="E1430" t="str">
            <v>PEB 7 / TB</v>
          </cell>
          <cell r="M1430">
            <v>0</v>
          </cell>
          <cell r="N1430">
            <v>0</v>
          </cell>
        </row>
        <row r="1431">
          <cell r="E1431" t="str">
            <v>MPP</v>
          </cell>
          <cell r="M1431">
            <v>0</v>
          </cell>
          <cell r="N1431">
            <v>0</v>
          </cell>
        </row>
        <row r="1432">
          <cell r="E1432" t="str">
            <v>ID</v>
          </cell>
          <cell r="M1432">
            <v>0</v>
          </cell>
          <cell r="N1432">
            <v>0</v>
          </cell>
        </row>
        <row r="1433">
          <cell r="E1433" t="str">
            <v>LL</v>
          </cell>
          <cell r="M1433">
            <v>0</v>
          </cell>
          <cell r="N1433">
            <v>0</v>
          </cell>
        </row>
        <row r="1434">
          <cell r="E1434" t="str">
            <v>PMK</v>
          </cell>
          <cell r="M1434">
            <v>0</v>
          </cell>
          <cell r="N1434">
            <v>0</v>
          </cell>
        </row>
        <row r="1436">
          <cell r="C1436" t="str">
            <v>A0326</v>
          </cell>
          <cell r="D1436" t="str">
            <v>PT Yutaka Manufacturing Indonesia</v>
          </cell>
          <cell r="E1436" t="str">
            <v>PEB 1</v>
          </cell>
          <cell r="M1436">
            <v>0</v>
          </cell>
          <cell r="N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</row>
        <row r="1437">
          <cell r="E1437" t="str">
            <v>PEB 2</v>
          </cell>
          <cell r="M1437">
            <v>0</v>
          </cell>
          <cell r="N1437">
            <v>0</v>
          </cell>
        </row>
        <row r="1438">
          <cell r="E1438" t="str">
            <v>PEB 3</v>
          </cell>
          <cell r="M1438">
            <v>0</v>
          </cell>
          <cell r="N1438">
            <v>0</v>
          </cell>
        </row>
        <row r="1439">
          <cell r="E1439" t="str">
            <v>PEB 4</v>
          </cell>
          <cell r="M1439">
            <v>0</v>
          </cell>
          <cell r="N1439">
            <v>0</v>
          </cell>
        </row>
        <row r="1440">
          <cell r="E1440" t="str">
            <v>PEB 5</v>
          </cell>
          <cell r="M1440">
            <v>0</v>
          </cell>
          <cell r="N1440">
            <v>0</v>
          </cell>
        </row>
        <row r="1441">
          <cell r="E1441" t="str">
            <v>PEB 6</v>
          </cell>
          <cell r="M1441">
            <v>0</v>
          </cell>
          <cell r="N1441">
            <v>0</v>
          </cell>
        </row>
        <row r="1442">
          <cell r="E1442" t="str">
            <v>PEB 7 / TB</v>
          </cell>
          <cell r="M1442">
            <v>0</v>
          </cell>
          <cell r="N1442">
            <v>0</v>
          </cell>
        </row>
        <row r="1443">
          <cell r="E1443" t="str">
            <v>MPP</v>
          </cell>
          <cell r="M1443">
            <v>0</v>
          </cell>
          <cell r="N1443">
            <v>0</v>
          </cell>
        </row>
        <row r="1444">
          <cell r="E1444" t="str">
            <v>ID</v>
          </cell>
          <cell r="M1444">
            <v>0</v>
          </cell>
          <cell r="N1444">
            <v>0</v>
          </cell>
        </row>
        <row r="1445">
          <cell r="E1445" t="str">
            <v>LL</v>
          </cell>
          <cell r="M1445">
            <v>0</v>
          </cell>
          <cell r="N1445">
            <v>0</v>
          </cell>
        </row>
        <row r="1446">
          <cell r="E1446" t="str">
            <v>PMK</v>
          </cell>
          <cell r="M1446">
            <v>0</v>
          </cell>
          <cell r="N1446">
            <v>0</v>
          </cell>
        </row>
        <row r="1448">
          <cell r="C1448" t="str">
            <v>R0406</v>
          </cell>
          <cell r="D1448" t="str">
            <v>Yayasan Astra Bina Ilmu</v>
          </cell>
          <cell r="E1448" t="str">
            <v>PEB 1</v>
          </cell>
          <cell r="M1448">
            <v>0</v>
          </cell>
          <cell r="N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</row>
        <row r="1449">
          <cell r="E1449" t="str">
            <v>PEB 2</v>
          </cell>
          <cell r="M1449">
            <v>0</v>
          </cell>
          <cell r="N1449">
            <v>0</v>
          </cell>
        </row>
        <row r="1450">
          <cell r="E1450" t="str">
            <v>PEB 3</v>
          </cell>
          <cell r="M1450">
            <v>0</v>
          </cell>
          <cell r="N1450">
            <v>0</v>
          </cell>
        </row>
        <row r="1451">
          <cell r="E1451" t="str">
            <v>PEB 4</v>
          </cell>
          <cell r="M1451">
            <v>0</v>
          </cell>
          <cell r="N1451">
            <v>0</v>
          </cell>
        </row>
        <row r="1452">
          <cell r="E1452" t="str">
            <v>PEB 5</v>
          </cell>
          <cell r="M1452">
            <v>0</v>
          </cell>
          <cell r="N1452">
            <v>0</v>
          </cell>
        </row>
        <row r="1453">
          <cell r="E1453" t="str">
            <v>PEB 6</v>
          </cell>
          <cell r="M1453">
            <v>0</v>
          </cell>
          <cell r="N1453">
            <v>0</v>
          </cell>
        </row>
        <row r="1454">
          <cell r="E1454" t="str">
            <v>PEB 7 / TB</v>
          </cell>
          <cell r="M1454">
            <v>0</v>
          </cell>
          <cell r="N1454">
            <v>0</v>
          </cell>
        </row>
        <row r="1455">
          <cell r="E1455" t="str">
            <v>MPP</v>
          </cell>
          <cell r="M1455">
            <v>0</v>
          </cell>
          <cell r="N1455">
            <v>0</v>
          </cell>
        </row>
        <row r="1456">
          <cell r="E1456" t="str">
            <v>ID</v>
          </cell>
          <cell r="M1456">
            <v>0</v>
          </cell>
          <cell r="N1456">
            <v>0</v>
          </cell>
        </row>
        <row r="1457">
          <cell r="E1457" t="str">
            <v>LL</v>
          </cell>
          <cell r="M1457">
            <v>0</v>
          </cell>
          <cell r="N1457">
            <v>0</v>
          </cell>
        </row>
        <row r="1458">
          <cell r="E1458" t="str">
            <v>PMK</v>
          </cell>
          <cell r="M1458">
            <v>0</v>
          </cell>
          <cell r="N1458">
            <v>0</v>
          </cell>
        </row>
        <row r="1460">
          <cell r="C1460" t="str">
            <v>R0411</v>
          </cell>
          <cell r="D1460" t="str">
            <v>Yayasan Astra Bina Pendidikan</v>
          </cell>
          <cell r="E1460" t="str">
            <v>PEB 1</v>
          </cell>
          <cell r="G1460">
            <v>0</v>
          </cell>
          <cell r="H1460">
            <v>0</v>
          </cell>
          <cell r="M1460">
            <v>0</v>
          </cell>
          <cell r="N1460">
            <v>0</v>
          </cell>
          <cell r="P1460">
            <v>9416.0543225635083</v>
          </cell>
          <cell r="Q1460">
            <v>1004.1500266616997</v>
          </cell>
          <cell r="R1460">
            <v>0</v>
          </cell>
          <cell r="S1460">
            <v>0</v>
          </cell>
          <cell r="T1460">
            <v>3791.0391255463292</v>
          </cell>
          <cell r="U1460">
            <v>404.28526733015963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2182.3583012394843</v>
          </cell>
          <cell r="AA1460">
            <v>232.7317867234224</v>
          </cell>
          <cell r="AB1460">
            <v>1412.4081483845268</v>
          </cell>
          <cell r="AC1460">
            <v>150.622503999255</v>
          </cell>
          <cell r="AD1460">
            <v>4316.2393899175395</v>
          </cell>
          <cell r="AE1460">
            <v>460.29385026784865</v>
          </cell>
          <cell r="AF1460">
            <v>8361.0961212130151</v>
          </cell>
          <cell r="AG1460">
            <v>1910.1737971997209</v>
          </cell>
          <cell r="AH1460">
            <v>6538.3530687111743</v>
          </cell>
          <cell r="AI1460">
            <v>697.2652433129216</v>
          </cell>
        </row>
        <row r="1461">
          <cell r="E1461" t="str">
            <v>PEB 2</v>
          </cell>
          <cell r="G1461">
            <v>9416.0543225635083</v>
          </cell>
          <cell r="H1461">
            <v>1004.1500266616997</v>
          </cell>
          <cell r="M1461">
            <v>9416.0543225635083</v>
          </cell>
          <cell r="N1461">
            <v>1004.1500266616997</v>
          </cell>
        </row>
        <row r="1462">
          <cell r="E1462" t="str">
            <v>PEB 3</v>
          </cell>
          <cell r="G1462">
            <v>0</v>
          </cell>
          <cell r="H1462">
            <v>0</v>
          </cell>
          <cell r="M1462">
            <v>0</v>
          </cell>
          <cell r="N1462">
            <v>0</v>
          </cell>
        </row>
        <row r="1463">
          <cell r="E1463" t="str">
            <v>PEB 4</v>
          </cell>
          <cell r="G1463">
            <v>3791.0391255463292</v>
          </cell>
          <cell r="H1463">
            <v>404.28526733015963</v>
          </cell>
          <cell r="M1463">
            <v>3791.0391255463292</v>
          </cell>
          <cell r="N1463">
            <v>404.28526733015963</v>
          </cell>
        </row>
        <row r="1464">
          <cell r="E1464" t="str">
            <v>PEB 5</v>
          </cell>
          <cell r="M1464">
            <v>0</v>
          </cell>
          <cell r="N1464">
            <v>0</v>
          </cell>
        </row>
        <row r="1465">
          <cell r="E1465" t="str">
            <v>PEB 6</v>
          </cell>
          <cell r="M1465">
            <v>0</v>
          </cell>
          <cell r="N1465">
            <v>0</v>
          </cell>
        </row>
        <row r="1466">
          <cell r="E1466" t="str">
            <v>PEB 7 / TB</v>
          </cell>
          <cell r="G1466">
            <v>2182.3583012394843</v>
          </cell>
          <cell r="H1466">
            <v>232.7317867234224</v>
          </cell>
          <cell r="M1466">
            <v>2182.3583012394843</v>
          </cell>
          <cell r="N1466">
            <v>232.7317867234224</v>
          </cell>
        </row>
        <row r="1467">
          <cell r="E1467" t="str">
            <v>MPP</v>
          </cell>
          <cell r="G1467">
            <v>1412.4081483845268</v>
          </cell>
          <cell r="H1467">
            <v>150.622503999255</v>
          </cell>
          <cell r="M1467">
            <v>1412.4081483845268</v>
          </cell>
          <cell r="N1467">
            <v>150.622503999255</v>
          </cell>
        </row>
        <row r="1468">
          <cell r="E1468" t="str">
            <v>ID</v>
          </cell>
          <cell r="G1468">
            <v>4316.2393899175395</v>
          </cell>
          <cell r="H1468">
            <v>460.29385026784865</v>
          </cell>
          <cell r="M1468">
            <v>4316.2393899175395</v>
          </cell>
          <cell r="N1468">
            <v>460.29385026784865</v>
          </cell>
        </row>
        <row r="1469">
          <cell r="E1469" t="str">
            <v>LL</v>
          </cell>
          <cell r="G1469">
            <v>8361.0961212130151</v>
          </cell>
          <cell r="H1469">
            <v>1910.1737971997209</v>
          </cell>
          <cell r="M1469">
            <v>8361.0961212130151</v>
          </cell>
          <cell r="N1469">
            <v>1910.1737971997209</v>
          </cell>
        </row>
        <row r="1470">
          <cell r="E1470" t="str">
            <v>PMK</v>
          </cell>
          <cell r="G1470">
            <v>6538.3530687111743</v>
          </cell>
          <cell r="H1470">
            <v>697.2652433129216</v>
          </cell>
          <cell r="M1470">
            <v>6538.3530687111743</v>
          </cell>
          <cell r="N1470">
            <v>697.2652433129216</v>
          </cell>
        </row>
        <row r="1472">
          <cell r="C1472" t="str">
            <v>R0410</v>
          </cell>
          <cell r="D1472" t="str">
            <v>Yayasan Dharma Bhakti Astra</v>
          </cell>
          <cell r="E1472" t="str">
            <v>PEB 1</v>
          </cell>
          <cell r="M1472">
            <v>0</v>
          </cell>
          <cell r="N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</row>
        <row r="1473">
          <cell r="E1473" t="str">
            <v>PEB 2</v>
          </cell>
          <cell r="M1473">
            <v>0</v>
          </cell>
          <cell r="N1473">
            <v>0</v>
          </cell>
        </row>
        <row r="1474">
          <cell r="E1474" t="str">
            <v>PEB 3</v>
          </cell>
          <cell r="M1474">
            <v>0</v>
          </cell>
          <cell r="N1474">
            <v>0</v>
          </cell>
        </row>
        <row r="1475">
          <cell r="E1475" t="str">
            <v>PEB 4</v>
          </cell>
          <cell r="M1475">
            <v>0</v>
          </cell>
          <cell r="N1475">
            <v>0</v>
          </cell>
        </row>
        <row r="1476">
          <cell r="E1476" t="str">
            <v>PEB 5</v>
          </cell>
          <cell r="M1476">
            <v>0</v>
          </cell>
          <cell r="N1476">
            <v>0</v>
          </cell>
        </row>
        <row r="1477">
          <cell r="E1477" t="str">
            <v>PEB 6</v>
          </cell>
          <cell r="M1477">
            <v>0</v>
          </cell>
          <cell r="N1477">
            <v>0</v>
          </cell>
        </row>
        <row r="1478">
          <cell r="E1478" t="str">
            <v>PEB 7 / TB</v>
          </cell>
          <cell r="M1478">
            <v>0</v>
          </cell>
          <cell r="N1478">
            <v>0</v>
          </cell>
        </row>
        <row r="1479">
          <cell r="E1479" t="str">
            <v>MPP</v>
          </cell>
          <cell r="M1479">
            <v>0</v>
          </cell>
          <cell r="N1479">
            <v>0</v>
          </cell>
        </row>
        <row r="1480">
          <cell r="E1480" t="str">
            <v>ID</v>
          </cell>
          <cell r="M1480">
            <v>0</v>
          </cell>
          <cell r="N1480">
            <v>0</v>
          </cell>
        </row>
        <row r="1481">
          <cell r="E1481" t="str">
            <v>LL</v>
          </cell>
          <cell r="M1481">
            <v>0</v>
          </cell>
          <cell r="N1481">
            <v>0</v>
          </cell>
        </row>
        <row r="1482">
          <cell r="E1482" t="str">
            <v>PMK</v>
          </cell>
          <cell r="M1482">
            <v>0</v>
          </cell>
          <cell r="N1482">
            <v>0</v>
          </cell>
        </row>
      </sheetData>
      <sheetData sheetId="3">
        <row r="8">
          <cell r="C8" t="str">
            <v>S0363</v>
          </cell>
          <cell r="D8" t="str">
            <v>AI AWSO</v>
          </cell>
          <cell r="E8" t="str">
            <v>PEB 1</v>
          </cell>
          <cell r="J8">
            <v>0</v>
          </cell>
          <cell r="K8">
            <v>0</v>
          </cell>
          <cell r="M8">
            <v>0</v>
          </cell>
          <cell r="N8">
            <v>0</v>
          </cell>
          <cell r="P8">
            <v>-8839.8606713919289</v>
          </cell>
          <cell r="Q8">
            <v>-1648.4500787222539</v>
          </cell>
          <cell r="R8">
            <v>0</v>
          </cell>
          <cell r="S8">
            <v>0</v>
          </cell>
          <cell r="T8">
            <v>-148358.36115533108</v>
          </cell>
          <cell r="U8">
            <v>-1239.4860634865613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-4291.0791651245418</v>
          </cell>
          <cell r="AA8">
            <v>-756.54761603423492</v>
          </cell>
          <cell r="AB8">
            <v>-1325.9791007087895</v>
          </cell>
          <cell r="AC8">
            <v>-247.26751180833813</v>
          </cell>
          <cell r="AD8">
            <v>-5200.2875083562294</v>
          </cell>
          <cell r="AE8">
            <v>-960.39145375888643</v>
          </cell>
          <cell r="AF8">
            <v>-11867.896418656102</v>
          </cell>
          <cell r="AG8">
            <v>-3903.0730512047348</v>
          </cell>
          <cell r="AH8">
            <v>-19135.4439543917</v>
          </cell>
          <cell r="AI8">
            <v>-2896.1181805167125</v>
          </cell>
        </row>
        <row r="9">
          <cell r="E9" t="str">
            <v>PEB 2</v>
          </cell>
          <cell r="J9">
            <v>8839.8606713919289</v>
          </cell>
          <cell r="K9">
            <v>1648.4500787222539</v>
          </cell>
          <cell r="M9">
            <v>-8839.8606713919289</v>
          </cell>
          <cell r="N9">
            <v>-1648.4500787222539</v>
          </cell>
        </row>
        <row r="10">
          <cell r="E10" t="str">
            <v>PEB 3</v>
          </cell>
          <cell r="J10">
            <v>0</v>
          </cell>
          <cell r="K10">
            <v>0</v>
          </cell>
          <cell r="M10">
            <v>0</v>
          </cell>
          <cell r="N10">
            <v>0</v>
          </cell>
        </row>
        <row r="11">
          <cell r="E11" t="str">
            <v>PEB 4</v>
          </cell>
          <cell r="J11">
            <v>148358.36115533108</v>
          </cell>
          <cell r="K11">
            <v>1239.4860634865613</v>
          </cell>
          <cell r="M11">
            <v>-148358.36115533108</v>
          </cell>
          <cell r="N11">
            <v>-1239.4860634865613</v>
          </cell>
        </row>
        <row r="12">
          <cell r="E12" t="str">
            <v>PEB 5</v>
          </cell>
          <cell r="M12">
            <v>0</v>
          </cell>
          <cell r="N12">
            <v>0</v>
          </cell>
        </row>
        <row r="13">
          <cell r="E13" t="str">
            <v>PEB 6</v>
          </cell>
          <cell r="M13">
            <v>0</v>
          </cell>
          <cell r="N13">
            <v>0</v>
          </cell>
        </row>
        <row r="14">
          <cell r="E14" t="str">
            <v>PEB 7 / TB</v>
          </cell>
          <cell r="J14">
            <v>4291.0791651245418</v>
          </cell>
          <cell r="K14">
            <v>756.54761603423492</v>
          </cell>
          <cell r="M14">
            <v>-4291.0791651245418</v>
          </cell>
          <cell r="N14">
            <v>-756.54761603423492</v>
          </cell>
        </row>
        <row r="15">
          <cell r="E15" t="str">
            <v>MPP</v>
          </cell>
          <cell r="J15">
            <v>1325.9791007087895</v>
          </cell>
          <cell r="K15">
            <v>247.26751180833813</v>
          </cell>
          <cell r="M15">
            <v>-1325.9791007087895</v>
          </cell>
          <cell r="N15">
            <v>-247.26751180833813</v>
          </cell>
        </row>
        <row r="16">
          <cell r="E16" t="str">
            <v>ID</v>
          </cell>
          <cell r="J16">
            <v>5200.2875083562294</v>
          </cell>
          <cell r="K16">
            <v>960.39145375888643</v>
          </cell>
          <cell r="M16">
            <v>-5200.2875083562294</v>
          </cell>
          <cell r="N16">
            <v>-960.39145375888643</v>
          </cell>
        </row>
        <row r="17">
          <cell r="E17" t="str">
            <v>LL</v>
          </cell>
          <cell r="J17">
            <v>11867.896418656102</v>
          </cell>
          <cell r="K17">
            <v>3903.0730512047348</v>
          </cell>
          <cell r="M17">
            <v>-11867.896418656102</v>
          </cell>
          <cell r="N17">
            <v>-3903.0730512047348</v>
          </cell>
        </row>
        <row r="18">
          <cell r="E18" t="str">
            <v>PMK</v>
          </cell>
          <cell r="J18">
            <v>19135.4439543917</v>
          </cell>
          <cell r="K18">
            <v>2896.1181805167125</v>
          </cell>
          <cell r="M18">
            <v>-19135.4439543917</v>
          </cell>
          <cell r="N18">
            <v>-2896.1181805167125</v>
          </cell>
        </row>
        <row r="20">
          <cell r="C20" t="str">
            <v>S0173</v>
          </cell>
          <cell r="D20" t="str">
            <v>AI BSO</v>
          </cell>
          <cell r="E20" t="str">
            <v>PEB 1</v>
          </cell>
          <cell r="J20">
            <v>0</v>
          </cell>
          <cell r="K20">
            <v>0</v>
          </cell>
          <cell r="M20">
            <v>0</v>
          </cell>
          <cell r="N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E21" t="str">
            <v>PEB 2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</row>
        <row r="22">
          <cell r="E22" t="str">
            <v>PEB 3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</row>
        <row r="23">
          <cell r="E23" t="str">
            <v>PEB 4</v>
          </cell>
          <cell r="J23">
            <v>0</v>
          </cell>
          <cell r="K23">
            <v>0</v>
          </cell>
          <cell r="M23">
            <v>0</v>
          </cell>
          <cell r="N23">
            <v>0</v>
          </cell>
        </row>
        <row r="24">
          <cell r="E24" t="str">
            <v>PEB 5</v>
          </cell>
          <cell r="M24">
            <v>0</v>
          </cell>
          <cell r="N24">
            <v>0</v>
          </cell>
        </row>
        <row r="25">
          <cell r="E25" t="str">
            <v>PEB 6</v>
          </cell>
          <cell r="M25">
            <v>0</v>
          </cell>
          <cell r="N25">
            <v>0</v>
          </cell>
        </row>
        <row r="26">
          <cell r="E26" t="str">
            <v>PEB 7 / TB</v>
          </cell>
          <cell r="M26">
            <v>0</v>
          </cell>
          <cell r="N26">
            <v>0</v>
          </cell>
        </row>
        <row r="27">
          <cell r="E27" t="str">
            <v>MPP</v>
          </cell>
          <cell r="J27">
            <v>0</v>
          </cell>
          <cell r="K27">
            <v>0</v>
          </cell>
          <cell r="M27">
            <v>0</v>
          </cell>
          <cell r="N27">
            <v>0</v>
          </cell>
        </row>
        <row r="28">
          <cell r="E28" t="str">
            <v>ID</v>
          </cell>
          <cell r="J28">
            <v>0</v>
          </cell>
          <cell r="K28">
            <v>0</v>
          </cell>
          <cell r="M28">
            <v>0</v>
          </cell>
          <cell r="N28">
            <v>0</v>
          </cell>
        </row>
        <row r="29">
          <cell r="E29" t="str">
            <v>LL</v>
          </cell>
          <cell r="J29">
            <v>0</v>
          </cell>
          <cell r="K29">
            <v>0</v>
          </cell>
          <cell r="M29">
            <v>0</v>
          </cell>
          <cell r="N29">
            <v>0</v>
          </cell>
        </row>
        <row r="30">
          <cell r="E30" t="str">
            <v>PMK</v>
          </cell>
          <cell r="J30">
            <v>0</v>
          </cell>
          <cell r="K30">
            <v>0</v>
          </cell>
          <cell r="M30">
            <v>0</v>
          </cell>
          <cell r="N30">
            <v>0</v>
          </cell>
        </row>
        <row r="32">
          <cell r="C32" t="str">
            <v>S0003</v>
          </cell>
          <cell r="D32" t="str">
            <v>AI DSO</v>
          </cell>
          <cell r="E32" t="str">
            <v>PEB 1</v>
          </cell>
          <cell r="J32">
            <v>96366.41439683424</v>
          </cell>
          <cell r="K32">
            <v>4899.4756206074198</v>
          </cell>
          <cell r="M32">
            <v>-96366.41439683424</v>
          </cell>
          <cell r="N32">
            <v>-4899.4756206074198</v>
          </cell>
          <cell r="P32">
            <v>-27141.273919579009</v>
          </cell>
          <cell r="Q32">
            <v>-1839.5870126939121</v>
          </cell>
          <cell r="R32">
            <v>0</v>
          </cell>
          <cell r="S32">
            <v>0</v>
          </cell>
          <cell r="T32">
            <v>-53630.286286542214</v>
          </cell>
          <cell r="U32">
            <v>-639.25908786213699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-2302.4978830030286</v>
          </cell>
          <cell r="AA32">
            <v>-182.15903497049459</v>
          </cell>
          <cell r="AB32">
            <v>-4358.9021079921686</v>
          </cell>
          <cell r="AC32">
            <v>-305.9627519255738</v>
          </cell>
          <cell r="AD32">
            <v>-8217.1570912865755</v>
          </cell>
          <cell r="AE32">
            <v>-604.83356852422503</v>
          </cell>
          <cell r="AF32">
            <v>-12929.588904581607</v>
          </cell>
          <cell r="AG32">
            <v>-2838.9498469289374</v>
          </cell>
          <cell r="AH32">
            <v>-32186.99716615519</v>
          </cell>
          <cell r="AI32">
            <v>-2716.4092019807713</v>
          </cell>
        </row>
        <row r="33">
          <cell r="E33" t="str">
            <v>PEB 2</v>
          </cell>
          <cell r="J33">
            <v>27141.273919579009</v>
          </cell>
          <cell r="K33">
            <v>1839.5870126939121</v>
          </cell>
          <cell r="M33">
            <v>-27141.273919579009</v>
          </cell>
          <cell r="N33">
            <v>-1839.5870126939121</v>
          </cell>
        </row>
        <row r="34">
          <cell r="E34" t="str">
            <v>PEB 3</v>
          </cell>
          <cell r="J34">
            <v>0</v>
          </cell>
          <cell r="K34">
            <v>0</v>
          </cell>
          <cell r="M34">
            <v>0</v>
          </cell>
          <cell r="N34">
            <v>0</v>
          </cell>
        </row>
        <row r="35">
          <cell r="E35" t="str">
            <v>PEB 4</v>
          </cell>
          <cell r="J35">
            <v>53630.286286542214</v>
          </cell>
          <cell r="K35">
            <v>639.25908786213699</v>
          </cell>
          <cell r="M35">
            <v>-53630.286286542214</v>
          </cell>
          <cell r="N35">
            <v>-639.25908786213699</v>
          </cell>
        </row>
        <row r="36">
          <cell r="E36" t="str">
            <v>PEB 5</v>
          </cell>
          <cell r="M36">
            <v>0</v>
          </cell>
          <cell r="N36">
            <v>0</v>
          </cell>
        </row>
        <row r="37">
          <cell r="E37" t="str">
            <v>PEB 6</v>
          </cell>
          <cell r="M37">
            <v>0</v>
          </cell>
          <cell r="N37">
            <v>0</v>
          </cell>
        </row>
        <row r="38">
          <cell r="E38" t="str">
            <v>PEB 7 / TB</v>
          </cell>
          <cell r="J38">
            <v>2302.4978830030286</v>
          </cell>
          <cell r="K38">
            <v>182.15903497049459</v>
          </cell>
          <cell r="M38">
            <v>-2302.4978830030286</v>
          </cell>
          <cell r="N38">
            <v>-182.15903497049459</v>
          </cell>
        </row>
        <row r="39">
          <cell r="E39" t="str">
            <v>MPP</v>
          </cell>
          <cell r="J39">
            <v>4358.9021079921686</v>
          </cell>
          <cell r="K39">
            <v>305.9627519255738</v>
          </cell>
          <cell r="M39">
            <v>-4358.9021079921686</v>
          </cell>
          <cell r="N39">
            <v>-305.9627519255738</v>
          </cell>
        </row>
        <row r="40">
          <cell r="E40" t="str">
            <v>ID</v>
          </cell>
          <cell r="J40">
            <v>8217.1570912865755</v>
          </cell>
          <cell r="K40">
            <v>604.83356852422503</v>
          </cell>
          <cell r="M40">
            <v>-8217.1570912865755</v>
          </cell>
          <cell r="N40">
            <v>-604.83356852422503</v>
          </cell>
        </row>
        <row r="41">
          <cell r="E41" t="str">
            <v>LL</v>
          </cell>
          <cell r="J41">
            <v>12929.588904581607</v>
          </cell>
          <cell r="K41">
            <v>2838.9498469289374</v>
          </cell>
          <cell r="M41">
            <v>-12929.588904581607</v>
          </cell>
          <cell r="N41">
            <v>-2838.9498469289374</v>
          </cell>
        </row>
        <row r="42">
          <cell r="E42" t="str">
            <v>PMK</v>
          </cell>
          <cell r="J42">
            <v>32186.99716615519</v>
          </cell>
          <cell r="K42">
            <v>2716.4092019807713</v>
          </cell>
          <cell r="M42">
            <v>-32186.99716615519</v>
          </cell>
          <cell r="N42">
            <v>-2716.4092019807713</v>
          </cell>
        </row>
        <row r="44">
          <cell r="C44" t="str">
            <v>S0001</v>
          </cell>
          <cell r="D44" t="str">
            <v>AI HO</v>
          </cell>
          <cell r="E44" t="str">
            <v>PEB 1</v>
          </cell>
          <cell r="J44">
            <v>2366939.042182541</v>
          </cell>
          <cell r="K44">
            <v>111283.07162504643</v>
          </cell>
          <cell r="M44">
            <v>-2366939.042182541</v>
          </cell>
          <cell r="N44">
            <v>-111283.07162504643</v>
          </cell>
          <cell r="P44">
            <v>-915784.69035210356</v>
          </cell>
          <cell r="Q44">
            <v>-77593.324714077273</v>
          </cell>
          <cell r="R44">
            <v>0</v>
          </cell>
          <cell r="S44">
            <v>0</v>
          </cell>
          <cell r="T44">
            <v>-4624776.3441042621</v>
          </cell>
          <cell r="U44">
            <v>-178237.23092596632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-83949.878239271988</v>
          </cell>
          <cell r="AA44">
            <v>-9076.5018636076056</v>
          </cell>
          <cell r="AB44">
            <v>-151172.72375829291</v>
          </cell>
          <cell r="AC44">
            <v>-13715.850002903491</v>
          </cell>
          <cell r="AD44">
            <v>-288696.95043215365</v>
          </cell>
          <cell r="AE44">
            <v>-29852.492225286267</v>
          </cell>
          <cell r="AF44">
            <v>-415373.40730885125</v>
          </cell>
          <cell r="AG44">
            <v>-122159.65537107308</v>
          </cell>
          <cell r="AH44">
            <v>-123433.2267895485</v>
          </cell>
          <cell r="AI44">
            <v>-14689.935200813752</v>
          </cell>
        </row>
        <row r="45">
          <cell r="E45" t="str">
            <v>PEB 2</v>
          </cell>
          <cell r="J45">
            <v>915784.69035210356</v>
          </cell>
          <cell r="K45">
            <v>77593.324714077273</v>
          </cell>
          <cell r="M45">
            <v>-915784.69035210356</v>
          </cell>
          <cell r="N45">
            <v>-77593.324714077273</v>
          </cell>
        </row>
        <row r="46">
          <cell r="E46" t="str">
            <v>PEB 3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</row>
        <row r="47">
          <cell r="E47" t="str">
            <v>PEB 4</v>
          </cell>
          <cell r="J47">
            <v>4624776.3441042621</v>
          </cell>
          <cell r="K47">
            <v>178237.23092596632</v>
          </cell>
          <cell r="M47">
            <v>-4624776.3441042621</v>
          </cell>
          <cell r="N47">
            <v>-178237.23092596632</v>
          </cell>
        </row>
        <row r="48">
          <cell r="E48" t="str">
            <v>PEB 5</v>
          </cell>
          <cell r="M48">
            <v>0</v>
          </cell>
          <cell r="N48">
            <v>0</v>
          </cell>
        </row>
        <row r="49">
          <cell r="E49" t="str">
            <v>PEB 6</v>
          </cell>
          <cell r="M49">
            <v>0</v>
          </cell>
          <cell r="N49">
            <v>0</v>
          </cell>
        </row>
        <row r="50">
          <cell r="E50" t="str">
            <v>PEB 7 / TB</v>
          </cell>
          <cell r="J50">
            <v>83949.878239271988</v>
          </cell>
          <cell r="K50">
            <v>9076.5018636076056</v>
          </cell>
          <cell r="M50">
            <v>-83949.878239271988</v>
          </cell>
          <cell r="N50">
            <v>-9076.5018636076056</v>
          </cell>
        </row>
        <row r="51">
          <cell r="E51" t="str">
            <v>MPP</v>
          </cell>
          <cell r="J51">
            <v>151172.72375829291</v>
          </cell>
          <cell r="K51">
            <v>13715.850002903491</v>
          </cell>
          <cell r="M51">
            <v>-151172.72375829291</v>
          </cell>
          <cell r="N51">
            <v>-13715.850002903491</v>
          </cell>
        </row>
        <row r="52">
          <cell r="E52" t="str">
            <v>ID</v>
          </cell>
          <cell r="J52">
            <v>288696.95043215365</v>
          </cell>
          <cell r="K52">
            <v>29852.492225286267</v>
          </cell>
          <cell r="M52">
            <v>-288696.95043215365</v>
          </cell>
          <cell r="N52">
            <v>-29852.492225286267</v>
          </cell>
        </row>
        <row r="53">
          <cell r="E53" t="str">
            <v>LL</v>
          </cell>
          <cell r="J53">
            <v>415373.40730885125</v>
          </cell>
          <cell r="K53">
            <v>122159.65537107308</v>
          </cell>
          <cell r="M53">
            <v>-415373.40730885125</v>
          </cell>
          <cell r="N53">
            <v>-122159.65537107308</v>
          </cell>
        </row>
        <row r="54">
          <cell r="E54" t="str">
            <v>PMK</v>
          </cell>
          <cell r="J54">
            <v>123433.2267895485</v>
          </cell>
          <cell r="K54">
            <v>14689.935200813752</v>
          </cell>
          <cell r="M54">
            <v>-123433.2267895485</v>
          </cell>
          <cell r="N54">
            <v>-14689.935200813752</v>
          </cell>
        </row>
        <row r="56">
          <cell r="C56" t="str">
            <v>S0005</v>
          </cell>
          <cell r="D56" t="str">
            <v>AI HSO</v>
          </cell>
          <cell r="E56" t="str">
            <v>PEB 1</v>
          </cell>
          <cell r="J56">
            <v>0</v>
          </cell>
          <cell r="K56">
            <v>0</v>
          </cell>
          <cell r="M56">
            <v>0</v>
          </cell>
          <cell r="N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E57" t="str">
            <v>PEB 2</v>
          </cell>
          <cell r="J57">
            <v>0</v>
          </cell>
          <cell r="K57">
            <v>0</v>
          </cell>
          <cell r="M57">
            <v>0</v>
          </cell>
          <cell r="N57">
            <v>0</v>
          </cell>
        </row>
        <row r="58">
          <cell r="E58" t="str">
            <v>PEB 3</v>
          </cell>
          <cell r="J58">
            <v>0</v>
          </cell>
          <cell r="K58">
            <v>0</v>
          </cell>
          <cell r="M58">
            <v>0</v>
          </cell>
          <cell r="N58">
            <v>0</v>
          </cell>
        </row>
        <row r="59">
          <cell r="E59" t="str">
            <v>PEB 4</v>
          </cell>
          <cell r="J59">
            <v>0</v>
          </cell>
          <cell r="K59">
            <v>0</v>
          </cell>
          <cell r="M59">
            <v>0</v>
          </cell>
          <cell r="N59">
            <v>0</v>
          </cell>
        </row>
        <row r="60">
          <cell r="E60" t="str">
            <v>PEB 5</v>
          </cell>
          <cell r="M60">
            <v>0</v>
          </cell>
          <cell r="N60">
            <v>0</v>
          </cell>
        </row>
        <row r="61">
          <cell r="E61" t="str">
            <v>PEB 6</v>
          </cell>
          <cell r="M61">
            <v>0</v>
          </cell>
          <cell r="N61">
            <v>0</v>
          </cell>
        </row>
        <row r="62">
          <cell r="E62" t="str">
            <v>PEB 7 / TB</v>
          </cell>
          <cell r="M62">
            <v>0</v>
          </cell>
          <cell r="N62">
            <v>0</v>
          </cell>
        </row>
        <row r="63">
          <cell r="E63" t="str">
            <v>MPP</v>
          </cell>
          <cell r="J63">
            <v>0</v>
          </cell>
          <cell r="K63">
            <v>0</v>
          </cell>
          <cell r="M63">
            <v>0</v>
          </cell>
          <cell r="N63">
            <v>0</v>
          </cell>
        </row>
        <row r="64">
          <cell r="E64" t="str">
            <v>ID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</row>
        <row r="65">
          <cell r="E65" t="str">
            <v>LL</v>
          </cell>
          <cell r="J65">
            <v>0</v>
          </cell>
          <cell r="K65">
            <v>0</v>
          </cell>
          <cell r="M65">
            <v>0</v>
          </cell>
          <cell r="N65">
            <v>0</v>
          </cell>
        </row>
        <row r="66">
          <cell r="E66" t="str">
            <v>PMK</v>
          </cell>
          <cell r="J66">
            <v>0</v>
          </cell>
          <cell r="K66">
            <v>0</v>
          </cell>
          <cell r="M66">
            <v>0</v>
          </cell>
          <cell r="N66">
            <v>0</v>
          </cell>
        </row>
        <row r="68">
          <cell r="C68" t="str">
            <v>S0004</v>
          </cell>
          <cell r="D68" t="str">
            <v>AI ISO</v>
          </cell>
          <cell r="E68" t="str">
            <v>PEB 1</v>
          </cell>
          <cell r="J68">
            <v>1692157.1016446236</v>
          </cell>
          <cell r="K68">
            <v>84261.810685166827</v>
          </cell>
          <cell r="M68">
            <v>-1692157.1016446236</v>
          </cell>
          <cell r="N68">
            <v>-84261.810685166827</v>
          </cell>
          <cell r="P68">
            <v>-376032.15822532092</v>
          </cell>
          <cell r="Q68">
            <v>-18724.709719399925</v>
          </cell>
          <cell r="R68">
            <v>-116731.65038038435</v>
          </cell>
          <cell r="S68">
            <v>-5812.7110158739442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-20394.667942793214</v>
          </cell>
          <cell r="AA68">
            <v>-1015.5627083988031</v>
          </cell>
          <cell r="AB68">
            <v>-56404.823733798148</v>
          </cell>
          <cell r="AC68">
            <v>-2808.7064579099897</v>
          </cell>
          <cell r="AD68">
            <v>-89746.324836165732</v>
          </cell>
          <cell r="AE68">
            <v>-4468.9632101444495</v>
          </cell>
          <cell r="AF68">
            <v>-2099.8652592998615</v>
          </cell>
          <cell r="AG68">
            <v>-25565.859531975573</v>
          </cell>
          <cell r="AH68">
            <v>-9572.0694089112149</v>
          </cell>
          <cell r="AI68">
            <v>-476.6459920388304</v>
          </cell>
        </row>
        <row r="69">
          <cell r="E69" t="str">
            <v>PEB 2</v>
          </cell>
          <cell r="J69">
            <v>376032.15822532092</v>
          </cell>
          <cell r="K69">
            <v>18724.709719399925</v>
          </cell>
          <cell r="M69">
            <v>-376032.15822532092</v>
          </cell>
          <cell r="N69">
            <v>-18724.709719399925</v>
          </cell>
        </row>
        <row r="70">
          <cell r="E70" t="str">
            <v>PEB 3</v>
          </cell>
          <cell r="J70">
            <v>116731.65038038435</v>
          </cell>
          <cell r="K70">
            <v>5812.7110158739442</v>
          </cell>
          <cell r="M70">
            <v>-116731.65038038435</v>
          </cell>
          <cell r="N70">
            <v>-5812.7110158739442</v>
          </cell>
        </row>
        <row r="71">
          <cell r="E71" t="str">
            <v>PEB 4</v>
          </cell>
          <cell r="J71">
            <v>0</v>
          </cell>
          <cell r="K71">
            <v>0</v>
          </cell>
          <cell r="M71">
            <v>0</v>
          </cell>
          <cell r="N71">
            <v>0</v>
          </cell>
        </row>
        <row r="72">
          <cell r="E72" t="str">
            <v>PEB 5</v>
          </cell>
          <cell r="M72">
            <v>0</v>
          </cell>
          <cell r="N72">
            <v>0</v>
          </cell>
        </row>
        <row r="73">
          <cell r="E73" t="str">
            <v>PEB 6</v>
          </cell>
          <cell r="M73">
            <v>0</v>
          </cell>
          <cell r="N73">
            <v>0</v>
          </cell>
        </row>
        <row r="74">
          <cell r="E74" t="str">
            <v>PEB 7 / TB</v>
          </cell>
          <cell r="J74">
            <v>20394.667942793214</v>
          </cell>
          <cell r="K74">
            <v>1015.5627083988031</v>
          </cell>
          <cell r="M74">
            <v>-20394.667942793214</v>
          </cell>
          <cell r="N74">
            <v>-1015.5627083988031</v>
          </cell>
        </row>
        <row r="75">
          <cell r="E75" t="str">
            <v>MPP</v>
          </cell>
          <cell r="J75">
            <v>56404.823733798148</v>
          </cell>
          <cell r="K75">
            <v>2808.7064579099897</v>
          </cell>
          <cell r="M75">
            <v>-56404.823733798148</v>
          </cell>
          <cell r="N75">
            <v>-2808.7064579099897</v>
          </cell>
        </row>
        <row r="76">
          <cell r="E76" t="str">
            <v>ID</v>
          </cell>
          <cell r="J76">
            <v>89746.324836165732</v>
          </cell>
          <cell r="K76">
            <v>4468.9632101444495</v>
          </cell>
          <cell r="M76">
            <v>-89746.324836165732</v>
          </cell>
          <cell r="N76">
            <v>-4468.9632101444495</v>
          </cell>
        </row>
        <row r="77">
          <cell r="E77" t="str">
            <v>LL</v>
          </cell>
          <cell r="J77">
            <v>2099.8652592998615</v>
          </cell>
          <cell r="K77">
            <v>25565.859531975573</v>
          </cell>
          <cell r="M77">
            <v>-2099.8652592998615</v>
          </cell>
          <cell r="N77">
            <v>-25565.859531975573</v>
          </cell>
        </row>
        <row r="78">
          <cell r="E78" t="str">
            <v>PMK</v>
          </cell>
          <cell r="J78">
            <v>9572.0694089112149</v>
          </cell>
          <cell r="K78">
            <v>476.6459920388304</v>
          </cell>
          <cell r="M78">
            <v>-9572.0694089112149</v>
          </cell>
          <cell r="N78">
            <v>-476.6459920388304</v>
          </cell>
        </row>
        <row r="80">
          <cell r="C80" t="str">
            <v>S0172</v>
          </cell>
          <cell r="D80" t="str">
            <v>AI NDSO</v>
          </cell>
          <cell r="E80" t="str">
            <v>PEB 1</v>
          </cell>
          <cell r="J80">
            <v>0</v>
          </cell>
          <cell r="K80">
            <v>0</v>
          </cell>
          <cell r="M80">
            <v>0</v>
          </cell>
          <cell r="N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E81" t="str">
            <v>PEB 2</v>
          </cell>
          <cell r="J81">
            <v>0</v>
          </cell>
          <cell r="K81">
            <v>0</v>
          </cell>
          <cell r="M81">
            <v>0</v>
          </cell>
          <cell r="N81">
            <v>0</v>
          </cell>
        </row>
        <row r="82">
          <cell r="E82" t="str">
            <v>PEB 3</v>
          </cell>
          <cell r="J82">
            <v>0</v>
          </cell>
          <cell r="K82">
            <v>0</v>
          </cell>
          <cell r="M82">
            <v>0</v>
          </cell>
          <cell r="N82">
            <v>0</v>
          </cell>
        </row>
        <row r="83">
          <cell r="E83" t="str">
            <v>PEB 4</v>
          </cell>
          <cell r="J83">
            <v>0</v>
          </cell>
          <cell r="K83">
            <v>0</v>
          </cell>
          <cell r="M83">
            <v>0</v>
          </cell>
          <cell r="N83">
            <v>0</v>
          </cell>
        </row>
        <row r="84">
          <cell r="E84" t="str">
            <v>PEB 5</v>
          </cell>
          <cell r="M84">
            <v>0</v>
          </cell>
          <cell r="N84">
            <v>0</v>
          </cell>
        </row>
        <row r="85">
          <cell r="E85" t="str">
            <v>PEB 6</v>
          </cell>
          <cell r="M85">
            <v>0</v>
          </cell>
          <cell r="N85">
            <v>0</v>
          </cell>
        </row>
        <row r="86">
          <cell r="E86" t="str">
            <v>PEB 7 / TB</v>
          </cell>
          <cell r="M86">
            <v>0</v>
          </cell>
          <cell r="N86">
            <v>0</v>
          </cell>
        </row>
        <row r="87">
          <cell r="E87" t="str">
            <v>MPP</v>
          </cell>
          <cell r="J87">
            <v>0</v>
          </cell>
          <cell r="K87">
            <v>0</v>
          </cell>
          <cell r="M87">
            <v>0</v>
          </cell>
          <cell r="N87">
            <v>0</v>
          </cell>
        </row>
        <row r="88">
          <cell r="E88" t="str">
            <v>ID</v>
          </cell>
          <cell r="J88">
            <v>0</v>
          </cell>
          <cell r="K88">
            <v>0</v>
          </cell>
          <cell r="M88">
            <v>0</v>
          </cell>
          <cell r="N88">
            <v>0</v>
          </cell>
        </row>
        <row r="89">
          <cell r="E89" t="str">
            <v>LL</v>
          </cell>
          <cell r="J89">
            <v>0</v>
          </cell>
          <cell r="K89">
            <v>0</v>
          </cell>
          <cell r="M89">
            <v>0</v>
          </cell>
          <cell r="N89">
            <v>0</v>
          </cell>
        </row>
        <row r="90">
          <cell r="E90" t="str">
            <v>PMK</v>
          </cell>
          <cell r="J90">
            <v>0</v>
          </cell>
          <cell r="K90">
            <v>0</v>
          </cell>
          <cell r="M90">
            <v>0</v>
          </cell>
          <cell r="N90">
            <v>0</v>
          </cell>
        </row>
        <row r="92">
          <cell r="C92" t="str">
            <v>S0174</v>
          </cell>
          <cell r="D92" t="str">
            <v>AI PSO</v>
          </cell>
          <cell r="E92" t="str">
            <v>PEB 1</v>
          </cell>
          <cell r="J92">
            <v>0</v>
          </cell>
          <cell r="K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E93" t="str">
            <v>PEB 2</v>
          </cell>
          <cell r="J93">
            <v>0</v>
          </cell>
          <cell r="K93">
            <v>0</v>
          </cell>
          <cell r="M93">
            <v>0</v>
          </cell>
          <cell r="N93">
            <v>0</v>
          </cell>
        </row>
        <row r="94">
          <cell r="E94" t="str">
            <v>PEB 3</v>
          </cell>
          <cell r="J94">
            <v>0</v>
          </cell>
          <cell r="K94">
            <v>0</v>
          </cell>
          <cell r="M94">
            <v>0</v>
          </cell>
          <cell r="N94">
            <v>0</v>
          </cell>
        </row>
        <row r="95">
          <cell r="E95" t="str">
            <v>PEB 4</v>
          </cell>
          <cell r="J95">
            <v>0</v>
          </cell>
          <cell r="K95">
            <v>0</v>
          </cell>
          <cell r="M95">
            <v>0</v>
          </cell>
          <cell r="N95">
            <v>0</v>
          </cell>
        </row>
        <row r="96">
          <cell r="E96" t="str">
            <v>PEB 5</v>
          </cell>
          <cell r="M96">
            <v>0</v>
          </cell>
          <cell r="N96">
            <v>0</v>
          </cell>
        </row>
        <row r="97">
          <cell r="E97" t="str">
            <v>PEB 6</v>
          </cell>
          <cell r="M97">
            <v>0</v>
          </cell>
          <cell r="N97">
            <v>0</v>
          </cell>
        </row>
        <row r="98">
          <cell r="E98" t="str">
            <v>PEB 7 / TB</v>
          </cell>
          <cell r="M98">
            <v>0</v>
          </cell>
          <cell r="N98">
            <v>0</v>
          </cell>
        </row>
        <row r="99">
          <cell r="E99" t="str">
            <v>MPP</v>
          </cell>
          <cell r="J99">
            <v>0</v>
          </cell>
          <cell r="K99">
            <v>0</v>
          </cell>
          <cell r="M99">
            <v>0</v>
          </cell>
          <cell r="N99">
            <v>0</v>
          </cell>
        </row>
        <row r="100">
          <cell r="E100" t="str">
            <v>ID</v>
          </cell>
          <cell r="J100">
            <v>0</v>
          </cell>
          <cell r="K100">
            <v>0</v>
          </cell>
          <cell r="M100">
            <v>0</v>
          </cell>
          <cell r="N100">
            <v>0</v>
          </cell>
        </row>
        <row r="101">
          <cell r="E101" t="str">
            <v>LL</v>
          </cell>
          <cell r="J101">
            <v>0</v>
          </cell>
          <cell r="K101">
            <v>0</v>
          </cell>
          <cell r="M101">
            <v>0</v>
          </cell>
          <cell r="N101">
            <v>0</v>
          </cell>
        </row>
        <row r="102">
          <cell r="E102" t="str">
            <v>PMK</v>
          </cell>
          <cell r="J102">
            <v>0</v>
          </cell>
          <cell r="K102">
            <v>0</v>
          </cell>
          <cell r="M102">
            <v>0</v>
          </cell>
          <cell r="N102">
            <v>0</v>
          </cell>
        </row>
        <row r="104">
          <cell r="C104" t="str">
            <v>S0015</v>
          </cell>
          <cell r="D104" t="str">
            <v>AI SSC</v>
          </cell>
          <cell r="E104" t="str">
            <v>PEB 1</v>
          </cell>
          <cell r="J104">
            <v>0</v>
          </cell>
          <cell r="K104">
            <v>0</v>
          </cell>
          <cell r="M104">
            <v>0</v>
          </cell>
          <cell r="N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E105" t="str">
            <v>PEB 2</v>
          </cell>
          <cell r="J105">
            <v>0</v>
          </cell>
          <cell r="K105">
            <v>0</v>
          </cell>
          <cell r="M105">
            <v>0</v>
          </cell>
          <cell r="N105">
            <v>0</v>
          </cell>
        </row>
        <row r="106">
          <cell r="E106" t="str">
            <v>PEB 3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</row>
        <row r="107">
          <cell r="E107" t="str">
            <v>PEB 4</v>
          </cell>
          <cell r="J107">
            <v>0</v>
          </cell>
          <cell r="K107">
            <v>0</v>
          </cell>
          <cell r="M107">
            <v>0</v>
          </cell>
          <cell r="N107">
            <v>0</v>
          </cell>
        </row>
        <row r="108">
          <cell r="E108" t="str">
            <v>PEB 5</v>
          </cell>
          <cell r="M108">
            <v>0</v>
          </cell>
          <cell r="N108">
            <v>0</v>
          </cell>
        </row>
        <row r="109">
          <cell r="E109" t="str">
            <v>PEB 6</v>
          </cell>
          <cell r="M109">
            <v>0</v>
          </cell>
          <cell r="N109">
            <v>0</v>
          </cell>
        </row>
        <row r="110">
          <cell r="E110" t="str">
            <v>PEB 7 / TB</v>
          </cell>
          <cell r="M110">
            <v>0</v>
          </cell>
          <cell r="N110">
            <v>0</v>
          </cell>
        </row>
        <row r="111">
          <cell r="E111" t="str">
            <v>MPP</v>
          </cell>
          <cell r="J111">
            <v>0</v>
          </cell>
          <cell r="K111">
            <v>0</v>
          </cell>
          <cell r="M111">
            <v>0</v>
          </cell>
          <cell r="N111">
            <v>0</v>
          </cell>
        </row>
        <row r="112">
          <cell r="E112" t="str">
            <v>ID</v>
          </cell>
          <cell r="J112">
            <v>0</v>
          </cell>
          <cell r="K112">
            <v>0</v>
          </cell>
          <cell r="M112">
            <v>0</v>
          </cell>
          <cell r="N112">
            <v>0</v>
          </cell>
        </row>
        <row r="113">
          <cell r="E113" t="str">
            <v>LL</v>
          </cell>
          <cell r="J113">
            <v>0</v>
          </cell>
          <cell r="K113">
            <v>0</v>
          </cell>
          <cell r="M113">
            <v>0</v>
          </cell>
          <cell r="N113">
            <v>0</v>
          </cell>
        </row>
        <row r="114">
          <cell r="E114" t="str">
            <v>PMK</v>
          </cell>
          <cell r="J114">
            <v>0</v>
          </cell>
          <cell r="K114">
            <v>0</v>
          </cell>
          <cell r="M114">
            <v>0</v>
          </cell>
          <cell r="N114">
            <v>0</v>
          </cell>
        </row>
        <row r="116">
          <cell r="C116" t="str">
            <v>S0002</v>
          </cell>
          <cell r="D116" t="str">
            <v>AI TSO</v>
          </cell>
          <cell r="E116" t="str">
            <v>PEB 1</v>
          </cell>
          <cell r="M116">
            <v>0</v>
          </cell>
          <cell r="N116">
            <v>0</v>
          </cell>
          <cell r="P116">
            <v>-10757.143134604661</v>
          </cell>
          <cell r="Q116">
            <v>-1462.6319828887031</v>
          </cell>
          <cell r="R116">
            <v>0</v>
          </cell>
          <cell r="S116">
            <v>0</v>
          </cell>
          <cell r="T116">
            <v>-108761.07723325882</v>
          </cell>
          <cell r="U116">
            <v>-945.68194239914533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-2460.0494069566944</v>
          </cell>
          <cell r="AA116">
            <v>-362.66291640730657</v>
          </cell>
          <cell r="AB116">
            <v>-1613.5714701906995</v>
          </cell>
          <cell r="AC116">
            <v>-219.39479743330546</v>
          </cell>
          <cell r="AD116">
            <v>-4934.7224477323907</v>
          </cell>
          <cell r="AE116">
            <v>-700.70936052901811</v>
          </cell>
          <cell r="AF116">
            <v>-8402.7997512290658</v>
          </cell>
          <cell r="AG116">
            <v>-2724.0549039024022</v>
          </cell>
          <cell r="AH116">
            <v>-20165.563318998207</v>
          </cell>
          <cell r="AI116">
            <v>-2881.699639429612</v>
          </cell>
        </row>
        <row r="117">
          <cell r="E117" t="str">
            <v>PEB 2</v>
          </cell>
          <cell r="J117">
            <v>10757.143134604661</v>
          </cell>
          <cell r="K117">
            <v>1462.6319828887031</v>
          </cell>
          <cell r="M117">
            <v>-10757.143134604661</v>
          </cell>
          <cell r="N117">
            <v>-1462.6319828887031</v>
          </cell>
        </row>
        <row r="118">
          <cell r="E118" t="str">
            <v>PEB 3</v>
          </cell>
          <cell r="J118">
            <v>0</v>
          </cell>
          <cell r="K118">
            <v>0</v>
          </cell>
          <cell r="M118">
            <v>0</v>
          </cell>
          <cell r="N118">
            <v>0</v>
          </cell>
        </row>
        <row r="119">
          <cell r="E119" t="str">
            <v>PEB 4</v>
          </cell>
          <cell r="J119">
            <v>108761.07723325882</v>
          </cell>
          <cell r="K119">
            <v>945.68194239914533</v>
          </cell>
          <cell r="M119">
            <v>-108761.07723325882</v>
          </cell>
          <cell r="N119">
            <v>-945.68194239914533</v>
          </cell>
        </row>
        <row r="120">
          <cell r="E120" t="str">
            <v>PEB 5</v>
          </cell>
          <cell r="M120">
            <v>0</v>
          </cell>
          <cell r="N120">
            <v>0</v>
          </cell>
        </row>
        <row r="121">
          <cell r="E121" t="str">
            <v>PEB 6</v>
          </cell>
          <cell r="M121">
            <v>0</v>
          </cell>
          <cell r="N121">
            <v>0</v>
          </cell>
        </row>
        <row r="122">
          <cell r="E122" t="str">
            <v>PEB 7 / TB</v>
          </cell>
          <cell r="J122">
            <v>2460.0494069566944</v>
          </cell>
          <cell r="K122">
            <v>362.66291640730657</v>
          </cell>
          <cell r="M122">
            <v>-2460.0494069566944</v>
          </cell>
          <cell r="N122">
            <v>-362.66291640730657</v>
          </cell>
        </row>
        <row r="123">
          <cell r="E123" t="str">
            <v>MPP</v>
          </cell>
          <cell r="J123">
            <v>1613.5714701906995</v>
          </cell>
          <cell r="K123">
            <v>219.39479743330546</v>
          </cell>
          <cell r="M123">
            <v>-1613.5714701906995</v>
          </cell>
          <cell r="N123">
            <v>-219.39479743330546</v>
          </cell>
        </row>
        <row r="124">
          <cell r="E124" t="str">
            <v>ID</v>
          </cell>
          <cell r="J124">
            <v>4934.7224477323907</v>
          </cell>
          <cell r="K124">
            <v>700.70936052901811</v>
          </cell>
          <cell r="M124">
            <v>-4934.7224477323907</v>
          </cell>
          <cell r="N124">
            <v>-700.70936052901811</v>
          </cell>
        </row>
        <row r="125">
          <cell r="E125" t="str">
            <v>LL</v>
          </cell>
          <cell r="J125">
            <v>8402.7997512290658</v>
          </cell>
          <cell r="K125">
            <v>2724.0549039024022</v>
          </cell>
          <cell r="M125">
            <v>-8402.7997512290658</v>
          </cell>
          <cell r="N125">
            <v>-2724.0549039024022</v>
          </cell>
        </row>
        <row r="126">
          <cell r="E126" t="str">
            <v>PMK</v>
          </cell>
          <cell r="J126">
            <v>20165.563318998207</v>
          </cell>
          <cell r="K126">
            <v>2881.699639429612</v>
          </cell>
          <cell r="M126">
            <v>-20165.563318998207</v>
          </cell>
          <cell r="N126">
            <v>-2881.699639429612</v>
          </cell>
        </row>
        <row r="128">
          <cell r="C128" t="str">
            <v>A0253</v>
          </cell>
          <cell r="D128" t="str">
            <v>PT Agro Menara Rahmat</v>
          </cell>
          <cell r="E128" t="str">
            <v>PEB 1</v>
          </cell>
          <cell r="M128">
            <v>0</v>
          </cell>
          <cell r="N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E129" t="str">
            <v>PEB 2</v>
          </cell>
          <cell r="M129">
            <v>0</v>
          </cell>
          <cell r="N129">
            <v>0</v>
          </cell>
        </row>
        <row r="130">
          <cell r="E130" t="str">
            <v>PEB 3</v>
          </cell>
          <cell r="M130">
            <v>0</v>
          </cell>
          <cell r="N130">
            <v>0</v>
          </cell>
        </row>
        <row r="131">
          <cell r="E131" t="str">
            <v>PEB 4</v>
          </cell>
          <cell r="M131">
            <v>0</v>
          </cell>
          <cell r="N131">
            <v>0</v>
          </cell>
        </row>
        <row r="132">
          <cell r="E132" t="str">
            <v>PEB 5</v>
          </cell>
          <cell r="M132">
            <v>0</v>
          </cell>
          <cell r="N132">
            <v>0</v>
          </cell>
        </row>
        <row r="133">
          <cell r="E133" t="str">
            <v>PEB 6</v>
          </cell>
          <cell r="M133">
            <v>0</v>
          </cell>
          <cell r="N133">
            <v>0</v>
          </cell>
        </row>
        <row r="134">
          <cell r="E134" t="str">
            <v>PEB 7 / TB</v>
          </cell>
          <cell r="M134">
            <v>0</v>
          </cell>
          <cell r="N134">
            <v>0</v>
          </cell>
        </row>
        <row r="135">
          <cell r="E135" t="str">
            <v>MPP</v>
          </cell>
          <cell r="M135">
            <v>0</v>
          </cell>
          <cell r="N135">
            <v>0</v>
          </cell>
        </row>
        <row r="136">
          <cell r="E136" t="str">
            <v>ID</v>
          </cell>
          <cell r="M136">
            <v>0</v>
          </cell>
          <cell r="N136">
            <v>0</v>
          </cell>
        </row>
        <row r="137">
          <cell r="E137" t="str">
            <v>LL</v>
          </cell>
          <cell r="M137">
            <v>0</v>
          </cell>
          <cell r="N137">
            <v>0</v>
          </cell>
        </row>
        <row r="138">
          <cell r="E138" t="str">
            <v>PMK</v>
          </cell>
          <cell r="M138">
            <v>0</v>
          </cell>
          <cell r="N138">
            <v>0</v>
          </cell>
        </row>
        <row r="140">
          <cell r="C140" t="str">
            <v>A0438</v>
          </cell>
          <cell r="D140" t="str">
            <v>PT Agro Nusa Abadi</v>
          </cell>
          <cell r="E140" t="str">
            <v>PEB 1</v>
          </cell>
          <cell r="M140">
            <v>0</v>
          </cell>
          <cell r="N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E141" t="str">
            <v>PEB 2</v>
          </cell>
          <cell r="M141">
            <v>0</v>
          </cell>
          <cell r="N141">
            <v>0</v>
          </cell>
        </row>
        <row r="142">
          <cell r="E142" t="str">
            <v>PEB 3</v>
          </cell>
          <cell r="M142">
            <v>0</v>
          </cell>
          <cell r="N142">
            <v>0</v>
          </cell>
        </row>
        <row r="143">
          <cell r="E143" t="str">
            <v>PEB 4</v>
          </cell>
          <cell r="M143">
            <v>0</v>
          </cell>
          <cell r="N143">
            <v>0</v>
          </cell>
        </row>
        <row r="144">
          <cell r="E144" t="str">
            <v>PEB 5</v>
          </cell>
          <cell r="M144">
            <v>0</v>
          </cell>
          <cell r="N144">
            <v>0</v>
          </cell>
        </row>
        <row r="145">
          <cell r="E145" t="str">
            <v>PEB 6</v>
          </cell>
          <cell r="M145">
            <v>0</v>
          </cell>
          <cell r="N145">
            <v>0</v>
          </cell>
        </row>
        <row r="146">
          <cell r="E146" t="str">
            <v>PEB 7 / TB</v>
          </cell>
          <cell r="M146">
            <v>0</v>
          </cell>
          <cell r="N146">
            <v>0</v>
          </cell>
        </row>
        <row r="147">
          <cell r="E147" t="str">
            <v>MPP</v>
          </cell>
          <cell r="M147">
            <v>0</v>
          </cell>
          <cell r="N147">
            <v>0</v>
          </cell>
        </row>
        <row r="148">
          <cell r="E148" t="str">
            <v>ID</v>
          </cell>
          <cell r="M148">
            <v>0</v>
          </cell>
          <cell r="N148">
            <v>0</v>
          </cell>
        </row>
        <row r="149">
          <cell r="E149" t="str">
            <v>LL</v>
          </cell>
          <cell r="M149">
            <v>0</v>
          </cell>
          <cell r="N149">
            <v>0</v>
          </cell>
        </row>
        <row r="150">
          <cell r="E150" t="str">
            <v>PMK</v>
          </cell>
          <cell r="M150">
            <v>0</v>
          </cell>
          <cell r="N150">
            <v>0</v>
          </cell>
        </row>
        <row r="152">
          <cell r="C152" t="str">
            <v>A0049</v>
          </cell>
          <cell r="D152" t="str">
            <v>PT Aisin Indonesia</v>
          </cell>
          <cell r="E152" t="str">
            <v>PEB 1</v>
          </cell>
          <cell r="J152">
            <v>470377.81224005786</v>
          </cell>
          <cell r="K152">
            <v>23135.671414042707</v>
          </cell>
          <cell r="M152">
            <v>-470377.81224005786</v>
          </cell>
          <cell r="N152">
            <v>-23135.671414042707</v>
          </cell>
          <cell r="P152">
            <v>0</v>
          </cell>
          <cell r="Q152">
            <v>0</v>
          </cell>
          <cell r="R152">
            <v>-29138.872835793965</v>
          </cell>
          <cell r="S152">
            <v>-1433.2040537670007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-5088.2484674493408</v>
          </cell>
          <cell r="AA152">
            <v>-250.26700144571393</v>
          </cell>
          <cell r="AB152">
            <v>0</v>
          </cell>
          <cell r="AC152">
            <v>0</v>
          </cell>
          <cell r="AD152">
            <v>-23838.145408320463</v>
          </cell>
          <cell r="AE152">
            <v>-1172.4862120103758</v>
          </cell>
          <cell r="AF152">
            <v>-2343.8302412907756</v>
          </cell>
          <cell r="AG152">
            <v>-7075.0743440616479</v>
          </cell>
          <cell r="AH152">
            <v>-108.7003722014728</v>
          </cell>
          <cell r="AI152">
            <v>-328.12240451725711</v>
          </cell>
        </row>
        <row r="153">
          <cell r="E153" t="str">
            <v>PEB 2</v>
          </cell>
          <cell r="M153">
            <v>0</v>
          </cell>
          <cell r="N153">
            <v>0</v>
          </cell>
        </row>
        <row r="154">
          <cell r="E154" t="str">
            <v>PEB 3</v>
          </cell>
          <cell r="J154">
            <v>29138.872835793965</v>
          </cell>
          <cell r="K154">
            <v>1433.2040537670007</v>
          </cell>
          <cell r="M154">
            <v>-29138.872835793965</v>
          </cell>
          <cell r="N154">
            <v>-1433.2040537670007</v>
          </cell>
        </row>
        <row r="155">
          <cell r="E155" t="str">
            <v>PEB 4</v>
          </cell>
          <cell r="M155">
            <v>0</v>
          </cell>
          <cell r="N155">
            <v>0</v>
          </cell>
        </row>
        <row r="156">
          <cell r="E156" t="str">
            <v>PEB 5</v>
          </cell>
          <cell r="M156">
            <v>0</v>
          </cell>
          <cell r="N156">
            <v>0</v>
          </cell>
        </row>
        <row r="157">
          <cell r="E157" t="str">
            <v>PEB 6</v>
          </cell>
          <cell r="M157">
            <v>0</v>
          </cell>
          <cell r="N157">
            <v>0</v>
          </cell>
        </row>
        <row r="158">
          <cell r="E158" t="str">
            <v>PEB 7 / TB</v>
          </cell>
          <cell r="J158">
            <v>5088.2484674493408</v>
          </cell>
          <cell r="K158">
            <v>250.26700144571393</v>
          </cell>
          <cell r="M158">
            <v>-5088.2484674493408</v>
          </cell>
          <cell r="N158">
            <v>-250.26700144571393</v>
          </cell>
        </row>
        <row r="159">
          <cell r="E159" t="str">
            <v>MPP</v>
          </cell>
          <cell r="M159">
            <v>0</v>
          </cell>
          <cell r="N159">
            <v>0</v>
          </cell>
        </row>
        <row r="160">
          <cell r="E160" t="str">
            <v>ID</v>
          </cell>
          <cell r="J160">
            <v>23838.145408320463</v>
          </cell>
          <cell r="K160">
            <v>1172.4862120103758</v>
          </cell>
          <cell r="M160">
            <v>-23838.145408320463</v>
          </cell>
          <cell r="N160">
            <v>-1172.4862120103758</v>
          </cell>
        </row>
        <row r="161">
          <cell r="E161" t="str">
            <v>LL</v>
          </cell>
          <cell r="J161">
            <v>2343.8302412907756</v>
          </cell>
          <cell r="K161">
            <v>7075.0743440616479</v>
          </cell>
          <cell r="M161">
            <v>-2343.8302412907756</v>
          </cell>
          <cell r="N161">
            <v>-7075.0743440616479</v>
          </cell>
        </row>
        <row r="162">
          <cell r="E162" t="str">
            <v>PMK</v>
          </cell>
          <cell r="J162">
            <v>108.7003722014728</v>
          </cell>
          <cell r="K162">
            <v>328.12240451725711</v>
          </cell>
          <cell r="M162">
            <v>-108.7003722014728</v>
          </cell>
          <cell r="N162">
            <v>-328.12240451725711</v>
          </cell>
        </row>
        <row r="164">
          <cell r="C164" t="str">
            <v>A0161</v>
          </cell>
          <cell r="D164" t="str">
            <v>PT Ardendi Jaya Sentosa</v>
          </cell>
          <cell r="E164" t="str">
            <v>PEB 1</v>
          </cell>
          <cell r="M164">
            <v>0</v>
          </cell>
          <cell r="N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-5841.4879478717921</v>
          </cell>
          <cell r="W164">
            <v>-1348.6747616688824</v>
          </cell>
          <cell r="X164">
            <v>0</v>
          </cell>
          <cell r="Y164">
            <v>0</v>
          </cell>
          <cell r="Z164">
            <v>-425.33951453970195</v>
          </cell>
          <cell r="AA164">
            <v>-98.201806375237751</v>
          </cell>
          <cell r="AB164">
            <v>-272.11900378284741</v>
          </cell>
          <cell r="AC164">
            <v>-62.826464052898238</v>
          </cell>
          <cell r="AD164">
            <v>-894.10385870369373</v>
          </cell>
          <cell r="AE164">
            <v>-206.42947812359301</v>
          </cell>
          <cell r="AF164">
            <v>-3068.399975381757</v>
          </cell>
          <cell r="AG164">
            <v>-708.42799684461863</v>
          </cell>
          <cell r="AH164">
            <v>0</v>
          </cell>
          <cell r="AI164">
            <v>0</v>
          </cell>
        </row>
        <row r="165">
          <cell r="E165" t="str">
            <v>PEB 2</v>
          </cell>
          <cell r="M165">
            <v>0</v>
          </cell>
          <cell r="N165">
            <v>0</v>
          </cell>
        </row>
        <row r="166">
          <cell r="E166" t="str">
            <v>PEB 3</v>
          </cell>
          <cell r="M166">
            <v>0</v>
          </cell>
          <cell r="N166">
            <v>0</v>
          </cell>
        </row>
        <row r="167">
          <cell r="E167" t="str">
            <v>PEB 4</v>
          </cell>
          <cell r="M167">
            <v>0</v>
          </cell>
          <cell r="N167">
            <v>0</v>
          </cell>
        </row>
        <row r="168">
          <cell r="E168" t="str">
            <v>PEB 5</v>
          </cell>
          <cell r="J168">
            <v>5841.4879478717921</v>
          </cell>
          <cell r="K168">
            <v>1348.6747616688824</v>
          </cell>
          <cell r="M168">
            <v>-5841.4879478717921</v>
          </cell>
          <cell r="N168">
            <v>-1348.6747616688824</v>
          </cell>
        </row>
        <row r="169">
          <cell r="E169" t="str">
            <v>PEB 6</v>
          </cell>
          <cell r="M169">
            <v>0</v>
          </cell>
          <cell r="N169">
            <v>0</v>
          </cell>
        </row>
        <row r="170">
          <cell r="E170" t="str">
            <v>PEB 7 / TB</v>
          </cell>
          <cell r="J170">
            <v>425.33951453970195</v>
          </cell>
          <cell r="K170">
            <v>98.201806375237751</v>
          </cell>
          <cell r="M170">
            <v>-425.33951453970195</v>
          </cell>
          <cell r="N170">
            <v>-98.201806375237751</v>
          </cell>
        </row>
        <row r="171">
          <cell r="E171" t="str">
            <v>MPP</v>
          </cell>
          <cell r="J171">
            <v>272.11900378284741</v>
          </cell>
          <cell r="K171">
            <v>62.826464052898238</v>
          </cell>
          <cell r="M171">
            <v>-272.11900378284741</v>
          </cell>
          <cell r="N171">
            <v>-62.826464052898238</v>
          </cell>
        </row>
        <row r="172">
          <cell r="E172" t="str">
            <v>ID</v>
          </cell>
          <cell r="J172">
            <v>894.10385870369373</v>
          </cell>
          <cell r="K172">
            <v>206.42947812359301</v>
          </cell>
          <cell r="M172">
            <v>-894.10385870369373</v>
          </cell>
          <cell r="N172">
            <v>-206.42947812359301</v>
          </cell>
        </row>
        <row r="173">
          <cell r="E173" t="str">
            <v>LL</v>
          </cell>
          <cell r="J173">
            <v>3068.399975381757</v>
          </cell>
          <cell r="K173">
            <v>708.42799684461863</v>
          </cell>
          <cell r="M173">
            <v>-3068.399975381757</v>
          </cell>
          <cell r="N173">
            <v>-708.42799684461863</v>
          </cell>
        </row>
        <row r="174">
          <cell r="E174" t="str">
            <v>PMK</v>
          </cell>
          <cell r="M174">
            <v>0</v>
          </cell>
          <cell r="N174">
            <v>0</v>
          </cell>
        </row>
        <row r="176">
          <cell r="C176" t="str">
            <v>A0011</v>
          </cell>
          <cell r="D176" t="str">
            <v>PT Astra Agro Lestari Tbk - Parent</v>
          </cell>
          <cell r="E176" t="str">
            <v>PEB 1</v>
          </cell>
          <cell r="M176">
            <v>0</v>
          </cell>
          <cell r="N176">
            <v>0</v>
          </cell>
          <cell r="P176">
            <v>-117178.35646210054</v>
          </cell>
          <cell r="Q176">
            <v>-6479.8477967876188</v>
          </cell>
          <cell r="R176">
            <v>0</v>
          </cell>
          <cell r="S176">
            <v>0</v>
          </cell>
          <cell r="T176">
            <v>-377314.30780796369</v>
          </cell>
          <cell r="U176">
            <v>-20865.109905656132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-6930.7186331134562</v>
          </cell>
          <cell r="AA176">
            <v>-383.26191987050578</v>
          </cell>
          <cell r="AB176">
            <v>-35153.506938630155</v>
          </cell>
          <cell r="AC176">
            <v>-1943.9543390362853</v>
          </cell>
          <cell r="AD176">
            <v>-30120.310144252373</v>
          </cell>
          <cell r="AE176">
            <v>-1665.6235094910189</v>
          </cell>
          <cell r="AF176">
            <v>-13502.759090825006</v>
          </cell>
          <cell r="AG176">
            <v>-4379.0301957148376</v>
          </cell>
          <cell r="AH176">
            <v>-4308.4732053452381</v>
          </cell>
          <cell r="AI176">
            <v>-323.03723620463404</v>
          </cell>
        </row>
        <row r="177">
          <cell r="E177" t="str">
            <v>PEB 2</v>
          </cell>
          <cell r="J177">
            <v>117178.35646210054</v>
          </cell>
          <cell r="K177">
            <v>6479.8477967876188</v>
          </cell>
          <cell r="M177">
            <v>-117178.35646210054</v>
          </cell>
          <cell r="N177">
            <v>-6479.8477967876188</v>
          </cell>
        </row>
        <row r="178">
          <cell r="E178" t="str">
            <v>PEB 3</v>
          </cell>
          <cell r="M178">
            <v>0</v>
          </cell>
          <cell r="N178">
            <v>0</v>
          </cell>
        </row>
        <row r="179">
          <cell r="E179" t="str">
            <v>PEB 4</v>
          </cell>
          <cell r="J179">
            <v>377314.30780796369</v>
          </cell>
          <cell r="K179">
            <v>20865.109905656132</v>
          </cell>
          <cell r="M179">
            <v>-377314.30780796369</v>
          </cell>
          <cell r="N179">
            <v>-20865.109905656132</v>
          </cell>
        </row>
        <row r="180">
          <cell r="E180" t="str">
            <v>PEB 5</v>
          </cell>
          <cell r="M180">
            <v>0</v>
          </cell>
          <cell r="N180">
            <v>0</v>
          </cell>
        </row>
        <row r="181">
          <cell r="E181" t="str">
            <v>PEB 6</v>
          </cell>
          <cell r="M181">
            <v>0</v>
          </cell>
          <cell r="N181">
            <v>0</v>
          </cell>
        </row>
        <row r="182">
          <cell r="E182" t="str">
            <v>PEB 7 / TB</v>
          </cell>
          <cell r="J182">
            <v>6930.7186331134562</v>
          </cell>
          <cell r="K182">
            <v>383.26191987050578</v>
          </cell>
          <cell r="M182">
            <v>-6930.7186331134562</v>
          </cell>
          <cell r="N182">
            <v>-383.26191987050578</v>
          </cell>
        </row>
        <row r="183">
          <cell r="E183" t="str">
            <v>MPP</v>
          </cell>
          <cell r="J183">
            <v>35153.506938630155</v>
          </cell>
          <cell r="K183">
            <v>1943.9543390362853</v>
          </cell>
          <cell r="M183">
            <v>-35153.506938630155</v>
          </cell>
          <cell r="N183">
            <v>-1943.9543390362853</v>
          </cell>
        </row>
        <row r="184">
          <cell r="E184" t="str">
            <v>ID</v>
          </cell>
          <cell r="J184">
            <v>30120.310144252373</v>
          </cell>
          <cell r="K184">
            <v>1665.6235094910189</v>
          </cell>
          <cell r="M184">
            <v>-30120.310144252373</v>
          </cell>
          <cell r="N184">
            <v>-1665.6235094910189</v>
          </cell>
        </row>
        <row r="185">
          <cell r="E185" t="str">
            <v>LL</v>
          </cell>
          <cell r="J185">
            <v>13502.759090825006</v>
          </cell>
          <cell r="K185">
            <v>4379.0301957148376</v>
          </cell>
          <cell r="M185">
            <v>-13502.759090825006</v>
          </cell>
          <cell r="N185">
            <v>-4379.0301957148376</v>
          </cell>
        </row>
        <row r="186">
          <cell r="E186" t="str">
            <v>PMK</v>
          </cell>
          <cell r="J186">
            <v>4308.4732053452381</v>
          </cell>
          <cell r="K186">
            <v>323.03723620463404</v>
          </cell>
          <cell r="M186">
            <v>-4308.4732053452381</v>
          </cell>
          <cell r="N186">
            <v>-323.03723620463404</v>
          </cell>
        </row>
        <row r="188">
          <cell r="C188" t="str">
            <v>A0177</v>
          </cell>
          <cell r="D188" t="str">
            <v>PT Astra Auto Finance</v>
          </cell>
          <cell r="E188" t="str">
            <v>PEB 1</v>
          </cell>
          <cell r="M188">
            <v>0</v>
          </cell>
          <cell r="N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E189" t="str">
            <v>PEB 2</v>
          </cell>
          <cell r="M189">
            <v>0</v>
          </cell>
          <cell r="N189">
            <v>0</v>
          </cell>
        </row>
        <row r="190">
          <cell r="E190" t="str">
            <v>PEB 3</v>
          </cell>
          <cell r="M190">
            <v>0</v>
          </cell>
          <cell r="N190">
            <v>0</v>
          </cell>
        </row>
        <row r="191">
          <cell r="E191" t="str">
            <v>PEB 4</v>
          </cell>
          <cell r="M191">
            <v>0</v>
          </cell>
          <cell r="N191">
            <v>0</v>
          </cell>
        </row>
        <row r="192">
          <cell r="E192" t="str">
            <v>PEB 5</v>
          </cell>
          <cell r="M192">
            <v>0</v>
          </cell>
          <cell r="N192">
            <v>0</v>
          </cell>
        </row>
        <row r="193">
          <cell r="E193" t="str">
            <v>PEB 6</v>
          </cell>
          <cell r="M193">
            <v>0</v>
          </cell>
          <cell r="N193">
            <v>0</v>
          </cell>
        </row>
        <row r="194">
          <cell r="E194" t="str">
            <v>PEB 7 / TB</v>
          </cell>
          <cell r="M194">
            <v>0</v>
          </cell>
          <cell r="N194">
            <v>0</v>
          </cell>
        </row>
        <row r="195">
          <cell r="E195" t="str">
            <v>MPP</v>
          </cell>
          <cell r="M195">
            <v>0</v>
          </cell>
          <cell r="N195">
            <v>0</v>
          </cell>
        </row>
        <row r="196">
          <cell r="E196" t="str">
            <v>ID</v>
          </cell>
          <cell r="M196">
            <v>0</v>
          </cell>
          <cell r="N196">
            <v>0</v>
          </cell>
        </row>
        <row r="197">
          <cell r="E197" t="str">
            <v>LL</v>
          </cell>
          <cell r="M197">
            <v>0</v>
          </cell>
          <cell r="N197">
            <v>0</v>
          </cell>
        </row>
        <row r="198">
          <cell r="E198" t="str">
            <v>PMK</v>
          </cell>
          <cell r="M198">
            <v>0</v>
          </cell>
          <cell r="N198">
            <v>0</v>
          </cell>
        </row>
        <row r="200">
          <cell r="C200" t="str">
            <v>A0045</v>
          </cell>
          <cell r="D200" t="str">
            <v>PT Astra Daihatsu Motor</v>
          </cell>
          <cell r="E200" t="str">
            <v>PEB 1</v>
          </cell>
          <cell r="J200">
            <v>0</v>
          </cell>
          <cell r="K200">
            <v>0</v>
          </cell>
          <cell r="M200">
            <v>0</v>
          </cell>
          <cell r="N200">
            <v>0</v>
          </cell>
          <cell r="P200">
            <v>-4336.2388910399204</v>
          </cell>
          <cell r="Q200">
            <v>-127786.6151557995</v>
          </cell>
          <cell r="R200">
            <v>0</v>
          </cell>
          <cell r="S200">
            <v>0</v>
          </cell>
          <cell r="T200">
            <v>-174621.08619546168</v>
          </cell>
          <cell r="U200">
            <v>-426.58085894054284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-80.073284926630294</v>
          </cell>
          <cell r="AA200">
            <v>-2359.4364360889263</v>
          </cell>
          <cell r="AB200">
            <v>-656.21712202641118</v>
          </cell>
          <cell r="AC200">
            <v>-4602.6118844324628</v>
          </cell>
          <cell r="AD200">
            <v>-7789.5912809830943</v>
          </cell>
          <cell r="AE200">
            <v>-1189.7468970178566</v>
          </cell>
          <cell r="AF200">
            <v>-21593.359546699594</v>
          </cell>
          <cell r="AG200">
            <v>-4830.9558192014083</v>
          </cell>
          <cell r="AH200">
            <v>-8339.0539493701363</v>
          </cell>
          <cell r="AI200">
            <v>-1332.4019647891598</v>
          </cell>
        </row>
        <row r="201">
          <cell r="E201" t="str">
            <v>PEB 2</v>
          </cell>
          <cell r="J201">
            <v>4336.2388910399204</v>
          </cell>
          <cell r="K201">
            <v>127786.6151557995</v>
          </cell>
          <cell r="M201">
            <v>-4336.2388910399204</v>
          </cell>
          <cell r="N201">
            <v>-127786.6151557995</v>
          </cell>
        </row>
        <row r="202">
          <cell r="E202" t="str">
            <v>PEB 3</v>
          </cell>
          <cell r="J202">
            <v>0</v>
          </cell>
          <cell r="K202">
            <v>0</v>
          </cell>
          <cell r="M202">
            <v>0</v>
          </cell>
          <cell r="N202">
            <v>0</v>
          </cell>
        </row>
        <row r="203">
          <cell r="E203" t="str">
            <v>PEB 4</v>
          </cell>
          <cell r="J203">
            <v>174621.08619546168</v>
          </cell>
          <cell r="K203">
            <v>426.58085894054284</v>
          </cell>
          <cell r="M203">
            <v>-174621.08619546168</v>
          </cell>
          <cell r="N203">
            <v>-426.58085894054284</v>
          </cell>
        </row>
        <row r="204">
          <cell r="E204" t="str">
            <v>PEB 5</v>
          </cell>
          <cell r="J204">
            <v>0</v>
          </cell>
          <cell r="K204">
            <v>0</v>
          </cell>
          <cell r="M204">
            <v>0</v>
          </cell>
          <cell r="N204">
            <v>0</v>
          </cell>
        </row>
        <row r="205">
          <cell r="E205" t="str">
            <v>PEB 6</v>
          </cell>
          <cell r="J205">
            <v>0</v>
          </cell>
          <cell r="K205">
            <v>0</v>
          </cell>
          <cell r="M205">
            <v>0</v>
          </cell>
          <cell r="N205">
            <v>0</v>
          </cell>
        </row>
        <row r="206">
          <cell r="E206" t="str">
            <v>PEB 7 / TB</v>
          </cell>
          <cell r="J206">
            <v>80.073284926630294</v>
          </cell>
          <cell r="K206">
            <v>2359.4364360889263</v>
          </cell>
          <cell r="M206">
            <v>-80.073284926630294</v>
          </cell>
          <cell r="N206">
            <v>-2359.4364360889263</v>
          </cell>
        </row>
        <row r="207">
          <cell r="E207" t="str">
            <v>MPP</v>
          </cell>
          <cell r="J207">
            <v>656.21712202641118</v>
          </cell>
          <cell r="K207">
            <v>4602.6118844324628</v>
          </cell>
          <cell r="M207">
            <v>-656.21712202641118</v>
          </cell>
          <cell r="N207">
            <v>-4602.6118844324628</v>
          </cell>
        </row>
        <row r="208">
          <cell r="E208" t="str">
            <v>ID</v>
          </cell>
          <cell r="J208">
            <v>7789.5912809830943</v>
          </cell>
          <cell r="K208">
            <v>1189.7468970178566</v>
          </cell>
          <cell r="M208">
            <v>-7789.5912809830943</v>
          </cell>
          <cell r="N208">
            <v>-1189.7468970178566</v>
          </cell>
        </row>
        <row r="209">
          <cell r="E209" t="str">
            <v>LL</v>
          </cell>
          <cell r="J209">
            <v>21593.359546699594</v>
          </cell>
          <cell r="K209">
            <v>4830.9558192014083</v>
          </cell>
          <cell r="M209">
            <v>-21593.359546699594</v>
          </cell>
          <cell r="N209">
            <v>-4830.9558192014083</v>
          </cell>
        </row>
        <row r="210">
          <cell r="E210" t="str">
            <v>PMK</v>
          </cell>
          <cell r="J210">
            <v>8339.0539493701363</v>
          </cell>
          <cell r="K210">
            <v>1332.4019647891598</v>
          </cell>
          <cell r="M210">
            <v>-8339.0539493701363</v>
          </cell>
          <cell r="N210">
            <v>-1332.4019647891598</v>
          </cell>
        </row>
        <row r="212">
          <cell r="C212" t="str">
            <v>A0371</v>
          </cell>
          <cell r="D212" t="str">
            <v>PT Astra Graphia Information Technology Tbk</v>
          </cell>
          <cell r="E212" t="str">
            <v>PEB 1</v>
          </cell>
          <cell r="J212">
            <v>570611.08157426678</v>
          </cell>
          <cell r="K212">
            <v>30368.016544514201</v>
          </cell>
          <cell r="M212">
            <v>-570611.08157426678</v>
          </cell>
          <cell r="N212">
            <v>-30368.016544514201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-5705.2767475118817</v>
          </cell>
          <cell r="U212">
            <v>-645.75529347031761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-12762.819360660638</v>
          </cell>
          <cell r="AA212">
            <v>-887.30822860128205</v>
          </cell>
          <cell r="AB212">
            <v>0</v>
          </cell>
          <cell r="AC212">
            <v>0</v>
          </cell>
          <cell r="AD212">
            <v>-37311.171930155731</v>
          </cell>
          <cell r="AE212">
            <v>-2342.6398594210277</v>
          </cell>
          <cell r="AF212">
            <v>-44454.194634937121</v>
          </cell>
          <cell r="AG212">
            <v>-11695.751666820268</v>
          </cell>
          <cell r="AH212">
            <v>0</v>
          </cell>
          <cell r="AI212">
            <v>0</v>
          </cell>
        </row>
        <row r="213">
          <cell r="E213" t="str">
            <v>PEB 2</v>
          </cell>
          <cell r="M213">
            <v>0</v>
          </cell>
          <cell r="N213">
            <v>0</v>
          </cell>
        </row>
        <row r="214">
          <cell r="E214" t="str">
            <v>PEB 3</v>
          </cell>
          <cell r="J214">
            <v>0</v>
          </cell>
          <cell r="K214">
            <v>0</v>
          </cell>
          <cell r="M214">
            <v>0</v>
          </cell>
          <cell r="N214">
            <v>0</v>
          </cell>
        </row>
        <row r="215">
          <cell r="E215" t="str">
            <v>PEB 4</v>
          </cell>
          <cell r="J215">
            <v>5705.2767475118817</v>
          </cell>
          <cell r="K215">
            <v>645.75529347031761</v>
          </cell>
          <cell r="M215">
            <v>-5705.2767475118817</v>
          </cell>
          <cell r="N215">
            <v>-645.75529347031761</v>
          </cell>
        </row>
        <row r="216">
          <cell r="E216" t="str">
            <v>PEB 5</v>
          </cell>
          <cell r="M216">
            <v>0</v>
          </cell>
          <cell r="N216">
            <v>0</v>
          </cell>
        </row>
        <row r="217">
          <cell r="E217" t="str">
            <v>PEB 6</v>
          </cell>
          <cell r="M217">
            <v>0</v>
          </cell>
          <cell r="N217">
            <v>0</v>
          </cell>
        </row>
        <row r="218">
          <cell r="E218" t="str">
            <v>PEB 7 / TB</v>
          </cell>
          <cell r="J218">
            <v>12762.819360660638</v>
          </cell>
          <cell r="K218">
            <v>887.30822860128205</v>
          </cell>
          <cell r="M218">
            <v>-12762.819360660638</v>
          </cell>
          <cell r="N218">
            <v>-887.30822860128205</v>
          </cell>
        </row>
        <row r="219">
          <cell r="E219" t="str">
            <v>MPP</v>
          </cell>
          <cell r="M219">
            <v>0</v>
          </cell>
          <cell r="N219">
            <v>0</v>
          </cell>
        </row>
        <row r="220">
          <cell r="E220" t="str">
            <v>ID</v>
          </cell>
          <cell r="J220">
            <v>37311.171930155731</v>
          </cell>
          <cell r="K220">
            <v>2342.6398594210277</v>
          </cell>
          <cell r="M220">
            <v>-37311.171930155731</v>
          </cell>
          <cell r="N220">
            <v>-2342.6398594210277</v>
          </cell>
        </row>
        <row r="221">
          <cell r="E221" t="str">
            <v>LL</v>
          </cell>
          <cell r="J221">
            <v>44454.194634937121</v>
          </cell>
          <cell r="K221">
            <v>11695.751666820268</v>
          </cell>
          <cell r="M221">
            <v>-44454.194634937121</v>
          </cell>
          <cell r="N221">
            <v>-11695.751666820268</v>
          </cell>
        </row>
        <row r="222">
          <cell r="E222" t="str">
            <v>PMK</v>
          </cell>
          <cell r="M222">
            <v>0</v>
          </cell>
          <cell r="N222">
            <v>0</v>
          </cell>
        </row>
        <row r="224">
          <cell r="C224" t="str">
            <v>A0014</v>
          </cell>
          <cell r="D224" t="str">
            <v>PT Astra Graphia Tbk</v>
          </cell>
          <cell r="E224" t="str">
            <v>PEB 1</v>
          </cell>
          <cell r="J224">
            <v>1053847.1018610636</v>
          </cell>
          <cell r="K224">
            <v>54771.713216917458</v>
          </cell>
          <cell r="M224">
            <v>-1053847.1018610636</v>
          </cell>
          <cell r="N224">
            <v>-54771.713216917458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-119556.87759162262</v>
          </cell>
          <cell r="U224">
            <v>-9835.6202722541166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-83475.084206721804</v>
          </cell>
          <cell r="AA224">
            <v>-6967.4786218565223</v>
          </cell>
          <cell r="AB224">
            <v>0</v>
          </cell>
          <cell r="AC224">
            <v>0</v>
          </cell>
          <cell r="AD224">
            <v>-362412.51991880307</v>
          </cell>
          <cell r="AE224">
            <v>-26734.119200498866</v>
          </cell>
          <cell r="AF224">
            <v>-207285.18244099678</v>
          </cell>
          <cell r="AG224">
            <v>-80660.36681144523</v>
          </cell>
          <cell r="AH224">
            <v>0</v>
          </cell>
          <cell r="AI224">
            <v>0</v>
          </cell>
        </row>
        <row r="225">
          <cell r="E225" t="str">
            <v>PEB 2</v>
          </cell>
          <cell r="J225">
            <v>0</v>
          </cell>
          <cell r="K225">
            <v>0</v>
          </cell>
          <cell r="M225">
            <v>0</v>
          </cell>
          <cell r="N225">
            <v>0</v>
          </cell>
        </row>
        <row r="226">
          <cell r="E226" t="str">
            <v>PEB 3</v>
          </cell>
          <cell r="J226">
            <v>0</v>
          </cell>
          <cell r="K226">
            <v>0</v>
          </cell>
          <cell r="M226">
            <v>0</v>
          </cell>
          <cell r="N226">
            <v>0</v>
          </cell>
        </row>
        <row r="227">
          <cell r="E227" t="str">
            <v>PEB 4</v>
          </cell>
          <cell r="J227">
            <v>119556.87759162262</v>
          </cell>
          <cell r="K227">
            <v>9835.6202722541166</v>
          </cell>
          <cell r="M227">
            <v>-119556.87759162262</v>
          </cell>
          <cell r="N227">
            <v>-9835.6202722541166</v>
          </cell>
        </row>
        <row r="228">
          <cell r="E228" t="str">
            <v>PEB 5</v>
          </cell>
          <cell r="J228">
            <v>0</v>
          </cell>
          <cell r="K228">
            <v>0</v>
          </cell>
          <cell r="M228">
            <v>0</v>
          </cell>
          <cell r="N228">
            <v>0</v>
          </cell>
        </row>
        <row r="229">
          <cell r="E229" t="str">
            <v>PEB 6</v>
          </cell>
          <cell r="J229">
            <v>0</v>
          </cell>
          <cell r="K229">
            <v>0</v>
          </cell>
          <cell r="M229">
            <v>0</v>
          </cell>
          <cell r="N229">
            <v>0</v>
          </cell>
        </row>
        <row r="230">
          <cell r="E230" t="str">
            <v>PEB 7 / TB</v>
          </cell>
          <cell r="J230">
            <v>83475.084206721804</v>
          </cell>
          <cell r="K230">
            <v>6967.4786218565223</v>
          </cell>
          <cell r="M230">
            <v>-83475.084206721804</v>
          </cell>
          <cell r="N230">
            <v>-6967.4786218565223</v>
          </cell>
        </row>
        <row r="231">
          <cell r="E231" t="str">
            <v>MPP</v>
          </cell>
          <cell r="J231">
            <v>0</v>
          </cell>
          <cell r="K231">
            <v>0</v>
          </cell>
          <cell r="M231">
            <v>0</v>
          </cell>
          <cell r="N231">
            <v>0</v>
          </cell>
        </row>
        <row r="232">
          <cell r="E232" t="str">
            <v>ID</v>
          </cell>
          <cell r="J232">
            <v>362412.51991880307</v>
          </cell>
          <cell r="K232">
            <v>26734.119200498866</v>
          </cell>
          <cell r="M232">
            <v>-362412.51991880307</v>
          </cell>
          <cell r="N232">
            <v>-26734.119200498866</v>
          </cell>
        </row>
        <row r="233">
          <cell r="E233" t="str">
            <v>LL</v>
          </cell>
          <cell r="J233">
            <v>207285.18244099678</v>
          </cell>
          <cell r="K233">
            <v>80660.36681144523</v>
          </cell>
          <cell r="M233">
            <v>-207285.18244099678</v>
          </cell>
          <cell r="N233">
            <v>-80660.36681144523</v>
          </cell>
        </row>
        <row r="234">
          <cell r="E234" t="str">
            <v>PMK</v>
          </cell>
          <cell r="J234">
            <v>0</v>
          </cell>
          <cell r="K234">
            <v>0</v>
          </cell>
          <cell r="M234">
            <v>0</v>
          </cell>
          <cell r="N234">
            <v>0</v>
          </cell>
        </row>
        <row r="236">
          <cell r="C236" t="str">
            <v>A0060</v>
          </cell>
          <cell r="D236" t="str">
            <v>PT Astra Honda Motor</v>
          </cell>
          <cell r="E236" t="str">
            <v>PEB 1</v>
          </cell>
          <cell r="J236">
            <v>8307756.2828332512</v>
          </cell>
          <cell r="K236">
            <v>277843.35667988379</v>
          </cell>
          <cell r="M236">
            <v>-8307756.2828332512</v>
          </cell>
          <cell r="N236">
            <v>-277843.35667988379</v>
          </cell>
          <cell r="P236">
            <v>-2029928.4156201654</v>
          </cell>
          <cell r="Q236">
            <v>-69514.60017215366</v>
          </cell>
          <cell r="R236">
            <v>-35632.705965884335</v>
          </cell>
          <cell r="S236">
            <v>-1970.453573662264</v>
          </cell>
          <cell r="T236">
            <v>-23681.971855000102</v>
          </cell>
          <cell r="U236">
            <v>-3055.4009961281481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-12107.344418149722</v>
          </cell>
          <cell r="AA236">
            <v>-995.8141971274473</v>
          </cell>
          <cell r="AB236">
            <v>-608978.52468604967</v>
          </cell>
          <cell r="AC236">
            <v>-20854.380051646098</v>
          </cell>
          <cell r="AD236">
            <v>-41214.451249268932</v>
          </cell>
          <cell r="AE236">
            <v>-2856.5267909180793</v>
          </cell>
          <cell r="AF236">
            <v>-131980.66080385054</v>
          </cell>
          <cell r="AG236">
            <v>-87433.612661431252</v>
          </cell>
          <cell r="AH236">
            <v>-16124.899182731131</v>
          </cell>
          <cell r="AI236">
            <v>-1444.9610467320667</v>
          </cell>
        </row>
        <row r="237">
          <cell r="E237" t="str">
            <v>PEB 2</v>
          </cell>
          <cell r="J237">
            <v>2029928.4156201654</v>
          </cell>
          <cell r="K237">
            <v>69514.60017215366</v>
          </cell>
          <cell r="M237">
            <v>-2029928.4156201654</v>
          </cell>
          <cell r="N237">
            <v>-69514.60017215366</v>
          </cell>
        </row>
        <row r="238">
          <cell r="E238" t="str">
            <v>PEB 3</v>
          </cell>
          <cell r="J238">
            <v>35632.705965884335</v>
          </cell>
          <cell r="K238">
            <v>1970.453573662264</v>
          </cell>
          <cell r="M238">
            <v>-35632.705965884335</v>
          </cell>
          <cell r="N238">
            <v>-1970.453573662264</v>
          </cell>
        </row>
        <row r="239">
          <cell r="E239" t="str">
            <v>PEB 4</v>
          </cell>
          <cell r="J239">
            <v>23681.971855000102</v>
          </cell>
          <cell r="K239">
            <v>3055.4009961281481</v>
          </cell>
          <cell r="M239">
            <v>-23681.971855000102</v>
          </cell>
          <cell r="N239">
            <v>-3055.4009961281481</v>
          </cell>
        </row>
        <row r="240">
          <cell r="E240" t="str">
            <v>PEB 5</v>
          </cell>
          <cell r="M240">
            <v>0</v>
          </cell>
          <cell r="N240">
            <v>0</v>
          </cell>
        </row>
        <row r="241">
          <cell r="E241" t="str">
            <v>PEB 6</v>
          </cell>
          <cell r="M241">
            <v>0</v>
          </cell>
          <cell r="N241">
            <v>0</v>
          </cell>
        </row>
        <row r="242">
          <cell r="E242" t="str">
            <v>PEB 7 / TB</v>
          </cell>
          <cell r="J242">
            <v>12107.344418149722</v>
          </cell>
          <cell r="K242">
            <v>995.8141971274473</v>
          </cell>
          <cell r="M242">
            <v>-12107.344418149722</v>
          </cell>
          <cell r="N242">
            <v>-995.8141971274473</v>
          </cell>
        </row>
        <row r="243">
          <cell r="E243" t="str">
            <v>MPP</v>
          </cell>
          <cell r="J243">
            <v>608978.52468604967</v>
          </cell>
          <cell r="K243">
            <v>20854.380051646098</v>
          </cell>
          <cell r="M243">
            <v>-608978.52468604967</v>
          </cell>
          <cell r="N243">
            <v>-20854.380051646098</v>
          </cell>
        </row>
        <row r="244">
          <cell r="E244" t="str">
            <v>ID</v>
          </cell>
          <cell r="J244">
            <v>41214.451249268932</v>
          </cell>
          <cell r="K244">
            <v>2856.5267909180793</v>
          </cell>
          <cell r="M244">
            <v>-41214.451249268932</v>
          </cell>
          <cell r="N244">
            <v>-2856.5267909180793</v>
          </cell>
        </row>
        <row r="245">
          <cell r="E245" t="str">
            <v>LL</v>
          </cell>
          <cell r="J245">
            <v>131980.66080385054</v>
          </cell>
          <cell r="K245">
            <v>87433.612661431252</v>
          </cell>
          <cell r="M245">
            <v>-131980.66080385054</v>
          </cell>
          <cell r="N245">
            <v>-87433.612661431252</v>
          </cell>
        </row>
        <row r="246">
          <cell r="E246" t="str">
            <v>PMK</v>
          </cell>
          <cell r="J246">
            <v>16124.899182731131</v>
          </cell>
          <cell r="K246">
            <v>1444.9610467320667</v>
          </cell>
          <cell r="M246">
            <v>-16124.899182731131</v>
          </cell>
          <cell r="N246">
            <v>-1444.9610467320667</v>
          </cell>
        </row>
        <row r="248">
          <cell r="C248" t="str">
            <v>A0316</v>
          </cell>
          <cell r="D248" t="str">
            <v>PT Astra Komponen Indonesia</v>
          </cell>
          <cell r="E248" t="str">
            <v>PEB 1</v>
          </cell>
          <cell r="J248">
            <v>2329146.990179942</v>
          </cell>
          <cell r="K248">
            <v>89123.850917102405</v>
          </cell>
          <cell r="M248">
            <v>-2329146.990179942</v>
          </cell>
          <cell r="N248">
            <v>-89123.850917102405</v>
          </cell>
          <cell r="P248">
            <v>-199424.08002415593</v>
          </cell>
          <cell r="Q248">
            <v>-7741.3736269212823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-15651.613730808249</v>
          </cell>
          <cell r="AA248">
            <v>-644.90052859544789</v>
          </cell>
          <cell r="AB248">
            <v>-71963.004183378842</v>
          </cell>
          <cell r="AC248">
            <v>-2753.6926801767627</v>
          </cell>
          <cell r="AD248">
            <v>-68866.630988400168</v>
          </cell>
          <cell r="AE248">
            <v>-2812.382144278929</v>
          </cell>
          <cell r="AF248">
            <v>-48377.957332926831</v>
          </cell>
          <cell r="AG248">
            <v>-22459.45444693173</v>
          </cell>
          <cell r="AH248">
            <v>0</v>
          </cell>
          <cell r="AI248">
            <v>0</v>
          </cell>
        </row>
        <row r="249">
          <cell r="E249" t="str">
            <v>PEB 2</v>
          </cell>
          <cell r="J249">
            <v>199424.08002415593</v>
          </cell>
          <cell r="K249">
            <v>7741.3736269212823</v>
          </cell>
          <cell r="M249">
            <v>-199424.08002415593</v>
          </cell>
          <cell r="N249">
            <v>-7741.3736269212823</v>
          </cell>
        </row>
        <row r="250">
          <cell r="E250" t="str">
            <v>PEB 3</v>
          </cell>
          <cell r="M250">
            <v>0</v>
          </cell>
          <cell r="N250">
            <v>0</v>
          </cell>
        </row>
        <row r="251">
          <cell r="E251" t="str">
            <v>PEB 4</v>
          </cell>
          <cell r="M251">
            <v>0</v>
          </cell>
          <cell r="N251">
            <v>0</v>
          </cell>
        </row>
        <row r="252">
          <cell r="E252" t="str">
            <v>PEB 5</v>
          </cell>
          <cell r="M252">
            <v>0</v>
          </cell>
          <cell r="N252">
            <v>0</v>
          </cell>
        </row>
        <row r="253">
          <cell r="E253" t="str">
            <v>PEB 6</v>
          </cell>
          <cell r="M253">
            <v>0</v>
          </cell>
          <cell r="N253">
            <v>0</v>
          </cell>
        </row>
        <row r="254">
          <cell r="E254" t="str">
            <v>PEB 7 / TB</v>
          </cell>
          <cell r="J254">
            <v>15651.613730808249</v>
          </cell>
          <cell r="K254">
            <v>644.90052859544789</v>
          </cell>
          <cell r="M254">
            <v>-15651.613730808249</v>
          </cell>
          <cell r="N254">
            <v>-644.90052859544789</v>
          </cell>
        </row>
        <row r="255">
          <cell r="E255" t="str">
            <v>MPP</v>
          </cell>
          <cell r="J255">
            <v>71963.004183378842</v>
          </cell>
          <cell r="K255">
            <v>2753.6926801767627</v>
          </cell>
          <cell r="M255">
            <v>-71963.004183378842</v>
          </cell>
          <cell r="N255">
            <v>-2753.6926801767627</v>
          </cell>
        </row>
        <row r="256">
          <cell r="E256" t="str">
            <v>ID</v>
          </cell>
          <cell r="J256">
            <v>68866.630988400168</v>
          </cell>
          <cell r="K256">
            <v>2812.382144278929</v>
          </cell>
          <cell r="M256">
            <v>-68866.630988400168</v>
          </cell>
          <cell r="N256">
            <v>-2812.382144278929</v>
          </cell>
        </row>
        <row r="257">
          <cell r="E257" t="str">
            <v>LL</v>
          </cell>
          <cell r="J257">
            <v>48377.957332926831</v>
          </cell>
          <cell r="K257">
            <v>22459.45444693173</v>
          </cell>
          <cell r="M257">
            <v>-48377.957332926831</v>
          </cell>
          <cell r="N257">
            <v>-22459.45444693173</v>
          </cell>
        </row>
        <row r="258">
          <cell r="E258" t="str">
            <v>PMK</v>
          </cell>
          <cell r="M258">
            <v>0</v>
          </cell>
          <cell r="N258">
            <v>0</v>
          </cell>
        </row>
        <row r="260">
          <cell r="C260" t="str">
            <v>A0178</v>
          </cell>
          <cell r="D260" t="str">
            <v>PT Astra Mitra Ventura</v>
          </cell>
          <cell r="E260" t="str">
            <v>PEB 1</v>
          </cell>
          <cell r="M260">
            <v>0</v>
          </cell>
          <cell r="N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E261" t="str">
            <v>PEB 2</v>
          </cell>
          <cell r="M261">
            <v>0</v>
          </cell>
          <cell r="N261">
            <v>0</v>
          </cell>
        </row>
        <row r="262">
          <cell r="E262" t="str">
            <v>PEB 3</v>
          </cell>
          <cell r="M262">
            <v>0</v>
          </cell>
          <cell r="N262">
            <v>0</v>
          </cell>
        </row>
        <row r="263">
          <cell r="E263" t="str">
            <v>PEB 4</v>
          </cell>
          <cell r="M263">
            <v>0</v>
          </cell>
          <cell r="N263">
            <v>0</v>
          </cell>
        </row>
        <row r="264">
          <cell r="E264" t="str">
            <v>PEB 5</v>
          </cell>
          <cell r="M264">
            <v>0</v>
          </cell>
          <cell r="N264">
            <v>0</v>
          </cell>
        </row>
        <row r="265">
          <cell r="E265" t="str">
            <v>PEB 6</v>
          </cell>
          <cell r="M265">
            <v>0</v>
          </cell>
          <cell r="N265">
            <v>0</v>
          </cell>
        </row>
        <row r="266">
          <cell r="E266" t="str">
            <v>PEB 7 / TB</v>
          </cell>
          <cell r="M266">
            <v>0</v>
          </cell>
          <cell r="N266">
            <v>0</v>
          </cell>
        </row>
        <row r="267">
          <cell r="E267" t="str">
            <v>MPP</v>
          </cell>
          <cell r="M267">
            <v>0</v>
          </cell>
          <cell r="N267">
            <v>0</v>
          </cell>
        </row>
        <row r="268">
          <cell r="E268" t="str">
            <v>ID</v>
          </cell>
          <cell r="M268">
            <v>0</v>
          </cell>
          <cell r="N268">
            <v>0</v>
          </cell>
        </row>
        <row r="269">
          <cell r="E269" t="str">
            <v>LL</v>
          </cell>
          <cell r="M269">
            <v>0</v>
          </cell>
          <cell r="N269">
            <v>0</v>
          </cell>
        </row>
        <row r="270">
          <cell r="E270" t="str">
            <v>PMK</v>
          </cell>
          <cell r="M270">
            <v>0</v>
          </cell>
          <cell r="N270">
            <v>0</v>
          </cell>
        </row>
        <row r="272">
          <cell r="C272" t="str">
            <v>A0020</v>
          </cell>
          <cell r="D272" t="str">
            <v>PT Astra Multi Finance</v>
          </cell>
          <cell r="E272" t="str">
            <v>PEB 1</v>
          </cell>
          <cell r="M272">
            <v>0</v>
          </cell>
          <cell r="N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E273" t="str">
            <v>PEB 2</v>
          </cell>
          <cell r="M273">
            <v>0</v>
          </cell>
          <cell r="N273">
            <v>0</v>
          </cell>
        </row>
        <row r="274">
          <cell r="E274" t="str">
            <v>PEB 3</v>
          </cell>
          <cell r="M274">
            <v>0</v>
          </cell>
          <cell r="N274">
            <v>0</v>
          </cell>
        </row>
        <row r="275">
          <cell r="E275" t="str">
            <v>PEB 4</v>
          </cell>
          <cell r="M275">
            <v>0</v>
          </cell>
          <cell r="N275">
            <v>0</v>
          </cell>
        </row>
        <row r="276">
          <cell r="E276" t="str">
            <v>PEB 5</v>
          </cell>
          <cell r="M276">
            <v>0</v>
          </cell>
          <cell r="N276">
            <v>0</v>
          </cell>
        </row>
        <row r="277">
          <cell r="E277" t="str">
            <v>PEB 6</v>
          </cell>
          <cell r="M277">
            <v>0</v>
          </cell>
          <cell r="N277">
            <v>0</v>
          </cell>
        </row>
        <row r="278">
          <cell r="E278" t="str">
            <v>PEB 7 / TB</v>
          </cell>
          <cell r="M278">
            <v>0</v>
          </cell>
          <cell r="N278">
            <v>0</v>
          </cell>
        </row>
        <row r="279">
          <cell r="E279" t="str">
            <v>MPP</v>
          </cell>
          <cell r="M279">
            <v>0</v>
          </cell>
          <cell r="N279">
            <v>0</v>
          </cell>
        </row>
        <row r="280">
          <cell r="E280" t="str">
            <v>ID</v>
          </cell>
          <cell r="M280">
            <v>0</v>
          </cell>
          <cell r="N280">
            <v>0</v>
          </cell>
        </row>
        <row r="281">
          <cell r="E281" t="str">
            <v>LL</v>
          </cell>
          <cell r="M281">
            <v>0</v>
          </cell>
          <cell r="N281">
            <v>0</v>
          </cell>
        </row>
        <row r="282">
          <cell r="E282" t="str">
            <v>PMK</v>
          </cell>
          <cell r="M282">
            <v>0</v>
          </cell>
          <cell r="N282">
            <v>0</v>
          </cell>
        </row>
        <row r="284">
          <cell r="C284" t="str">
            <v>A0306</v>
          </cell>
          <cell r="D284" t="str">
            <v>PT Astra Nippon Gasket Indonesia</v>
          </cell>
          <cell r="E284" t="str">
            <v>PEB 1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E285" t="str">
            <v>PEB 2</v>
          </cell>
          <cell r="M285">
            <v>0</v>
          </cell>
          <cell r="N285">
            <v>0</v>
          </cell>
        </row>
        <row r="286">
          <cell r="E286" t="str">
            <v>PEB 3</v>
          </cell>
          <cell r="M286">
            <v>0</v>
          </cell>
          <cell r="N286">
            <v>0</v>
          </cell>
        </row>
        <row r="287">
          <cell r="E287" t="str">
            <v>PEB 4</v>
          </cell>
          <cell r="M287">
            <v>0</v>
          </cell>
          <cell r="N287">
            <v>0</v>
          </cell>
        </row>
        <row r="288">
          <cell r="E288" t="str">
            <v>PEB 5</v>
          </cell>
          <cell r="M288">
            <v>0</v>
          </cell>
          <cell r="N288">
            <v>0</v>
          </cell>
        </row>
        <row r="289">
          <cell r="E289" t="str">
            <v>PEB 6</v>
          </cell>
          <cell r="M289">
            <v>0</v>
          </cell>
          <cell r="N289">
            <v>0</v>
          </cell>
        </row>
        <row r="290">
          <cell r="E290" t="str">
            <v>PEB 7 / TB</v>
          </cell>
          <cell r="M290">
            <v>0</v>
          </cell>
          <cell r="N290">
            <v>0</v>
          </cell>
        </row>
        <row r="291">
          <cell r="E291" t="str">
            <v>MPP</v>
          </cell>
          <cell r="M291">
            <v>0</v>
          </cell>
          <cell r="N291">
            <v>0</v>
          </cell>
        </row>
        <row r="292">
          <cell r="E292" t="str">
            <v>ID</v>
          </cell>
          <cell r="M292">
            <v>0</v>
          </cell>
          <cell r="N292">
            <v>0</v>
          </cell>
        </row>
        <row r="293">
          <cell r="E293" t="str">
            <v>LL</v>
          </cell>
          <cell r="M293">
            <v>0</v>
          </cell>
          <cell r="N293">
            <v>0</v>
          </cell>
        </row>
        <row r="294">
          <cell r="E294" t="str">
            <v>PMK</v>
          </cell>
          <cell r="M294">
            <v>0</v>
          </cell>
          <cell r="N294">
            <v>0</v>
          </cell>
        </row>
        <row r="296">
          <cell r="C296" t="str">
            <v>A0172</v>
          </cell>
          <cell r="D296" t="str">
            <v>PT Astra Nissan Diesel Indonesia</v>
          </cell>
          <cell r="E296" t="str">
            <v>PEB 1</v>
          </cell>
          <cell r="M296">
            <v>0</v>
          </cell>
          <cell r="N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E297" t="str">
            <v>PEB 2</v>
          </cell>
          <cell r="M297">
            <v>0</v>
          </cell>
          <cell r="N297">
            <v>0</v>
          </cell>
        </row>
        <row r="298">
          <cell r="E298" t="str">
            <v>PEB 3</v>
          </cell>
          <cell r="M298">
            <v>0</v>
          </cell>
          <cell r="N298">
            <v>0</v>
          </cell>
        </row>
        <row r="299">
          <cell r="E299" t="str">
            <v>PEB 4</v>
          </cell>
          <cell r="M299">
            <v>0</v>
          </cell>
          <cell r="N299">
            <v>0</v>
          </cell>
        </row>
        <row r="300">
          <cell r="E300" t="str">
            <v>PEB 5</v>
          </cell>
          <cell r="M300">
            <v>0</v>
          </cell>
          <cell r="N300">
            <v>0</v>
          </cell>
        </row>
        <row r="301">
          <cell r="E301" t="str">
            <v>PEB 6</v>
          </cell>
          <cell r="M301">
            <v>0</v>
          </cell>
          <cell r="N301">
            <v>0</v>
          </cell>
        </row>
        <row r="302">
          <cell r="E302" t="str">
            <v>PEB 7 / TB</v>
          </cell>
          <cell r="M302">
            <v>0</v>
          </cell>
          <cell r="N302">
            <v>0</v>
          </cell>
        </row>
        <row r="303">
          <cell r="E303" t="str">
            <v>MPP</v>
          </cell>
          <cell r="M303">
            <v>0</v>
          </cell>
          <cell r="N303">
            <v>0</v>
          </cell>
        </row>
        <row r="304">
          <cell r="E304" t="str">
            <v>ID</v>
          </cell>
          <cell r="M304">
            <v>0</v>
          </cell>
          <cell r="N304">
            <v>0</v>
          </cell>
        </row>
        <row r="305">
          <cell r="E305" t="str">
            <v>LL</v>
          </cell>
          <cell r="M305">
            <v>0</v>
          </cell>
          <cell r="N305">
            <v>0</v>
          </cell>
        </row>
        <row r="306">
          <cell r="E306" t="str">
            <v>PMK</v>
          </cell>
          <cell r="M306">
            <v>0</v>
          </cell>
          <cell r="N306">
            <v>0</v>
          </cell>
        </row>
        <row r="308">
          <cell r="C308" t="str">
            <v>A0317</v>
          </cell>
          <cell r="D308" t="str">
            <v>PT Astra Otoparts Tbk - HO</v>
          </cell>
          <cell r="E308" t="str">
            <v>PEB 1</v>
          </cell>
          <cell r="J308">
            <v>3574244.7049250002</v>
          </cell>
          <cell r="K308">
            <v>113166.85839752568</v>
          </cell>
          <cell r="M308">
            <v>-3574244.7049250002</v>
          </cell>
          <cell r="N308">
            <v>-113166.85839752568</v>
          </cell>
          <cell r="P308">
            <v>0</v>
          </cell>
          <cell r="Q308">
            <v>0</v>
          </cell>
          <cell r="R308">
            <v>-294349.5278254007</v>
          </cell>
          <cell r="S308">
            <v>-9319.6224894441402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-165744.03750000001</v>
          </cell>
          <cell r="AC308">
            <v>-5247.7470264281383</v>
          </cell>
          <cell r="AD308">
            <v>0</v>
          </cell>
          <cell r="AE308">
            <v>0</v>
          </cell>
          <cell r="AF308">
            <v>-68718.205455167772</v>
          </cell>
          <cell r="AG308">
            <v>-43386.905000000006</v>
          </cell>
          <cell r="AH308">
            <v>0</v>
          </cell>
          <cell r="AI308">
            <v>0</v>
          </cell>
        </row>
        <row r="309">
          <cell r="E309" t="str">
            <v>PEB 2</v>
          </cell>
          <cell r="M309">
            <v>0</v>
          </cell>
          <cell r="N309">
            <v>0</v>
          </cell>
        </row>
        <row r="310">
          <cell r="E310" t="str">
            <v>PEB 3</v>
          </cell>
          <cell r="J310">
            <v>294349.5278254007</v>
          </cell>
          <cell r="K310">
            <v>9319.6224894441402</v>
          </cell>
          <cell r="M310">
            <v>-294349.5278254007</v>
          </cell>
          <cell r="N310">
            <v>-9319.6224894441402</v>
          </cell>
        </row>
        <row r="311">
          <cell r="E311" t="str">
            <v>PEB 4</v>
          </cell>
          <cell r="M311">
            <v>0</v>
          </cell>
          <cell r="N311">
            <v>0</v>
          </cell>
        </row>
        <row r="312">
          <cell r="E312" t="str">
            <v>PEB 5</v>
          </cell>
          <cell r="M312">
            <v>0</v>
          </cell>
          <cell r="N312">
            <v>0</v>
          </cell>
        </row>
        <row r="313">
          <cell r="E313" t="str">
            <v>PEB 6</v>
          </cell>
          <cell r="M313">
            <v>0</v>
          </cell>
          <cell r="N313">
            <v>0</v>
          </cell>
        </row>
        <row r="314">
          <cell r="E314" t="str">
            <v>PEB 7 / TB</v>
          </cell>
          <cell r="J314">
            <v>0</v>
          </cell>
          <cell r="K314">
            <v>0</v>
          </cell>
          <cell r="M314">
            <v>0</v>
          </cell>
          <cell r="N314">
            <v>0</v>
          </cell>
        </row>
        <row r="315">
          <cell r="E315" t="str">
            <v>MPP</v>
          </cell>
          <cell r="J315">
            <v>165744.03750000001</v>
          </cell>
          <cell r="K315">
            <v>5247.7470264281383</v>
          </cell>
          <cell r="M315">
            <v>-165744.03750000001</v>
          </cell>
          <cell r="N315">
            <v>-5247.7470264281383</v>
          </cell>
        </row>
        <row r="316">
          <cell r="E316" t="str">
            <v>ID</v>
          </cell>
          <cell r="J316">
            <v>0</v>
          </cell>
          <cell r="K316">
            <v>0</v>
          </cell>
          <cell r="M316">
            <v>0</v>
          </cell>
          <cell r="N316">
            <v>0</v>
          </cell>
        </row>
        <row r="317">
          <cell r="E317" t="str">
            <v>LL</v>
          </cell>
          <cell r="J317">
            <v>68718.205455167772</v>
          </cell>
          <cell r="K317">
            <v>43386.905000000006</v>
          </cell>
          <cell r="M317">
            <v>-68718.205455167772</v>
          </cell>
          <cell r="N317">
            <v>-43386.905000000006</v>
          </cell>
        </row>
        <row r="318">
          <cell r="E318" t="str">
            <v>PMK</v>
          </cell>
          <cell r="J318">
            <v>0</v>
          </cell>
          <cell r="K318">
            <v>0</v>
          </cell>
          <cell r="M318">
            <v>0</v>
          </cell>
          <cell r="N318">
            <v>0</v>
          </cell>
        </row>
        <row r="320">
          <cell r="C320" t="str">
            <v>Nm</v>
          </cell>
          <cell r="D320" t="str">
            <v>PT Astra Otoparts Tbk - Div. Nusametal</v>
          </cell>
          <cell r="E320" t="str">
            <v>PEB 1</v>
          </cell>
          <cell r="M320">
            <v>0</v>
          </cell>
          <cell r="N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E321" t="str">
            <v>PEB 2</v>
          </cell>
          <cell r="M321">
            <v>0</v>
          </cell>
          <cell r="N321">
            <v>0</v>
          </cell>
        </row>
        <row r="322">
          <cell r="E322" t="str">
            <v>PEB 3</v>
          </cell>
          <cell r="M322">
            <v>0</v>
          </cell>
          <cell r="N322">
            <v>0</v>
          </cell>
        </row>
        <row r="323">
          <cell r="E323" t="str">
            <v>PEB 4</v>
          </cell>
          <cell r="M323">
            <v>0</v>
          </cell>
          <cell r="N323">
            <v>0</v>
          </cell>
        </row>
        <row r="324">
          <cell r="E324" t="str">
            <v>PEB 5</v>
          </cell>
          <cell r="M324">
            <v>0</v>
          </cell>
          <cell r="N324">
            <v>0</v>
          </cell>
        </row>
        <row r="325">
          <cell r="E325" t="str">
            <v>PEB 6</v>
          </cell>
          <cell r="M325">
            <v>0</v>
          </cell>
          <cell r="N325">
            <v>0</v>
          </cell>
        </row>
        <row r="326">
          <cell r="E326" t="str">
            <v>PEB 7 / TB</v>
          </cell>
          <cell r="M326">
            <v>0</v>
          </cell>
          <cell r="N326">
            <v>0</v>
          </cell>
        </row>
        <row r="327">
          <cell r="E327" t="str">
            <v>MPP</v>
          </cell>
          <cell r="M327">
            <v>0</v>
          </cell>
          <cell r="N327">
            <v>0</v>
          </cell>
        </row>
        <row r="328">
          <cell r="E328" t="str">
            <v>ID</v>
          </cell>
          <cell r="M328">
            <v>0</v>
          </cell>
          <cell r="N328">
            <v>0</v>
          </cell>
        </row>
        <row r="329">
          <cell r="E329" t="str">
            <v>LL</v>
          </cell>
          <cell r="M329">
            <v>0</v>
          </cell>
          <cell r="N329">
            <v>0</v>
          </cell>
        </row>
        <row r="330">
          <cell r="E330" t="str">
            <v>PMK</v>
          </cell>
          <cell r="M330">
            <v>0</v>
          </cell>
          <cell r="N330">
            <v>0</v>
          </cell>
        </row>
        <row r="332">
          <cell r="C332" t="str">
            <v>Ap</v>
          </cell>
          <cell r="D332" t="str">
            <v>PT Astra Otoparts Tbk - Div. Adiwira</v>
          </cell>
          <cell r="E332" t="str">
            <v>PEB 1</v>
          </cell>
          <cell r="M332">
            <v>0</v>
          </cell>
          <cell r="N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-4315.5034548467875</v>
          </cell>
          <cell r="U332">
            <v>-998.88316659238865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-1617.3342473795385</v>
          </cell>
          <cell r="AA332">
            <v>-374.35445744954143</v>
          </cell>
          <cell r="AB332">
            <v>-480.32594956406513</v>
          </cell>
          <cell r="AC332">
            <v>-111.17810714719569</v>
          </cell>
          <cell r="AD332">
            <v>-1971.4061230814041</v>
          </cell>
          <cell r="AE332">
            <v>-456.30930700600953</v>
          </cell>
          <cell r="AF332">
            <v>-7867.0336638154431</v>
          </cell>
          <cell r="AG332">
            <v>-1820.9341227557609</v>
          </cell>
          <cell r="AH332">
            <v>-3073.7643657488625</v>
          </cell>
          <cell r="AI332">
            <v>-711.4654211595514</v>
          </cell>
        </row>
        <row r="333">
          <cell r="E333" t="str">
            <v>PEB 2</v>
          </cell>
          <cell r="M333">
            <v>0</v>
          </cell>
          <cell r="N333">
            <v>0</v>
          </cell>
        </row>
        <row r="334">
          <cell r="E334" t="str">
            <v>PEB 3</v>
          </cell>
          <cell r="M334">
            <v>0</v>
          </cell>
          <cell r="N334">
            <v>0</v>
          </cell>
        </row>
        <row r="335">
          <cell r="E335" t="str">
            <v>PEB 4</v>
          </cell>
          <cell r="J335">
            <v>4315.5034548467875</v>
          </cell>
          <cell r="K335">
            <v>998.88316659238865</v>
          </cell>
          <cell r="M335">
            <v>-4315.5034548467875</v>
          </cell>
          <cell r="N335">
            <v>-998.88316659238865</v>
          </cell>
        </row>
        <row r="336">
          <cell r="E336" t="str">
            <v>PEB 5</v>
          </cell>
          <cell r="M336">
            <v>0</v>
          </cell>
          <cell r="N336">
            <v>0</v>
          </cell>
        </row>
        <row r="337">
          <cell r="E337" t="str">
            <v>PEB 6</v>
          </cell>
          <cell r="M337">
            <v>0</v>
          </cell>
          <cell r="N337">
            <v>0</v>
          </cell>
        </row>
        <row r="338">
          <cell r="E338" t="str">
            <v>PEB 7 / TB</v>
          </cell>
          <cell r="J338">
            <v>1617.3342473795385</v>
          </cell>
          <cell r="K338">
            <v>374.35445744954143</v>
          </cell>
          <cell r="M338">
            <v>-1617.3342473795385</v>
          </cell>
          <cell r="N338">
            <v>-374.35445744954143</v>
          </cell>
        </row>
        <row r="339">
          <cell r="E339" t="str">
            <v>MPP</v>
          </cell>
          <cell r="J339">
            <v>480.32594956406513</v>
          </cell>
          <cell r="K339">
            <v>111.17810714719569</v>
          </cell>
          <cell r="M339">
            <v>-480.32594956406513</v>
          </cell>
          <cell r="N339">
            <v>-111.17810714719569</v>
          </cell>
        </row>
        <row r="340">
          <cell r="E340" t="str">
            <v>ID</v>
          </cell>
          <cell r="J340">
            <v>1971.4061230814041</v>
          </cell>
          <cell r="K340">
            <v>456.30930700600953</v>
          </cell>
          <cell r="M340">
            <v>-1971.4061230814041</v>
          </cell>
          <cell r="N340">
            <v>-456.30930700600953</v>
          </cell>
        </row>
        <row r="341">
          <cell r="E341" t="str">
            <v>LL</v>
          </cell>
          <cell r="J341">
            <v>7867.0336638154431</v>
          </cell>
          <cell r="K341">
            <v>1820.9341227557609</v>
          </cell>
          <cell r="M341">
            <v>-7867.0336638154431</v>
          </cell>
          <cell r="N341">
            <v>-1820.9341227557609</v>
          </cell>
        </row>
        <row r="342">
          <cell r="E342" t="str">
            <v>PMK</v>
          </cell>
          <cell r="J342">
            <v>3073.7643657488625</v>
          </cell>
          <cell r="K342">
            <v>711.4654211595514</v>
          </cell>
          <cell r="M342">
            <v>-3073.7643657488625</v>
          </cell>
          <cell r="N342">
            <v>-711.4654211595514</v>
          </cell>
        </row>
        <row r="344">
          <cell r="C344" t="str">
            <v>We</v>
          </cell>
          <cell r="D344" t="str">
            <v>PT Astra Otoparts Tbk - Div. Winteq</v>
          </cell>
          <cell r="E344" t="str">
            <v>PEB 1</v>
          </cell>
          <cell r="J344">
            <v>428370.50236180436</v>
          </cell>
          <cell r="K344">
            <v>23152.164247950433</v>
          </cell>
          <cell r="M344">
            <v>-428370.50236180436</v>
          </cell>
          <cell r="N344">
            <v>-23152.164247950433</v>
          </cell>
          <cell r="P344">
            <v>0</v>
          </cell>
          <cell r="Q344">
            <v>0</v>
          </cell>
          <cell r="R344">
            <v>-10279.729312122297</v>
          </cell>
          <cell r="S344">
            <v>-555.5890990311733</v>
          </cell>
          <cell r="T344">
            <v>-158635.09939930649</v>
          </cell>
          <cell r="U344">
            <v>-11606.864995111517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-12810.69791998065</v>
          </cell>
          <cell r="AA344">
            <v>-791.89648865767697</v>
          </cell>
          <cell r="AB344">
            <v>-21409.008389415929</v>
          </cell>
          <cell r="AC344">
            <v>-1298.3875723568049</v>
          </cell>
          <cell r="AD344">
            <v>-47000.211922034054</v>
          </cell>
          <cell r="AE344">
            <v>-2882.0704616231878</v>
          </cell>
          <cell r="AF344">
            <v>-47125.70332649631</v>
          </cell>
          <cell r="AG344">
            <v>-13198.790330021173</v>
          </cell>
          <cell r="AH344">
            <v>-20362.291693676212</v>
          </cell>
          <cell r="AI344">
            <v>-1923.3762782419453</v>
          </cell>
        </row>
        <row r="345">
          <cell r="E345" t="str">
            <v>PEB 2</v>
          </cell>
          <cell r="M345">
            <v>0</v>
          </cell>
          <cell r="N345">
            <v>0</v>
          </cell>
        </row>
        <row r="346">
          <cell r="E346" t="str">
            <v>PEB 3</v>
          </cell>
          <cell r="J346">
            <v>10279.729312122297</v>
          </cell>
          <cell r="K346">
            <v>555.5890990311733</v>
          </cell>
          <cell r="M346">
            <v>-10279.729312122297</v>
          </cell>
          <cell r="N346">
            <v>-555.5890990311733</v>
          </cell>
        </row>
        <row r="347">
          <cell r="E347" t="str">
            <v>PEB 4</v>
          </cell>
          <cell r="J347">
            <v>158635.09939930649</v>
          </cell>
          <cell r="K347">
            <v>11606.864995111517</v>
          </cell>
          <cell r="M347">
            <v>-158635.09939930649</v>
          </cell>
          <cell r="N347">
            <v>-11606.864995111517</v>
          </cell>
        </row>
        <row r="348">
          <cell r="E348" t="str">
            <v>PEB 5</v>
          </cell>
          <cell r="M348">
            <v>0</v>
          </cell>
          <cell r="N348">
            <v>0</v>
          </cell>
        </row>
        <row r="349">
          <cell r="E349" t="str">
            <v>PEB 6</v>
          </cell>
          <cell r="M349">
            <v>0</v>
          </cell>
          <cell r="N349">
            <v>0</v>
          </cell>
        </row>
        <row r="350">
          <cell r="E350" t="str">
            <v>PEB 7 / TB</v>
          </cell>
          <cell r="J350">
            <v>12810.69791998065</v>
          </cell>
          <cell r="K350">
            <v>791.89648865767697</v>
          </cell>
          <cell r="M350">
            <v>-12810.69791998065</v>
          </cell>
          <cell r="N350">
            <v>-791.89648865767697</v>
          </cell>
        </row>
        <row r="351">
          <cell r="E351" t="str">
            <v>MPP</v>
          </cell>
          <cell r="J351">
            <v>21409.008389415929</v>
          </cell>
          <cell r="K351">
            <v>1298.3875723568049</v>
          </cell>
          <cell r="M351">
            <v>-21409.008389415929</v>
          </cell>
          <cell r="N351">
            <v>-1298.3875723568049</v>
          </cell>
        </row>
        <row r="352">
          <cell r="E352" t="str">
            <v>ID</v>
          </cell>
          <cell r="J352">
            <v>47000.211922034054</v>
          </cell>
          <cell r="K352">
            <v>2882.0704616231878</v>
          </cell>
          <cell r="M352">
            <v>-47000.211922034054</v>
          </cell>
          <cell r="N352">
            <v>-2882.0704616231878</v>
          </cell>
        </row>
        <row r="353">
          <cell r="E353" t="str">
            <v>LL</v>
          </cell>
          <cell r="J353">
            <v>47125.70332649631</v>
          </cell>
          <cell r="K353">
            <v>13198.790330021173</v>
          </cell>
          <cell r="M353">
            <v>-47125.70332649631</v>
          </cell>
          <cell r="N353">
            <v>-13198.790330021173</v>
          </cell>
        </row>
        <row r="354">
          <cell r="E354" t="str">
            <v>PMK</v>
          </cell>
          <cell r="J354">
            <v>20362.291693676212</v>
          </cell>
          <cell r="K354">
            <v>1923.3762782419453</v>
          </cell>
          <cell r="M354">
            <v>-20362.291693676212</v>
          </cell>
          <cell r="N354">
            <v>-1923.3762782419453</v>
          </cell>
        </row>
        <row r="356">
          <cell r="C356" t="str">
            <v>A0024</v>
          </cell>
          <cell r="D356" t="str">
            <v>PT Astra Sedaya Finance</v>
          </cell>
          <cell r="E356" t="str">
            <v>PEB 1</v>
          </cell>
          <cell r="M356">
            <v>0</v>
          </cell>
          <cell r="N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</row>
        <row r="357">
          <cell r="E357" t="str">
            <v>PEB 2</v>
          </cell>
          <cell r="M357">
            <v>0</v>
          </cell>
          <cell r="N357">
            <v>0</v>
          </cell>
        </row>
        <row r="358">
          <cell r="E358" t="str">
            <v>PEB 3</v>
          </cell>
          <cell r="M358">
            <v>0</v>
          </cell>
          <cell r="N358">
            <v>0</v>
          </cell>
        </row>
        <row r="359">
          <cell r="E359" t="str">
            <v>PEB 4</v>
          </cell>
          <cell r="M359">
            <v>0</v>
          </cell>
          <cell r="N359">
            <v>0</v>
          </cell>
        </row>
        <row r="360">
          <cell r="E360" t="str">
            <v>PEB 5</v>
          </cell>
          <cell r="M360">
            <v>0</v>
          </cell>
          <cell r="N360">
            <v>0</v>
          </cell>
        </row>
        <row r="361">
          <cell r="E361" t="str">
            <v>PEB 6</v>
          </cell>
          <cell r="M361">
            <v>0</v>
          </cell>
          <cell r="N361">
            <v>0</v>
          </cell>
        </row>
        <row r="362">
          <cell r="E362" t="str">
            <v>PEB 7 / TB</v>
          </cell>
          <cell r="M362">
            <v>0</v>
          </cell>
          <cell r="N362">
            <v>0</v>
          </cell>
        </row>
        <row r="363">
          <cell r="E363" t="str">
            <v>MPP</v>
          </cell>
          <cell r="M363">
            <v>0</v>
          </cell>
          <cell r="N363">
            <v>0</v>
          </cell>
        </row>
        <row r="364">
          <cell r="E364" t="str">
            <v>ID</v>
          </cell>
          <cell r="M364">
            <v>0</v>
          </cell>
          <cell r="N364">
            <v>0</v>
          </cell>
        </row>
        <row r="365">
          <cell r="E365" t="str">
            <v>LL</v>
          </cell>
          <cell r="M365">
            <v>0</v>
          </cell>
          <cell r="N365">
            <v>0</v>
          </cell>
        </row>
        <row r="366">
          <cell r="E366" t="str">
            <v>PMK</v>
          </cell>
          <cell r="M366">
            <v>0</v>
          </cell>
          <cell r="N366">
            <v>0</v>
          </cell>
        </row>
        <row r="368">
          <cell r="C368" t="str">
            <v>A0224</v>
          </cell>
          <cell r="D368" t="str">
            <v>PT Astratel Nusantara</v>
          </cell>
          <cell r="E368" t="str">
            <v>PEB 1</v>
          </cell>
          <cell r="M368">
            <v>0</v>
          </cell>
          <cell r="N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E369" t="str">
            <v>PEB 2</v>
          </cell>
          <cell r="M369">
            <v>0</v>
          </cell>
          <cell r="N369">
            <v>0</v>
          </cell>
        </row>
        <row r="370">
          <cell r="E370" t="str">
            <v>PEB 3</v>
          </cell>
          <cell r="M370">
            <v>0</v>
          </cell>
          <cell r="N370">
            <v>0</v>
          </cell>
        </row>
        <row r="371">
          <cell r="E371" t="str">
            <v>PEB 4</v>
          </cell>
          <cell r="M371">
            <v>0</v>
          </cell>
          <cell r="N371">
            <v>0</v>
          </cell>
        </row>
        <row r="372">
          <cell r="E372" t="str">
            <v>PEB 5</v>
          </cell>
          <cell r="M372">
            <v>0</v>
          </cell>
          <cell r="N372">
            <v>0</v>
          </cell>
        </row>
        <row r="373">
          <cell r="E373" t="str">
            <v>PEB 6</v>
          </cell>
          <cell r="M373">
            <v>0</v>
          </cell>
          <cell r="N373">
            <v>0</v>
          </cell>
        </row>
        <row r="374">
          <cell r="E374" t="str">
            <v>PEB 7 / TB</v>
          </cell>
          <cell r="M374">
            <v>0</v>
          </cell>
          <cell r="N374">
            <v>0</v>
          </cell>
        </row>
        <row r="375">
          <cell r="E375" t="str">
            <v>MPP</v>
          </cell>
          <cell r="M375">
            <v>0</v>
          </cell>
          <cell r="N375">
            <v>0</v>
          </cell>
        </row>
        <row r="376">
          <cell r="E376" t="str">
            <v>ID</v>
          </cell>
          <cell r="M376">
            <v>0</v>
          </cell>
          <cell r="N376">
            <v>0</v>
          </cell>
        </row>
        <row r="377">
          <cell r="E377" t="str">
            <v>LL</v>
          </cell>
          <cell r="M377">
            <v>0</v>
          </cell>
          <cell r="N377">
            <v>0</v>
          </cell>
        </row>
        <row r="378">
          <cell r="E378" t="str">
            <v>PMK</v>
          </cell>
          <cell r="M378">
            <v>0</v>
          </cell>
          <cell r="N378">
            <v>0</v>
          </cell>
        </row>
        <row r="380">
          <cell r="C380" t="str">
            <v>A0026</v>
          </cell>
          <cell r="D380" t="str">
            <v>PT Asuransi Astra Buana</v>
          </cell>
          <cell r="E380" t="str">
            <v>PEB 1</v>
          </cell>
          <cell r="M380">
            <v>0</v>
          </cell>
          <cell r="N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E381" t="str">
            <v>PEB 2</v>
          </cell>
          <cell r="M381">
            <v>0</v>
          </cell>
          <cell r="N381">
            <v>0</v>
          </cell>
        </row>
        <row r="382">
          <cell r="E382" t="str">
            <v>PEB 3</v>
          </cell>
          <cell r="M382">
            <v>0</v>
          </cell>
          <cell r="N382">
            <v>0</v>
          </cell>
        </row>
        <row r="383">
          <cell r="E383" t="str">
            <v>PEB 4</v>
          </cell>
          <cell r="M383">
            <v>0</v>
          </cell>
          <cell r="N383">
            <v>0</v>
          </cell>
        </row>
        <row r="384">
          <cell r="E384" t="str">
            <v>PEB 5</v>
          </cell>
          <cell r="M384">
            <v>0</v>
          </cell>
          <cell r="N384">
            <v>0</v>
          </cell>
        </row>
        <row r="385">
          <cell r="E385" t="str">
            <v>PEB 6</v>
          </cell>
          <cell r="M385">
            <v>0</v>
          </cell>
          <cell r="N385">
            <v>0</v>
          </cell>
        </row>
        <row r="386">
          <cell r="E386" t="str">
            <v>PEB 7 / TB</v>
          </cell>
          <cell r="M386">
            <v>0</v>
          </cell>
          <cell r="N386">
            <v>0</v>
          </cell>
        </row>
        <row r="387">
          <cell r="E387" t="str">
            <v>MPP</v>
          </cell>
          <cell r="M387">
            <v>0</v>
          </cell>
          <cell r="N387">
            <v>0</v>
          </cell>
        </row>
        <row r="388">
          <cell r="E388" t="str">
            <v>ID</v>
          </cell>
          <cell r="M388">
            <v>0</v>
          </cell>
          <cell r="N388">
            <v>0</v>
          </cell>
        </row>
        <row r="389">
          <cell r="E389" t="str">
            <v>LL</v>
          </cell>
          <cell r="M389">
            <v>0</v>
          </cell>
          <cell r="N389">
            <v>0</v>
          </cell>
        </row>
        <row r="390">
          <cell r="E390" t="str">
            <v>PMK</v>
          </cell>
          <cell r="M390">
            <v>0</v>
          </cell>
          <cell r="N390">
            <v>0</v>
          </cell>
        </row>
        <row r="392">
          <cell r="C392" t="str">
            <v>A0038</v>
          </cell>
          <cell r="D392" t="str">
            <v>PT AT Indonesia</v>
          </cell>
          <cell r="E392" t="str">
            <v>PEB 1</v>
          </cell>
          <cell r="M392">
            <v>0</v>
          </cell>
          <cell r="N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E393" t="str">
            <v>PEB 2</v>
          </cell>
          <cell r="M393">
            <v>0</v>
          </cell>
          <cell r="N393">
            <v>0</v>
          </cell>
        </row>
        <row r="394">
          <cell r="E394" t="str">
            <v>PEB 3</v>
          </cell>
          <cell r="M394">
            <v>0</v>
          </cell>
          <cell r="N394">
            <v>0</v>
          </cell>
        </row>
        <row r="395">
          <cell r="E395" t="str">
            <v>PEB 4</v>
          </cell>
          <cell r="M395">
            <v>0</v>
          </cell>
          <cell r="N395">
            <v>0</v>
          </cell>
        </row>
        <row r="396">
          <cell r="E396" t="str">
            <v>PEB 5</v>
          </cell>
          <cell r="M396">
            <v>0</v>
          </cell>
          <cell r="N396">
            <v>0</v>
          </cell>
        </row>
        <row r="397">
          <cell r="E397" t="str">
            <v>PEB 6</v>
          </cell>
          <cell r="M397">
            <v>0</v>
          </cell>
          <cell r="N397">
            <v>0</v>
          </cell>
        </row>
        <row r="398">
          <cell r="E398" t="str">
            <v>PEB 7 / TB</v>
          </cell>
          <cell r="M398">
            <v>0</v>
          </cell>
          <cell r="N398">
            <v>0</v>
          </cell>
        </row>
        <row r="399">
          <cell r="E399" t="str">
            <v>MPP</v>
          </cell>
          <cell r="M399">
            <v>0</v>
          </cell>
          <cell r="N399">
            <v>0</v>
          </cell>
        </row>
        <row r="400">
          <cell r="E400" t="str">
            <v>ID</v>
          </cell>
          <cell r="M400">
            <v>0</v>
          </cell>
          <cell r="N400">
            <v>0</v>
          </cell>
        </row>
        <row r="401">
          <cell r="E401" t="str">
            <v>LL</v>
          </cell>
          <cell r="M401">
            <v>0</v>
          </cell>
          <cell r="N401">
            <v>0</v>
          </cell>
        </row>
        <row r="402">
          <cell r="E402" t="str">
            <v>PMK</v>
          </cell>
          <cell r="M402">
            <v>0</v>
          </cell>
          <cell r="N402">
            <v>0</v>
          </cell>
        </row>
        <row r="404">
          <cell r="C404" t="str">
            <v>A0331</v>
          </cell>
          <cell r="D404" t="str">
            <v>PT Bhadra Cemerlang</v>
          </cell>
          <cell r="E404" t="str">
            <v>PEB 1</v>
          </cell>
          <cell r="M404">
            <v>0</v>
          </cell>
          <cell r="N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E405" t="str">
            <v>PEB 2</v>
          </cell>
          <cell r="M405">
            <v>0</v>
          </cell>
          <cell r="N405">
            <v>0</v>
          </cell>
        </row>
        <row r="406">
          <cell r="E406" t="str">
            <v>PEB 3</v>
          </cell>
          <cell r="M406">
            <v>0</v>
          </cell>
          <cell r="N406">
            <v>0</v>
          </cell>
        </row>
        <row r="407">
          <cell r="E407" t="str">
            <v>PEB 4</v>
          </cell>
          <cell r="M407">
            <v>0</v>
          </cell>
          <cell r="N407">
            <v>0</v>
          </cell>
        </row>
        <row r="408">
          <cell r="E408" t="str">
            <v>PEB 5</v>
          </cell>
          <cell r="M408">
            <v>0</v>
          </cell>
          <cell r="N408">
            <v>0</v>
          </cell>
        </row>
        <row r="409">
          <cell r="E409" t="str">
            <v>PEB 6</v>
          </cell>
          <cell r="M409">
            <v>0</v>
          </cell>
          <cell r="N409">
            <v>0</v>
          </cell>
        </row>
        <row r="410">
          <cell r="E410" t="str">
            <v>PEB 7 / TB</v>
          </cell>
          <cell r="M410">
            <v>0</v>
          </cell>
          <cell r="N410">
            <v>0</v>
          </cell>
        </row>
        <row r="411">
          <cell r="E411" t="str">
            <v>MPP</v>
          </cell>
          <cell r="M411">
            <v>0</v>
          </cell>
          <cell r="N411">
            <v>0</v>
          </cell>
        </row>
        <row r="412">
          <cell r="E412" t="str">
            <v>ID</v>
          </cell>
          <cell r="M412">
            <v>0</v>
          </cell>
          <cell r="N412">
            <v>0</v>
          </cell>
        </row>
        <row r="413">
          <cell r="E413" t="str">
            <v>LL</v>
          </cell>
          <cell r="M413">
            <v>0</v>
          </cell>
          <cell r="N413">
            <v>0</v>
          </cell>
        </row>
        <row r="414">
          <cell r="E414" t="str">
            <v>PMK</v>
          </cell>
          <cell r="M414">
            <v>0</v>
          </cell>
          <cell r="N414">
            <v>0</v>
          </cell>
        </row>
        <row r="416">
          <cell r="C416" t="str">
            <v>A0398</v>
          </cell>
          <cell r="D416" t="str">
            <v>PT Bhadra Sukses</v>
          </cell>
          <cell r="E416" t="str">
            <v>PEB 1</v>
          </cell>
          <cell r="M416">
            <v>0</v>
          </cell>
          <cell r="N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E417" t="str">
            <v>PEB 2</v>
          </cell>
          <cell r="M417">
            <v>0</v>
          </cell>
          <cell r="N417">
            <v>0</v>
          </cell>
        </row>
        <row r="418">
          <cell r="E418" t="str">
            <v>PEB 3</v>
          </cell>
          <cell r="M418">
            <v>0</v>
          </cell>
          <cell r="N418">
            <v>0</v>
          </cell>
        </row>
        <row r="419">
          <cell r="E419" t="str">
            <v>PEB 4</v>
          </cell>
          <cell r="M419">
            <v>0</v>
          </cell>
          <cell r="N419">
            <v>0</v>
          </cell>
        </row>
        <row r="420">
          <cell r="E420" t="str">
            <v>PEB 5</v>
          </cell>
          <cell r="M420">
            <v>0</v>
          </cell>
          <cell r="N420">
            <v>0</v>
          </cell>
        </row>
        <row r="421">
          <cell r="E421" t="str">
            <v>PEB 6</v>
          </cell>
          <cell r="M421">
            <v>0</v>
          </cell>
          <cell r="N421">
            <v>0</v>
          </cell>
        </row>
        <row r="422">
          <cell r="E422" t="str">
            <v>PEB 7 / TB</v>
          </cell>
          <cell r="M422">
            <v>0</v>
          </cell>
          <cell r="N422">
            <v>0</v>
          </cell>
        </row>
        <row r="423">
          <cell r="E423" t="str">
            <v>MPP</v>
          </cell>
          <cell r="M423">
            <v>0</v>
          </cell>
          <cell r="N423">
            <v>0</v>
          </cell>
        </row>
        <row r="424">
          <cell r="E424" t="str">
            <v>ID</v>
          </cell>
          <cell r="M424">
            <v>0</v>
          </cell>
          <cell r="N424">
            <v>0</v>
          </cell>
        </row>
        <row r="425">
          <cell r="E425" t="str">
            <v>LL</v>
          </cell>
          <cell r="M425">
            <v>0</v>
          </cell>
          <cell r="N425">
            <v>0</v>
          </cell>
        </row>
        <row r="426">
          <cell r="E426" t="str">
            <v>PMK</v>
          </cell>
          <cell r="M426">
            <v>0</v>
          </cell>
          <cell r="N426">
            <v>0</v>
          </cell>
        </row>
        <row r="428">
          <cell r="C428" t="str">
            <v>A0210</v>
          </cell>
          <cell r="D428" t="str">
            <v>PT Bina Pertiwi</v>
          </cell>
          <cell r="E428" t="str">
            <v>PEB 1</v>
          </cell>
          <cell r="J428">
            <v>1104188</v>
          </cell>
          <cell r="K428">
            <v>38631</v>
          </cell>
          <cell r="M428">
            <v>-1104188</v>
          </cell>
          <cell r="N428">
            <v>-38631</v>
          </cell>
          <cell r="P428">
            <v>-364615</v>
          </cell>
          <cell r="Q428">
            <v>-12756</v>
          </cell>
          <cell r="R428">
            <v>-14696</v>
          </cell>
          <cell r="S428">
            <v>-514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-5005</v>
          </cell>
          <cell r="AA428">
            <v>-175</v>
          </cell>
          <cell r="AB428">
            <v>-156263</v>
          </cell>
          <cell r="AC428">
            <v>-5467</v>
          </cell>
          <cell r="AD428">
            <v>-23459</v>
          </cell>
          <cell r="AE428">
            <v>-821</v>
          </cell>
          <cell r="AF428">
            <v>-41428</v>
          </cell>
          <cell r="AG428">
            <v>-11562</v>
          </cell>
          <cell r="AH428">
            <v>-2818</v>
          </cell>
          <cell r="AI428">
            <v>-786</v>
          </cell>
        </row>
        <row r="429">
          <cell r="E429" t="str">
            <v>PEB 2</v>
          </cell>
          <cell r="J429">
            <v>364615</v>
          </cell>
          <cell r="K429">
            <v>12756</v>
          </cell>
          <cell r="M429">
            <v>-364615</v>
          </cell>
          <cell r="N429">
            <v>-12756</v>
          </cell>
        </row>
        <row r="430">
          <cell r="E430" t="str">
            <v>PEB 3</v>
          </cell>
          <cell r="J430">
            <v>14696</v>
          </cell>
          <cell r="K430">
            <v>514</v>
          </cell>
          <cell r="M430">
            <v>-14696</v>
          </cell>
          <cell r="N430">
            <v>-514</v>
          </cell>
        </row>
        <row r="431">
          <cell r="E431" t="str">
            <v>PEB 4</v>
          </cell>
          <cell r="J431">
            <v>0</v>
          </cell>
          <cell r="K431">
            <v>0</v>
          </cell>
          <cell r="M431">
            <v>0</v>
          </cell>
          <cell r="N431">
            <v>0</v>
          </cell>
        </row>
        <row r="432">
          <cell r="E432" t="str">
            <v>PEB 5</v>
          </cell>
          <cell r="J432">
            <v>0</v>
          </cell>
          <cell r="K432">
            <v>0</v>
          </cell>
          <cell r="M432">
            <v>0</v>
          </cell>
          <cell r="N432">
            <v>0</v>
          </cell>
        </row>
        <row r="433">
          <cell r="E433" t="str">
            <v>PEB 6</v>
          </cell>
          <cell r="M433">
            <v>0</v>
          </cell>
          <cell r="N433">
            <v>0</v>
          </cell>
        </row>
        <row r="434">
          <cell r="E434" t="str">
            <v>PEB 7 / TB</v>
          </cell>
          <cell r="J434">
            <v>5005</v>
          </cell>
          <cell r="K434">
            <v>175</v>
          </cell>
          <cell r="M434">
            <v>-5005</v>
          </cell>
          <cell r="N434">
            <v>-175</v>
          </cell>
        </row>
        <row r="435">
          <cell r="E435" t="str">
            <v>MPP</v>
          </cell>
          <cell r="J435">
            <v>156263</v>
          </cell>
          <cell r="K435">
            <v>5467</v>
          </cell>
          <cell r="M435">
            <v>-156263</v>
          </cell>
          <cell r="N435">
            <v>-5467</v>
          </cell>
        </row>
        <row r="436">
          <cell r="E436" t="str">
            <v>ID</v>
          </cell>
          <cell r="J436">
            <v>23459</v>
          </cell>
          <cell r="K436">
            <v>821</v>
          </cell>
          <cell r="M436">
            <v>-23459</v>
          </cell>
          <cell r="N436">
            <v>-821</v>
          </cell>
        </row>
        <row r="437">
          <cell r="E437" t="str">
            <v>LL</v>
          </cell>
          <cell r="J437">
            <v>41428</v>
          </cell>
          <cell r="K437">
            <v>11562</v>
          </cell>
          <cell r="M437">
            <v>-41428</v>
          </cell>
          <cell r="N437">
            <v>-11562</v>
          </cell>
        </row>
        <row r="438">
          <cell r="E438" t="str">
            <v>PMK</v>
          </cell>
          <cell r="J438">
            <v>2818</v>
          </cell>
          <cell r="K438">
            <v>786</v>
          </cell>
          <cell r="M438">
            <v>-2818</v>
          </cell>
          <cell r="N438">
            <v>-786</v>
          </cell>
        </row>
        <row r="440">
          <cell r="C440" t="str">
            <v>A0415</v>
          </cell>
          <cell r="D440" t="str">
            <v>PT Borneo Indah Marjaya</v>
          </cell>
          <cell r="E440" t="str">
            <v>PEB 1</v>
          </cell>
          <cell r="M440">
            <v>0</v>
          </cell>
          <cell r="N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</row>
        <row r="441">
          <cell r="E441" t="str">
            <v>PEB 2</v>
          </cell>
          <cell r="M441">
            <v>0</v>
          </cell>
          <cell r="N441">
            <v>0</v>
          </cell>
        </row>
        <row r="442">
          <cell r="E442" t="str">
            <v>PEB 3</v>
          </cell>
          <cell r="M442">
            <v>0</v>
          </cell>
          <cell r="N442">
            <v>0</v>
          </cell>
        </row>
        <row r="443">
          <cell r="E443" t="str">
            <v>PEB 4</v>
          </cell>
          <cell r="M443">
            <v>0</v>
          </cell>
          <cell r="N443">
            <v>0</v>
          </cell>
        </row>
        <row r="444">
          <cell r="E444" t="str">
            <v>PEB 5</v>
          </cell>
          <cell r="M444">
            <v>0</v>
          </cell>
          <cell r="N444">
            <v>0</v>
          </cell>
        </row>
        <row r="445">
          <cell r="E445" t="str">
            <v>PEB 6</v>
          </cell>
          <cell r="M445">
            <v>0</v>
          </cell>
          <cell r="N445">
            <v>0</v>
          </cell>
        </row>
        <row r="446">
          <cell r="E446" t="str">
            <v>PEB 7 / TB</v>
          </cell>
          <cell r="M446">
            <v>0</v>
          </cell>
          <cell r="N446">
            <v>0</v>
          </cell>
        </row>
        <row r="447">
          <cell r="E447" t="str">
            <v>MPP</v>
          </cell>
          <cell r="M447">
            <v>0</v>
          </cell>
          <cell r="N447">
            <v>0</v>
          </cell>
        </row>
        <row r="448">
          <cell r="E448" t="str">
            <v>ID</v>
          </cell>
          <cell r="M448">
            <v>0</v>
          </cell>
          <cell r="N448">
            <v>0</v>
          </cell>
        </row>
        <row r="449">
          <cell r="E449" t="str">
            <v>LL</v>
          </cell>
          <cell r="M449">
            <v>0</v>
          </cell>
          <cell r="N449">
            <v>0</v>
          </cell>
        </row>
        <row r="450">
          <cell r="E450" t="str">
            <v>PMK</v>
          </cell>
          <cell r="M450">
            <v>0</v>
          </cell>
          <cell r="N450">
            <v>0</v>
          </cell>
        </row>
        <row r="452">
          <cell r="C452" t="str">
            <v>A0232</v>
          </cell>
          <cell r="D452" t="str">
            <v>PT Brahmayasa Bahtera</v>
          </cell>
          <cell r="E452" t="str">
            <v>PEB 1</v>
          </cell>
          <cell r="M452">
            <v>0</v>
          </cell>
          <cell r="N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E453" t="str">
            <v>PEB 2</v>
          </cell>
          <cell r="M453">
            <v>0</v>
          </cell>
          <cell r="N453">
            <v>0</v>
          </cell>
        </row>
        <row r="454">
          <cell r="E454" t="str">
            <v>PEB 3</v>
          </cell>
          <cell r="M454">
            <v>0</v>
          </cell>
          <cell r="N454">
            <v>0</v>
          </cell>
        </row>
        <row r="455">
          <cell r="E455" t="str">
            <v>PEB 4</v>
          </cell>
          <cell r="M455">
            <v>0</v>
          </cell>
          <cell r="N455">
            <v>0</v>
          </cell>
        </row>
        <row r="456">
          <cell r="E456" t="str">
            <v>PEB 5</v>
          </cell>
          <cell r="M456">
            <v>0</v>
          </cell>
          <cell r="N456">
            <v>0</v>
          </cell>
        </row>
        <row r="457">
          <cell r="E457" t="str">
            <v>PEB 6</v>
          </cell>
          <cell r="M457">
            <v>0</v>
          </cell>
          <cell r="N457">
            <v>0</v>
          </cell>
        </row>
        <row r="458">
          <cell r="E458" t="str">
            <v>PEB 7 / TB</v>
          </cell>
          <cell r="M458">
            <v>0</v>
          </cell>
          <cell r="N458">
            <v>0</v>
          </cell>
        </row>
        <row r="459">
          <cell r="E459" t="str">
            <v>MPP</v>
          </cell>
          <cell r="M459">
            <v>0</v>
          </cell>
          <cell r="N459">
            <v>0</v>
          </cell>
        </row>
        <row r="460">
          <cell r="E460" t="str">
            <v>ID</v>
          </cell>
          <cell r="M460">
            <v>0</v>
          </cell>
          <cell r="N460">
            <v>0</v>
          </cell>
        </row>
        <row r="461">
          <cell r="E461" t="str">
            <v>LL</v>
          </cell>
          <cell r="M461">
            <v>0</v>
          </cell>
          <cell r="N461">
            <v>0</v>
          </cell>
        </row>
        <row r="462">
          <cell r="E462" t="str">
            <v>PMK</v>
          </cell>
          <cell r="M462">
            <v>0</v>
          </cell>
          <cell r="N462">
            <v>0</v>
          </cell>
        </row>
        <row r="464">
          <cell r="C464" t="str">
            <v>A0248</v>
          </cell>
          <cell r="D464" t="str">
            <v>PT Cakradenta Agung Pertiwi</v>
          </cell>
          <cell r="E464" t="str">
            <v>PEB 1</v>
          </cell>
          <cell r="M464">
            <v>0</v>
          </cell>
          <cell r="N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E465" t="str">
            <v>PEB 2</v>
          </cell>
          <cell r="M465">
            <v>0</v>
          </cell>
          <cell r="N465">
            <v>0</v>
          </cell>
        </row>
        <row r="466">
          <cell r="E466" t="str">
            <v>PEB 3</v>
          </cell>
          <cell r="M466">
            <v>0</v>
          </cell>
          <cell r="N466">
            <v>0</v>
          </cell>
        </row>
        <row r="467">
          <cell r="E467" t="str">
            <v>PEB 4</v>
          </cell>
          <cell r="M467">
            <v>0</v>
          </cell>
          <cell r="N467">
            <v>0</v>
          </cell>
        </row>
        <row r="468">
          <cell r="E468" t="str">
            <v>PEB 5</v>
          </cell>
          <cell r="M468">
            <v>0</v>
          </cell>
          <cell r="N468">
            <v>0</v>
          </cell>
        </row>
        <row r="469">
          <cell r="E469" t="str">
            <v>PEB 6</v>
          </cell>
          <cell r="M469">
            <v>0</v>
          </cell>
          <cell r="N469">
            <v>0</v>
          </cell>
        </row>
        <row r="470">
          <cell r="E470" t="str">
            <v>PEB 7 / TB</v>
          </cell>
          <cell r="M470">
            <v>0</v>
          </cell>
          <cell r="N470">
            <v>0</v>
          </cell>
        </row>
        <row r="471">
          <cell r="E471" t="str">
            <v>MPP</v>
          </cell>
          <cell r="M471">
            <v>0</v>
          </cell>
          <cell r="N471">
            <v>0</v>
          </cell>
        </row>
        <row r="472">
          <cell r="E472" t="str">
            <v>ID</v>
          </cell>
          <cell r="M472">
            <v>0</v>
          </cell>
          <cell r="N472">
            <v>0</v>
          </cell>
        </row>
        <row r="473">
          <cell r="E473" t="str">
            <v>LL</v>
          </cell>
          <cell r="M473">
            <v>0</v>
          </cell>
          <cell r="N473">
            <v>0</v>
          </cell>
        </row>
        <row r="474">
          <cell r="E474" t="str">
            <v>PMK</v>
          </cell>
          <cell r="M474">
            <v>0</v>
          </cell>
          <cell r="N474">
            <v>0</v>
          </cell>
        </row>
        <row r="476">
          <cell r="C476" t="str">
            <v>A0247</v>
          </cell>
          <cell r="D476" t="str">
            <v>PT Cakung Permata Nusa</v>
          </cell>
          <cell r="E476" t="str">
            <v>PEB 1</v>
          </cell>
          <cell r="M476">
            <v>0</v>
          </cell>
          <cell r="N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E477" t="str">
            <v>PEB 2</v>
          </cell>
          <cell r="M477">
            <v>0</v>
          </cell>
          <cell r="N477">
            <v>0</v>
          </cell>
        </row>
        <row r="478">
          <cell r="E478" t="str">
            <v>PEB 3</v>
          </cell>
          <cell r="M478">
            <v>0</v>
          </cell>
          <cell r="N478">
            <v>0</v>
          </cell>
        </row>
        <row r="479">
          <cell r="E479" t="str">
            <v>PEB 4</v>
          </cell>
          <cell r="M479">
            <v>0</v>
          </cell>
          <cell r="N479">
            <v>0</v>
          </cell>
        </row>
        <row r="480">
          <cell r="E480" t="str">
            <v>PEB 5</v>
          </cell>
          <cell r="M480">
            <v>0</v>
          </cell>
          <cell r="N480">
            <v>0</v>
          </cell>
        </row>
        <row r="481">
          <cell r="E481" t="str">
            <v>PEB 6</v>
          </cell>
          <cell r="M481">
            <v>0</v>
          </cell>
          <cell r="N481">
            <v>0</v>
          </cell>
        </row>
        <row r="482">
          <cell r="E482" t="str">
            <v>PEB 7 / TB</v>
          </cell>
          <cell r="M482">
            <v>0</v>
          </cell>
          <cell r="N482">
            <v>0</v>
          </cell>
        </row>
        <row r="483">
          <cell r="E483" t="str">
            <v>MPP</v>
          </cell>
          <cell r="M483">
            <v>0</v>
          </cell>
          <cell r="N483">
            <v>0</v>
          </cell>
        </row>
        <row r="484">
          <cell r="E484" t="str">
            <v>ID</v>
          </cell>
          <cell r="M484">
            <v>0</v>
          </cell>
          <cell r="N484">
            <v>0</v>
          </cell>
        </row>
        <row r="485">
          <cell r="E485" t="str">
            <v>LL</v>
          </cell>
          <cell r="M485">
            <v>0</v>
          </cell>
          <cell r="N485">
            <v>0</v>
          </cell>
        </row>
        <row r="486">
          <cell r="E486" t="str">
            <v>PMK</v>
          </cell>
          <cell r="M486">
            <v>0</v>
          </cell>
          <cell r="N486">
            <v>0</v>
          </cell>
        </row>
        <row r="488">
          <cell r="C488" t="str">
            <v>A0037</v>
          </cell>
          <cell r="D488" t="str">
            <v>PT Century Batteries Indonesia</v>
          </cell>
          <cell r="E488" t="str">
            <v>PEB 1</v>
          </cell>
          <cell r="M488">
            <v>0</v>
          </cell>
          <cell r="N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</row>
        <row r="489">
          <cell r="E489" t="str">
            <v>PEB 2</v>
          </cell>
          <cell r="M489">
            <v>0</v>
          </cell>
          <cell r="N489">
            <v>0</v>
          </cell>
        </row>
        <row r="490">
          <cell r="E490" t="str">
            <v>PEB 3</v>
          </cell>
          <cell r="M490">
            <v>0</v>
          </cell>
          <cell r="N490">
            <v>0</v>
          </cell>
        </row>
        <row r="491">
          <cell r="E491" t="str">
            <v>PEB 4</v>
          </cell>
          <cell r="M491">
            <v>0</v>
          </cell>
          <cell r="N491">
            <v>0</v>
          </cell>
        </row>
        <row r="492">
          <cell r="E492" t="str">
            <v>PEB 5</v>
          </cell>
          <cell r="M492">
            <v>0</v>
          </cell>
          <cell r="N492">
            <v>0</v>
          </cell>
        </row>
        <row r="493">
          <cell r="E493" t="str">
            <v>PEB 6</v>
          </cell>
          <cell r="M493">
            <v>0</v>
          </cell>
          <cell r="N493">
            <v>0</v>
          </cell>
        </row>
        <row r="494">
          <cell r="E494" t="str">
            <v>PEB 7 / TB</v>
          </cell>
          <cell r="M494">
            <v>0</v>
          </cell>
          <cell r="N494">
            <v>0</v>
          </cell>
        </row>
        <row r="495">
          <cell r="E495" t="str">
            <v>MPP</v>
          </cell>
          <cell r="M495">
            <v>0</v>
          </cell>
          <cell r="N495">
            <v>0</v>
          </cell>
        </row>
        <row r="496">
          <cell r="E496" t="str">
            <v>ID</v>
          </cell>
          <cell r="M496">
            <v>0</v>
          </cell>
          <cell r="N496">
            <v>0</v>
          </cell>
        </row>
        <row r="497">
          <cell r="E497" t="str">
            <v>LL</v>
          </cell>
          <cell r="M497">
            <v>0</v>
          </cell>
          <cell r="N497">
            <v>0</v>
          </cell>
        </row>
        <row r="498">
          <cell r="E498" t="str">
            <v>PMK</v>
          </cell>
          <cell r="M498">
            <v>0</v>
          </cell>
          <cell r="N498">
            <v>0</v>
          </cell>
        </row>
        <row r="500">
          <cell r="C500" t="str">
            <v>A0445</v>
          </cell>
          <cell r="D500" t="str">
            <v>PT Citra Agro Nusantara</v>
          </cell>
          <cell r="E500" t="str">
            <v>PEB 1</v>
          </cell>
          <cell r="M500">
            <v>0</v>
          </cell>
          <cell r="N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</row>
        <row r="501">
          <cell r="E501" t="str">
            <v>PEB 2</v>
          </cell>
          <cell r="M501">
            <v>0</v>
          </cell>
          <cell r="N501">
            <v>0</v>
          </cell>
        </row>
        <row r="502">
          <cell r="E502" t="str">
            <v>PEB 3</v>
          </cell>
          <cell r="M502">
            <v>0</v>
          </cell>
          <cell r="N502">
            <v>0</v>
          </cell>
        </row>
        <row r="503">
          <cell r="E503" t="str">
            <v>PEB 4</v>
          </cell>
          <cell r="M503">
            <v>0</v>
          </cell>
          <cell r="N503">
            <v>0</v>
          </cell>
        </row>
        <row r="504">
          <cell r="E504" t="str">
            <v>PEB 5</v>
          </cell>
          <cell r="M504">
            <v>0</v>
          </cell>
          <cell r="N504">
            <v>0</v>
          </cell>
        </row>
        <row r="505">
          <cell r="E505" t="str">
            <v>PEB 6</v>
          </cell>
          <cell r="M505">
            <v>0</v>
          </cell>
          <cell r="N505">
            <v>0</v>
          </cell>
        </row>
        <row r="506">
          <cell r="E506" t="str">
            <v>PEB 7 / TB</v>
          </cell>
          <cell r="M506">
            <v>0</v>
          </cell>
          <cell r="N506">
            <v>0</v>
          </cell>
        </row>
        <row r="507">
          <cell r="E507" t="str">
            <v>MPP</v>
          </cell>
          <cell r="M507">
            <v>0</v>
          </cell>
          <cell r="N507">
            <v>0</v>
          </cell>
        </row>
        <row r="508">
          <cell r="E508" t="str">
            <v>ID</v>
          </cell>
          <cell r="M508">
            <v>0</v>
          </cell>
          <cell r="N508">
            <v>0</v>
          </cell>
        </row>
        <row r="509">
          <cell r="E509" t="str">
            <v>LL</v>
          </cell>
          <cell r="M509">
            <v>0</v>
          </cell>
          <cell r="N509">
            <v>0</v>
          </cell>
        </row>
        <row r="510">
          <cell r="E510" t="str">
            <v>PMK</v>
          </cell>
          <cell r="M510">
            <v>0</v>
          </cell>
          <cell r="N510">
            <v>0</v>
          </cell>
        </row>
        <row r="512">
          <cell r="C512" t="str">
            <v>A0008</v>
          </cell>
          <cell r="D512" t="str">
            <v>PT Daya Mitra Serasi</v>
          </cell>
          <cell r="E512" t="str">
            <v>PEB 1</v>
          </cell>
          <cell r="M512">
            <v>0</v>
          </cell>
          <cell r="N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E513" t="str">
            <v>PEB 2</v>
          </cell>
          <cell r="M513">
            <v>0</v>
          </cell>
          <cell r="N513">
            <v>0</v>
          </cell>
        </row>
        <row r="514">
          <cell r="E514" t="str">
            <v>PEB 3</v>
          </cell>
          <cell r="M514">
            <v>0</v>
          </cell>
          <cell r="N514">
            <v>0</v>
          </cell>
        </row>
        <row r="515">
          <cell r="E515" t="str">
            <v>PEB 4</v>
          </cell>
          <cell r="M515">
            <v>0</v>
          </cell>
          <cell r="N515">
            <v>0</v>
          </cell>
        </row>
        <row r="516">
          <cell r="E516" t="str">
            <v>PEB 5</v>
          </cell>
          <cell r="M516">
            <v>0</v>
          </cell>
          <cell r="N516">
            <v>0</v>
          </cell>
        </row>
        <row r="517">
          <cell r="E517" t="str">
            <v>PEB 6</v>
          </cell>
          <cell r="M517">
            <v>0</v>
          </cell>
          <cell r="N517">
            <v>0</v>
          </cell>
        </row>
        <row r="518">
          <cell r="E518" t="str">
            <v>PEB 7 / TB</v>
          </cell>
          <cell r="M518">
            <v>0</v>
          </cell>
          <cell r="N518">
            <v>0</v>
          </cell>
        </row>
        <row r="519">
          <cell r="E519" t="str">
            <v>MPP</v>
          </cell>
          <cell r="M519">
            <v>0</v>
          </cell>
          <cell r="N519">
            <v>0</v>
          </cell>
        </row>
        <row r="520">
          <cell r="E520" t="str">
            <v>ID</v>
          </cell>
          <cell r="M520">
            <v>0</v>
          </cell>
          <cell r="N520">
            <v>0</v>
          </cell>
        </row>
        <row r="521">
          <cell r="E521" t="str">
            <v>LL</v>
          </cell>
          <cell r="M521">
            <v>0</v>
          </cell>
          <cell r="N521">
            <v>0</v>
          </cell>
        </row>
        <row r="522">
          <cell r="E522" t="str">
            <v>PMK</v>
          </cell>
          <cell r="M522">
            <v>0</v>
          </cell>
          <cell r="N522">
            <v>0</v>
          </cell>
        </row>
        <row r="524">
          <cell r="C524" t="str">
            <v>A0051</v>
          </cell>
          <cell r="D524" t="str">
            <v>PT DIC Astra Chemicals</v>
          </cell>
          <cell r="E524" t="str">
            <v>PEB 1</v>
          </cell>
          <cell r="M524">
            <v>0</v>
          </cell>
          <cell r="N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</row>
        <row r="525">
          <cell r="E525" t="str">
            <v>PEB 2</v>
          </cell>
          <cell r="M525">
            <v>0</v>
          </cell>
          <cell r="N525">
            <v>0</v>
          </cell>
        </row>
        <row r="526">
          <cell r="E526" t="str">
            <v>PEB 3</v>
          </cell>
          <cell r="M526">
            <v>0</v>
          </cell>
          <cell r="N526">
            <v>0</v>
          </cell>
        </row>
        <row r="527">
          <cell r="E527" t="str">
            <v>PEB 4</v>
          </cell>
          <cell r="M527">
            <v>0</v>
          </cell>
          <cell r="N527">
            <v>0</v>
          </cell>
        </row>
        <row r="528">
          <cell r="E528" t="str">
            <v>PEB 5</v>
          </cell>
          <cell r="M528">
            <v>0</v>
          </cell>
          <cell r="N528">
            <v>0</v>
          </cell>
        </row>
        <row r="529">
          <cell r="E529" t="str">
            <v>PEB 6</v>
          </cell>
          <cell r="M529">
            <v>0</v>
          </cell>
          <cell r="N529">
            <v>0</v>
          </cell>
        </row>
        <row r="530">
          <cell r="E530" t="str">
            <v>PEB 7 / TB</v>
          </cell>
          <cell r="M530">
            <v>0</v>
          </cell>
          <cell r="N530">
            <v>0</v>
          </cell>
        </row>
        <row r="531">
          <cell r="E531" t="str">
            <v>MPP</v>
          </cell>
          <cell r="M531">
            <v>0</v>
          </cell>
          <cell r="N531">
            <v>0</v>
          </cell>
        </row>
        <row r="532">
          <cell r="E532" t="str">
            <v>ID</v>
          </cell>
          <cell r="M532">
            <v>0</v>
          </cell>
          <cell r="N532">
            <v>0</v>
          </cell>
        </row>
        <row r="533">
          <cell r="E533" t="str">
            <v>LL</v>
          </cell>
          <cell r="M533">
            <v>0</v>
          </cell>
          <cell r="N533">
            <v>0</v>
          </cell>
        </row>
        <row r="534">
          <cell r="E534" t="str">
            <v>PMK</v>
          </cell>
          <cell r="M534">
            <v>0</v>
          </cell>
          <cell r="N534">
            <v>0</v>
          </cell>
        </row>
        <row r="536">
          <cell r="C536" t="str">
            <v>A0239</v>
          </cell>
          <cell r="D536" t="str">
            <v>PT Astra Daido Steel Indonesia (d/h PT Dirgamenara Nusadwipa)</v>
          </cell>
          <cell r="E536" t="str">
            <v>PEB 1</v>
          </cell>
          <cell r="J536">
            <v>174957.21117566791</v>
          </cell>
          <cell r="K536">
            <v>29987.38685214111</v>
          </cell>
          <cell r="M536">
            <v>-174957.21117566791</v>
          </cell>
          <cell r="N536">
            <v>-29987.38685214111</v>
          </cell>
          <cell r="P536">
            <v>0</v>
          </cell>
          <cell r="Q536">
            <v>0</v>
          </cell>
          <cell r="R536">
            <v>-200863.11191111404</v>
          </cell>
          <cell r="S536">
            <v>-34427.616905459603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-1825.7227875973299</v>
          </cell>
          <cell r="AA536">
            <v>-312.92597286247053</v>
          </cell>
          <cell r="AB536">
            <v>0</v>
          </cell>
          <cell r="AC536">
            <v>0</v>
          </cell>
          <cell r="AD536">
            <v>-20961.097923382695</v>
          </cell>
          <cell r="AE536">
            <v>-3592.6987407393376</v>
          </cell>
          <cell r="AF536">
            <v>-9099.4752515152995</v>
          </cell>
          <cell r="AG536">
            <v>-10905.933833030234</v>
          </cell>
          <cell r="AH536">
            <v>-1815.1198620692055</v>
          </cell>
          <cell r="AI536">
            <v>-311.10864834386547</v>
          </cell>
        </row>
        <row r="537">
          <cell r="E537" t="str">
            <v>PEB 2</v>
          </cell>
          <cell r="M537">
            <v>0</v>
          </cell>
          <cell r="N537">
            <v>0</v>
          </cell>
        </row>
        <row r="538">
          <cell r="E538" t="str">
            <v>PEB 3</v>
          </cell>
          <cell r="J538">
            <v>200863.11191111404</v>
          </cell>
          <cell r="K538">
            <v>34427.616905459603</v>
          </cell>
          <cell r="M538">
            <v>-200863.11191111404</v>
          </cell>
          <cell r="N538">
            <v>-34427.616905459603</v>
          </cell>
        </row>
        <row r="539">
          <cell r="E539" t="str">
            <v>PEB 4</v>
          </cell>
          <cell r="M539">
            <v>0</v>
          </cell>
          <cell r="N539">
            <v>0</v>
          </cell>
        </row>
        <row r="540">
          <cell r="E540" t="str">
            <v>PEB 5</v>
          </cell>
          <cell r="M540">
            <v>0</v>
          </cell>
          <cell r="N540">
            <v>0</v>
          </cell>
        </row>
        <row r="541">
          <cell r="E541" t="str">
            <v>PEB 6</v>
          </cell>
          <cell r="M541">
            <v>0</v>
          </cell>
          <cell r="N541">
            <v>0</v>
          </cell>
        </row>
        <row r="542">
          <cell r="E542" t="str">
            <v>PEB 7 / TB</v>
          </cell>
          <cell r="J542">
            <v>1825.7227875973299</v>
          </cell>
          <cell r="K542">
            <v>312.92597286247053</v>
          </cell>
          <cell r="M542">
            <v>-1825.7227875973299</v>
          </cell>
          <cell r="N542">
            <v>-312.92597286247053</v>
          </cell>
        </row>
        <row r="543">
          <cell r="E543" t="str">
            <v>MPP</v>
          </cell>
          <cell r="M543">
            <v>0</v>
          </cell>
          <cell r="N543">
            <v>0</v>
          </cell>
        </row>
        <row r="544">
          <cell r="E544" t="str">
            <v>ID</v>
          </cell>
          <cell r="J544">
            <v>20961.097923382695</v>
          </cell>
          <cell r="K544">
            <v>3592.6987407393376</v>
          </cell>
          <cell r="M544">
            <v>-20961.097923382695</v>
          </cell>
          <cell r="N544">
            <v>-3592.6987407393376</v>
          </cell>
        </row>
        <row r="545">
          <cell r="E545" t="str">
            <v>LL</v>
          </cell>
          <cell r="J545">
            <v>9099.4752515152995</v>
          </cell>
          <cell r="K545">
            <v>10905.933833030234</v>
          </cell>
          <cell r="M545">
            <v>-9099.4752515152995</v>
          </cell>
          <cell r="N545">
            <v>-10905.933833030234</v>
          </cell>
        </row>
        <row r="546">
          <cell r="E546" t="str">
            <v>PMK</v>
          </cell>
          <cell r="J546">
            <v>1815.1198620692055</v>
          </cell>
          <cell r="K546">
            <v>311.10864834386547</v>
          </cell>
          <cell r="M546">
            <v>-1815.1198620692055</v>
          </cell>
          <cell r="N546">
            <v>-311.10864834386547</v>
          </cell>
        </row>
        <row r="548">
          <cell r="C548" t="str">
            <v xml:space="preserve">A0054 </v>
          </cell>
          <cell r="D548" t="str">
            <v>PT Ekadura Indonesia &amp; Ekadura Dumai</v>
          </cell>
          <cell r="E548" t="str">
            <v>PEB 1</v>
          </cell>
          <cell r="M548">
            <v>0</v>
          </cell>
          <cell r="N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</row>
        <row r="549">
          <cell r="E549" t="str">
            <v>PEB 2</v>
          </cell>
          <cell r="M549">
            <v>0</v>
          </cell>
          <cell r="N549">
            <v>0</v>
          </cell>
        </row>
        <row r="550">
          <cell r="E550" t="str">
            <v>PEB 3</v>
          </cell>
          <cell r="M550">
            <v>0</v>
          </cell>
          <cell r="N550">
            <v>0</v>
          </cell>
        </row>
        <row r="551">
          <cell r="E551" t="str">
            <v>PEB 4</v>
          </cell>
          <cell r="M551">
            <v>0</v>
          </cell>
          <cell r="N551">
            <v>0</v>
          </cell>
        </row>
        <row r="552">
          <cell r="E552" t="str">
            <v>PEB 5</v>
          </cell>
          <cell r="M552">
            <v>0</v>
          </cell>
          <cell r="N552">
            <v>0</v>
          </cell>
        </row>
        <row r="553">
          <cell r="E553" t="str">
            <v>PEB 6</v>
          </cell>
          <cell r="M553">
            <v>0</v>
          </cell>
          <cell r="N553">
            <v>0</v>
          </cell>
        </row>
        <row r="554">
          <cell r="E554" t="str">
            <v>PEB 7 / TB</v>
          </cell>
          <cell r="M554">
            <v>0</v>
          </cell>
          <cell r="N554">
            <v>0</v>
          </cell>
        </row>
        <row r="555">
          <cell r="E555" t="str">
            <v>MPP</v>
          </cell>
          <cell r="M555">
            <v>0</v>
          </cell>
          <cell r="N555">
            <v>0</v>
          </cell>
        </row>
        <row r="556">
          <cell r="E556" t="str">
            <v>ID</v>
          </cell>
          <cell r="M556">
            <v>0</v>
          </cell>
          <cell r="N556">
            <v>0</v>
          </cell>
        </row>
        <row r="557">
          <cell r="E557" t="str">
            <v>LL</v>
          </cell>
          <cell r="M557">
            <v>0</v>
          </cell>
          <cell r="N557">
            <v>0</v>
          </cell>
        </row>
        <row r="558">
          <cell r="E558" t="str">
            <v>PMK</v>
          </cell>
          <cell r="M558">
            <v>0</v>
          </cell>
          <cell r="N558">
            <v>0</v>
          </cell>
        </row>
        <row r="560">
          <cell r="C560" t="str">
            <v>A0266</v>
          </cell>
          <cell r="D560" t="str">
            <v>PT Ekadura Perdana</v>
          </cell>
          <cell r="E560" t="str">
            <v>PEB 1</v>
          </cell>
          <cell r="M560">
            <v>0</v>
          </cell>
          <cell r="N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E561" t="str">
            <v>PEB 2</v>
          </cell>
          <cell r="M561">
            <v>0</v>
          </cell>
          <cell r="N561">
            <v>0</v>
          </cell>
        </row>
        <row r="562">
          <cell r="E562" t="str">
            <v>PEB 3</v>
          </cell>
          <cell r="M562">
            <v>0</v>
          </cell>
          <cell r="N562">
            <v>0</v>
          </cell>
        </row>
        <row r="563">
          <cell r="E563" t="str">
            <v>PEB 4</v>
          </cell>
          <cell r="M563">
            <v>0</v>
          </cell>
          <cell r="N563">
            <v>0</v>
          </cell>
        </row>
        <row r="564">
          <cell r="E564" t="str">
            <v>PEB 5</v>
          </cell>
          <cell r="M564">
            <v>0</v>
          </cell>
          <cell r="N564">
            <v>0</v>
          </cell>
        </row>
        <row r="565">
          <cell r="E565" t="str">
            <v>PEB 6</v>
          </cell>
          <cell r="M565">
            <v>0</v>
          </cell>
          <cell r="N565">
            <v>0</v>
          </cell>
        </row>
        <row r="566">
          <cell r="E566" t="str">
            <v>PEB 7 / TB</v>
          </cell>
          <cell r="M566">
            <v>0</v>
          </cell>
          <cell r="N566">
            <v>0</v>
          </cell>
        </row>
        <row r="567">
          <cell r="E567" t="str">
            <v>MPP</v>
          </cell>
          <cell r="M567">
            <v>0</v>
          </cell>
          <cell r="N567">
            <v>0</v>
          </cell>
        </row>
        <row r="568">
          <cell r="E568" t="str">
            <v>ID</v>
          </cell>
          <cell r="M568">
            <v>0</v>
          </cell>
          <cell r="N568">
            <v>0</v>
          </cell>
        </row>
        <row r="569">
          <cell r="E569" t="str">
            <v>LL</v>
          </cell>
          <cell r="M569">
            <v>0</v>
          </cell>
          <cell r="N569">
            <v>0</v>
          </cell>
        </row>
        <row r="570">
          <cell r="E570" t="str">
            <v>PMK</v>
          </cell>
          <cell r="M570">
            <v>0</v>
          </cell>
          <cell r="N570">
            <v>0</v>
          </cell>
        </row>
        <row r="572">
          <cell r="C572" t="str">
            <v>A0062</v>
          </cell>
          <cell r="D572" t="str">
            <v>PT FCSM Manufacturing Indonesia</v>
          </cell>
          <cell r="E572" t="str">
            <v>PEB 1</v>
          </cell>
          <cell r="M572">
            <v>0</v>
          </cell>
          <cell r="N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E573" t="str">
            <v>PEB 2</v>
          </cell>
          <cell r="M573">
            <v>0</v>
          </cell>
          <cell r="N573">
            <v>0</v>
          </cell>
        </row>
        <row r="574">
          <cell r="E574" t="str">
            <v>PEB 3</v>
          </cell>
          <cell r="M574">
            <v>0</v>
          </cell>
          <cell r="N574">
            <v>0</v>
          </cell>
        </row>
        <row r="575">
          <cell r="E575" t="str">
            <v>PEB 4</v>
          </cell>
          <cell r="M575">
            <v>0</v>
          </cell>
          <cell r="N575">
            <v>0</v>
          </cell>
        </row>
        <row r="576">
          <cell r="E576" t="str">
            <v>PEB 5</v>
          </cell>
          <cell r="M576">
            <v>0</v>
          </cell>
          <cell r="N576">
            <v>0</v>
          </cell>
        </row>
        <row r="577">
          <cell r="E577" t="str">
            <v>PEB 6</v>
          </cell>
          <cell r="M577">
            <v>0</v>
          </cell>
          <cell r="N577">
            <v>0</v>
          </cell>
        </row>
        <row r="578">
          <cell r="E578" t="str">
            <v>PEB 7 / TB</v>
          </cell>
          <cell r="M578">
            <v>0</v>
          </cell>
          <cell r="N578">
            <v>0</v>
          </cell>
        </row>
        <row r="579">
          <cell r="E579" t="str">
            <v>MPP</v>
          </cell>
          <cell r="M579">
            <v>0</v>
          </cell>
          <cell r="N579">
            <v>0</v>
          </cell>
        </row>
        <row r="580">
          <cell r="E580" t="str">
            <v>ID</v>
          </cell>
          <cell r="M580">
            <v>0</v>
          </cell>
          <cell r="N580">
            <v>0</v>
          </cell>
        </row>
        <row r="581">
          <cell r="E581" t="str">
            <v>LL</v>
          </cell>
          <cell r="M581">
            <v>0</v>
          </cell>
          <cell r="N581">
            <v>0</v>
          </cell>
        </row>
        <row r="582">
          <cell r="E582" t="str">
            <v>PMK</v>
          </cell>
          <cell r="M582">
            <v>0</v>
          </cell>
          <cell r="N582">
            <v>0</v>
          </cell>
        </row>
        <row r="584">
          <cell r="C584" t="str">
            <v>A0098</v>
          </cell>
          <cell r="D584" t="str">
            <v>PT Federal International Finance</v>
          </cell>
          <cell r="E584" t="str">
            <v>PEB 1</v>
          </cell>
          <cell r="M584">
            <v>0</v>
          </cell>
          <cell r="N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-1807375.9842837765</v>
          </cell>
          <cell r="U584">
            <v>-67184.892403262682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-216.72830082681983</v>
          </cell>
          <cell r="AA584">
            <v>-74.398507403191701</v>
          </cell>
          <cell r="AB584">
            <v>0</v>
          </cell>
          <cell r="AC584">
            <v>0</v>
          </cell>
          <cell r="AD584">
            <v>-1080.5461876936561</v>
          </cell>
          <cell r="AE584">
            <v>-370.92997655555251</v>
          </cell>
          <cell r="AF584">
            <v>-69704.144268183474</v>
          </cell>
          <cell r="AG584">
            <v>-30602.814599580834</v>
          </cell>
          <cell r="AH584">
            <v>-1725.3433723119995</v>
          </cell>
          <cell r="AI584">
            <v>-39.327294434120944</v>
          </cell>
        </row>
        <row r="585">
          <cell r="E585" t="str">
            <v>PEB 2</v>
          </cell>
          <cell r="M585">
            <v>0</v>
          </cell>
          <cell r="N585">
            <v>0</v>
          </cell>
          <cell r="P585">
            <v>0</v>
          </cell>
          <cell r="Q585">
            <v>0</v>
          </cell>
          <cell r="R585">
            <v>-1807375.9842837765</v>
          </cell>
          <cell r="S585">
            <v>-67184.892403262682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-216.72830082681983</v>
          </cell>
          <cell r="Y585">
            <v>-74.398507403191701</v>
          </cell>
          <cell r="Z585">
            <v>0</v>
          </cell>
          <cell r="AA585">
            <v>0</v>
          </cell>
          <cell r="AB585">
            <v>-1080.5461876936561</v>
          </cell>
          <cell r="AC585">
            <v>-370.92997655555251</v>
          </cell>
          <cell r="AD585">
            <v>-69704.144268183474</v>
          </cell>
          <cell r="AE585">
            <v>-30602.814599580834</v>
          </cell>
          <cell r="AF585">
            <v>-1725.3433723119995</v>
          </cell>
          <cell r="AG585">
            <v>-39.327294434120944</v>
          </cell>
          <cell r="AH585">
            <v>0</v>
          </cell>
          <cell r="AI585">
            <v>0</v>
          </cell>
        </row>
        <row r="586">
          <cell r="E586" t="str">
            <v>PEB 3</v>
          </cell>
          <cell r="M586">
            <v>0</v>
          </cell>
          <cell r="N586">
            <v>0</v>
          </cell>
          <cell r="P586">
            <v>-1807375.9842837765</v>
          </cell>
          <cell r="Q586">
            <v>-67184.892403262682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-216.72830082681983</v>
          </cell>
          <cell r="W586">
            <v>-74.398507403191701</v>
          </cell>
          <cell r="X586">
            <v>0</v>
          </cell>
          <cell r="Y586">
            <v>0</v>
          </cell>
          <cell r="Z586">
            <v>-1080.5461876936561</v>
          </cell>
          <cell r="AA586">
            <v>-370.92997655555251</v>
          </cell>
          <cell r="AB586">
            <v>-69704.144268183474</v>
          </cell>
          <cell r="AC586">
            <v>-30602.814599580834</v>
          </cell>
          <cell r="AD586">
            <v>-1725.3433723119995</v>
          </cell>
          <cell r="AE586">
            <v>-39.327294434120944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E587" t="str">
            <v>PEB 4</v>
          </cell>
          <cell r="J587">
            <v>1807375.9842837765</v>
          </cell>
          <cell r="K587">
            <v>67184.892403262682</v>
          </cell>
          <cell r="M587">
            <v>-1807375.9842837765</v>
          </cell>
          <cell r="N587">
            <v>-67184.892403262682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-216.72830082681983</v>
          </cell>
          <cell r="U587">
            <v>-74.398507403191701</v>
          </cell>
          <cell r="V587">
            <v>0</v>
          </cell>
          <cell r="W587">
            <v>0</v>
          </cell>
          <cell r="X587">
            <v>-1080.5461876936561</v>
          </cell>
          <cell r="Y587">
            <v>-370.92997655555251</v>
          </cell>
          <cell r="Z587">
            <v>-69704.144268183474</v>
          </cell>
          <cell r="AA587">
            <v>-30602.814599580834</v>
          </cell>
          <cell r="AB587">
            <v>-1725.3433723119995</v>
          </cell>
          <cell r="AC587">
            <v>-39.327294434120944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E588" t="str">
            <v>PEB 5</v>
          </cell>
          <cell r="M588">
            <v>0</v>
          </cell>
          <cell r="N588">
            <v>0</v>
          </cell>
          <cell r="P588">
            <v>0</v>
          </cell>
          <cell r="Q588">
            <v>0</v>
          </cell>
          <cell r="R588">
            <v>-216.72830082681983</v>
          </cell>
          <cell r="S588">
            <v>-74.398507403191701</v>
          </cell>
          <cell r="T588">
            <v>0</v>
          </cell>
          <cell r="U588">
            <v>0</v>
          </cell>
          <cell r="V588">
            <v>-1080.5461876936561</v>
          </cell>
          <cell r="W588">
            <v>-370.92997655555251</v>
          </cell>
          <cell r="X588">
            <v>-69704.144268183474</v>
          </cell>
          <cell r="Y588">
            <v>-30602.814599580834</v>
          </cell>
          <cell r="Z588">
            <v>-1725.3433723119995</v>
          </cell>
          <cell r="AA588">
            <v>-39.327294434120944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</row>
        <row r="589">
          <cell r="E589" t="str">
            <v>PEB 6</v>
          </cell>
          <cell r="M589">
            <v>0</v>
          </cell>
          <cell r="N589">
            <v>0</v>
          </cell>
          <cell r="P589">
            <v>-216.72830082681983</v>
          </cell>
          <cell r="Q589">
            <v>-74.398507403191701</v>
          </cell>
          <cell r="R589">
            <v>0</v>
          </cell>
          <cell r="S589">
            <v>0</v>
          </cell>
          <cell r="T589">
            <v>-1080.5461876936561</v>
          </cell>
          <cell r="U589">
            <v>-370.92997655555251</v>
          </cell>
          <cell r="V589">
            <v>-69704.144268183474</v>
          </cell>
          <cell r="W589">
            <v>-30602.814599580834</v>
          </cell>
          <cell r="X589">
            <v>-1725.3433723119995</v>
          </cell>
          <cell r="Y589">
            <v>-39.327294434120944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E590" t="str">
            <v>PEB 7 / TB</v>
          </cell>
          <cell r="J590">
            <v>216.72830082681983</v>
          </cell>
          <cell r="K590">
            <v>74.398507403191701</v>
          </cell>
          <cell r="M590">
            <v>-216.72830082681983</v>
          </cell>
          <cell r="N590">
            <v>-74.398507403191701</v>
          </cell>
          <cell r="P590">
            <v>0</v>
          </cell>
          <cell r="Q590">
            <v>0</v>
          </cell>
          <cell r="R590">
            <v>-1080.5461876936561</v>
          </cell>
          <cell r="S590">
            <v>-370.92997655555251</v>
          </cell>
          <cell r="T590">
            <v>-69704.144268183474</v>
          </cell>
          <cell r="U590">
            <v>-30602.814599580834</v>
          </cell>
          <cell r="V590">
            <v>-1725.3433723119995</v>
          </cell>
          <cell r="W590">
            <v>-39.327294434120944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E591" t="str">
            <v>MPP</v>
          </cell>
          <cell r="M591">
            <v>0</v>
          </cell>
          <cell r="N591">
            <v>0</v>
          </cell>
          <cell r="P591">
            <v>-1080.5461876936561</v>
          </cell>
          <cell r="Q591">
            <v>-370.92997655555251</v>
          </cell>
          <cell r="R591">
            <v>-69704.144268183474</v>
          </cell>
          <cell r="S591">
            <v>-30602.814599580834</v>
          </cell>
          <cell r="T591">
            <v>-1725.3433723119995</v>
          </cell>
          <cell r="U591">
            <v>-39.327294434120944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</row>
        <row r="592">
          <cell r="E592" t="str">
            <v>ID</v>
          </cell>
          <cell r="J592">
            <v>1080.5461876936561</v>
          </cell>
          <cell r="K592">
            <v>370.92997655555251</v>
          </cell>
          <cell r="M592">
            <v>-1080.5461876936561</v>
          </cell>
          <cell r="N592">
            <v>-370.92997655555251</v>
          </cell>
          <cell r="P592">
            <v>-69704.144268183474</v>
          </cell>
          <cell r="Q592">
            <v>-30602.814599580834</v>
          </cell>
          <cell r="R592">
            <v>-1725.3433723119995</v>
          </cell>
          <cell r="S592">
            <v>-39.327294434120944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E593" t="str">
            <v>LL</v>
          </cell>
          <cell r="J593">
            <v>69704.144268183474</v>
          </cell>
          <cell r="K593">
            <v>30602.814599580834</v>
          </cell>
          <cell r="M593">
            <v>-69704.144268183474</v>
          </cell>
          <cell r="N593">
            <v>-30602.814599580834</v>
          </cell>
          <cell r="P593">
            <v>-1725.3433723119995</v>
          </cell>
          <cell r="Q593">
            <v>-39.327294434120944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E594" t="str">
            <v>PMK</v>
          </cell>
          <cell r="J594">
            <v>1725.3433723119995</v>
          </cell>
          <cell r="K594">
            <v>39.327294434120944</v>
          </cell>
          <cell r="M594">
            <v>-1725.3433723119995</v>
          </cell>
          <cell r="N594">
            <v>-39.327294434120944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6">
          <cell r="C596" t="str">
            <v>A0059</v>
          </cell>
          <cell r="D596" t="str">
            <v>PT Federal Izumi Manufacturing</v>
          </cell>
          <cell r="E596" t="str">
            <v>PEB 1</v>
          </cell>
          <cell r="M596">
            <v>0</v>
          </cell>
          <cell r="N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E597" t="str">
            <v>PEB 2</v>
          </cell>
          <cell r="M597">
            <v>0</v>
          </cell>
          <cell r="N597">
            <v>0</v>
          </cell>
        </row>
        <row r="598">
          <cell r="E598" t="str">
            <v>PEB 3</v>
          </cell>
          <cell r="M598">
            <v>0</v>
          </cell>
          <cell r="N598">
            <v>0</v>
          </cell>
        </row>
        <row r="599">
          <cell r="E599" t="str">
            <v>PEB 4</v>
          </cell>
          <cell r="M599">
            <v>0</v>
          </cell>
          <cell r="N599">
            <v>0</v>
          </cell>
        </row>
        <row r="600">
          <cell r="E600" t="str">
            <v>PEB 5</v>
          </cell>
          <cell r="M600">
            <v>0</v>
          </cell>
          <cell r="N600">
            <v>0</v>
          </cell>
        </row>
        <row r="601">
          <cell r="E601" t="str">
            <v>PEB 6</v>
          </cell>
          <cell r="M601">
            <v>0</v>
          </cell>
          <cell r="N601">
            <v>0</v>
          </cell>
        </row>
        <row r="602">
          <cell r="E602" t="str">
            <v>PEB 7 / TB</v>
          </cell>
          <cell r="M602">
            <v>0</v>
          </cell>
          <cell r="N602">
            <v>0</v>
          </cell>
        </row>
        <row r="603">
          <cell r="E603" t="str">
            <v>MPP</v>
          </cell>
          <cell r="M603">
            <v>0</v>
          </cell>
          <cell r="N603">
            <v>0</v>
          </cell>
        </row>
        <row r="604">
          <cell r="E604" t="str">
            <v>ID</v>
          </cell>
          <cell r="M604">
            <v>0</v>
          </cell>
          <cell r="N604">
            <v>0</v>
          </cell>
        </row>
        <row r="605">
          <cell r="E605" t="str">
            <v>LL</v>
          </cell>
          <cell r="M605">
            <v>0</v>
          </cell>
          <cell r="N605">
            <v>0</v>
          </cell>
        </row>
        <row r="606">
          <cell r="E606" t="str">
            <v>PMK</v>
          </cell>
          <cell r="M606">
            <v>0</v>
          </cell>
          <cell r="N606">
            <v>0</v>
          </cell>
        </row>
        <row r="608">
          <cell r="C608" t="str">
            <v>A0274</v>
          </cell>
          <cell r="D608" t="str">
            <v>PT Federal Nittan Industries</v>
          </cell>
          <cell r="E608" t="str">
            <v>PEB 1</v>
          </cell>
          <cell r="M608">
            <v>0</v>
          </cell>
          <cell r="N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</row>
        <row r="609">
          <cell r="E609" t="str">
            <v>PEB 2</v>
          </cell>
          <cell r="M609">
            <v>0</v>
          </cell>
          <cell r="N609">
            <v>0</v>
          </cell>
        </row>
        <row r="610">
          <cell r="E610" t="str">
            <v>PEB 3</v>
          </cell>
          <cell r="M610">
            <v>0</v>
          </cell>
          <cell r="N610">
            <v>0</v>
          </cell>
        </row>
        <row r="611">
          <cell r="E611" t="str">
            <v>PEB 4</v>
          </cell>
          <cell r="M611">
            <v>0</v>
          </cell>
          <cell r="N611">
            <v>0</v>
          </cell>
        </row>
        <row r="612">
          <cell r="E612" t="str">
            <v>PEB 5</v>
          </cell>
          <cell r="M612">
            <v>0</v>
          </cell>
          <cell r="N612">
            <v>0</v>
          </cell>
        </row>
        <row r="613">
          <cell r="E613" t="str">
            <v>PEB 6</v>
          </cell>
          <cell r="M613">
            <v>0</v>
          </cell>
          <cell r="N613">
            <v>0</v>
          </cell>
        </row>
        <row r="614">
          <cell r="E614" t="str">
            <v>PEB 7 / TB</v>
          </cell>
          <cell r="M614">
            <v>0</v>
          </cell>
          <cell r="N614">
            <v>0</v>
          </cell>
        </row>
        <row r="615">
          <cell r="E615" t="str">
            <v>MPP</v>
          </cell>
          <cell r="M615">
            <v>0</v>
          </cell>
          <cell r="N615">
            <v>0</v>
          </cell>
        </row>
        <row r="616">
          <cell r="E616" t="str">
            <v>ID</v>
          </cell>
          <cell r="M616">
            <v>0</v>
          </cell>
          <cell r="N616">
            <v>0</v>
          </cell>
        </row>
        <row r="617">
          <cell r="E617" t="str">
            <v>LL</v>
          </cell>
          <cell r="M617">
            <v>0</v>
          </cell>
          <cell r="N617">
            <v>0</v>
          </cell>
        </row>
        <row r="618">
          <cell r="E618" t="str">
            <v>PMK</v>
          </cell>
          <cell r="M618">
            <v>0</v>
          </cell>
          <cell r="N618">
            <v>0</v>
          </cell>
        </row>
        <row r="620">
          <cell r="C620" t="str">
            <v>A0275</v>
          </cell>
          <cell r="D620" t="str">
            <v>PT Fuji Technica Indonesia</v>
          </cell>
          <cell r="E620" t="str">
            <v>PEB 1</v>
          </cell>
          <cell r="M620">
            <v>0</v>
          </cell>
          <cell r="N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E621" t="str">
            <v>PEB 2</v>
          </cell>
          <cell r="M621">
            <v>0</v>
          </cell>
          <cell r="N621">
            <v>0</v>
          </cell>
        </row>
        <row r="622">
          <cell r="E622" t="str">
            <v>PEB 3</v>
          </cell>
          <cell r="M622">
            <v>0</v>
          </cell>
          <cell r="N622">
            <v>0</v>
          </cell>
        </row>
        <row r="623">
          <cell r="E623" t="str">
            <v>PEB 4</v>
          </cell>
          <cell r="M623">
            <v>0</v>
          </cell>
          <cell r="N623">
            <v>0</v>
          </cell>
        </row>
        <row r="624">
          <cell r="E624" t="str">
            <v>PEB 5</v>
          </cell>
          <cell r="M624">
            <v>0</v>
          </cell>
          <cell r="N624">
            <v>0</v>
          </cell>
        </row>
        <row r="625">
          <cell r="E625" t="str">
            <v>PEB 6</v>
          </cell>
          <cell r="M625">
            <v>0</v>
          </cell>
          <cell r="N625">
            <v>0</v>
          </cell>
        </row>
        <row r="626">
          <cell r="E626" t="str">
            <v>PEB 7 / TB</v>
          </cell>
          <cell r="M626">
            <v>0</v>
          </cell>
          <cell r="N626">
            <v>0</v>
          </cell>
        </row>
        <row r="627">
          <cell r="E627" t="str">
            <v>MPP</v>
          </cell>
          <cell r="M627">
            <v>0</v>
          </cell>
          <cell r="N627">
            <v>0</v>
          </cell>
        </row>
        <row r="628">
          <cell r="E628" t="str">
            <v>ID</v>
          </cell>
          <cell r="M628">
            <v>0</v>
          </cell>
          <cell r="N628">
            <v>0</v>
          </cell>
        </row>
        <row r="629">
          <cell r="E629" t="str">
            <v>LL</v>
          </cell>
          <cell r="M629">
            <v>0</v>
          </cell>
          <cell r="N629">
            <v>0</v>
          </cell>
        </row>
        <row r="630">
          <cell r="E630" t="str">
            <v>PMK</v>
          </cell>
          <cell r="M630">
            <v>0</v>
          </cell>
          <cell r="N630">
            <v>0</v>
          </cell>
        </row>
        <row r="632">
          <cell r="C632" t="str">
            <v>A0065</v>
          </cell>
          <cell r="D632" t="str">
            <v>PT Gaya Motor</v>
          </cell>
          <cell r="E632" t="str">
            <v>PEB 1</v>
          </cell>
          <cell r="M632">
            <v>0</v>
          </cell>
          <cell r="N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E633" t="str">
            <v>PEB 2</v>
          </cell>
          <cell r="M633">
            <v>0</v>
          </cell>
          <cell r="N633">
            <v>0</v>
          </cell>
        </row>
        <row r="634">
          <cell r="E634" t="str">
            <v>PEB 3</v>
          </cell>
          <cell r="M634">
            <v>0</v>
          </cell>
          <cell r="N634">
            <v>0</v>
          </cell>
        </row>
        <row r="635">
          <cell r="E635" t="str">
            <v>PEB 4</v>
          </cell>
          <cell r="M635">
            <v>0</v>
          </cell>
          <cell r="N635">
            <v>0</v>
          </cell>
        </row>
        <row r="636">
          <cell r="E636" t="str">
            <v>PEB 5</v>
          </cell>
          <cell r="M636">
            <v>0</v>
          </cell>
          <cell r="N636">
            <v>0</v>
          </cell>
        </row>
        <row r="637">
          <cell r="E637" t="str">
            <v>PEB 6</v>
          </cell>
          <cell r="M637">
            <v>0</v>
          </cell>
          <cell r="N637">
            <v>0</v>
          </cell>
        </row>
        <row r="638">
          <cell r="E638" t="str">
            <v>PEB 7 / TB</v>
          </cell>
          <cell r="M638">
            <v>0</v>
          </cell>
          <cell r="N638">
            <v>0</v>
          </cell>
        </row>
        <row r="639">
          <cell r="E639" t="str">
            <v>MPP</v>
          </cell>
          <cell r="M639">
            <v>0</v>
          </cell>
          <cell r="N639">
            <v>0</v>
          </cell>
        </row>
        <row r="640">
          <cell r="E640" t="str">
            <v>ID</v>
          </cell>
          <cell r="M640">
            <v>0</v>
          </cell>
          <cell r="N640">
            <v>0</v>
          </cell>
        </row>
        <row r="641">
          <cell r="E641" t="str">
            <v>LL</v>
          </cell>
          <cell r="M641">
            <v>0</v>
          </cell>
          <cell r="N641">
            <v>0</v>
          </cell>
        </row>
        <row r="642">
          <cell r="E642" t="str">
            <v>PMK</v>
          </cell>
          <cell r="M642">
            <v>0</v>
          </cell>
          <cell r="N642">
            <v>0</v>
          </cell>
        </row>
        <row r="644">
          <cell r="C644" t="str">
            <v>A0070</v>
          </cell>
          <cell r="D644" t="str">
            <v>PT GS Battery</v>
          </cell>
          <cell r="E644" t="str">
            <v>PEB 1</v>
          </cell>
          <cell r="M644">
            <v>0</v>
          </cell>
          <cell r="N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</row>
        <row r="645">
          <cell r="E645" t="str">
            <v>PEB 2</v>
          </cell>
          <cell r="M645">
            <v>0</v>
          </cell>
          <cell r="N645">
            <v>0</v>
          </cell>
        </row>
        <row r="646">
          <cell r="E646" t="str">
            <v>PEB 3</v>
          </cell>
          <cell r="M646">
            <v>0</v>
          </cell>
          <cell r="N646">
            <v>0</v>
          </cell>
        </row>
        <row r="647">
          <cell r="E647" t="str">
            <v>PEB 4</v>
          </cell>
          <cell r="M647">
            <v>0</v>
          </cell>
          <cell r="N647">
            <v>0</v>
          </cell>
        </row>
        <row r="648">
          <cell r="E648" t="str">
            <v>PEB 5</v>
          </cell>
          <cell r="M648">
            <v>0</v>
          </cell>
          <cell r="N648">
            <v>0</v>
          </cell>
        </row>
        <row r="649">
          <cell r="E649" t="str">
            <v>PEB 6</v>
          </cell>
          <cell r="M649">
            <v>0</v>
          </cell>
          <cell r="N649">
            <v>0</v>
          </cell>
        </row>
        <row r="650">
          <cell r="E650" t="str">
            <v>PEB 7 / TB</v>
          </cell>
          <cell r="M650">
            <v>0</v>
          </cell>
          <cell r="N650">
            <v>0</v>
          </cell>
        </row>
        <row r="651">
          <cell r="E651" t="str">
            <v>MPP</v>
          </cell>
          <cell r="M651">
            <v>0</v>
          </cell>
          <cell r="N651">
            <v>0</v>
          </cell>
        </row>
        <row r="652">
          <cell r="E652" t="str">
            <v>ID</v>
          </cell>
          <cell r="M652">
            <v>0</v>
          </cell>
          <cell r="N652">
            <v>0</v>
          </cell>
        </row>
        <row r="653">
          <cell r="E653" t="str">
            <v>LL</v>
          </cell>
          <cell r="M653">
            <v>0</v>
          </cell>
          <cell r="N653">
            <v>0</v>
          </cell>
        </row>
        <row r="654">
          <cell r="E654" t="str">
            <v>PMK</v>
          </cell>
          <cell r="M654">
            <v>0</v>
          </cell>
          <cell r="N654">
            <v>0</v>
          </cell>
        </row>
        <row r="656">
          <cell r="C656" t="str">
            <v>A0254</v>
          </cell>
          <cell r="D656" t="str">
            <v>PT Gunung Sejahtera Dua Indah</v>
          </cell>
          <cell r="E656" t="str">
            <v>PEB 1</v>
          </cell>
          <cell r="M656">
            <v>0</v>
          </cell>
          <cell r="N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E657" t="str">
            <v>PEB 2</v>
          </cell>
          <cell r="M657">
            <v>0</v>
          </cell>
          <cell r="N657">
            <v>0</v>
          </cell>
        </row>
        <row r="658">
          <cell r="E658" t="str">
            <v>PEB 3</v>
          </cell>
          <cell r="M658">
            <v>0</v>
          </cell>
          <cell r="N658">
            <v>0</v>
          </cell>
        </row>
        <row r="659">
          <cell r="E659" t="str">
            <v>PEB 4</v>
          </cell>
          <cell r="M659">
            <v>0</v>
          </cell>
          <cell r="N659">
            <v>0</v>
          </cell>
        </row>
        <row r="660">
          <cell r="E660" t="str">
            <v>PEB 5</v>
          </cell>
          <cell r="M660">
            <v>0</v>
          </cell>
          <cell r="N660">
            <v>0</v>
          </cell>
        </row>
        <row r="661">
          <cell r="E661" t="str">
            <v>PEB 6</v>
          </cell>
          <cell r="M661">
            <v>0</v>
          </cell>
          <cell r="N661">
            <v>0</v>
          </cell>
        </row>
        <row r="662">
          <cell r="E662" t="str">
            <v>PEB 7 / TB</v>
          </cell>
          <cell r="M662">
            <v>0</v>
          </cell>
          <cell r="N662">
            <v>0</v>
          </cell>
        </row>
        <row r="663">
          <cell r="E663" t="str">
            <v>MPP</v>
          </cell>
          <cell r="M663">
            <v>0</v>
          </cell>
          <cell r="N663">
            <v>0</v>
          </cell>
        </row>
        <row r="664">
          <cell r="E664" t="str">
            <v>ID</v>
          </cell>
          <cell r="M664">
            <v>0</v>
          </cell>
          <cell r="N664">
            <v>0</v>
          </cell>
        </row>
        <row r="665">
          <cell r="E665" t="str">
            <v>LL</v>
          </cell>
          <cell r="M665">
            <v>0</v>
          </cell>
          <cell r="N665">
            <v>0</v>
          </cell>
        </row>
        <row r="666">
          <cell r="E666" t="str">
            <v>PMK</v>
          </cell>
          <cell r="M666">
            <v>0</v>
          </cell>
          <cell r="N666">
            <v>0</v>
          </cell>
        </row>
        <row r="668">
          <cell r="C668" t="str">
            <v>A0256</v>
          </cell>
          <cell r="D668" t="str">
            <v>PT Gunung Sejahtera Ibu Pertiwi</v>
          </cell>
          <cell r="E668" t="str">
            <v>PEB 1</v>
          </cell>
          <cell r="M668">
            <v>0</v>
          </cell>
          <cell r="N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</row>
        <row r="669">
          <cell r="E669" t="str">
            <v>PEB 2</v>
          </cell>
          <cell r="M669">
            <v>0</v>
          </cell>
          <cell r="N669">
            <v>0</v>
          </cell>
        </row>
        <row r="670">
          <cell r="E670" t="str">
            <v>PEB 3</v>
          </cell>
          <cell r="M670">
            <v>0</v>
          </cell>
          <cell r="N670">
            <v>0</v>
          </cell>
        </row>
        <row r="671">
          <cell r="E671" t="str">
            <v>PEB 4</v>
          </cell>
          <cell r="M671">
            <v>0</v>
          </cell>
          <cell r="N671">
            <v>0</v>
          </cell>
        </row>
        <row r="672">
          <cell r="E672" t="str">
            <v>PEB 5</v>
          </cell>
          <cell r="M672">
            <v>0</v>
          </cell>
          <cell r="N672">
            <v>0</v>
          </cell>
        </row>
        <row r="673">
          <cell r="E673" t="str">
            <v>PEB 6</v>
          </cell>
          <cell r="M673">
            <v>0</v>
          </cell>
          <cell r="N673">
            <v>0</v>
          </cell>
        </row>
        <row r="674">
          <cell r="E674" t="str">
            <v>PEB 7 / TB</v>
          </cell>
          <cell r="M674">
            <v>0</v>
          </cell>
          <cell r="N674">
            <v>0</v>
          </cell>
        </row>
        <row r="675">
          <cell r="E675" t="str">
            <v>MPP</v>
          </cell>
          <cell r="M675">
            <v>0</v>
          </cell>
          <cell r="N675">
            <v>0</v>
          </cell>
        </row>
        <row r="676">
          <cell r="E676" t="str">
            <v>ID</v>
          </cell>
          <cell r="M676">
            <v>0</v>
          </cell>
          <cell r="N676">
            <v>0</v>
          </cell>
        </row>
        <row r="677">
          <cell r="E677" t="str">
            <v>LL</v>
          </cell>
          <cell r="M677">
            <v>0</v>
          </cell>
          <cell r="N677">
            <v>0</v>
          </cell>
        </row>
        <row r="678">
          <cell r="E678" t="str">
            <v>PMK</v>
          </cell>
          <cell r="M678">
            <v>0</v>
          </cell>
          <cell r="N678">
            <v>0</v>
          </cell>
        </row>
        <row r="680">
          <cell r="C680" t="str">
            <v>A0250</v>
          </cell>
          <cell r="D680" t="str">
            <v>PT Gunung Sejahtera Puti Pesona</v>
          </cell>
          <cell r="E680" t="str">
            <v>PEB 1</v>
          </cell>
          <cell r="M680">
            <v>0</v>
          </cell>
          <cell r="N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</row>
        <row r="681">
          <cell r="E681" t="str">
            <v>PEB 2</v>
          </cell>
          <cell r="M681">
            <v>0</v>
          </cell>
          <cell r="N681">
            <v>0</v>
          </cell>
        </row>
        <row r="682">
          <cell r="E682" t="str">
            <v>PEB 3</v>
          </cell>
          <cell r="M682">
            <v>0</v>
          </cell>
          <cell r="N682">
            <v>0</v>
          </cell>
        </row>
        <row r="683">
          <cell r="E683" t="str">
            <v>PEB 4</v>
          </cell>
          <cell r="M683">
            <v>0</v>
          </cell>
          <cell r="N683">
            <v>0</v>
          </cell>
        </row>
        <row r="684">
          <cell r="E684" t="str">
            <v>PEB 5</v>
          </cell>
          <cell r="M684">
            <v>0</v>
          </cell>
          <cell r="N684">
            <v>0</v>
          </cell>
        </row>
        <row r="685">
          <cell r="E685" t="str">
            <v>PEB 6</v>
          </cell>
          <cell r="M685">
            <v>0</v>
          </cell>
          <cell r="N685">
            <v>0</v>
          </cell>
        </row>
        <row r="686">
          <cell r="E686" t="str">
            <v>PEB 7 / TB</v>
          </cell>
          <cell r="M686">
            <v>0</v>
          </cell>
          <cell r="N686">
            <v>0</v>
          </cell>
        </row>
        <row r="687">
          <cell r="E687" t="str">
            <v>MPP</v>
          </cell>
          <cell r="M687">
            <v>0</v>
          </cell>
          <cell r="N687">
            <v>0</v>
          </cell>
        </row>
        <row r="688">
          <cell r="E688" t="str">
            <v>ID</v>
          </cell>
          <cell r="M688">
            <v>0</v>
          </cell>
          <cell r="N688">
            <v>0</v>
          </cell>
        </row>
        <row r="689">
          <cell r="E689" t="str">
            <v>LL</v>
          </cell>
          <cell r="M689">
            <v>0</v>
          </cell>
          <cell r="N689">
            <v>0</v>
          </cell>
        </row>
        <row r="690">
          <cell r="E690" t="str">
            <v>PMK</v>
          </cell>
          <cell r="M690">
            <v>0</v>
          </cell>
          <cell r="N690">
            <v>0</v>
          </cell>
        </row>
        <row r="692">
          <cell r="C692" t="str">
            <v>A0252</v>
          </cell>
          <cell r="D692" t="str">
            <v>PT Gunung Sejahtera Yoli Makmur</v>
          </cell>
          <cell r="E692" t="str">
            <v>PEB 1</v>
          </cell>
          <cell r="M692">
            <v>0</v>
          </cell>
          <cell r="N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</row>
        <row r="693">
          <cell r="E693" t="str">
            <v>PEB 2</v>
          </cell>
          <cell r="M693">
            <v>0</v>
          </cell>
          <cell r="N693">
            <v>0</v>
          </cell>
        </row>
        <row r="694">
          <cell r="E694" t="str">
            <v>PEB 3</v>
          </cell>
          <cell r="M694">
            <v>0</v>
          </cell>
          <cell r="N694">
            <v>0</v>
          </cell>
        </row>
        <row r="695">
          <cell r="E695" t="str">
            <v>PEB 4</v>
          </cell>
          <cell r="M695">
            <v>0</v>
          </cell>
          <cell r="N695">
            <v>0</v>
          </cell>
        </row>
        <row r="696">
          <cell r="E696" t="str">
            <v>PEB 5</v>
          </cell>
          <cell r="M696">
            <v>0</v>
          </cell>
          <cell r="N696">
            <v>0</v>
          </cell>
        </row>
        <row r="697">
          <cell r="E697" t="str">
            <v>PEB 6</v>
          </cell>
          <cell r="M697">
            <v>0</v>
          </cell>
          <cell r="N697">
            <v>0</v>
          </cell>
        </row>
        <row r="698">
          <cell r="E698" t="str">
            <v>PEB 7 / TB</v>
          </cell>
          <cell r="M698">
            <v>0</v>
          </cell>
          <cell r="N698">
            <v>0</v>
          </cell>
        </row>
        <row r="699">
          <cell r="E699" t="str">
            <v>MPP</v>
          </cell>
          <cell r="M699">
            <v>0</v>
          </cell>
          <cell r="N699">
            <v>0</v>
          </cell>
        </row>
        <row r="700">
          <cell r="E700" t="str">
            <v>ID</v>
          </cell>
          <cell r="M700">
            <v>0</v>
          </cell>
          <cell r="N700">
            <v>0</v>
          </cell>
        </row>
        <row r="701">
          <cell r="E701" t="str">
            <v>LL</v>
          </cell>
          <cell r="M701">
            <v>0</v>
          </cell>
          <cell r="N701">
            <v>0</v>
          </cell>
        </row>
        <row r="702">
          <cell r="E702" t="str">
            <v>PMK</v>
          </cell>
          <cell r="M702">
            <v>0</v>
          </cell>
          <cell r="N702">
            <v>0</v>
          </cell>
        </row>
        <row r="704">
          <cell r="C704" t="str">
            <v>A0077</v>
          </cell>
          <cell r="D704" t="str">
            <v>PT Indokarlo Perkasa</v>
          </cell>
          <cell r="E704" t="str">
            <v>PEB 1</v>
          </cell>
          <cell r="M704">
            <v>0</v>
          </cell>
          <cell r="N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</row>
        <row r="705">
          <cell r="E705" t="str">
            <v>PEB 2</v>
          </cell>
          <cell r="M705">
            <v>0</v>
          </cell>
          <cell r="N705">
            <v>0</v>
          </cell>
        </row>
        <row r="706">
          <cell r="E706" t="str">
            <v>PEB 3</v>
          </cell>
          <cell r="M706">
            <v>0</v>
          </cell>
          <cell r="N706">
            <v>0</v>
          </cell>
        </row>
        <row r="707">
          <cell r="E707" t="str">
            <v>PEB 4</v>
          </cell>
          <cell r="M707">
            <v>0</v>
          </cell>
          <cell r="N707">
            <v>0</v>
          </cell>
        </row>
        <row r="708">
          <cell r="E708" t="str">
            <v>PEB 5</v>
          </cell>
          <cell r="M708">
            <v>0</v>
          </cell>
          <cell r="N708">
            <v>0</v>
          </cell>
        </row>
        <row r="709">
          <cell r="E709" t="str">
            <v>PEB 6</v>
          </cell>
          <cell r="M709">
            <v>0</v>
          </cell>
          <cell r="N709">
            <v>0</v>
          </cell>
        </row>
        <row r="710">
          <cell r="E710" t="str">
            <v>PEB 7 / TB</v>
          </cell>
          <cell r="M710">
            <v>0</v>
          </cell>
          <cell r="N710">
            <v>0</v>
          </cell>
        </row>
        <row r="711">
          <cell r="E711" t="str">
            <v>MPP</v>
          </cell>
          <cell r="M711">
            <v>0</v>
          </cell>
          <cell r="N711">
            <v>0</v>
          </cell>
        </row>
        <row r="712">
          <cell r="E712" t="str">
            <v>ID</v>
          </cell>
          <cell r="M712">
            <v>0</v>
          </cell>
          <cell r="N712">
            <v>0</v>
          </cell>
        </row>
        <row r="713">
          <cell r="E713" t="str">
            <v>LL</v>
          </cell>
          <cell r="M713">
            <v>0</v>
          </cell>
          <cell r="N713">
            <v>0</v>
          </cell>
        </row>
        <row r="714">
          <cell r="E714" t="str">
            <v>PMK</v>
          </cell>
          <cell r="M714">
            <v>0</v>
          </cell>
          <cell r="N714">
            <v>0</v>
          </cell>
        </row>
        <row r="716">
          <cell r="C716" t="str">
            <v>A0079</v>
          </cell>
          <cell r="D716" t="str">
            <v>PT Intertel Nusaperdana</v>
          </cell>
          <cell r="E716" t="str">
            <v>PEB 1</v>
          </cell>
          <cell r="M716">
            <v>0</v>
          </cell>
          <cell r="N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</row>
        <row r="717">
          <cell r="E717" t="str">
            <v>PEB 2</v>
          </cell>
          <cell r="M717">
            <v>0</v>
          </cell>
          <cell r="N717">
            <v>0</v>
          </cell>
        </row>
        <row r="718">
          <cell r="E718" t="str">
            <v>PEB 3</v>
          </cell>
          <cell r="M718">
            <v>0</v>
          </cell>
          <cell r="N718">
            <v>0</v>
          </cell>
        </row>
        <row r="719">
          <cell r="E719" t="str">
            <v>PEB 4</v>
          </cell>
          <cell r="M719">
            <v>0</v>
          </cell>
          <cell r="N719">
            <v>0</v>
          </cell>
        </row>
        <row r="720">
          <cell r="E720" t="str">
            <v>PEB 5</v>
          </cell>
          <cell r="M720">
            <v>0</v>
          </cell>
          <cell r="N720">
            <v>0</v>
          </cell>
        </row>
        <row r="721">
          <cell r="E721" t="str">
            <v>PEB 6</v>
          </cell>
          <cell r="M721">
            <v>0</v>
          </cell>
          <cell r="N721">
            <v>0</v>
          </cell>
        </row>
        <row r="722">
          <cell r="E722" t="str">
            <v>PEB 7 / TB</v>
          </cell>
          <cell r="M722">
            <v>0</v>
          </cell>
          <cell r="N722">
            <v>0</v>
          </cell>
        </row>
        <row r="723">
          <cell r="E723" t="str">
            <v>MPP</v>
          </cell>
          <cell r="M723">
            <v>0</v>
          </cell>
          <cell r="N723">
            <v>0</v>
          </cell>
        </row>
        <row r="724">
          <cell r="E724" t="str">
            <v>ID</v>
          </cell>
          <cell r="M724">
            <v>0</v>
          </cell>
          <cell r="N724">
            <v>0</v>
          </cell>
        </row>
        <row r="725">
          <cell r="E725" t="str">
            <v>LL</v>
          </cell>
          <cell r="M725">
            <v>0</v>
          </cell>
          <cell r="N725">
            <v>0</v>
          </cell>
        </row>
        <row r="726">
          <cell r="E726" t="str">
            <v>PMK</v>
          </cell>
          <cell r="M726">
            <v>0</v>
          </cell>
          <cell r="N726">
            <v>0</v>
          </cell>
        </row>
        <row r="728">
          <cell r="C728" t="str">
            <v>A0081</v>
          </cell>
          <cell r="D728" t="str">
            <v>PT Inti Pantja Press Industry</v>
          </cell>
          <cell r="E728" t="str">
            <v>PEB 1</v>
          </cell>
          <cell r="M728">
            <v>0</v>
          </cell>
          <cell r="N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</row>
        <row r="729">
          <cell r="E729" t="str">
            <v>PEB 2</v>
          </cell>
          <cell r="M729">
            <v>0</v>
          </cell>
          <cell r="N729">
            <v>0</v>
          </cell>
        </row>
        <row r="730">
          <cell r="E730" t="str">
            <v>PEB 3</v>
          </cell>
          <cell r="M730">
            <v>0</v>
          </cell>
          <cell r="N730">
            <v>0</v>
          </cell>
        </row>
        <row r="731">
          <cell r="E731" t="str">
            <v>PEB 4</v>
          </cell>
          <cell r="M731">
            <v>0</v>
          </cell>
          <cell r="N731">
            <v>0</v>
          </cell>
        </row>
        <row r="732">
          <cell r="E732" t="str">
            <v>PEB 5</v>
          </cell>
          <cell r="M732">
            <v>0</v>
          </cell>
          <cell r="N732">
            <v>0</v>
          </cell>
        </row>
        <row r="733">
          <cell r="E733" t="str">
            <v>PEB 6</v>
          </cell>
          <cell r="M733">
            <v>0</v>
          </cell>
          <cell r="N733">
            <v>0</v>
          </cell>
        </row>
        <row r="734">
          <cell r="E734" t="str">
            <v>PEB 7 / TB</v>
          </cell>
          <cell r="M734">
            <v>0</v>
          </cell>
          <cell r="N734">
            <v>0</v>
          </cell>
        </row>
        <row r="735">
          <cell r="E735" t="str">
            <v>MPP</v>
          </cell>
          <cell r="M735">
            <v>0</v>
          </cell>
          <cell r="N735">
            <v>0</v>
          </cell>
        </row>
        <row r="736">
          <cell r="E736" t="str">
            <v>ID</v>
          </cell>
          <cell r="M736">
            <v>0</v>
          </cell>
          <cell r="N736">
            <v>0</v>
          </cell>
        </row>
        <row r="737">
          <cell r="E737" t="str">
            <v>LL</v>
          </cell>
          <cell r="M737">
            <v>0</v>
          </cell>
          <cell r="N737">
            <v>0</v>
          </cell>
        </row>
        <row r="738">
          <cell r="E738" t="str">
            <v>PMK</v>
          </cell>
          <cell r="M738">
            <v>0</v>
          </cell>
          <cell r="N738">
            <v>0</v>
          </cell>
        </row>
        <row r="740">
          <cell r="C740" t="str">
            <v>A0115</v>
          </cell>
          <cell r="D740" t="str">
            <v>PT Isuzu Astra Motor Indonesia (d/h Pantja Motor)</v>
          </cell>
          <cell r="E740" t="str">
            <v>PEB 1</v>
          </cell>
          <cell r="J740">
            <v>0</v>
          </cell>
          <cell r="K740">
            <v>0</v>
          </cell>
          <cell r="M740">
            <v>0</v>
          </cell>
          <cell r="N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</row>
        <row r="741">
          <cell r="E741" t="str">
            <v>PEB 2</v>
          </cell>
          <cell r="J741">
            <v>0</v>
          </cell>
          <cell r="K741">
            <v>0</v>
          </cell>
          <cell r="M741">
            <v>0</v>
          </cell>
          <cell r="N741">
            <v>0</v>
          </cell>
        </row>
        <row r="742">
          <cell r="E742" t="str">
            <v>PEB 3</v>
          </cell>
          <cell r="J742">
            <v>0</v>
          </cell>
          <cell r="K742">
            <v>0</v>
          </cell>
          <cell r="M742">
            <v>0</v>
          </cell>
          <cell r="N742">
            <v>0</v>
          </cell>
        </row>
        <row r="743">
          <cell r="E743" t="str">
            <v>PEB 4</v>
          </cell>
          <cell r="J743">
            <v>0</v>
          </cell>
          <cell r="K743">
            <v>0</v>
          </cell>
          <cell r="M743">
            <v>0</v>
          </cell>
          <cell r="N743">
            <v>0</v>
          </cell>
        </row>
        <row r="744">
          <cell r="E744" t="str">
            <v>PEB 5</v>
          </cell>
          <cell r="J744">
            <v>0</v>
          </cell>
          <cell r="K744">
            <v>0</v>
          </cell>
          <cell r="M744">
            <v>0</v>
          </cell>
          <cell r="N744">
            <v>0</v>
          </cell>
        </row>
        <row r="745">
          <cell r="E745" t="str">
            <v>PEB 6</v>
          </cell>
          <cell r="J745">
            <v>0</v>
          </cell>
          <cell r="K745">
            <v>0</v>
          </cell>
          <cell r="M745">
            <v>0</v>
          </cell>
          <cell r="N745">
            <v>0</v>
          </cell>
        </row>
        <row r="746">
          <cell r="E746" t="str">
            <v>PEB 7 / TB</v>
          </cell>
          <cell r="J746">
            <v>0</v>
          </cell>
          <cell r="K746">
            <v>0</v>
          </cell>
          <cell r="M746">
            <v>0</v>
          </cell>
          <cell r="N746">
            <v>0</v>
          </cell>
        </row>
        <row r="747">
          <cell r="E747" t="str">
            <v>MPP</v>
          </cell>
          <cell r="J747">
            <v>0</v>
          </cell>
          <cell r="K747">
            <v>0</v>
          </cell>
          <cell r="M747">
            <v>0</v>
          </cell>
          <cell r="N747">
            <v>0</v>
          </cell>
        </row>
        <row r="748">
          <cell r="E748" t="str">
            <v>ID</v>
          </cell>
          <cell r="J748">
            <v>0</v>
          </cell>
          <cell r="K748">
            <v>0</v>
          </cell>
          <cell r="M748">
            <v>0</v>
          </cell>
          <cell r="N748">
            <v>0</v>
          </cell>
        </row>
        <row r="749">
          <cell r="E749" t="str">
            <v>LL</v>
          </cell>
          <cell r="J749">
            <v>0</v>
          </cell>
          <cell r="K749">
            <v>0</v>
          </cell>
          <cell r="M749">
            <v>0</v>
          </cell>
          <cell r="N749">
            <v>0</v>
          </cell>
        </row>
        <row r="750">
          <cell r="E750" t="str">
            <v>PMK</v>
          </cell>
          <cell r="J750">
            <v>0</v>
          </cell>
          <cell r="K750">
            <v>0</v>
          </cell>
          <cell r="M750">
            <v>0</v>
          </cell>
          <cell r="N750">
            <v>0</v>
          </cell>
        </row>
        <row r="752">
          <cell r="C752" t="str">
            <v>A0360</v>
          </cell>
          <cell r="D752" t="str">
            <v>PT Kalimantan Prima Persada</v>
          </cell>
          <cell r="E752" t="str">
            <v>PEB 1</v>
          </cell>
          <cell r="J752">
            <v>0</v>
          </cell>
          <cell r="K752">
            <v>0</v>
          </cell>
          <cell r="M752">
            <v>0</v>
          </cell>
          <cell r="N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-8489.0872124529233</v>
          </cell>
          <cell r="U752">
            <v>-2693.8654251506778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-2149.3714836901804</v>
          </cell>
          <cell r="AA752">
            <v>-682.06597256111081</v>
          </cell>
          <cell r="AB752">
            <v>-1742.5142154832729</v>
          </cell>
          <cell r="AC752">
            <v>-552.95683510448771</v>
          </cell>
          <cell r="AD752">
            <v>-3209.7015818871268</v>
          </cell>
          <cell r="AE752">
            <v>-1018.5434429055372</v>
          </cell>
          <cell r="AF752">
            <v>-7751.6746458645439</v>
          </cell>
          <cell r="AG752">
            <v>-2459.8602644674411</v>
          </cell>
          <cell r="AH752">
            <v>-3834.4945928552024</v>
          </cell>
          <cell r="AI752">
            <v>-1216.8107298352411</v>
          </cell>
        </row>
        <row r="753">
          <cell r="E753" t="str">
            <v>PEB 2</v>
          </cell>
          <cell r="M753">
            <v>0</v>
          </cell>
          <cell r="N753">
            <v>0</v>
          </cell>
        </row>
        <row r="754">
          <cell r="E754" t="str">
            <v>PEB 3</v>
          </cell>
          <cell r="J754">
            <v>0</v>
          </cell>
          <cell r="K754">
            <v>0</v>
          </cell>
          <cell r="M754">
            <v>0</v>
          </cell>
          <cell r="N754">
            <v>0</v>
          </cell>
        </row>
        <row r="755">
          <cell r="E755" t="str">
            <v>PEB 4</v>
          </cell>
          <cell r="J755">
            <v>8489.0872124529233</v>
          </cell>
          <cell r="K755">
            <v>2693.8654251506778</v>
          </cell>
          <cell r="M755">
            <v>-8489.0872124529233</v>
          </cell>
          <cell r="N755">
            <v>-2693.8654251506778</v>
          </cell>
        </row>
        <row r="756">
          <cell r="E756" t="str">
            <v>PEB 5</v>
          </cell>
          <cell r="J756">
            <v>0</v>
          </cell>
          <cell r="K756">
            <v>0</v>
          </cell>
          <cell r="M756">
            <v>0</v>
          </cell>
          <cell r="N756">
            <v>0</v>
          </cell>
        </row>
        <row r="757">
          <cell r="E757" t="str">
            <v>PEB 6</v>
          </cell>
          <cell r="J757">
            <v>0</v>
          </cell>
          <cell r="K757">
            <v>0</v>
          </cell>
          <cell r="M757">
            <v>0</v>
          </cell>
          <cell r="N757">
            <v>0</v>
          </cell>
        </row>
        <row r="758">
          <cell r="E758" t="str">
            <v>PEB 7 / TB</v>
          </cell>
          <cell r="J758">
            <v>2149.3714836901804</v>
          </cell>
          <cell r="K758">
            <v>682.06597256111081</v>
          </cell>
          <cell r="M758">
            <v>-2149.3714836901804</v>
          </cell>
          <cell r="N758">
            <v>-682.06597256111081</v>
          </cell>
        </row>
        <row r="759">
          <cell r="E759" t="str">
            <v>MPP</v>
          </cell>
          <cell r="J759">
            <v>1742.5142154832729</v>
          </cell>
          <cell r="K759">
            <v>552.95683510448771</v>
          </cell>
          <cell r="M759">
            <v>-1742.5142154832729</v>
          </cell>
          <cell r="N759">
            <v>-552.95683510448771</v>
          </cell>
        </row>
        <row r="760">
          <cell r="E760" t="str">
            <v>ID</v>
          </cell>
          <cell r="J760">
            <v>3209.7015818871268</v>
          </cell>
          <cell r="K760">
            <v>1018.5434429055372</v>
          </cell>
          <cell r="M760">
            <v>-3209.7015818871268</v>
          </cell>
          <cell r="N760">
            <v>-1018.5434429055372</v>
          </cell>
        </row>
        <row r="761">
          <cell r="E761" t="str">
            <v>LL</v>
          </cell>
          <cell r="J761">
            <v>7751.6746458645439</v>
          </cell>
          <cell r="K761">
            <v>2459.8602644674411</v>
          </cell>
          <cell r="M761">
            <v>-7751.6746458645439</v>
          </cell>
          <cell r="N761">
            <v>-2459.8602644674411</v>
          </cell>
        </row>
        <row r="762">
          <cell r="E762" t="str">
            <v>PMK</v>
          </cell>
          <cell r="J762">
            <v>3834.4945928552024</v>
          </cell>
          <cell r="K762">
            <v>1216.8107298352411</v>
          </cell>
          <cell r="M762">
            <v>-3834.4945928552024</v>
          </cell>
          <cell r="N762">
            <v>-1216.8107298352411</v>
          </cell>
        </row>
        <row r="764">
          <cell r="C764" t="str">
            <v>A0350</v>
          </cell>
          <cell r="D764" t="str">
            <v>PT Karya Nusa Eka Daya</v>
          </cell>
          <cell r="E764" t="str">
            <v>PEB 1</v>
          </cell>
          <cell r="M764">
            <v>0</v>
          </cell>
          <cell r="N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</row>
        <row r="765">
          <cell r="E765" t="str">
            <v>PEB 2</v>
          </cell>
          <cell r="M765">
            <v>0</v>
          </cell>
          <cell r="N765">
            <v>0</v>
          </cell>
        </row>
        <row r="766">
          <cell r="E766" t="str">
            <v>PEB 3</v>
          </cell>
          <cell r="M766">
            <v>0</v>
          </cell>
          <cell r="N766">
            <v>0</v>
          </cell>
        </row>
        <row r="767">
          <cell r="E767" t="str">
            <v>PEB 4</v>
          </cell>
          <cell r="M767">
            <v>0</v>
          </cell>
          <cell r="N767">
            <v>0</v>
          </cell>
        </row>
        <row r="768">
          <cell r="E768" t="str">
            <v>PEB 5</v>
          </cell>
          <cell r="M768">
            <v>0</v>
          </cell>
          <cell r="N768">
            <v>0</v>
          </cell>
        </row>
        <row r="769">
          <cell r="E769" t="str">
            <v>PEB 6</v>
          </cell>
          <cell r="M769">
            <v>0</v>
          </cell>
          <cell r="N769">
            <v>0</v>
          </cell>
        </row>
        <row r="770">
          <cell r="E770" t="str">
            <v>PEB 7 / TB</v>
          </cell>
          <cell r="M770">
            <v>0</v>
          </cell>
          <cell r="N770">
            <v>0</v>
          </cell>
        </row>
        <row r="771">
          <cell r="E771" t="str">
            <v>MPP</v>
          </cell>
          <cell r="M771">
            <v>0</v>
          </cell>
          <cell r="N771">
            <v>0</v>
          </cell>
        </row>
        <row r="772">
          <cell r="E772" t="str">
            <v>ID</v>
          </cell>
          <cell r="M772">
            <v>0</v>
          </cell>
          <cell r="N772">
            <v>0</v>
          </cell>
        </row>
        <row r="773">
          <cell r="E773" t="str">
            <v>LL</v>
          </cell>
          <cell r="M773">
            <v>0</v>
          </cell>
          <cell r="N773">
            <v>0</v>
          </cell>
        </row>
        <row r="774">
          <cell r="E774" t="str">
            <v>PMK</v>
          </cell>
          <cell r="M774">
            <v>0</v>
          </cell>
          <cell r="N774">
            <v>0</v>
          </cell>
        </row>
        <row r="776">
          <cell r="C776" t="str">
            <v>A0083</v>
          </cell>
          <cell r="D776" t="str">
            <v>PT Karya Tanah Subur</v>
          </cell>
          <cell r="E776" t="str">
            <v>PEB 1</v>
          </cell>
          <cell r="M776">
            <v>0</v>
          </cell>
          <cell r="N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</row>
        <row r="777">
          <cell r="E777" t="str">
            <v>PEB 2</v>
          </cell>
          <cell r="M777">
            <v>0</v>
          </cell>
          <cell r="N777">
            <v>0</v>
          </cell>
        </row>
        <row r="778">
          <cell r="E778" t="str">
            <v>PEB 3</v>
          </cell>
          <cell r="M778">
            <v>0</v>
          </cell>
          <cell r="N778">
            <v>0</v>
          </cell>
        </row>
        <row r="779">
          <cell r="E779" t="str">
            <v>PEB 4</v>
          </cell>
          <cell r="M779">
            <v>0</v>
          </cell>
          <cell r="N779">
            <v>0</v>
          </cell>
        </row>
        <row r="780">
          <cell r="E780" t="str">
            <v>PEB 5</v>
          </cell>
          <cell r="M780">
            <v>0</v>
          </cell>
          <cell r="N780">
            <v>0</v>
          </cell>
        </row>
        <row r="781">
          <cell r="E781" t="str">
            <v>PEB 6</v>
          </cell>
          <cell r="M781">
            <v>0</v>
          </cell>
          <cell r="N781">
            <v>0</v>
          </cell>
        </row>
        <row r="782">
          <cell r="E782" t="str">
            <v>PEB 7 / TB</v>
          </cell>
          <cell r="M782">
            <v>0</v>
          </cell>
          <cell r="N782">
            <v>0</v>
          </cell>
        </row>
        <row r="783">
          <cell r="E783" t="str">
            <v>MPP</v>
          </cell>
          <cell r="M783">
            <v>0</v>
          </cell>
          <cell r="N783">
            <v>0</v>
          </cell>
        </row>
        <row r="784">
          <cell r="E784" t="str">
            <v>ID</v>
          </cell>
          <cell r="M784">
            <v>0</v>
          </cell>
          <cell r="N784">
            <v>0</v>
          </cell>
        </row>
        <row r="785">
          <cell r="E785" t="str">
            <v>LL</v>
          </cell>
          <cell r="M785">
            <v>0</v>
          </cell>
          <cell r="N785">
            <v>0</v>
          </cell>
        </row>
        <row r="786">
          <cell r="E786" t="str">
            <v>PMK</v>
          </cell>
          <cell r="M786">
            <v>0</v>
          </cell>
          <cell r="N786">
            <v>0</v>
          </cell>
        </row>
        <row r="788">
          <cell r="C788" t="str">
            <v>A0084</v>
          </cell>
          <cell r="D788" t="str">
            <v>PT Kayaba Indonesia</v>
          </cell>
          <cell r="E788" t="str">
            <v>PEB 1</v>
          </cell>
          <cell r="M788">
            <v>0</v>
          </cell>
          <cell r="N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</row>
        <row r="789">
          <cell r="E789" t="str">
            <v>PEB 2</v>
          </cell>
          <cell r="M789">
            <v>0</v>
          </cell>
          <cell r="N789">
            <v>0</v>
          </cell>
        </row>
        <row r="790">
          <cell r="E790" t="str">
            <v>PEB 3</v>
          </cell>
          <cell r="M790">
            <v>0</v>
          </cell>
          <cell r="N790">
            <v>0</v>
          </cell>
        </row>
        <row r="791">
          <cell r="E791" t="str">
            <v>PEB 4</v>
          </cell>
          <cell r="M791">
            <v>0</v>
          </cell>
          <cell r="N791">
            <v>0</v>
          </cell>
        </row>
        <row r="792">
          <cell r="E792" t="str">
            <v>PEB 5</v>
          </cell>
          <cell r="M792">
            <v>0</v>
          </cell>
          <cell r="N792">
            <v>0</v>
          </cell>
        </row>
        <row r="793">
          <cell r="E793" t="str">
            <v>PEB 6</v>
          </cell>
          <cell r="M793">
            <v>0</v>
          </cell>
          <cell r="N793">
            <v>0</v>
          </cell>
        </row>
        <row r="794">
          <cell r="E794" t="str">
            <v>PEB 7 / TB</v>
          </cell>
          <cell r="M794">
            <v>0</v>
          </cell>
          <cell r="N794">
            <v>0</v>
          </cell>
        </row>
        <row r="795">
          <cell r="E795" t="str">
            <v>MPP</v>
          </cell>
          <cell r="M795">
            <v>0</v>
          </cell>
          <cell r="N795">
            <v>0</v>
          </cell>
        </row>
        <row r="796">
          <cell r="E796" t="str">
            <v>ID</v>
          </cell>
          <cell r="M796">
            <v>0</v>
          </cell>
          <cell r="N796">
            <v>0</v>
          </cell>
        </row>
        <row r="797">
          <cell r="E797" t="str">
            <v>LL</v>
          </cell>
          <cell r="M797">
            <v>0</v>
          </cell>
          <cell r="N797">
            <v>0</v>
          </cell>
        </row>
        <row r="798">
          <cell r="E798" t="str">
            <v>PMK</v>
          </cell>
          <cell r="M798">
            <v>0</v>
          </cell>
          <cell r="N798">
            <v>0</v>
          </cell>
        </row>
        <row r="800">
          <cell r="C800" t="str">
            <v>A0086</v>
          </cell>
          <cell r="D800" t="str">
            <v>PT Kimia Tirta Utama</v>
          </cell>
          <cell r="E800" t="str">
            <v>PEB 1</v>
          </cell>
          <cell r="M800">
            <v>0</v>
          </cell>
          <cell r="N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</row>
        <row r="801">
          <cell r="E801" t="str">
            <v>PEB 2</v>
          </cell>
          <cell r="M801">
            <v>0</v>
          </cell>
          <cell r="N801">
            <v>0</v>
          </cell>
        </row>
        <row r="802">
          <cell r="E802" t="str">
            <v>PEB 3</v>
          </cell>
          <cell r="M802">
            <v>0</v>
          </cell>
          <cell r="N802">
            <v>0</v>
          </cell>
        </row>
        <row r="803">
          <cell r="E803" t="str">
            <v>PEB 4</v>
          </cell>
          <cell r="M803">
            <v>0</v>
          </cell>
          <cell r="N803">
            <v>0</v>
          </cell>
        </row>
        <row r="804">
          <cell r="E804" t="str">
            <v>PEB 5</v>
          </cell>
          <cell r="M804">
            <v>0</v>
          </cell>
          <cell r="N804">
            <v>0</v>
          </cell>
        </row>
        <row r="805">
          <cell r="E805" t="str">
            <v>PEB 6</v>
          </cell>
          <cell r="M805">
            <v>0</v>
          </cell>
          <cell r="N805">
            <v>0</v>
          </cell>
        </row>
        <row r="806">
          <cell r="E806" t="str">
            <v>PEB 7 / TB</v>
          </cell>
          <cell r="M806">
            <v>0</v>
          </cell>
          <cell r="N806">
            <v>0</v>
          </cell>
        </row>
        <row r="807">
          <cell r="E807" t="str">
            <v>MPP</v>
          </cell>
          <cell r="M807">
            <v>0</v>
          </cell>
          <cell r="N807">
            <v>0</v>
          </cell>
        </row>
        <row r="808">
          <cell r="E808" t="str">
            <v>ID</v>
          </cell>
          <cell r="M808">
            <v>0</v>
          </cell>
          <cell r="N808">
            <v>0</v>
          </cell>
        </row>
        <row r="809">
          <cell r="E809" t="str">
            <v>LL</v>
          </cell>
          <cell r="M809">
            <v>0</v>
          </cell>
          <cell r="N809">
            <v>0</v>
          </cell>
        </row>
        <row r="810">
          <cell r="E810" t="str">
            <v>PMK</v>
          </cell>
          <cell r="M810">
            <v>0</v>
          </cell>
          <cell r="N810">
            <v>0</v>
          </cell>
        </row>
        <row r="812">
          <cell r="C812" t="str">
            <v>A0378</v>
          </cell>
          <cell r="D812" t="str">
            <v>PT Komatsu Astra Finance</v>
          </cell>
          <cell r="E812" t="str">
            <v>PEB 1</v>
          </cell>
          <cell r="M812">
            <v>0</v>
          </cell>
          <cell r="N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</row>
        <row r="813">
          <cell r="E813" t="str">
            <v>PEB 2</v>
          </cell>
          <cell r="M813">
            <v>0</v>
          </cell>
          <cell r="N813">
            <v>0</v>
          </cell>
        </row>
        <row r="814">
          <cell r="E814" t="str">
            <v>PEB 3</v>
          </cell>
          <cell r="M814">
            <v>0</v>
          </cell>
          <cell r="N814">
            <v>0</v>
          </cell>
        </row>
        <row r="815">
          <cell r="E815" t="str">
            <v>PEB 4</v>
          </cell>
          <cell r="M815">
            <v>0</v>
          </cell>
          <cell r="N815">
            <v>0</v>
          </cell>
        </row>
        <row r="816">
          <cell r="E816" t="str">
            <v>PEB 5</v>
          </cell>
          <cell r="M816">
            <v>0</v>
          </cell>
          <cell r="N816">
            <v>0</v>
          </cell>
        </row>
        <row r="817">
          <cell r="E817" t="str">
            <v>PEB 6</v>
          </cell>
          <cell r="M817">
            <v>0</v>
          </cell>
          <cell r="N817">
            <v>0</v>
          </cell>
        </row>
        <row r="818">
          <cell r="E818" t="str">
            <v>PEB 7 / TB</v>
          </cell>
          <cell r="M818">
            <v>0</v>
          </cell>
          <cell r="N818">
            <v>0</v>
          </cell>
        </row>
        <row r="819">
          <cell r="E819" t="str">
            <v>MPP</v>
          </cell>
          <cell r="M819">
            <v>0</v>
          </cell>
          <cell r="N819">
            <v>0</v>
          </cell>
        </row>
        <row r="820">
          <cell r="E820" t="str">
            <v>ID</v>
          </cell>
          <cell r="M820">
            <v>0</v>
          </cell>
          <cell r="N820">
            <v>0</v>
          </cell>
        </row>
        <row r="821">
          <cell r="E821" t="str">
            <v>LL</v>
          </cell>
          <cell r="M821">
            <v>0</v>
          </cell>
          <cell r="N821">
            <v>0</v>
          </cell>
        </row>
        <row r="822">
          <cell r="E822" t="str">
            <v>PMK</v>
          </cell>
          <cell r="M822">
            <v>0</v>
          </cell>
          <cell r="N822">
            <v>0</v>
          </cell>
        </row>
        <row r="824">
          <cell r="C824" t="str">
            <v>A0328</v>
          </cell>
          <cell r="D824" t="str">
            <v>PT Komatsu Remanufacturing Asia</v>
          </cell>
          <cell r="E824" t="str">
            <v>PEB 1</v>
          </cell>
          <cell r="J824">
            <v>0</v>
          </cell>
          <cell r="K824">
            <v>0</v>
          </cell>
          <cell r="M824">
            <v>0</v>
          </cell>
          <cell r="N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</row>
        <row r="825">
          <cell r="E825" t="str">
            <v>PEB 2</v>
          </cell>
          <cell r="J825">
            <v>0</v>
          </cell>
          <cell r="K825">
            <v>0</v>
          </cell>
          <cell r="M825">
            <v>0</v>
          </cell>
          <cell r="N825">
            <v>0</v>
          </cell>
        </row>
        <row r="826">
          <cell r="E826" t="str">
            <v>PEB 3</v>
          </cell>
          <cell r="J826">
            <v>0</v>
          </cell>
          <cell r="K826">
            <v>0</v>
          </cell>
          <cell r="M826">
            <v>0</v>
          </cell>
          <cell r="N826">
            <v>0</v>
          </cell>
        </row>
        <row r="827">
          <cell r="E827" t="str">
            <v>PEB 4</v>
          </cell>
          <cell r="J827">
            <v>0</v>
          </cell>
          <cell r="K827">
            <v>0</v>
          </cell>
          <cell r="M827">
            <v>0</v>
          </cell>
          <cell r="N827">
            <v>0</v>
          </cell>
        </row>
        <row r="828">
          <cell r="E828" t="str">
            <v>PEB 5</v>
          </cell>
          <cell r="J828">
            <v>0</v>
          </cell>
          <cell r="K828">
            <v>0</v>
          </cell>
          <cell r="M828">
            <v>0</v>
          </cell>
          <cell r="N828">
            <v>0</v>
          </cell>
        </row>
        <row r="829">
          <cell r="E829" t="str">
            <v>PEB 6</v>
          </cell>
          <cell r="M829">
            <v>0</v>
          </cell>
          <cell r="N829">
            <v>0</v>
          </cell>
        </row>
        <row r="830">
          <cell r="E830" t="str">
            <v>PEB 7 / TB</v>
          </cell>
          <cell r="J830">
            <v>0</v>
          </cell>
          <cell r="K830">
            <v>0</v>
          </cell>
          <cell r="M830">
            <v>0</v>
          </cell>
          <cell r="N830">
            <v>0</v>
          </cell>
        </row>
        <row r="831">
          <cell r="E831" t="str">
            <v>MPP</v>
          </cell>
          <cell r="J831">
            <v>0</v>
          </cell>
          <cell r="K831">
            <v>0</v>
          </cell>
          <cell r="M831">
            <v>0</v>
          </cell>
          <cell r="N831">
            <v>0</v>
          </cell>
        </row>
        <row r="832">
          <cell r="E832" t="str">
            <v>ID</v>
          </cell>
          <cell r="J832">
            <v>0</v>
          </cell>
          <cell r="K832">
            <v>0</v>
          </cell>
          <cell r="M832">
            <v>0</v>
          </cell>
          <cell r="N832">
            <v>0</v>
          </cell>
        </row>
        <row r="833">
          <cell r="E833" t="str">
            <v>LL</v>
          </cell>
          <cell r="J833">
            <v>0</v>
          </cell>
          <cell r="K833">
            <v>0</v>
          </cell>
          <cell r="M833">
            <v>0</v>
          </cell>
          <cell r="N833">
            <v>0</v>
          </cell>
        </row>
        <row r="834">
          <cell r="E834" t="str">
            <v>PMK</v>
          </cell>
          <cell r="J834">
            <v>0</v>
          </cell>
          <cell r="K834">
            <v>0</v>
          </cell>
          <cell r="M834">
            <v>0</v>
          </cell>
          <cell r="N834">
            <v>0</v>
          </cell>
        </row>
        <row r="836">
          <cell r="C836" t="str">
            <v>A0262</v>
          </cell>
          <cell r="D836" t="str">
            <v>PT Lestari Tani Teladan</v>
          </cell>
          <cell r="E836" t="str">
            <v>PEB 1</v>
          </cell>
          <cell r="M836">
            <v>0</v>
          </cell>
          <cell r="N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</row>
        <row r="837">
          <cell r="E837" t="str">
            <v>PEB 2</v>
          </cell>
          <cell r="M837">
            <v>0</v>
          </cell>
          <cell r="N837">
            <v>0</v>
          </cell>
        </row>
        <row r="838">
          <cell r="E838" t="str">
            <v>PEB 3</v>
          </cell>
          <cell r="M838">
            <v>0</v>
          </cell>
          <cell r="N838">
            <v>0</v>
          </cell>
        </row>
        <row r="839">
          <cell r="E839" t="str">
            <v>PEB 4</v>
          </cell>
          <cell r="M839">
            <v>0</v>
          </cell>
          <cell r="N839">
            <v>0</v>
          </cell>
        </row>
        <row r="840">
          <cell r="E840" t="str">
            <v>PEB 5</v>
          </cell>
          <cell r="M840">
            <v>0</v>
          </cell>
          <cell r="N840">
            <v>0</v>
          </cell>
        </row>
        <row r="841">
          <cell r="E841" t="str">
            <v>PEB 6</v>
          </cell>
          <cell r="M841">
            <v>0</v>
          </cell>
          <cell r="N841">
            <v>0</v>
          </cell>
        </row>
        <row r="842">
          <cell r="E842" t="str">
            <v>PEB 7 / TB</v>
          </cell>
          <cell r="M842">
            <v>0</v>
          </cell>
          <cell r="N842">
            <v>0</v>
          </cell>
        </row>
        <row r="843">
          <cell r="E843" t="str">
            <v>MPP</v>
          </cell>
          <cell r="M843">
            <v>0</v>
          </cell>
          <cell r="N843">
            <v>0</v>
          </cell>
        </row>
        <row r="844">
          <cell r="E844" t="str">
            <v>ID</v>
          </cell>
          <cell r="M844">
            <v>0</v>
          </cell>
          <cell r="N844">
            <v>0</v>
          </cell>
        </row>
        <row r="845">
          <cell r="E845" t="str">
            <v>LL</v>
          </cell>
          <cell r="M845">
            <v>0</v>
          </cell>
          <cell r="N845">
            <v>0</v>
          </cell>
        </row>
        <row r="846">
          <cell r="E846" t="str">
            <v>PMK</v>
          </cell>
          <cell r="M846">
            <v>0</v>
          </cell>
          <cell r="N846">
            <v>0</v>
          </cell>
        </row>
        <row r="848">
          <cell r="C848" t="str">
            <v>A0261</v>
          </cell>
          <cell r="D848" t="str">
            <v>PT LETAWA</v>
          </cell>
          <cell r="E848" t="str">
            <v>PEB 1</v>
          </cell>
          <cell r="M848">
            <v>0</v>
          </cell>
          <cell r="N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</row>
        <row r="849">
          <cell r="E849" t="str">
            <v>PEB 2</v>
          </cell>
          <cell r="M849">
            <v>0</v>
          </cell>
          <cell r="N849">
            <v>0</v>
          </cell>
        </row>
        <row r="850">
          <cell r="E850" t="str">
            <v>PEB 3</v>
          </cell>
          <cell r="M850">
            <v>0</v>
          </cell>
          <cell r="N850">
            <v>0</v>
          </cell>
        </row>
        <row r="851">
          <cell r="E851" t="str">
            <v>PEB 4</v>
          </cell>
          <cell r="M851">
            <v>0</v>
          </cell>
          <cell r="N851">
            <v>0</v>
          </cell>
        </row>
        <row r="852">
          <cell r="E852" t="str">
            <v>PEB 5</v>
          </cell>
          <cell r="M852">
            <v>0</v>
          </cell>
          <cell r="N852">
            <v>0</v>
          </cell>
        </row>
        <row r="853">
          <cell r="E853" t="str">
            <v>PEB 6</v>
          </cell>
          <cell r="M853">
            <v>0</v>
          </cell>
          <cell r="N853">
            <v>0</v>
          </cell>
        </row>
        <row r="854">
          <cell r="E854" t="str">
            <v>PEB 7 / TB</v>
          </cell>
          <cell r="M854">
            <v>0</v>
          </cell>
          <cell r="N854">
            <v>0</v>
          </cell>
        </row>
        <row r="855">
          <cell r="E855" t="str">
            <v>MPP</v>
          </cell>
          <cell r="M855">
            <v>0</v>
          </cell>
          <cell r="N855">
            <v>0</v>
          </cell>
        </row>
        <row r="856">
          <cell r="E856" t="str">
            <v>ID</v>
          </cell>
          <cell r="M856">
            <v>0</v>
          </cell>
          <cell r="N856">
            <v>0</v>
          </cell>
        </row>
        <row r="857">
          <cell r="E857" t="str">
            <v>LL</v>
          </cell>
          <cell r="M857">
            <v>0</v>
          </cell>
          <cell r="N857">
            <v>0</v>
          </cell>
        </row>
        <row r="858">
          <cell r="E858" t="str">
            <v>PMK</v>
          </cell>
          <cell r="M858">
            <v>0</v>
          </cell>
          <cell r="N858">
            <v>0</v>
          </cell>
        </row>
        <row r="860">
          <cell r="C860" t="str">
            <v>A0263</v>
          </cell>
          <cell r="D860" t="str">
            <v>PT Mamuang</v>
          </cell>
          <cell r="E860" t="str">
            <v>PEB 1</v>
          </cell>
          <cell r="M860">
            <v>0</v>
          </cell>
          <cell r="N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</row>
        <row r="861">
          <cell r="E861" t="str">
            <v>PEB 2</v>
          </cell>
          <cell r="M861">
            <v>0</v>
          </cell>
          <cell r="N861">
            <v>0</v>
          </cell>
        </row>
        <row r="862">
          <cell r="E862" t="str">
            <v>PEB 3</v>
          </cell>
          <cell r="M862">
            <v>0</v>
          </cell>
          <cell r="N862">
            <v>0</v>
          </cell>
        </row>
        <row r="863">
          <cell r="E863" t="str">
            <v>PEB 4</v>
          </cell>
          <cell r="M863">
            <v>0</v>
          </cell>
          <cell r="N863">
            <v>0</v>
          </cell>
        </row>
        <row r="864">
          <cell r="E864" t="str">
            <v>PEB 5</v>
          </cell>
          <cell r="M864">
            <v>0</v>
          </cell>
          <cell r="N864">
            <v>0</v>
          </cell>
        </row>
        <row r="865">
          <cell r="E865" t="str">
            <v>PEB 6</v>
          </cell>
          <cell r="M865">
            <v>0</v>
          </cell>
          <cell r="N865">
            <v>0</v>
          </cell>
        </row>
        <row r="866">
          <cell r="E866" t="str">
            <v>PEB 7 / TB</v>
          </cell>
          <cell r="M866">
            <v>0</v>
          </cell>
          <cell r="N866">
            <v>0</v>
          </cell>
        </row>
        <row r="867">
          <cell r="E867" t="str">
            <v>MPP</v>
          </cell>
          <cell r="M867">
            <v>0</v>
          </cell>
          <cell r="N867">
            <v>0</v>
          </cell>
        </row>
        <row r="868">
          <cell r="E868" t="str">
            <v>ID</v>
          </cell>
          <cell r="M868">
            <v>0</v>
          </cell>
          <cell r="N868">
            <v>0</v>
          </cell>
        </row>
        <row r="869">
          <cell r="E869" t="str">
            <v>LL</v>
          </cell>
          <cell r="M869">
            <v>0</v>
          </cell>
          <cell r="N869">
            <v>0</v>
          </cell>
        </row>
        <row r="870">
          <cell r="E870" t="str">
            <v>PMK</v>
          </cell>
          <cell r="M870">
            <v>0</v>
          </cell>
          <cell r="N870">
            <v>0</v>
          </cell>
        </row>
        <row r="872">
          <cell r="C872" t="str">
            <v>A0096</v>
          </cell>
          <cell r="D872" t="str">
            <v>PT Menara Terus Makmur</v>
          </cell>
          <cell r="E872" t="str">
            <v>PEB 1</v>
          </cell>
          <cell r="M872">
            <v>0</v>
          </cell>
          <cell r="N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</row>
        <row r="873">
          <cell r="E873" t="str">
            <v>PEB 2</v>
          </cell>
          <cell r="M873">
            <v>0</v>
          </cell>
          <cell r="N873">
            <v>0</v>
          </cell>
        </row>
        <row r="874">
          <cell r="E874" t="str">
            <v>PEB 3</v>
          </cell>
          <cell r="M874">
            <v>0</v>
          </cell>
          <cell r="N874">
            <v>0</v>
          </cell>
        </row>
        <row r="875">
          <cell r="E875" t="str">
            <v>PEB 4</v>
          </cell>
          <cell r="M875">
            <v>0</v>
          </cell>
          <cell r="N875">
            <v>0</v>
          </cell>
        </row>
        <row r="876">
          <cell r="E876" t="str">
            <v>PEB 5</v>
          </cell>
          <cell r="M876">
            <v>0</v>
          </cell>
          <cell r="N876">
            <v>0</v>
          </cell>
        </row>
        <row r="877">
          <cell r="E877" t="str">
            <v>PEB 6</v>
          </cell>
          <cell r="M877">
            <v>0</v>
          </cell>
          <cell r="N877">
            <v>0</v>
          </cell>
        </row>
        <row r="878">
          <cell r="E878" t="str">
            <v>PEB 7 / TB</v>
          </cell>
          <cell r="M878">
            <v>0</v>
          </cell>
          <cell r="N878">
            <v>0</v>
          </cell>
        </row>
        <row r="879">
          <cell r="E879" t="str">
            <v>MPP</v>
          </cell>
          <cell r="M879">
            <v>0</v>
          </cell>
          <cell r="N879">
            <v>0</v>
          </cell>
        </row>
        <row r="880">
          <cell r="E880" t="str">
            <v>ID</v>
          </cell>
          <cell r="M880">
            <v>0</v>
          </cell>
          <cell r="N880">
            <v>0</v>
          </cell>
        </row>
        <row r="881">
          <cell r="E881" t="str">
            <v>LL</v>
          </cell>
          <cell r="M881">
            <v>0</v>
          </cell>
          <cell r="N881">
            <v>0</v>
          </cell>
        </row>
        <row r="882">
          <cell r="E882" t="str">
            <v>PMK</v>
          </cell>
          <cell r="M882">
            <v>0</v>
          </cell>
          <cell r="N882">
            <v>0</v>
          </cell>
        </row>
        <row r="884">
          <cell r="C884" t="str">
            <v>A0097</v>
          </cell>
          <cell r="D884" t="str">
            <v>PT Mesin Isuzu Indonesia</v>
          </cell>
          <cell r="E884" t="str">
            <v>PEB 1</v>
          </cell>
          <cell r="M884">
            <v>0</v>
          </cell>
          <cell r="N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</row>
        <row r="885">
          <cell r="E885" t="str">
            <v>PEB 2</v>
          </cell>
          <cell r="M885">
            <v>0</v>
          </cell>
          <cell r="N885">
            <v>0</v>
          </cell>
        </row>
        <row r="886">
          <cell r="E886" t="str">
            <v>PEB 3</v>
          </cell>
          <cell r="M886">
            <v>0</v>
          </cell>
          <cell r="N886">
            <v>0</v>
          </cell>
        </row>
        <row r="887">
          <cell r="E887" t="str">
            <v>PEB 4</v>
          </cell>
          <cell r="M887">
            <v>0</v>
          </cell>
          <cell r="N887">
            <v>0</v>
          </cell>
        </row>
        <row r="888">
          <cell r="E888" t="str">
            <v>PEB 5</v>
          </cell>
          <cell r="M888">
            <v>0</v>
          </cell>
          <cell r="N888">
            <v>0</v>
          </cell>
        </row>
        <row r="889">
          <cell r="E889" t="str">
            <v>PEB 6</v>
          </cell>
          <cell r="M889">
            <v>0</v>
          </cell>
          <cell r="N889">
            <v>0</v>
          </cell>
        </row>
        <row r="890">
          <cell r="E890" t="str">
            <v>PEB 7 / TB</v>
          </cell>
          <cell r="M890">
            <v>0</v>
          </cell>
          <cell r="N890">
            <v>0</v>
          </cell>
        </row>
        <row r="891">
          <cell r="E891" t="str">
            <v>MPP</v>
          </cell>
          <cell r="M891">
            <v>0</v>
          </cell>
          <cell r="N891">
            <v>0</v>
          </cell>
        </row>
        <row r="892">
          <cell r="E892" t="str">
            <v>ID</v>
          </cell>
          <cell r="M892">
            <v>0</v>
          </cell>
          <cell r="N892">
            <v>0</v>
          </cell>
        </row>
        <row r="893">
          <cell r="E893" t="str">
            <v>LL</v>
          </cell>
          <cell r="M893">
            <v>0</v>
          </cell>
          <cell r="N893">
            <v>0</v>
          </cell>
        </row>
        <row r="894">
          <cell r="E894" t="str">
            <v>PMK</v>
          </cell>
          <cell r="M894">
            <v>0</v>
          </cell>
          <cell r="N894">
            <v>0</v>
          </cell>
        </row>
        <row r="896">
          <cell r="C896" t="str">
            <v>A0451</v>
          </cell>
          <cell r="D896" t="str">
            <v>PT Multi Prima Universal</v>
          </cell>
          <cell r="E896" t="str">
            <v>PEB 1</v>
          </cell>
          <cell r="J896">
            <v>0</v>
          </cell>
          <cell r="K896">
            <v>0</v>
          </cell>
          <cell r="M896">
            <v>0</v>
          </cell>
          <cell r="N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</row>
        <row r="897">
          <cell r="E897" t="str">
            <v>PEB 2</v>
          </cell>
          <cell r="J897">
            <v>0</v>
          </cell>
          <cell r="K897">
            <v>0</v>
          </cell>
          <cell r="M897">
            <v>0</v>
          </cell>
          <cell r="N897">
            <v>0</v>
          </cell>
        </row>
        <row r="898">
          <cell r="E898" t="str">
            <v>PEB 3</v>
          </cell>
          <cell r="J898">
            <v>0</v>
          </cell>
          <cell r="K898">
            <v>0</v>
          </cell>
          <cell r="M898">
            <v>0</v>
          </cell>
          <cell r="N898">
            <v>0</v>
          </cell>
        </row>
        <row r="899">
          <cell r="E899" t="str">
            <v>PEB 4</v>
          </cell>
          <cell r="J899">
            <v>0</v>
          </cell>
          <cell r="K899">
            <v>0</v>
          </cell>
          <cell r="M899">
            <v>0</v>
          </cell>
          <cell r="N899">
            <v>0</v>
          </cell>
        </row>
        <row r="900">
          <cell r="E900" t="str">
            <v>PEB 5</v>
          </cell>
          <cell r="M900">
            <v>0</v>
          </cell>
          <cell r="N900">
            <v>0</v>
          </cell>
        </row>
        <row r="901">
          <cell r="E901" t="str">
            <v>PEB 6</v>
          </cell>
          <cell r="M901">
            <v>0</v>
          </cell>
          <cell r="N901">
            <v>0</v>
          </cell>
        </row>
        <row r="902">
          <cell r="E902" t="str">
            <v>PEB 7 / TB</v>
          </cell>
          <cell r="J902">
            <v>0</v>
          </cell>
          <cell r="K902">
            <v>0</v>
          </cell>
          <cell r="M902">
            <v>0</v>
          </cell>
          <cell r="N902">
            <v>0</v>
          </cell>
        </row>
        <row r="903">
          <cell r="E903" t="str">
            <v>MPP</v>
          </cell>
          <cell r="J903">
            <v>0</v>
          </cell>
          <cell r="K903">
            <v>0</v>
          </cell>
          <cell r="M903">
            <v>0</v>
          </cell>
          <cell r="N903">
            <v>0</v>
          </cell>
        </row>
        <row r="904">
          <cell r="E904" t="str">
            <v>ID</v>
          </cell>
          <cell r="J904">
            <v>0</v>
          </cell>
          <cell r="K904">
            <v>0</v>
          </cell>
          <cell r="M904">
            <v>0</v>
          </cell>
          <cell r="N904">
            <v>0</v>
          </cell>
        </row>
        <row r="905">
          <cell r="E905" t="str">
            <v>LL</v>
          </cell>
          <cell r="J905">
            <v>0</v>
          </cell>
          <cell r="K905">
            <v>0</v>
          </cell>
          <cell r="M905">
            <v>0</v>
          </cell>
          <cell r="N905">
            <v>0</v>
          </cell>
        </row>
        <row r="906">
          <cell r="E906" t="str">
            <v>PMK</v>
          </cell>
          <cell r="J906">
            <v>0</v>
          </cell>
          <cell r="K906">
            <v>0</v>
          </cell>
          <cell r="M906">
            <v>0</v>
          </cell>
          <cell r="N906">
            <v>0</v>
          </cell>
        </row>
        <row r="908">
          <cell r="C908" t="str">
            <v>A0329</v>
          </cell>
          <cell r="D908" t="str">
            <v>PT Nirmala Agro Lestari</v>
          </cell>
          <cell r="E908" t="str">
            <v>PEB 1</v>
          </cell>
          <cell r="M908">
            <v>0</v>
          </cell>
          <cell r="N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</row>
        <row r="909">
          <cell r="E909" t="str">
            <v>PEB 2</v>
          </cell>
          <cell r="M909">
            <v>0</v>
          </cell>
          <cell r="N909">
            <v>0</v>
          </cell>
        </row>
        <row r="910">
          <cell r="E910" t="str">
            <v>PEB 3</v>
          </cell>
          <cell r="M910">
            <v>0</v>
          </cell>
          <cell r="N910">
            <v>0</v>
          </cell>
        </row>
        <row r="911">
          <cell r="E911" t="str">
            <v>PEB 4</v>
          </cell>
          <cell r="M911">
            <v>0</v>
          </cell>
          <cell r="N911">
            <v>0</v>
          </cell>
        </row>
        <row r="912">
          <cell r="E912" t="str">
            <v>PEB 5</v>
          </cell>
          <cell r="M912">
            <v>0</v>
          </cell>
          <cell r="N912">
            <v>0</v>
          </cell>
        </row>
        <row r="913">
          <cell r="E913" t="str">
            <v>PEB 6</v>
          </cell>
          <cell r="M913">
            <v>0</v>
          </cell>
          <cell r="N913">
            <v>0</v>
          </cell>
        </row>
        <row r="914">
          <cell r="E914" t="str">
            <v>PEB 7 / TB</v>
          </cell>
          <cell r="M914">
            <v>0</v>
          </cell>
          <cell r="N914">
            <v>0</v>
          </cell>
        </row>
        <row r="915">
          <cell r="E915" t="str">
            <v>MPP</v>
          </cell>
          <cell r="M915">
            <v>0</v>
          </cell>
          <cell r="N915">
            <v>0</v>
          </cell>
        </row>
        <row r="916">
          <cell r="E916" t="str">
            <v>ID</v>
          </cell>
          <cell r="M916">
            <v>0</v>
          </cell>
          <cell r="N916">
            <v>0</v>
          </cell>
        </row>
        <row r="917">
          <cell r="E917" t="str">
            <v>LL</v>
          </cell>
          <cell r="M917">
            <v>0</v>
          </cell>
          <cell r="N917">
            <v>0</v>
          </cell>
        </row>
        <row r="918">
          <cell r="E918" t="str">
            <v>PMK</v>
          </cell>
          <cell r="M918">
            <v>0</v>
          </cell>
          <cell r="N918">
            <v>0</v>
          </cell>
        </row>
        <row r="920">
          <cell r="C920" t="str">
            <v>A0345</v>
          </cell>
          <cell r="D920" t="str">
            <v>PT Nusa Keihin Indonesia</v>
          </cell>
          <cell r="E920" t="str">
            <v>PEB 1</v>
          </cell>
          <cell r="M920">
            <v>0</v>
          </cell>
          <cell r="N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</row>
        <row r="921">
          <cell r="E921" t="str">
            <v>PEB 2</v>
          </cell>
          <cell r="M921">
            <v>0</v>
          </cell>
          <cell r="N921">
            <v>0</v>
          </cell>
        </row>
        <row r="922">
          <cell r="E922" t="str">
            <v>PEB 3</v>
          </cell>
          <cell r="M922">
            <v>0</v>
          </cell>
          <cell r="N922">
            <v>0</v>
          </cell>
        </row>
        <row r="923">
          <cell r="E923" t="str">
            <v>PEB 4</v>
          </cell>
          <cell r="M923">
            <v>0</v>
          </cell>
          <cell r="N923">
            <v>0</v>
          </cell>
        </row>
        <row r="924">
          <cell r="E924" t="str">
            <v>PEB 5</v>
          </cell>
          <cell r="M924">
            <v>0</v>
          </cell>
          <cell r="N924">
            <v>0</v>
          </cell>
        </row>
        <row r="925">
          <cell r="E925" t="str">
            <v>PEB 6</v>
          </cell>
          <cell r="M925">
            <v>0</v>
          </cell>
          <cell r="N925">
            <v>0</v>
          </cell>
        </row>
        <row r="926">
          <cell r="E926" t="str">
            <v>PEB 7 / TB</v>
          </cell>
          <cell r="M926">
            <v>0</v>
          </cell>
          <cell r="N926">
            <v>0</v>
          </cell>
        </row>
        <row r="927">
          <cell r="E927" t="str">
            <v>MPP</v>
          </cell>
          <cell r="M927">
            <v>0</v>
          </cell>
          <cell r="N927">
            <v>0</v>
          </cell>
        </row>
        <row r="928">
          <cell r="E928" t="str">
            <v>ID</v>
          </cell>
          <cell r="M928">
            <v>0</v>
          </cell>
          <cell r="N928">
            <v>0</v>
          </cell>
        </row>
        <row r="929">
          <cell r="E929" t="str">
            <v>LL</v>
          </cell>
          <cell r="M929">
            <v>0</v>
          </cell>
          <cell r="N929">
            <v>0</v>
          </cell>
        </row>
        <row r="930">
          <cell r="E930" t="str">
            <v>PMK</v>
          </cell>
          <cell r="M930">
            <v>0</v>
          </cell>
          <cell r="N930">
            <v>0</v>
          </cell>
        </row>
        <row r="932">
          <cell r="C932" t="str">
            <v>A0231</v>
          </cell>
          <cell r="D932" t="str">
            <v>PT Pama Indo Mining</v>
          </cell>
          <cell r="E932" t="str">
            <v>PEB 1</v>
          </cell>
          <cell r="M932">
            <v>0</v>
          </cell>
          <cell r="N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</row>
        <row r="933">
          <cell r="E933" t="str">
            <v>PEB 2</v>
          </cell>
          <cell r="M933">
            <v>0</v>
          </cell>
          <cell r="N933">
            <v>0</v>
          </cell>
        </row>
        <row r="934">
          <cell r="E934" t="str">
            <v>PEB 3</v>
          </cell>
          <cell r="M934">
            <v>0</v>
          </cell>
          <cell r="N934">
            <v>0</v>
          </cell>
        </row>
        <row r="935">
          <cell r="E935" t="str">
            <v>PEB 4</v>
          </cell>
          <cell r="M935">
            <v>0</v>
          </cell>
          <cell r="N935">
            <v>0</v>
          </cell>
        </row>
        <row r="936">
          <cell r="E936" t="str">
            <v>PEB 5</v>
          </cell>
          <cell r="M936">
            <v>0</v>
          </cell>
          <cell r="N936">
            <v>0</v>
          </cell>
        </row>
        <row r="937">
          <cell r="E937" t="str">
            <v>PEB 6</v>
          </cell>
          <cell r="M937">
            <v>0</v>
          </cell>
          <cell r="N937">
            <v>0</v>
          </cell>
        </row>
        <row r="938">
          <cell r="E938" t="str">
            <v>PEB 7 / TB</v>
          </cell>
          <cell r="M938">
            <v>0</v>
          </cell>
          <cell r="N938">
            <v>0</v>
          </cell>
        </row>
        <row r="939">
          <cell r="E939" t="str">
            <v>MPP</v>
          </cell>
          <cell r="M939">
            <v>0</v>
          </cell>
          <cell r="N939">
            <v>0</v>
          </cell>
        </row>
        <row r="940">
          <cell r="E940" t="str">
            <v>ID</v>
          </cell>
          <cell r="M940">
            <v>0</v>
          </cell>
          <cell r="N940">
            <v>0</v>
          </cell>
        </row>
        <row r="941">
          <cell r="E941" t="str">
            <v>LL</v>
          </cell>
          <cell r="M941">
            <v>0</v>
          </cell>
          <cell r="N941">
            <v>0</v>
          </cell>
        </row>
        <row r="942">
          <cell r="E942" t="str">
            <v>PMK</v>
          </cell>
          <cell r="M942">
            <v>0</v>
          </cell>
          <cell r="N942">
            <v>0</v>
          </cell>
        </row>
        <row r="944">
          <cell r="C944" t="str">
            <v>A0112</v>
          </cell>
          <cell r="D944" t="str">
            <v>PT Pama Persada Nusantara</v>
          </cell>
          <cell r="E944" t="str">
            <v>PEB 1</v>
          </cell>
          <cell r="J944">
            <v>455436.04761845642</v>
          </cell>
          <cell r="K944">
            <v>21663.818733796528</v>
          </cell>
          <cell r="M944">
            <v>-455436.04761845642</v>
          </cell>
          <cell r="N944">
            <v>-21663.818733796528</v>
          </cell>
          <cell r="P944">
            <v>-41950</v>
          </cell>
          <cell r="Q944">
            <v>-6708</v>
          </cell>
          <cell r="R944">
            <v>-18052.529666614308</v>
          </cell>
          <cell r="S944">
            <v>-802.57078151634403</v>
          </cell>
          <cell r="T944">
            <v>-268195</v>
          </cell>
          <cell r="U944">
            <v>-15312</v>
          </cell>
          <cell r="V944">
            <v>-15339</v>
          </cell>
          <cell r="W944">
            <v>-1177</v>
          </cell>
          <cell r="X944">
            <v>0</v>
          </cell>
          <cell r="Y944">
            <v>0</v>
          </cell>
          <cell r="Z944">
            <v>-6807</v>
          </cell>
          <cell r="AA944">
            <v>-1199</v>
          </cell>
          <cell r="AB944">
            <v>-23009</v>
          </cell>
          <cell r="AC944">
            <v>-4539</v>
          </cell>
          <cell r="AD944">
            <v>-15219</v>
          </cell>
          <cell r="AE944">
            <v>-2994</v>
          </cell>
          <cell r="AF944">
            <v>-23034</v>
          </cell>
          <cell r="AG944">
            <v>-9946</v>
          </cell>
          <cell r="AH944">
            <v>-64876</v>
          </cell>
          <cell r="AI944">
            <v>-7530</v>
          </cell>
        </row>
        <row r="945">
          <cell r="E945" t="str">
            <v>PEB 2</v>
          </cell>
          <cell r="J945">
            <v>41950</v>
          </cell>
          <cell r="K945">
            <v>6708</v>
          </cell>
          <cell r="M945">
            <v>-41950</v>
          </cell>
          <cell r="N945">
            <v>-6708</v>
          </cell>
        </row>
        <row r="946">
          <cell r="E946" t="str">
            <v>PEB 3</v>
          </cell>
          <cell r="J946">
            <v>18052.529666614308</v>
          </cell>
          <cell r="K946">
            <v>802.57078151634403</v>
          </cell>
          <cell r="M946">
            <v>-18052.529666614308</v>
          </cell>
          <cell r="N946">
            <v>-802.57078151634403</v>
          </cell>
        </row>
        <row r="947">
          <cell r="E947" t="str">
            <v>PEB 4</v>
          </cell>
          <cell r="J947">
            <v>268195</v>
          </cell>
          <cell r="K947">
            <v>15312</v>
          </cell>
          <cell r="M947">
            <v>-268195</v>
          </cell>
          <cell r="N947">
            <v>-15312</v>
          </cell>
        </row>
        <row r="948">
          <cell r="E948" t="str">
            <v>PEB 5</v>
          </cell>
          <cell r="J948">
            <v>15339</v>
          </cell>
          <cell r="K948">
            <v>1177</v>
          </cell>
          <cell r="M948">
            <v>-15339</v>
          </cell>
          <cell r="N948">
            <v>-1177</v>
          </cell>
        </row>
        <row r="949">
          <cell r="E949" t="str">
            <v>PEB 6</v>
          </cell>
          <cell r="M949">
            <v>0</v>
          </cell>
          <cell r="N949">
            <v>0</v>
          </cell>
        </row>
        <row r="950">
          <cell r="E950" t="str">
            <v>PEB 7 / TB</v>
          </cell>
          <cell r="J950">
            <v>6807</v>
          </cell>
          <cell r="K950">
            <v>1199</v>
          </cell>
          <cell r="M950">
            <v>-6807</v>
          </cell>
          <cell r="N950">
            <v>-1199</v>
          </cell>
        </row>
        <row r="951">
          <cell r="E951" t="str">
            <v>MPP</v>
          </cell>
          <cell r="J951">
            <v>23009</v>
          </cell>
          <cell r="K951">
            <v>4539</v>
          </cell>
          <cell r="M951">
            <v>-23009</v>
          </cell>
          <cell r="N951">
            <v>-4539</v>
          </cell>
        </row>
        <row r="952">
          <cell r="E952" t="str">
            <v>ID</v>
          </cell>
          <cell r="J952">
            <v>15219</v>
          </cell>
          <cell r="K952">
            <v>2994</v>
          </cell>
          <cell r="M952">
            <v>-15219</v>
          </cell>
          <cell r="N952">
            <v>-2994</v>
          </cell>
        </row>
        <row r="953">
          <cell r="E953" t="str">
            <v>LL</v>
          </cell>
          <cell r="J953">
            <v>23034</v>
          </cell>
          <cell r="K953">
            <v>9946</v>
          </cell>
          <cell r="M953">
            <v>-23034</v>
          </cell>
          <cell r="N953">
            <v>-9946</v>
          </cell>
        </row>
        <row r="954">
          <cell r="E954" t="str">
            <v>PMK</v>
          </cell>
          <cell r="J954">
            <v>64876</v>
          </cell>
          <cell r="K954">
            <v>7530</v>
          </cell>
          <cell r="M954">
            <v>-64876</v>
          </cell>
          <cell r="N954">
            <v>-7530</v>
          </cell>
        </row>
        <row r="956">
          <cell r="C956" t="str">
            <v>A0258</v>
          </cell>
          <cell r="D956" t="str">
            <v>PT Pandji Waringin</v>
          </cell>
          <cell r="E956" t="str">
            <v>PEB 1</v>
          </cell>
          <cell r="M956">
            <v>0</v>
          </cell>
          <cell r="N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</row>
        <row r="957">
          <cell r="E957" t="str">
            <v>PEB 2</v>
          </cell>
          <cell r="M957">
            <v>0</v>
          </cell>
          <cell r="N957">
            <v>0</v>
          </cell>
        </row>
        <row r="958">
          <cell r="E958" t="str">
            <v>PEB 3</v>
          </cell>
          <cell r="M958">
            <v>0</v>
          </cell>
          <cell r="N958">
            <v>0</v>
          </cell>
        </row>
        <row r="959">
          <cell r="E959" t="str">
            <v>PEB 4</v>
          </cell>
          <cell r="M959">
            <v>0</v>
          </cell>
          <cell r="N959">
            <v>0</v>
          </cell>
        </row>
        <row r="960">
          <cell r="E960" t="str">
            <v>PEB 5</v>
          </cell>
          <cell r="M960">
            <v>0</v>
          </cell>
          <cell r="N960">
            <v>0</v>
          </cell>
        </row>
        <row r="961">
          <cell r="E961" t="str">
            <v>PEB 6</v>
          </cell>
          <cell r="M961">
            <v>0</v>
          </cell>
          <cell r="N961">
            <v>0</v>
          </cell>
        </row>
        <row r="962">
          <cell r="E962" t="str">
            <v>PEB 7 / TB</v>
          </cell>
          <cell r="M962">
            <v>0</v>
          </cell>
          <cell r="N962">
            <v>0</v>
          </cell>
        </row>
        <row r="963">
          <cell r="E963" t="str">
            <v>MPP</v>
          </cell>
          <cell r="M963">
            <v>0</v>
          </cell>
          <cell r="N963">
            <v>0</v>
          </cell>
        </row>
        <row r="964">
          <cell r="E964" t="str">
            <v>ID</v>
          </cell>
          <cell r="M964">
            <v>0</v>
          </cell>
          <cell r="N964">
            <v>0</v>
          </cell>
        </row>
        <row r="965">
          <cell r="E965" t="str">
            <v>LL</v>
          </cell>
          <cell r="M965">
            <v>0</v>
          </cell>
          <cell r="N965">
            <v>0</v>
          </cell>
        </row>
        <row r="966">
          <cell r="E966" t="str">
            <v>PMK</v>
          </cell>
          <cell r="M966">
            <v>0</v>
          </cell>
          <cell r="N966">
            <v>0</v>
          </cell>
        </row>
        <row r="968">
          <cell r="C968" t="str">
            <v>A0267</v>
          </cell>
          <cell r="D968" t="str">
            <v>PT Pasang Kayu</v>
          </cell>
          <cell r="E968" t="str">
            <v>PEB 1</v>
          </cell>
          <cell r="M968">
            <v>0</v>
          </cell>
          <cell r="N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</row>
        <row r="969">
          <cell r="E969" t="str">
            <v>PEB 2</v>
          </cell>
          <cell r="M969">
            <v>0</v>
          </cell>
          <cell r="N969">
            <v>0</v>
          </cell>
        </row>
        <row r="970">
          <cell r="E970" t="str">
            <v>PEB 3</v>
          </cell>
          <cell r="M970">
            <v>0</v>
          </cell>
          <cell r="N970">
            <v>0</v>
          </cell>
        </row>
        <row r="971">
          <cell r="E971" t="str">
            <v>PEB 4</v>
          </cell>
          <cell r="M971">
            <v>0</v>
          </cell>
          <cell r="N971">
            <v>0</v>
          </cell>
        </row>
        <row r="972">
          <cell r="E972" t="str">
            <v>PEB 5</v>
          </cell>
          <cell r="M972">
            <v>0</v>
          </cell>
          <cell r="N972">
            <v>0</v>
          </cell>
        </row>
        <row r="973">
          <cell r="E973" t="str">
            <v>PEB 6</v>
          </cell>
          <cell r="M973">
            <v>0</v>
          </cell>
          <cell r="N973">
            <v>0</v>
          </cell>
        </row>
        <row r="974">
          <cell r="E974" t="str">
            <v>PEB 7 / TB</v>
          </cell>
          <cell r="M974">
            <v>0</v>
          </cell>
          <cell r="N974">
            <v>0</v>
          </cell>
        </row>
        <row r="975">
          <cell r="E975" t="str">
            <v>MPP</v>
          </cell>
          <cell r="M975">
            <v>0</v>
          </cell>
          <cell r="N975">
            <v>0</v>
          </cell>
        </row>
        <row r="976">
          <cell r="E976" t="str">
            <v>ID</v>
          </cell>
          <cell r="M976">
            <v>0</v>
          </cell>
          <cell r="N976">
            <v>0</v>
          </cell>
        </row>
        <row r="977">
          <cell r="E977" t="str">
            <v>LL</v>
          </cell>
          <cell r="M977">
            <v>0</v>
          </cell>
          <cell r="N977">
            <v>0</v>
          </cell>
        </row>
        <row r="978">
          <cell r="E978" t="str">
            <v>PMK</v>
          </cell>
          <cell r="M978">
            <v>0</v>
          </cell>
          <cell r="N978">
            <v>0</v>
          </cell>
        </row>
        <row r="980">
          <cell r="C980" t="str">
            <v>A0117</v>
          </cell>
          <cell r="D980" t="str">
            <v>PT Perkebunan Lembah Bhakti</v>
          </cell>
          <cell r="E980" t="str">
            <v>PEB 1</v>
          </cell>
          <cell r="M980">
            <v>0</v>
          </cell>
          <cell r="N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</row>
        <row r="981">
          <cell r="E981" t="str">
            <v>PEB 2</v>
          </cell>
          <cell r="M981">
            <v>0</v>
          </cell>
          <cell r="N981">
            <v>0</v>
          </cell>
        </row>
        <row r="982">
          <cell r="E982" t="str">
            <v>PEB 3</v>
          </cell>
          <cell r="M982">
            <v>0</v>
          </cell>
          <cell r="N982">
            <v>0</v>
          </cell>
        </row>
        <row r="983">
          <cell r="E983" t="str">
            <v>PEB 4</v>
          </cell>
          <cell r="M983">
            <v>0</v>
          </cell>
          <cell r="N983">
            <v>0</v>
          </cell>
        </row>
        <row r="984">
          <cell r="E984" t="str">
            <v>PEB 5</v>
          </cell>
          <cell r="M984">
            <v>0</v>
          </cell>
          <cell r="N984">
            <v>0</v>
          </cell>
        </row>
        <row r="985">
          <cell r="E985" t="str">
            <v>PEB 6</v>
          </cell>
          <cell r="M985">
            <v>0</v>
          </cell>
          <cell r="N985">
            <v>0</v>
          </cell>
        </row>
        <row r="986">
          <cell r="E986" t="str">
            <v>PEB 7 / TB</v>
          </cell>
          <cell r="M986">
            <v>0</v>
          </cell>
          <cell r="N986">
            <v>0</v>
          </cell>
        </row>
        <row r="987">
          <cell r="E987" t="str">
            <v>MPP</v>
          </cell>
          <cell r="M987">
            <v>0</v>
          </cell>
          <cell r="N987">
            <v>0</v>
          </cell>
        </row>
        <row r="988">
          <cell r="E988" t="str">
            <v>ID</v>
          </cell>
          <cell r="M988">
            <v>0</v>
          </cell>
          <cell r="N988">
            <v>0</v>
          </cell>
        </row>
        <row r="989">
          <cell r="E989" t="str">
            <v>LL</v>
          </cell>
          <cell r="M989">
            <v>0</v>
          </cell>
          <cell r="N989">
            <v>0</v>
          </cell>
        </row>
        <row r="990">
          <cell r="E990" t="str">
            <v>PMK</v>
          </cell>
          <cell r="M990">
            <v>0</v>
          </cell>
          <cell r="N990">
            <v>0</v>
          </cell>
        </row>
        <row r="992">
          <cell r="C992" t="str">
            <v>A0249</v>
          </cell>
          <cell r="D992" t="str">
            <v>PT Persada Bina Nusantara Abadi</v>
          </cell>
          <cell r="E992" t="str">
            <v>PEB 1</v>
          </cell>
          <cell r="M992">
            <v>0</v>
          </cell>
          <cell r="N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</row>
        <row r="993">
          <cell r="E993" t="str">
            <v>PEB 2</v>
          </cell>
          <cell r="M993">
            <v>0</v>
          </cell>
          <cell r="N993">
            <v>0</v>
          </cell>
        </row>
        <row r="994">
          <cell r="E994" t="str">
            <v>PEB 3</v>
          </cell>
          <cell r="M994">
            <v>0</v>
          </cell>
          <cell r="N994">
            <v>0</v>
          </cell>
        </row>
        <row r="995">
          <cell r="E995" t="str">
            <v>PEB 4</v>
          </cell>
          <cell r="M995">
            <v>0</v>
          </cell>
          <cell r="N995">
            <v>0</v>
          </cell>
        </row>
        <row r="996">
          <cell r="E996" t="str">
            <v>PEB 5</v>
          </cell>
          <cell r="M996">
            <v>0</v>
          </cell>
          <cell r="N996">
            <v>0</v>
          </cell>
        </row>
        <row r="997">
          <cell r="E997" t="str">
            <v>PEB 6</v>
          </cell>
          <cell r="M997">
            <v>0</v>
          </cell>
          <cell r="N997">
            <v>0</v>
          </cell>
        </row>
        <row r="998">
          <cell r="E998" t="str">
            <v>PEB 7 / TB</v>
          </cell>
          <cell r="M998">
            <v>0</v>
          </cell>
          <cell r="N998">
            <v>0</v>
          </cell>
        </row>
        <row r="999">
          <cell r="E999" t="str">
            <v>MPP</v>
          </cell>
          <cell r="M999">
            <v>0</v>
          </cell>
          <cell r="N999">
            <v>0</v>
          </cell>
        </row>
        <row r="1000">
          <cell r="E1000" t="str">
            <v>ID</v>
          </cell>
          <cell r="M1000">
            <v>0</v>
          </cell>
          <cell r="N1000">
            <v>0</v>
          </cell>
        </row>
        <row r="1001">
          <cell r="E1001" t="str">
            <v>LL</v>
          </cell>
          <cell r="M1001">
            <v>0</v>
          </cell>
          <cell r="N1001">
            <v>0</v>
          </cell>
        </row>
        <row r="1002">
          <cell r="E1002" t="str">
            <v>PMK</v>
          </cell>
          <cell r="M1002">
            <v>0</v>
          </cell>
          <cell r="N1002">
            <v>0</v>
          </cell>
        </row>
        <row r="1004">
          <cell r="C1004" t="str">
            <v>A0057</v>
          </cell>
          <cell r="D1004" t="str">
            <v>PT Pratama Sedaya Finance</v>
          </cell>
          <cell r="E1004" t="str">
            <v>PEB 1</v>
          </cell>
          <cell r="M1004">
            <v>0</v>
          </cell>
          <cell r="N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</row>
        <row r="1005">
          <cell r="E1005" t="str">
            <v>PEB 2</v>
          </cell>
          <cell r="M1005">
            <v>0</v>
          </cell>
          <cell r="N1005">
            <v>0</v>
          </cell>
        </row>
        <row r="1006">
          <cell r="E1006" t="str">
            <v>PEB 3</v>
          </cell>
          <cell r="M1006">
            <v>0</v>
          </cell>
          <cell r="N1006">
            <v>0</v>
          </cell>
        </row>
        <row r="1007">
          <cell r="E1007" t="str">
            <v>PEB 4</v>
          </cell>
          <cell r="M1007">
            <v>0</v>
          </cell>
          <cell r="N1007">
            <v>0</v>
          </cell>
        </row>
        <row r="1008">
          <cell r="E1008" t="str">
            <v>PEB 5</v>
          </cell>
          <cell r="M1008">
            <v>0</v>
          </cell>
          <cell r="N1008">
            <v>0</v>
          </cell>
        </row>
        <row r="1009">
          <cell r="E1009" t="str">
            <v>PEB 6</v>
          </cell>
          <cell r="M1009">
            <v>0</v>
          </cell>
          <cell r="N1009">
            <v>0</v>
          </cell>
        </row>
        <row r="1010">
          <cell r="E1010" t="str">
            <v>PEB 7 / TB</v>
          </cell>
          <cell r="M1010">
            <v>0</v>
          </cell>
          <cell r="N1010">
            <v>0</v>
          </cell>
        </row>
        <row r="1011">
          <cell r="E1011" t="str">
            <v>MPP</v>
          </cell>
          <cell r="M1011">
            <v>0</v>
          </cell>
          <cell r="N1011">
            <v>0</v>
          </cell>
        </row>
        <row r="1012">
          <cell r="E1012" t="str">
            <v>ID</v>
          </cell>
          <cell r="M1012">
            <v>0</v>
          </cell>
          <cell r="N1012">
            <v>0</v>
          </cell>
        </row>
        <row r="1013">
          <cell r="E1013" t="str">
            <v>LL</v>
          </cell>
          <cell r="M1013">
            <v>0</v>
          </cell>
          <cell r="N1013">
            <v>0</v>
          </cell>
        </row>
        <row r="1014">
          <cell r="E1014" t="str">
            <v>PMK</v>
          </cell>
          <cell r="M1014">
            <v>0</v>
          </cell>
          <cell r="N1014">
            <v>0</v>
          </cell>
        </row>
        <row r="1016">
          <cell r="C1016" t="str">
            <v>A0424</v>
          </cell>
          <cell r="D1016" t="str">
            <v>PT Prima Multi Mineral</v>
          </cell>
          <cell r="E1016" t="str">
            <v>PEB 1</v>
          </cell>
          <cell r="M1016">
            <v>0</v>
          </cell>
          <cell r="N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</row>
        <row r="1017">
          <cell r="E1017" t="str">
            <v>PEB 2</v>
          </cell>
          <cell r="M1017">
            <v>0</v>
          </cell>
          <cell r="N1017">
            <v>0</v>
          </cell>
        </row>
        <row r="1018">
          <cell r="E1018" t="str">
            <v>PEB 3</v>
          </cell>
          <cell r="M1018">
            <v>0</v>
          </cell>
          <cell r="N1018">
            <v>0</v>
          </cell>
        </row>
        <row r="1019">
          <cell r="E1019" t="str">
            <v>PEB 4</v>
          </cell>
          <cell r="M1019">
            <v>0</v>
          </cell>
          <cell r="N1019">
            <v>0</v>
          </cell>
        </row>
        <row r="1020">
          <cell r="E1020" t="str">
            <v>PEB 5</v>
          </cell>
          <cell r="M1020">
            <v>0</v>
          </cell>
          <cell r="N1020">
            <v>0</v>
          </cell>
        </row>
        <row r="1021">
          <cell r="E1021" t="str">
            <v>PEB 6</v>
          </cell>
          <cell r="M1021">
            <v>0</v>
          </cell>
          <cell r="N1021">
            <v>0</v>
          </cell>
        </row>
        <row r="1022">
          <cell r="E1022" t="str">
            <v>PEB 7 / TB</v>
          </cell>
          <cell r="M1022">
            <v>0</v>
          </cell>
          <cell r="N1022">
            <v>0</v>
          </cell>
        </row>
        <row r="1023">
          <cell r="E1023" t="str">
            <v>MPP</v>
          </cell>
          <cell r="M1023">
            <v>0</v>
          </cell>
          <cell r="N1023">
            <v>0</v>
          </cell>
        </row>
        <row r="1024">
          <cell r="E1024" t="str">
            <v>ID</v>
          </cell>
          <cell r="M1024">
            <v>0</v>
          </cell>
          <cell r="N1024">
            <v>0</v>
          </cell>
        </row>
        <row r="1025">
          <cell r="E1025" t="str">
            <v>LL</v>
          </cell>
          <cell r="M1025">
            <v>0</v>
          </cell>
          <cell r="N1025">
            <v>0</v>
          </cell>
        </row>
        <row r="1026">
          <cell r="E1026" t="str">
            <v>PMK</v>
          </cell>
          <cell r="M1026">
            <v>0</v>
          </cell>
          <cell r="N1026">
            <v>0</v>
          </cell>
        </row>
        <row r="1028">
          <cell r="C1028" t="str">
            <v>A0439</v>
          </cell>
          <cell r="D1028" t="str">
            <v>PT Rimbunan Alam Sentosa</v>
          </cell>
          <cell r="E1028" t="str">
            <v>PEB 1</v>
          </cell>
          <cell r="M1028">
            <v>0</v>
          </cell>
          <cell r="N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</row>
        <row r="1029">
          <cell r="E1029" t="str">
            <v>PEB 2</v>
          </cell>
          <cell r="M1029">
            <v>0</v>
          </cell>
          <cell r="N1029">
            <v>0</v>
          </cell>
        </row>
        <row r="1030">
          <cell r="E1030" t="str">
            <v>PEB 3</v>
          </cell>
          <cell r="M1030">
            <v>0</v>
          </cell>
          <cell r="N1030">
            <v>0</v>
          </cell>
        </row>
        <row r="1031">
          <cell r="E1031" t="str">
            <v>PEB 4</v>
          </cell>
          <cell r="M1031">
            <v>0</v>
          </cell>
          <cell r="N1031">
            <v>0</v>
          </cell>
        </row>
        <row r="1032">
          <cell r="E1032" t="str">
            <v>PEB 5</v>
          </cell>
          <cell r="M1032">
            <v>0</v>
          </cell>
          <cell r="N1032">
            <v>0</v>
          </cell>
        </row>
        <row r="1033">
          <cell r="E1033" t="str">
            <v>PEB 6</v>
          </cell>
          <cell r="M1033">
            <v>0</v>
          </cell>
          <cell r="N1033">
            <v>0</v>
          </cell>
        </row>
        <row r="1034">
          <cell r="E1034" t="str">
            <v>PEB 7 / TB</v>
          </cell>
          <cell r="M1034">
            <v>0</v>
          </cell>
          <cell r="N1034">
            <v>0</v>
          </cell>
        </row>
        <row r="1035">
          <cell r="E1035" t="str">
            <v>MPP</v>
          </cell>
          <cell r="M1035">
            <v>0</v>
          </cell>
          <cell r="N1035">
            <v>0</v>
          </cell>
        </row>
        <row r="1036">
          <cell r="E1036" t="str">
            <v>ID</v>
          </cell>
          <cell r="M1036">
            <v>0</v>
          </cell>
          <cell r="N1036">
            <v>0</v>
          </cell>
        </row>
        <row r="1037">
          <cell r="E1037" t="str">
            <v>LL</v>
          </cell>
          <cell r="M1037">
            <v>0</v>
          </cell>
          <cell r="N1037">
            <v>0</v>
          </cell>
        </row>
        <row r="1038">
          <cell r="E1038" t="str">
            <v>PMK</v>
          </cell>
          <cell r="M1038">
            <v>0</v>
          </cell>
          <cell r="N1038">
            <v>0</v>
          </cell>
        </row>
        <row r="1040">
          <cell r="C1040" t="str">
            <v>A0126</v>
          </cell>
          <cell r="D1040" t="str">
            <v>PT Sari Aditya Loka</v>
          </cell>
          <cell r="E1040" t="str">
            <v>PEB 1</v>
          </cell>
          <cell r="M1040">
            <v>0</v>
          </cell>
          <cell r="N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</row>
        <row r="1041">
          <cell r="E1041" t="str">
            <v>PEB 2</v>
          </cell>
          <cell r="M1041">
            <v>0</v>
          </cell>
          <cell r="N1041">
            <v>0</v>
          </cell>
        </row>
        <row r="1042">
          <cell r="E1042" t="str">
            <v>PEB 3</v>
          </cell>
          <cell r="M1042">
            <v>0</v>
          </cell>
          <cell r="N1042">
            <v>0</v>
          </cell>
        </row>
        <row r="1043">
          <cell r="E1043" t="str">
            <v>PEB 4</v>
          </cell>
          <cell r="M1043">
            <v>0</v>
          </cell>
          <cell r="N1043">
            <v>0</v>
          </cell>
        </row>
        <row r="1044">
          <cell r="E1044" t="str">
            <v>PEB 5</v>
          </cell>
          <cell r="M1044">
            <v>0</v>
          </cell>
          <cell r="N1044">
            <v>0</v>
          </cell>
        </row>
        <row r="1045">
          <cell r="E1045" t="str">
            <v>PEB 6</v>
          </cell>
          <cell r="M1045">
            <v>0</v>
          </cell>
          <cell r="N1045">
            <v>0</v>
          </cell>
        </row>
        <row r="1046">
          <cell r="E1046" t="str">
            <v>PEB 7 / TB</v>
          </cell>
          <cell r="M1046">
            <v>0</v>
          </cell>
          <cell r="N1046">
            <v>0</v>
          </cell>
        </row>
        <row r="1047">
          <cell r="E1047" t="str">
            <v>MPP</v>
          </cell>
          <cell r="M1047">
            <v>0</v>
          </cell>
          <cell r="N1047">
            <v>0</v>
          </cell>
        </row>
        <row r="1048">
          <cell r="E1048" t="str">
            <v>ID</v>
          </cell>
          <cell r="M1048">
            <v>0</v>
          </cell>
          <cell r="N1048">
            <v>0</v>
          </cell>
        </row>
        <row r="1049">
          <cell r="E1049" t="str">
            <v>LL</v>
          </cell>
          <cell r="M1049">
            <v>0</v>
          </cell>
          <cell r="N1049">
            <v>0</v>
          </cell>
        </row>
        <row r="1050">
          <cell r="E1050" t="str">
            <v>PMK</v>
          </cell>
          <cell r="M1050">
            <v>0</v>
          </cell>
          <cell r="N1050">
            <v>0</v>
          </cell>
        </row>
        <row r="1052">
          <cell r="C1052" t="str">
            <v>A0127</v>
          </cell>
          <cell r="D1052" t="str">
            <v>PT Sari Lembah Subur</v>
          </cell>
          <cell r="E1052" t="str">
            <v>PEB 1</v>
          </cell>
          <cell r="M1052">
            <v>0</v>
          </cell>
          <cell r="N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</row>
        <row r="1053">
          <cell r="E1053" t="str">
            <v>PEB 2</v>
          </cell>
          <cell r="M1053">
            <v>0</v>
          </cell>
          <cell r="N1053">
            <v>0</v>
          </cell>
        </row>
        <row r="1054">
          <cell r="E1054" t="str">
            <v>PEB 3</v>
          </cell>
          <cell r="M1054">
            <v>0</v>
          </cell>
          <cell r="N1054">
            <v>0</v>
          </cell>
        </row>
        <row r="1055">
          <cell r="E1055" t="str">
            <v>PEB 4</v>
          </cell>
          <cell r="M1055">
            <v>0</v>
          </cell>
          <cell r="N1055">
            <v>0</v>
          </cell>
        </row>
        <row r="1056">
          <cell r="E1056" t="str">
            <v>PEB 5</v>
          </cell>
          <cell r="M1056">
            <v>0</v>
          </cell>
          <cell r="N1056">
            <v>0</v>
          </cell>
        </row>
        <row r="1057">
          <cell r="E1057" t="str">
            <v>PEB 6</v>
          </cell>
          <cell r="M1057">
            <v>0</v>
          </cell>
          <cell r="N1057">
            <v>0</v>
          </cell>
        </row>
        <row r="1058">
          <cell r="E1058" t="str">
            <v>PEB 7 / TB</v>
          </cell>
          <cell r="M1058">
            <v>0</v>
          </cell>
          <cell r="N1058">
            <v>0</v>
          </cell>
        </row>
        <row r="1059">
          <cell r="E1059" t="str">
            <v>MPP</v>
          </cell>
          <cell r="M1059">
            <v>0</v>
          </cell>
          <cell r="N1059">
            <v>0</v>
          </cell>
        </row>
        <row r="1060">
          <cell r="E1060" t="str">
            <v>ID</v>
          </cell>
          <cell r="M1060">
            <v>0</v>
          </cell>
          <cell r="N1060">
            <v>0</v>
          </cell>
        </row>
        <row r="1061">
          <cell r="E1061" t="str">
            <v>LL</v>
          </cell>
          <cell r="M1061">
            <v>0</v>
          </cell>
          <cell r="N1061">
            <v>0</v>
          </cell>
        </row>
        <row r="1062">
          <cell r="E1062" t="str">
            <v>PMK</v>
          </cell>
          <cell r="M1062">
            <v>0</v>
          </cell>
          <cell r="N1062">
            <v>0</v>
          </cell>
        </row>
        <row r="1064">
          <cell r="C1064" t="str">
            <v>A0278</v>
          </cell>
          <cell r="D1064" t="str">
            <v>PT Sawit Asahan Indah</v>
          </cell>
          <cell r="E1064" t="str">
            <v>PEB 1</v>
          </cell>
          <cell r="M1064">
            <v>0</v>
          </cell>
          <cell r="N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</row>
        <row r="1065">
          <cell r="E1065" t="str">
            <v>PEB 2</v>
          </cell>
          <cell r="M1065">
            <v>0</v>
          </cell>
          <cell r="N1065">
            <v>0</v>
          </cell>
        </row>
        <row r="1066">
          <cell r="E1066" t="str">
            <v>PEB 3</v>
          </cell>
          <cell r="M1066">
            <v>0</v>
          </cell>
          <cell r="N1066">
            <v>0</v>
          </cell>
        </row>
        <row r="1067">
          <cell r="E1067" t="str">
            <v>PEB 4</v>
          </cell>
          <cell r="M1067">
            <v>0</v>
          </cell>
          <cell r="N1067">
            <v>0</v>
          </cell>
        </row>
        <row r="1068">
          <cell r="E1068" t="str">
            <v>PEB 5</v>
          </cell>
          <cell r="M1068">
            <v>0</v>
          </cell>
          <cell r="N1068">
            <v>0</v>
          </cell>
        </row>
        <row r="1069">
          <cell r="E1069" t="str">
            <v>PEB 6</v>
          </cell>
          <cell r="M1069">
            <v>0</v>
          </cell>
          <cell r="N1069">
            <v>0</v>
          </cell>
        </row>
        <row r="1070">
          <cell r="E1070" t="str">
            <v>PEB 7 / TB</v>
          </cell>
          <cell r="M1070">
            <v>0</v>
          </cell>
          <cell r="N1070">
            <v>0</v>
          </cell>
        </row>
        <row r="1071">
          <cell r="E1071" t="str">
            <v>MPP</v>
          </cell>
          <cell r="M1071">
            <v>0</v>
          </cell>
          <cell r="N1071">
            <v>0</v>
          </cell>
        </row>
        <row r="1072">
          <cell r="E1072" t="str">
            <v>ID</v>
          </cell>
          <cell r="M1072">
            <v>0</v>
          </cell>
          <cell r="N1072">
            <v>0</v>
          </cell>
        </row>
        <row r="1073">
          <cell r="E1073" t="str">
            <v>LL</v>
          </cell>
          <cell r="M1073">
            <v>0</v>
          </cell>
          <cell r="N1073">
            <v>0</v>
          </cell>
        </row>
        <row r="1074">
          <cell r="E1074" t="str">
            <v>PMK</v>
          </cell>
          <cell r="M1074">
            <v>0</v>
          </cell>
          <cell r="N1074">
            <v>0</v>
          </cell>
        </row>
        <row r="1076">
          <cell r="C1076" t="str">
            <v>A0436</v>
          </cell>
          <cell r="D1076" t="str">
            <v>PT Sawit Jaya Abadi</v>
          </cell>
          <cell r="E1076" t="str">
            <v>PEB 1</v>
          </cell>
          <cell r="M1076">
            <v>0</v>
          </cell>
          <cell r="N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</row>
        <row r="1077">
          <cell r="E1077" t="str">
            <v>PEB 2</v>
          </cell>
          <cell r="M1077">
            <v>0</v>
          </cell>
          <cell r="N1077">
            <v>0</v>
          </cell>
        </row>
        <row r="1078">
          <cell r="E1078" t="str">
            <v>PEB 3</v>
          </cell>
          <cell r="M1078">
            <v>0</v>
          </cell>
          <cell r="N1078">
            <v>0</v>
          </cell>
        </row>
        <row r="1079">
          <cell r="E1079" t="str">
            <v>PEB 4</v>
          </cell>
          <cell r="M1079">
            <v>0</v>
          </cell>
          <cell r="N1079">
            <v>0</v>
          </cell>
        </row>
        <row r="1080">
          <cell r="E1080" t="str">
            <v>PEB 5</v>
          </cell>
          <cell r="M1080">
            <v>0</v>
          </cell>
          <cell r="N1080">
            <v>0</v>
          </cell>
        </row>
        <row r="1081">
          <cell r="E1081" t="str">
            <v>PEB 6</v>
          </cell>
          <cell r="M1081">
            <v>0</v>
          </cell>
          <cell r="N1081">
            <v>0</v>
          </cell>
        </row>
        <row r="1082">
          <cell r="E1082" t="str">
            <v>PEB 7 / TB</v>
          </cell>
          <cell r="M1082">
            <v>0</v>
          </cell>
          <cell r="N1082">
            <v>0</v>
          </cell>
        </row>
        <row r="1083">
          <cell r="E1083" t="str">
            <v>MPP</v>
          </cell>
          <cell r="M1083">
            <v>0</v>
          </cell>
          <cell r="N1083">
            <v>0</v>
          </cell>
        </row>
        <row r="1084">
          <cell r="E1084" t="str">
            <v>ID</v>
          </cell>
          <cell r="M1084">
            <v>0</v>
          </cell>
          <cell r="N1084">
            <v>0</v>
          </cell>
        </row>
        <row r="1085">
          <cell r="E1085" t="str">
            <v>LL</v>
          </cell>
          <cell r="M1085">
            <v>0</v>
          </cell>
          <cell r="N1085">
            <v>0</v>
          </cell>
        </row>
        <row r="1086">
          <cell r="E1086" t="str">
            <v>PMK</v>
          </cell>
          <cell r="M1086">
            <v>0</v>
          </cell>
          <cell r="N1086">
            <v>0</v>
          </cell>
        </row>
        <row r="1088">
          <cell r="C1088" t="str">
            <v>A0128</v>
          </cell>
          <cell r="D1088" t="str">
            <v>PT Sedaya Multi Investama</v>
          </cell>
          <cell r="E1088" t="str">
            <v>PEB 1</v>
          </cell>
          <cell r="M1088">
            <v>0</v>
          </cell>
          <cell r="N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</row>
        <row r="1089">
          <cell r="E1089" t="str">
            <v>PEB 2</v>
          </cell>
          <cell r="M1089">
            <v>0</v>
          </cell>
          <cell r="N1089">
            <v>0</v>
          </cell>
        </row>
        <row r="1090">
          <cell r="E1090" t="str">
            <v>PEB 3</v>
          </cell>
          <cell r="M1090">
            <v>0</v>
          </cell>
          <cell r="N1090">
            <v>0</v>
          </cell>
        </row>
        <row r="1091">
          <cell r="E1091" t="str">
            <v>PEB 4</v>
          </cell>
          <cell r="M1091">
            <v>0</v>
          </cell>
          <cell r="N1091">
            <v>0</v>
          </cell>
        </row>
        <row r="1092">
          <cell r="E1092" t="str">
            <v>PEB 5</v>
          </cell>
          <cell r="M1092">
            <v>0</v>
          </cell>
          <cell r="N1092">
            <v>0</v>
          </cell>
        </row>
        <row r="1093">
          <cell r="E1093" t="str">
            <v>PEB 6</v>
          </cell>
          <cell r="M1093">
            <v>0</v>
          </cell>
          <cell r="N1093">
            <v>0</v>
          </cell>
        </row>
        <row r="1094">
          <cell r="E1094" t="str">
            <v>PEB 7 / TB</v>
          </cell>
          <cell r="M1094">
            <v>0</v>
          </cell>
          <cell r="N1094">
            <v>0</v>
          </cell>
        </row>
        <row r="1095">
          <cell r="E1095" t="str">
            <v>MPP</v>
          </cell>
          <cell r="M1095">
            <v>0</v>
          </cell>
          <cell r="N1095">
            <v>0</v>
          </cell>
        </row>
        <row r="1096">
          <cell r="E1096" t="str">
            <v>ID</v>
          </cell>
          <cell r="M1096">
            <v>0</v>
          </cell>
          <cell r="N1096">
            <v>0</v>
          </cell>
        </row>
        <row r="1097">
          <cell r="E1097" t="str">
            <v>LL</v>
          </cell>
          <cell r="M1097">
            <v>0</v>
          </cell>
          <cell r="N1097">
            <v>0</v>
          </cell>
        </row>
        <row r="1098">
          <cell r="E1098" t="str">
            <v>PMK</v>
          </cell>
          <cell r="M1098">
            <v>0</v>
          </cell>
          <cell r="N1098">
            <v>0</v>
          </cell>
        </row>
        <row r="1100">
          <cell r="C1100" t="str">
            <v>A0240</v>
          </cell>
          <cell r="D1100" t="str">
            <v>PT Sedaya Pratama</v>
          </cell>
          <cell r="E1100" t="str">
            <v>PEB 1</v>
          </cell>
          <cell r="M1100">
            <v>0</v>
          </cell>
          <cell r="N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</row>
        <row r="1101">
          <cell r="E1101" t="str">
            <v>PEB 2</v>
          </cell>
          <cell r="M1101">
            <v>0</v>
          </cell>
          <cell r="N1101">
            <v>0</v>
          </cell>
        </row>
        <row r="1102">
          <cell r="E1102" t="str">
            <v>PEB 3</v>
          </cell>
          <cell r="M1102">
            <v>0</v>
          </cell>
          <cell r="N1102">
            <v>0</v>
          </cell>
        </row>
        <row r="1103">
          <cell r="E1103" t="str">
            <v>PEB 4</v>
          </cell>
          <cell r="M1103">
            <v>0</v>
          </cell>
          <cell r="N1103">
            <v>0</v>
          </cell>
        </row>
        <row r="1104">
          <cell r="E1104" t="str">
            <v>PEB 5</v>
          </cell>
          <cell r="M1104">
            <v>0</v>
          </cell>
          <cell r="N1104">
            <v>0</v>
          </cell>
        </row>
        <row r="1105">
          <cell r="E1105" t="str">
            <v>PEB 6</v>
          </cell>
          <cell r="M1105">
            <v>0</v>
          </cell>
          <cell r="N1105">
            <v>0</v>
          </cell>
        </row>
        <row r="1106">
          <cell r="E1106" t="str">
            <v>PEB 7 / TB</v>
          </cell>
          <cell r="M1106">
            <v>0</v>
          </cell>
          <cell r="N1106">
            <v>0</v>
          </cell>
        </row>
        <row r="1107">
          <cell r="E1107" t="str">
            <v>MPP</v>
          </cell>
          <cell r="M1107">
            <v>0</v>
          </cell>
          <cell r="N1107">
            <v>0</v>
          </cell>
        </row>
        <row r="1108">
          <cell r="E1108" t="str">
            <v>ID</v>
          </cell>
          <cell r="M1108">
            <v>0</v>
          </cell>
          <cell r="N1108">
            <v>0</v>
          </cell>
        </row>
        <row r="1109">
          <cell r="E1109" t="str">
            <v>LL</v>
          </cell>
          <cell r="M1109">
            <v>0</v>
          </cell>
          <cell r="N1109">
            <v>0</v>
          </cell>
        </row>
        <row r="1110">
          <cell r="E1110" t="str">
            <v>PMK</v>
          </cell>
          <cell r="M1110">
            <v>0</v>
          </cell>
          <cell r="N1110">
            <v>0</v>
          </cell>
        </row>
        <row r="1112">
          <cell r="C1112" t="str">
            <v>A0209</v>
          </cell>
          <cell r="D1112" t="str">
            <v>PT Serasi Auto Raya</v>
          </cell>
          <cell r="E1112" t="str">
            <v>PEB 1</v>
          </cell>
          <cell r="J1112">
            <v>0</v>
          </cell>
          <cell r="K1112">
            <v>0</v>
          </cell>
          <cell r="M1112">
            <v>0</v>
          </cell>
          <cell r="N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</row>
        <row r="1113">
          <cell r="E1113" t="str">
            <v>PEB 2</v>
          </cell>
          <cell r="J1113">
            <v>0</v>
          </cell>
          <cell r="K1113">
            <v>0</v>
          </cell>
          <cell r="M1113">
            <v>0</v>
          </cell>
          <cell r="N1113">
            <v>0</v>
          </cell>
        </row>
        <row r="1114">
          <cell r="E1114" t="str">
            <v>PEB 3</v>
          </cell>
          <cell r="J1114">
            <v>0</v>
          </cell>
          <cell r="K1114">
            <v>0</v>
          </cell>
          <cell r="M1114">
            <v>0</v>
          </cell>
          <cell r="N1114">
            <v>0</v>
          </cell>
        </row>
        <row r="1115">
          <cell r="E1115" t="str">
            <v>PEB 4</v>
          </cell>
          <cell r="J1115">
            <v>0</v>
          </cell>
          <cell r="K1115">
            <v>0</v>
          </cell>
          <cell r="M1115">
            <v>0</v>
          </cell>
          <cell r="N1115">
            <v>0</v>
          </cell>
        </row>
        <row r="1116">
          <cell r="E1116" t="str">
            <v>PEB 5</v>
          </cell>
          <cell r="J1116">
            <v>0</v>
          </cell>
          <cell r="K1116">
            <v>0</v>
          </cell>
          <cell r="M1116">
            <v>0</v>
          </cell>
          <cell r="N1116">
            <v>0</v>
          </cell>
        </row>
        <row r="1117">
          <cell r="E1117" t="str">
            <v>PEB 6</v>
          </cell>
          <cell r="M1117">
            <v>0</v>
          </cell>
          <cell r="N1117">
            <v>0</v>
          </cell>
        </row>
        <row r="1118">
          <cell r="E1118" t="str">
            <v>PEB 7 / TB</v>
          </cell>
          <cell r="J1118">
            <v>0</v>
          </cell>
          <cell r="K1118">
            <v>0</v>
          </cell>
          <cell r="M1118">
            <v>0</v>
          </cell>
          <cell r="N1118">
            <v>0</v>
          </cell>
        </row>
        <row r="1119">
          <cell r="E1119" t="str">
            <v>MPP</v>
          </cell>
          <cell r="J1119">
            <v>0</v>
          </cell>
          <cell r="K1119">
            <v>0</v>
          </cell>
          <cell r="M1119">
            <v>0</v>
          </cell>
          <cell r="N1119">
            <v>0</v>
          </cell>
        </row>
        <row r="1120">
          <cell r="E1120" t="str">
            <v>ID</v>
          </cell>
          <cell r="J1120">
            <v>0</v>
          </cell>
          <cell r="K1120">
            <v>0</v>
          </cell>
          <cell r="M1120">
            <v>0</v>
          </cell>
          <cell r="N1120">
            <v>0</v>
          </cell>
        </row>
        <row r="1121">
          <cell r="E1121" t="str">
            <v>LL</v>
          </cell>
          <cell r="J1121">
            <v>0</v>
          </cell>
          <cell r="K1121">
            <v>0</v>
          </cell>
          <cell r="M1121">
            <v>0</v>
          </cell>
          <cell r="N1121">
            <v>0</v>
          </cell>
        </row>
        <row r="1122">
          <cell r="E1122" t="str">
            <v>PMK</v>
          </cell>
          <cell r="J1122">
            <v>0</v>
          </cell>
          <cell r="K1122">
            <v>0</v>
          </cell>
          <cell r="M1122">
            <v>0</v>
          </cell>
          <cell r="N1122">
            <v>0</v>
          </cell>
        </row>
        <row r="1124">
          <cell r="C1124" t="str">
            <v>A0373</v>
          </cell>
          <cell r="D1124" t="str">
            <v>PT Serasi Transportasi Nusantara</v>
          </cell>
          <cell r="E1124" t="str">
            <v>PEB 1</v>
          </cell>
          <cell r="M1124">
            <v>0</v>
          </cell>
          <cell r="N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</row>
        <row r="1125">
          <cell r="E1125" t="str">
            <v>PEB 2</v>
          </cell>
          <cell r="M1125">
            <v>0</v>
          </cell>
          <cell r="N1125">
            <v>0</v>
          </cell>
        </row>
        <row r="1126">
          <cell r="E1126" t="str">
            <v>PEB 3</v>
          </cell>
          <cell r="M1126">
            <v>0</v>
          </cell>
          <cell r="N1126">
            <v>0</v>
          </cell>
        </row>
        <row r="1127">
          <cell r="E1127" t="str">
            <v>PEB 4</v>
          </cell>
          <cell r="M1127">
            <v>0</v>
          </cell>
          <cell r="N1127">
            <v>0</v>
          </cell>
        </row>
        <row r="1128">
          <cell r="E1128" t="str">
            <v>PEB 5</v>
          </cell>
          <cell r="M1128">
            <v>0</v>
          </cell>
          <cell r="N1128">
            <v>0</v>
          </cell>
        </row>
        <row r="1129">
          <cell r="E1129" t="str">
            <v>PEB 6</v>
          </cell>
          <cell r="M1129">
            <v>0</v>
          </cell>
          <cell r="N1129">
            <v>0</v>
          </cell>
        </row>
        <row r="1130">
          <cell r="E1130" t="str">
            <v>PEB 7 / TB</v>
          </cell>
          <cell r="M1130">
            <v>0</v>
          </cell>
          <cell r="N1130">
            <v>0</v>
          </cell>
        </row>
        <row r="1131">
          <cell r="E1131" t="str">
            <v>MPP</v>
          </cell>
          <cell r="M1131">
            <v>0</v>
          </cell>
          <cell r="N1131">
            <v>0</v>
          </cell>
        </row>
        <row r="1132">
          <cell r="E1132" t="str">
            <v>ID</v>
          </cell>
          <cell r="M1132">
            <v>0</v>
          </cell>
          <cell r="N1132">
            <v>0</v>
          </cell>
        </row>
        <row r="1133">
          <cell r="E1133" t="str">
            <v>LL</v>
          </cell>
          <cell r="M1133">
            <v>0</v>
          </cell>
          <cell r="N1133">
            <v>0</v>
          </cell>
        </row>
        <row r="1134">
          <cell r="E1134" t="str">
            <v>PMK</v>
          </cell>
          <cell r="M1134">
            <v>0</v>
          </cell>
          <cell r="N1134">
            <v>0</v>
          </cell>
        </row>
        <row r="1136">
          <cell r="C1136" t="str">
            <v>A0132</v>
          </cell>
          <cell r="D1136" t="str">
            <v>PT Showa Indonesia</v>
          </cell>
          <cell r="E1136" t="str">
            <v>PEB 1</v>
          </cell>
          <cell r="M1136">
            <v>0</v>
          </cell>
          <cell r="N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</row>
        <row r="1137">
          <cell r="E1137" t="str">
            <v>PEB 2</v>
          </cell>
          <cell r="M1137">
            <v>0</v>
          </cell>
          <cell r="N1137">
            <v>0</v>
          </cell>
        </row>
        <row r="1138">
          <cell r="E1138" t="str">
            <v>PEB 3</v>
          </cell>
          <cell r="M1138">
            <v>0</v>
          </cell>
          <cell r="N1138">
            <v>0</v>
          </cell>
        </row>
        <row r="1139">
          <cell r="E1139" t="str">
            <v>PEB 4</v>
          </cell>
          <cell r="M1139">
            <v>0</v>
          </cell>
          <cell r="N1139">
            <v>0</v>
          </cell>
        </row>
        <row r="1140">
          <cell r="E1140" t="str">
            <v>PEB 5</v>
          </cell>
          <cell r="M1140">
            <v>0</v>
          </cell>
          <cell r="N1140">
            <v>0</v>
          </cell>
        </row>
        <row r="1141">
          <cell r="E1141" t="str">
            <v>PEB 6</v>
          </cell>
          <cell r="M1141">
            <v>0</v>
          </cell>
          <cell r="N1141">
            <v>0</v>
          </cell>
        </row>
        <row r="1142">
          <cell r="E1142" t="str">
            <v>PEB 7 / TB</v>
          </cell>
          <cell r="M1142">
            <v>0</v>
          </cell>
          <cell r="N1142">
            <v>0</v>
          </cell>
        </row>
        <row r="1143">
          <cell r="E1143" t="str">
            <v>MPP</v>
          </cell>
          <cell r="M1143">
            <v>0</v>
          </cell>
          <cell r="N1143">
            <v>0</v>
          </cell>
        </row>
        <row r="1144">
          <cell r="E1144" t="str">
            <v>ID</v>
          </cell>
          <cell r="M1144">
            <v>0</v>
          </cell>
          <cell r="N1144">
            <v>0</v>
          </cell>
        </row>
        <row r="1145">
          <cell r="E1145" t="str">
            <v>LL</v>
          </cell>
          <cell r="M1145">
            <v>0</v>
          </cell>
          <cell r="N1145">
            <v>0</v>
          </cell>
        </row>
        <row r="1146">
          <cell r="E1146" t="str">
            <v>PMK</v>
          </cell>
          <cell r="M1146">
            <v>0</v>
          </cell>
          <cell r="N1146">
            <v>0</v>
          </cell>
        </row>
        <row r="1148">
          <cell r="C1148" t="str">
            <v>A0135</v>
          </cell>
          <cell r="D1148" t="str">
            <v>PT Staco Estika Sedaya Finance</v>
          </cell>
          <cell r="E1148" t="str">
            <v>PEB 1</v>
          </cell>
          <cell r="M1148">
            <v>0</v>
          </cell>
          <cell r="N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</row>
        <row r="1149">
          <cell r="E1149" t="str">
            <v>PEB 2</v>
          </cell>
          <cell r="M1149">
            <v>0</v>
          </cell>
          <cell r="N1149">
            <v>0</v>
          </cell>
        </row>
        <row r="1150">
          <cell r="E1150" t="str">
            <v>PEB 3</v>
          </cell>
          <cell r="M1150">
            <v>0</v>
          </cell>
          <cell r="N1150">
            <v>0</v>
          </cell>
        </row>
        <row r="1151">
          <cell r="E1151" t="str">
            <v>PEB 4</v>
          </cell>
          <cell r="M1151">
            <v>0</v>
          </cell>
          <cell r="N1151">
            <v>0</v>
          </cell>
        </row>
        <row r="1152">
          <cell r="E1152" t="str">
            <v>PEB 5</v>
          </cell>
          <cell r="M1152">
            <v>0</v>
          </cell>
          <cell r="N1152">
            <v>0</v>
          </cell>
        </row>
        <row r="1153">
          <cell r="E1153" t="str">
            <v>PEB 6</v>
          </cell>
          <cell r="M1153">
            <v>0</v>
          </cell>
          <cell r="N1153">
            <v>0</v>
          </cell>
        </row>
        <row r="1154">
          <cell r="E1154" t="str">
            <v>PEB 7 / TB</v>
          </cell>
          <cell r="M1154">
            <v>0</v>
          </cell>
          <cell r="N1154">
            <v>0</v>
          </cell>
        </row>
        <row r="1155">
          <cell r="E1155" t="str">
            <v>MPP</v>
          </cell>
          <cell r="M1155">
            <v>0</v>
          </cell>
          <cell r="N1155">
            <v>0</v>
          </cell>
        </row>
        <row r="1156">
          <cell r="E1156" t="str">
            <v>ID</v>
          </cell>
          <cell r="M1156">
            <v>0</v>
          </cell>
          <cell r="N1156">
            <v>0</v>
          </cell>
        </row>
        <row r="1157">
          <cell r="E1157" t="str">
            <v>LL</v>
          </cell>
          <cell r="M1157">
            <v>0</v>
          </cell>
          <cell r="N1157">
            <v>0</v>
          </cell>
        </row>
        <row r="1158">
          <cell r="E1158" t="str">
            <v>PMK</v>
          </cell>
          <cell r="M1158">
            <v>0</v>
          </cell>
          <cell r="N1158">
            <v>0</v>
          </cell>
        </row>
        <row r="1160">
          <cell r="C1160" t="str">
            <v>A0273</v>
          </cell>
          <cell r="D1160" t="str">
            <v>PT Stacomitra Graha</v>
          </cell>
          <cell r="E1160" t="str">
            <v>PEB 1</v>
          </cell>
          <cell r="M1160">
            <v>0</v>
          </cell>
          <cell r="N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</row>
        <row r="1161">
          <cell r="E1161" t="str">
            <v>PEB 2</v>
          </cell>
          <cell r="M1161">
            <v>0</v>
          </cell>
          <cell r="N1161">
            <v>0</v>
          </cell>
        </row>
        <row r="1162">
          <cell r="E1162" t="str">
            <v>PEB 3</v>
          </cell>
          <cell r="M1162">
            <v>0</v>
          </cell>
          <cell r="N1162">
            <v>0</v>
          </cell>
        </row>
        <row r="1163">
          <cell r="E1163" t="str">
            <v>PEB 4</v>
          </cell>
          <cell r="M1163">
            <v>0</v>
          </cell>
          <cell r="N1163">
            <v>0</v>
          </cell>
        </row>
        <row r="1164">
          <cell r="E1164" t="str">
            <v>PEB 5</v>
          </cell>
          <cell r="M1164">
            <v>0</v>
          </cell>
          <cell r="N1164">
            <v>0</v>
          </cell>
        </row>
        <row r="1165">
          <cell r="E1165" t="str">
            <v>PEB 6</v>
          </cell>
          <cell r="M1165">
            <v>0</v>
          </cell>
          <cell r="N1165">
            <v>0</v>
          </cell>
        </row>
        <row r="1166">
          <cell r="E1166" t="str">
            <v>PEB 7 / TB</v>
          </cell>
          <cell r="M1166">
            <v>0</v>
          </cell>
          <cell r="N1166">
            <v>0</v>
          </cell>
        </row>
        <row r="1167">
          <cell r="E1167" t="str">
            <v>MPP</v>
          </cell>
          <cell r="M1167">
            <v>0</v>
          </cell>
          <cell r="N1167">
            <v>0</v>
          </cell>
        </row>
        <row r="1168">
          <cell r="E1168" t="str">
            <v>ID</v>
          </cell>
          <cell r="M1168">
            <v>0</v>
          </cell>
          <cell r="N1168">
            <v>0</v>
          </cell>
        </row>
        <row r="1169">
          <cell r="E1169" t="str">
            <v>LL</v>
          </cell>
          <cell r="M1169">
            <v>0</v>
          </cell>
          <cell r="N1169">
            <v>0</v>
          </cell>
        </row>
        <row r="1170">
          <cell r="E1170" t="str">
            <v>PMK</v>
          </cell>
          <cell r="M1170">
            <v>0</v>
          </cell>
          <cell r="N1170">
            <v>0</v>
          </cell>
        </row>
        <row r="1172">
          <cell r="C1172" t="str">
            <v>A0435</v>
          </cell>
          <cell r="D1172" t="str">
            <v>PT Subur Abadi Plantation</v>
          </cell>
          <cell r="E1172" t="str">
            <v>PEB 1</v>
          </cell>
          <cell r="M1172">
            <v>0</v>
          </cell>
          <cell r="N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</row>
        <row r="1173">
          <cell r="E1173" t="str">
            <v>PEB 2</v>
          </cell>
          <cell r="M1173">
            <v>0</v>
          </cell>
          <cell r="N1173">
            <v>0</v>
          </cell>
        </row>
        <row r="1174">
          <cell r="E1174" t="str">
            <v>PEB 3</v>
          </cell>
          <cell r="M1174">
            <v>0</v>
          </cell>
          <cell r="N1174">
            <v>0</v>
          </cell>
        </row>
        <row r="1175">
          <cell r="E1175" t="str">
            <v>PEB 4</v>
          </cell>
          <cell r="M1175">
            <v>0</v>
          </cell>
          <cell r="N1175">
            <v>0</v>
          </cell>
        </row>
        <row r="1176">
          <cell r="E1176" t="str">
            <v>PEB 5</v>
          </cell>
          <cell r="M1176">
            <v>0</v>
          </cell>
          <cell r="N1176">
            <v>0</v>
          </cell>
        </row>
        <row r="1177">
          <cell r="E1177" t="str">
            <v>PEB 6</v>
          </cell>
          <cell r="M1177">
            <v>0</v>
          </cell>
          <cell r="N1177">
            <v>0</v>
          </cell>
        </row>
        <row r="1178">
          <cell r="E1178" t="str">
            <v>PEB 7 / TB</v>
          </cell>
          <cell r="M1178">
            <v>0</v>
          </cell>
          <cell r="N1178">
            <v>0</v>
          </cell>
        </row>
        <row r="1179">
          <cell r="E1179" t="str">
            <v>MPP</v>
          </cell>
          <cell r="M1179">
            <v>0</v>
          </cell>
          <cell r="N1179">
            <v>0</v>
          </cell>
        </row>
        <row r="1180">
          <cell r="E1180" t="str">
            <v>ID</v>
          </cell>
          <cell r="M1180">
            <v>0</v>
          </cell>
          <cell r="N1180">
            <v>0</v>
          </cell>
        </row>
        <row r="1181">
          <cell r="E1181" t="str">
            <v>LL</v>
          </cell>
          <cell r="M1181">
            <v>0</v>
          </cell>
          <cell r="N1181">
            <v>0</v>
          </cell>
        </row>
        <row r="1182">
          <cell r="E1182" t="str">
            <v>PMK</v>
          </cell>
          <cell r="M1182">
            <v>0</v>
          </cell>
          <cell r="N1182">
            <v>0</v>
          </cell>
        </row>
        <row r="1184">
          <cell r="C1184" t="str">
            <v>A0169</v>
          </cell>
          <cell r="D1184" t="str">
            <v>PT Sukses Tani Nusa Subur</v>
          </cell>
          <cell r="E1184" t="str">
            <v>PEB 1</v>
          </cell>
          <cell r="M1184">
            <v>0</v>
          </cell>
          <cell r="N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</row>
        <row r="1185">
          <cell r="E1185" t="str">
            <v>PEB 2</v>
          </cell>
          <cell r="M1185">
            <v>0</v>
          </cell>
          <cell r="N1185">
            <v>0</v>
          </cell>
        </row>
        <row r="1186">
          <cell r="E1186" t="str">
            <v>PEB 3</v>
          </cell>
          <cell r="M1186">
            <v>0</v>
          </cell>
          <cell r="N1186">
            <v>0</v>
          </cell>
        </row>
        <row r="1187">
          <cell r="E1187" t="str">
            <v>PEB 4</v>
          </cell>
          <cell r="M1187">
            <v>0</v>
          </cell>
          <cell r="N1187">
            <v>0</v>
          </cell>
        </row>
        <row r="1188">
          <cell r="E1188" t="str">
            <v>PEB 5</v>
          </cell>
          <cell r="M1188">
            <v>0</v>
          </cell>
          <cell r="N1188">
            <v>0</v>
          </cell>
        </row>
        <row r="1189">
          <cell r="E1189" t="str">
            <v>PEB 6</v>
          </cell>
          <cell r="M1189">
            <v>0</v>
          </cell>
          <cell r="N1189">
            <v>0</v>
          </cell>
        </row>
        <row r="1190">
          <cell r="E1190" t="str">
            <v>PEB 7 / TB</v>
          </cell>
          <cell r="M1190">
            <v>0</v>
          </cell>
          <cell r="N1190">
            <v>0</v>
          </cell>
        </row>
        <row r="1191">
          <cell r="E1191" t="str">
            <v>MPP</v>
          </cell>
          <cell r="M1191">
            <v>0</v>
          </cell>
          <cell r="N1191">
            <v>0</v>
          </cell>
        </row>
        <row r="1192">
          <cell r="E1192" t="str">
            <v>ID</v>
          </cell>
          <cell r="M1192">
            <v>0</v>
          </cell>
          <cell r="N1192">
            <v>0</v>
          </cell>
        </row>
        <row r="1193">
          <cell r="E1193" t="str">
            <v>LL</v>
          </cell>
          <cell r="M1193">
            <v>0</v>
          </cell>
          <cell r="N1193">
            <v>0</v>
          </cell>
        </row>
        <row r="1194">
          <cell r="E1194" t="str">
            <v>PMK</v>
          </cell>
          <cell r="M1194">
            <v>0</v>
          </cell>
          <cell r="N1194">
            <v>0</v>
          </cell>
        </row>
        <row r="1196">
          <cell r="C1196" t="str">
            <v>A0377</v>
          </cell>
          <cell r="D1196" t="str">
            <v>PT Sumber Kharisma Persada</v>
          </cell>
          <cell r="E1196" t="str">
            <v>PEB 1</v>
          </cell>
          <cell r="M1196">
            <v>0</v>
          </cell>
          <cell r="N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</row>
        <row r="1197">
          <cell r="E1197" t="str">
            <v>PEB 2</v>
          </cell>
          <cell r="M1197">
            <v>0</v>
          </cell>
          <cell r="N1197">
            <v>0</v>
          </cell>
        </row>
        <row r="1198">
          <cell r="E1198" t="str">
            <v>PEB 3</v>
          </cell>
          <cell r="M1198">
            <v>0</v>
          </cell>
          <cell r="N1198">
            <v>0</v>
          </cell>
        </row>
        <row r="1199">
          <cell r="E1199" t="str">
            <v>PEB 4</v>
          </cell>
          <cell r="M1199">
            <v>0</v>
          </cell>
          <cell r="N1199">
            <v>0</v>
          </cell>
        </row>
        <row r="1200">
          <cell r="E1200" t="str">
            <v>PEB 5</v>
          </cell>
          <cell r="M1200">
            <v>0</v>
          </cell>
          <cell r="N1200">
            <v>0</v>
          </cell>
        </row>
        <row r="1201">
          <cell r="E1201" t="str">
            <v>PEB 6</v>
          </cell>
          <cell r="M1201">
            <v>0</v>
          </cell>
          <cell r="N1201">
            <v>0</v>
          </cell>
        </row>
        <row r="1202">
          <cell r="E1202" t="str">
            <v>PEB 7 / TB</v>
          </cell>
          <cell r="M1202">
            <v>0</v>
          </cell>
          <cell r="N1202">
            <v>0</v>
          </cell>
        </row>
        <row r="1203">
          <cell r="E1203" t="str">
            <v>MPP</v>
          </cell>
          <cell r="M1203">
            <v>0</v>
          </cell>
          <cell r="N1203">
            <v>0</v>
          </cell>
        </row>
        <row r="1204">
          <cell r="E1204" t="str">
            <v>ID</v>
          </cell>
          <cell r="M1204">
            <v>0</v>
          </cell>
          <cell r="N1204">
            <v>0</v>
          </cell>
        </row>
        <row r="1205">
          <cell r="E1205" t="str">
            <v>LL</v>
          </cell>
          <cell r="M1205">
            <v>0</v>
          </cell>
          <cell r="N1205">
            <v>0</v>
          </cell>
        </row>
        <row r="1206">
          <cell r="E1206" t="str">
            <v>PMK</v>
          </cell>
          <cell r="M1206">
            <v>0</v>
          </cell>
          <cell r="N1206">
            <v>0</v>
          </cell>
        </row>
        <row r="1208">
          <cell r="C1208" t="str">
            <v>A0421</v>
          </cell>
          <cell r="D1208" t="str">
            <v>PT Sumber Utama Makmur</v>
          </cell>
          <cell r="E1208" t="str">
            <v>PEB 1</v>
          </cell>
          <cell r="M1208">
            <v>0</v>
          </cell>
          <cell r="N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</row>
        <row r="1209">
          <cell r="E1209" t="str">
            <v>PEB 2</v>
          </cell>
          <cell r="M1209">
            <v>0</v>
          </cell>
          <cell r="N1209">
            <v>0</v>
          </cell>
        </row>
        <row r="1210">
          <cell r="E1210" t="str">
            <v>PEB 3</v>
          </cell>
          <cell r="M1210">
            <v>0</v>
          </cell>
          <cell r="N1210">
            <v>0</v>
          </cell>
        </row>
        <row r="1211">
          <cell r="E1211" t="str">
            <v>PEB 4</v>
          </cell>
          <cell r="M1211">
            <v>0</v>
          </cell>
          <cell r="N1211">
            <v>0</v>
          </cell>
        </row>
        <row r="1212">
          <cell r="E1212" t="str">
            <v>PEB 5</v>
          </cell>
          <cell r="M1212">
            <v>0</v>
          </cell>
          <cell r="N1212">
            <v>0</v>
          </cell>
        </row>
        <row r="1213">
          <cell r="E1213" t="str">
            <v>PEB 6</v>
          </cell>
          <cell r="M1213">
            <v>0</v>
          </cell>
          <cell r="N1213">
            <v>0</v>
          </cell>
        </row>
        <row r="1214">
          <cell r="E1214" t="str">
            <v>PEB 7 / TB</v>
          </cell>
          <cell r="M1214">
            <v>0</v>
          </cell>
          <cell r="N1214">
            <v>0</v>
          </cell>
        </row>
        <row r="1215">
          <cell r="E1215" t="str">
            <v>MPP</v>
          </cell>
          <cell r="M1215">
            <v>0</v>
          </cell>
          <cell r="N1215">
            <v>0</v>
          </cell>
        </row>
        <row r="1216">
          <cell r="E1216" t="str">
            <v>ID</v>
          </cell>
          <cell r="M1216">
            <v>0</v>
          </cell>
          <cell r="N1216">
            <v>0</v>
          </cell>
        </row>
        <row r="1217">
          <cell r="E1217" t="str">
            <v>LL</v>
          </cell>
          <cell r="M1217">
            <v>0</v>
          </cell>
          <cell r="N1217">
            <v>0</v>
          </cell>
        </row>
        <row r="1218">
          <cell r="E1218" t="str">
            <v>PMK</v>
          </cell>
          <cell r="M1218">
            <v>0</v>
          </cell>
          <cell r="N1218">
            <v>0</v>
          </cell>
        </row>
        <row r="1220">
          <cell r="C1220" t="str">
            <v>A0142</v>
          </cell>
          <cell r="D1220" t="str">
            <v>PT Surya Artha Nusantara Finance</v>
          </cell>
          <cell r="E1220" t="str">
            <v>PEB 1</v>
          </cell>
          <cell r="M1220">
            <v>0</v>
          </cell>
          <cell r="N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</row>
        <row r="1221">
          <cell r="E1221" t="str">
            <v>PEB 2</v>
          </cell>
          <cell r="M1221">
            <v>0</v>
          </cell>
          <cell r="N1221">
            <v>0</v>
          </cell>
        </row>
        <row r="1222">
          <cell r="E1222" t="str">
            <v>PEB 3</v>
          </cell>
          <cell r="M1222">
            <v>0</v>
          </cell>
          <cell r="N1222">
            <v>0</v>
          </cell>
        </row>
        <row r="1223">
          <cell r="E1223" t="str">
            <v>PEB 4</v>
          </cell>
          <cell r="M1223">
            <v>0</v>
          </cell>
          <cell r="N1223">
            <v>0</v>
          </cell>
        </row>
        <row r="1224">
          <cell r="E1224" t="str">
            <v>PEB 5</v>
          </cell>
          <cell r="M1224">
            <v>0</v>
          </cell>
          <cell r="N1224">
            <v>0</v>
          </cell>
        </row>
        <row r="1225">
          <cell r="E1225" t="str">
            <v>PEB 6</v>
          </cell>
          <cell r="M1225">
            <v>0</v>
          </cell>
          <cell r="N1225">
            <v>0</v>
          </cell>
        </row>
        <row r="1226">
          <cell r="E1226" t="str">
            <v>PEB 7 / TB</v>
          </cell>
          <cell r="M1226">
            <v>0</v>
          </cell>
          <cell r="N1226">
            <v>0</v>
          </cell>
        </row>
        <row r="1227">
          <cell r="E1227" t="str">
            <v>MPP</v>
          </cell>
          <cell r="M1227">
            <v>0</v>
          </cell>
          <cell r="N1227">
            <v>0</v>
          </cell>
        </row>
        <row r="1228">
          <cell r="E1228" t="str">
            <v>ID</v>
          </cell>
          <cell r="M1228">
            <v>0</v>
          </cell>
          <cell r="N1228">
            <v>0</v>
          </cell>
        </row>
        <row r="1229">
          <cell r="E1229" t="str">
            <v>LL</v>
          </cell>
          <cell r="M1229">
            <v>0</v>
          </cell>
          <cell r="N1229">
            <v>0</v>
          </cell>
        </row>
        <row r="1230">
          <cell r="E1230" t="str">
            <v>PMK</v>
          </cell>
          <cell r="M1230">
            <v>0</v>
          </cell>
          <cell r="N1230">
            <v>0</v>
          </cell>
        </row>
        <row r="1232">
          <cell r="C1232" t="str">
            <v>A0251</v>
          </cell>
          <cell r="D1232" t="str">
            <v>PT Surya Indah Nusantara Pagi</v>
          </cell>
          <cell r="E1232" t="str">
            <v>PEB 1</v>
          </cell>
          <cell r="M1232">
            <v>0</v>
          </cell>
          <cell r="N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</row>
        <row r="1233">
          <cell r="E1233" t="str">
            <v>PEB 2</v>
          </cell>
          <cell r="M1233">
            <v>0</v>
          </cell>
          <cell r="N1233">
            <v>0</v>
          </cell>
        </row>
        <row r="1234">
          <cell r="E1234" t="str">
            <v>PEB 3</v>
          </cell>
          <cell r="M1234">
            <v>0</v>
          </cell>
          <cell r="N1234">
            <v>0</v>
          </cell>
        </row>
        <row r="1235">
          <cell r="E1235" t="str">
            <v>PEB 4</v>
          </cell>
          <cell r="M1235">
            <v>0</v>
          </cell>
          <cell r="N1235">
            <v>0</v>
          </cell>
        </row>
        <row r="1236">
          <cell r="E1236" t="str">
            <v>PEB 5</v>
          </cell>
          <cell r="M1236">
            <v>0</v>
          </cell>
          <cell r="N1236">
            <v>0</v>
          </cell>
        </row>
        <row r="1237">
          <cell r="E1237" t="str">
            <v>PEB 6</v>
          </cell>
          <cell r="M1237">
            <v>0</v>
          </cell>
          <cell r="N1237">
            <v>0</v>
          </cell>
        </row>
        <row r="1238">
          <cell r="E1238" t="str">
            <v>PEB 7 / TB</v>
          </cell>
          <cell r="M1238">
            <v>0</v>
          </cell>
          <cell r="N1238">
            <v>0</v>
          </cell>
        </row>
        <row r="1239">
          <cell r="E1239" t="str">
            <v>MPP</v>
          </cell>
          <cell r="M1239">
            <v>0</v>
          </cell>
          <cell r="N1239">
            <v>0</v>
          </cell>
        </row>
        <row r="1240">
          <cell r="E1240" t="str">
            <v>ID</v>
          </cell>
          <cell r="M1240">
            <v>0</v>
          </cell>
          <cell r="N1240">
            <v>0</v>
          </cell>
        </row>
        <row r="1241">
          <cell r="E1241" t="str">
            <v>LL</v>
          </cell>
          <cell r="M1241">
            <v>0</v>
          </cell>
          <cell r="N1241">
            <v>0</v>
          </cell>
        </row>
        <row r="1242">
          <cell r="E1242" t="str">
            <v>PMK</v>
          </cell>
          <cell r="M1242">
            <v>0</v>
          </cell>
          <cell r="N1242">
            <v>0</v>
          </cell>
        </row>
        <row r="1244">
          <cell r="C1244" t="str">
            <v>A0259</v>
          </cell>
          <cell r="D1244" t="str">
            <v>PT Surya Panen Subur</v>
          </cell>
          <cell r="E1244" t="str">
            <v>PEB 1</v>
          </cell>
          <cell r="M1244">
            <v>0</v>
          </cell>
          <cell r="N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</row>
        <row r="1245">
          <cell r="E1245" t="str">
            <v>PEB 2</v>
          </cell>
          <cell r="M1245">
            <v>0</v>
          </cell>
          <cell r="N1245">
            <v>0</v>
          </cell>
        </row>
        <row r="1246">
          <cell r="E1246" t="str">
            <v>PEB 3</v>
          </cell>
          <cell r="M1246">
            <v>0</v>
          </cell>
          <cell r="N1246">
            <v>0</v>
          </cell>
        </row>
        <row r="1247">
          <cell r="E1247" t="str">
            <v>PEB 4</v>
          </cell>
          <cell r="M1247">
            <v>0</v>
          </cell>
          <cell r="N1247">
            <v>0</v>
          </cell>
        </row>
        <row r="1248">
          <cell r="E1248" t="str">
            <v>PEB 5</v>
          </cell>
          <cell r="M1248">
            <v>0</v>
          </cell>
          <cell r="N1248">
            <v>0</v>
          </cell>
        </row>
        <row r="1249">
          <cell r="E1249" t="str">
            <v>PEB 6</v>
          </cell>
          <cell r="M1249">
            <v>0</v>
          </cell>
          <cell r="N1249">
            <v>0</v>
          </cell>
        </row>
        <row r="1250">
          <cell r="E1250" t="str">
            <v>PEB 7 / TB</v>
          </cell>
          <cell r="M1250">
            <v>0</v>
          </cell>
          <cell r="N1250">
            <v>0</v>
          </cell>
        </row>
        <row r="1251">
          <cell r="E1251" t="str">
            <v>MPP</v>
          </cell>
          <cell r="M1251">
            <v>0</v>
          </cell>
          <cell r="N1251">
            <v>0</v>
          </cell>
        </row>
        <row r="1252">
          <cell r="E1252" t="str">
            <v>ID</v>
          </cell>
          <cell r="M1252">
            <v>0</v>
          </cell>
          <cell r="N1252">
            <v>0</v>
          </cell>
        </row>
        <row r="1253">
          <cell r="E1253" t="str">
            <v>LL</v>
          </cell>
          <cell r="M1253">
            <v>0</v>
          </cell>
          <cell r="N1253">
            <v>0</v>
          </cell>
        </row>
        <row r="1254">
          <cell r="E1254" t="str">
            <v>PMK</v>
          </cell>
          <cell r="M1254">
            <v>0</v>
          </cell>
          <cell r="N1254">
            <v>0</v>
          </cell>
        </row>
        <row r="1256">
          <cell r="C1256" t="str">
            <v>A0170</v>
          </cell>
          <cell r="D1256" t="str">
            <v>PT Suryaraya Lestari</v>
          </cell>
          <cell r="E1256" t="str">
            <v>PEB 1</v>
          </cell>
          <cell r="M1256">
            <v>0</v>
          </cell>
          <cell r="N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</row>
        <row r="1257">
          <cell r="E1257" t="str">
            <v>PEB 2</v>
          </cell>
          <cell r="M1257">
            <v>0</v>
          </cell>
          <cell r="N1257">
            <v>0</v>
          </cell>
        </row>
        <row r="1258">
          <cell r="E1258" t="str">
            <v>PEB 3</v>
          </cell>
          <cell r="M1258">
            <v>0</v>
          </cell>
          <cell r="N1258">
            <v>0</v>
          </cell>
        </row>
        <row r="1259">
          <cell r="E1259" t="str">
            <v>PEB 4</v>
          </cell>
          <cell r="M1259">
            <v>0</v>
          </cell>
          <cell r="N1259">
            <v>0</v>
          </cell>
        </row>
        <row r="1260">
          <cell r="E1260" t="str">
            <v>PEB 5</v>
          </cell>
          <cell r="M1260">
            <v>0</v>
          </cell>
          <cell r="N1260">
            <v>0</v>
          </cell>
        </row>
        <row r="1261">
          <cell r="E1261" t="str">
            <v>PEB 6</v>
          </cell>
          <cell r="M1261">
            <v>0</v>
          </cell>
          <cell r="N1261">
            <v>0</v>
          </cell>
        </row>
        <row r="1262">
          <cell r="E1262" t="str">
            <v>PEB 7 / TB</v>
          </cell>
          <cell r="M1262">
            <v>0</v>
          </cell>
          <cell r="N1262">
            <v>0</v>
          </cell>
        </row>
        <row r="1263">
          <cell r="E1263" t="str">
            <v>MPP</v>
          </cell>
          <cell r="M1263">
            <v>0</v>
          </cell>
          <cell r="N1263">
            <v>0</v>
          </cell>
        </row>
        <row r="1264">
          <cell r="E1264" t="str">
            <v>ID</v>
          </cell>
          <cell r="M1264">
            <v>0</v>
          </cell>
          <cell r="N1264">
            <v>0</v>
          </cell>
        </row>
        <row r="1265">
          <cell r="E1265" t="str">
            <v>LL</v>
          </cell>
          <cell r="M1265">
            <v>0</v>
          </cell>
          <cell r="N1265">
            <v>0</v>
          </cell>
        </row>
        <row r="1266">
          <cell r="E1266" t="str">
            <v>PMK</v>
          </cell>
          <cell r="M1266">
            <v>0</v>
          </cell>
          <cell r="N1266">
            <v>0</v>
          </cell>
        </row>
        <row r="1268">
          <cell r="C1268" t="str">
            <v>A0140</v>
          </cell>
          <cell r="D1268" t="str">
            <v>PT Suryaraya Prawira</v>
          </cell>
          <cell r="E1268" t="str">
            <v>PEB 1</v>
          </cell>
          <cell r="M1268">
            <v>0</v>
          </cell>
          <cell r="N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</row>
        <row r="1269">
          <cell r="E1269" t="str">
            <v>PEB 2</v>
          </cell>
          <cell r="M1269">
            <v>0</v>
          </cell>
          <cell r="N1269">
            <v>0</v>
          </cell>
        </row>
        <row r="1270">
          <cell r="E1270" t="str">
            <v>PEB 3</v>
          </cell>
          <cell r="M1270">
            <v>0</v>
          </cell>
          <cell r="N1270">
            <v>0</v>
          </cell>
        </row>
        <row r="1271">
          <cell r="E1271" t="str">
            <v>PEB 4</v>
          </cell>
          <cell r="M1271">
            <v>0</v>
          </cell>
          <cell r="N1271">
            <v>0</v>
          </cell>
        </row>
        <row r="1272">
          <cell r="E1272" t="str">
            <v>PEB 5</v>
          </cell>
          <cell r="M1272">
            <v>0</v>
          </cell>
          <cell r="N1272">
            <v>0</v>
          </cell>
        </row>
        <row r="1273">
          <cell r="E1273" t="str">
            <v>PEB 6</v>
          </cell>
          <cell r="M1273">
            <v>0</v>
          </cell>
          <cell r="N1273">
            <v>0</v>
          </cell>
        </row>
        <row r="1274">
          <cell r="E1274" t="str">
            <v>PEB 7 / TB</v>
          </cell>
          <cell r="M1274">
            <v>0</v>
          </cell>
          <cell r="N1274">
            <v>0</v>
          </cell>
        </row>
        <row r="1275">
          <cell r="E1275" t="str">
            <v>MPP</v>
          </cell>
          <cell r="M1275">
            <v>0</v>
          </cell>
          <cell r="N1275">
            <v>0</v>
          </cell>
        </row>
        <row r="1276">
          <cell r="E1276" t="str">
            <v>ID</v>
          </cell>
          <cell r="M1276">
            <v>0</v>
          </cell>
          <cell r="N1276">
            <v>0</v>
          </cell>
        </row>
        <row r="1277">
          <cell r="E1277" t="str">
            <v>LL</v>
          </cell>
          <cell r="M1277">
            <v>0</v>
          </cell>
          <cell r="N1277">
            <v>0</v>
          </cell>
        </row>
        <row r="1278">
          <cell r="E1278" t="str">
            <v>PMK</v>
          </cell>
          <cell r="M1278">
            <v>0</v>
          </cell>
          <cell r="N1278">
            <v>0</v>
          </cell>
        </row>
        <row r="1280">
          <cell r="C1280" t="str">
            <v>A0199</v>
          </cell>
          <cell r="D1280" t="str">
            <v>PT Suryaraya Rubberindo Industries</v>
          </cell>
          <cell r="E1280" t="str">
            <v>PEB 1</v>
          </cell>
          <cell r="J1280">
            <v>1004000.2218128699</v>
          </cell>
          <cell r="K1280">
            <v>45295.34103472712</v>
          </cell>
          <cell r="M1280">
            <v>-1004000.2218128699</v>
          </cell>
          <cell r="N1280">
            <v>-45295.34103472712</v>
          </cell>
          <cell r="P1280">
            <v>0</v>
          </cell>
          <cell r="Q1280">
            <v>0</v>
          </cell>
          <cell r="R1280">
            <v>-98314.907405445134</v>
          </cell>
          <cell r="S1280">
            <v>-4435.4644182113188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-13419.234146055798</v>
          </cell>
          <cell r="AA1280">
            <v>-605.40702468464428</v>
          </cell>
          <cell r="AB1280">
            <v>0</v>
          </cell>
          <cell r="AC1280">
            <v>0</v>
          </cell>
          <cell r="AD1280">
            <v>-60323.350776084881</v>
          </cell>
          <cell r="AE1280">
            <v>-2721.480221216033</v>
          </cell>
          <cell r="AF1280">
            <v>-36930.182074522192</v>
          </cell>
          <cell r="AG1280">
            <v>-17052.780028722169</v>
          </cell>
          <cell r="AH1280">
            <v>-8703.8495821621109</v>
          </cell>
          <cell r="AI1280">
            <v>-1008.8689428251951</v>
          </cell>
        </row>
        <row r="1281">
          <cell r="E1281" t="str">
            <v>PEB 2</v>
          </cell>
          <cell r="M1281">
            <v>0</v>
          </cell>
          <cell r="N1281">
            <v>0</v>
          </cell>
        </row>
        <row r="1282">
          <cell r="E1282" t="str">
            <v>PEB 3</v>
          </cell>
          <cell r="J1282">
            <v>98314.907405445134</v>
          </cell>
          <cell r="K1282">
            <v>4435.4644182113188</v>
          </cell>
          <cell r="M1282">
            <v>-98314.907405445134</v>
          </cell>
          <cell r="N1282">
            <v>-4435.4644182113188</v>
          </cell>
        </row>
        <row r="1283">
          <cell r="E1283" t="str">
            <v>PEB 4</v>
          </cell>
          <cell r="M1283">
            <v>0</v>
          </cell>
          <cell r="N1283">
            <v>0</v>
          </cell>
        </row>
        <row r="1284">
          <cell r="E1284" t="str">
            <v>PEB 5</v>
          </cell>
          <cell r="M1284">
            <v>0</v>
          </cell>
          <cell r="N1284">
            <v>0</v>
          </cell>
        </row>
        <row r="1285">
          <cell r="E1285" t="str">
            <v>PEB 6</v>
          </cell>
          <cell r="M1285">
            <v>0</v>
          </cell>
          <cell r="N1285">
            <v>0</v>
          </cell>
        </row>
        <row r="1286">
          <cell r="E1286" t="str">
            <v>PEB 7 / TB</v>
          </cell>
          <cell r="J1286">
            <v>13419.234146055798</v>
          </cell>
          <cell r="K1286">
            <v>605.40702468464428</v>
          </cell>
          <cell r="M1286">
            <v>-13419.234146055798</v>
          </cell>
          <cell r="N1286">
            <v>-605.40702468464428</v>
          </cell>
        </row>
        <row r="1287">
          <cell r="E1287" t="str">
            <v>MPP</v>
          </cell>
          <cell r="M1287">
            <v>0</v>
          </cell>
          <cell r="N1287">
            <v>0</v>
          </cell>
        </row>
        <row r="1288">
          <cell r="E1288" t="str">
            <v>ID</v>
          </cell>
          <cell r="J1288">
            <v>60323.350776084881</v>
          </cell>
          <cell r="K1288">
            <v>2721.480221216033</v>
          </cell>
          <cell r="M1288">
            <v>-60323.350776084881</v>
          </cell>
          <cell r="N1288">
            <v>-2721.480221216033</v>
          </cell>
        </row>
        <row r="1289">
          <cell r="E1289" t="str">
            <v>LL</v>
          </cell>
          <cell r="J1289">
            <v>36930.182074522192</v>
          </cell>
          <cell r="K1289">
            <v>17052.780028722169</v>
          </cell>
          <cell r="M1289">
            <v>-36930.182074522192</v>
          </cell>
          <cell r="N1289">
            <v>-17052.780028722169</v>
          </cell>
        </row>
        <row r="1290">
          <cell r="E1290" t="str">
            <v>PMK</v>
          </cell>
          <cell r="J1290">
            <v>8703.8495821621109</v>
          </cell>
          <cell r="K1290">
            <v>1008.8689428251951</v>
          </cell>
          <cell r="M1290">
            <v>-8703.8495821621109</v>
          </cell>
          <cell r="N1290">
            <v>-1008.8689428251951</v>
          </cell>
        </row>
        <row r="1292">
          <cell r="C1292" t="str">
            <v>A0221</v>
          </cell>
          <cell r="D1292" t="str">
            <v>PT Swadaya Harapan Nusantara</v>
          </cell>
          <cell r="E1292" t="str">
            <v>PEB 1</v>
          </cell>
          <cell r="J1292">
            <v>0</v>
          </cell>
          <cell r="K1292">
            <v>0</v>
          </cell>
          <cell r="M1292">
            <v>0</v>
          </cell>
          <cell r="N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</row>
        <row r="1293">
          <cell r="E1293" t="str">
            <v>PEB 2</v>
          </cell>
          <cell r="J1293">
            <v>0</v>
          </cell>
          <cell r="K1293">
            <v>0</v>
          </cell>
          <cell r="M1293">
            <v>0</v>
          </cell>
          <cell r="N1293">
            <v>0</v>
          </cell>
        </row>
        <row r="1294">
          <cell r="E1294" t="str">
            <v>PEB 3</v>
          </cell>
          <cell r="J1294">
            <v>0</v>
          </cell>
          <cell r="K1294">
            <v>0</v>
          </cell>
          <cell r="M1294">
            <v>0</v>
          </cell>
          <cell r="N1294">
            <v>0</v>
          </cell>
        </row>
        <row r="1295">
          <cell r="E1295" t="str">
            <v>PEB 4</v>
          </cell>
          <cell r="J1295">
            <v>0</v>
          </cell>
          <cell r="K1295">
            <v>0</v>
          </cell>
          <cell r="M1295">
            <v>0</v>
          </cell>
          <cell r="N1295">
            <v>0</v>
          </cell>
        </row>
        <row r="1296">
          <cell r="E1296" t="str">
            <v>PEB 5</v>
          </cell>
          <cell r="J1296">
            <v>0</v>
          </cell>
          <cell r="K1296">
            <v>0</v>
          </cell>
          <cell r="M1296">
            <v>0</v>
          </cell>
          <cell r="N1296">
            <v>0</v>
          </cell>
        </row>
        <row r="1297">
          <cell r="E1297" t="str">
            <v>PEB 6</v>
          </cell>
          <cell r="M1297">
            <v>0</v>
          </cell>
          <cell r="N1297">
            <v>0</v>
          </cell>
        </row>
        <row r="1298">
          <cell r="E1298" t="str">
            <v>PEB 7 / TB</v>
          </cell>
          <cell r="J1298">
            <v>0</v>
          </cell>
          <cell r="K1298">
            <v>0</v>
          </cell>
          <cell r="M1298">
            <v>0</v>
          </cell>
          <cell r="N1298">
            <v>0</v>
          </cell>
        </row>
        <row r="1299">
          <cell r="E1299" t="str">
            <v>MPP</v>
          </cell>
          <cell r="J1299">
            <v>0</v>
          </cell>
          <cell r="K1299">
            <v>0</v>
          </cell>
          <cell r="M1299">
            <v>0</v>
          </cell>
          <cell r="N1299">
            <v>0</v>
          </cell>
        </row>
        <row r="1300">
          <cell r="E1300" t="str">
            <v>ID</v>
          </cell>
          <cell r="J1300">
            <v>0</v>
          </cell>
          <cell r="K1300">
            <v>0</v>
          </cell>
          <cell r="M1300">
            <v>0</v>
          </cell>
          <cell r="N1300">
            <v>0</v>
          </cell>
        </row>
        <row r="1301">
          <cell r="E1301" t="str">
            <v>LL</v>
          </cell>
          <cell r="J1301">
            <v>0</v>
          </cell>
          <cell r="K1301">
            <v>0</v>
          </cell>
          <cell r="M1301">
            <v>0</v>
          </cell>
          <cell r="N1301">
            <v>0</v>
          </cell>
        </row>
        <row r="1302">
          <cell r="E1302" t="str">
            <v>PMK</v>
          </cell>
          <cell r="J1302">
            <v>0</v>
          </cell>
          <cell r="K1302">
            <v>0</v>
          </cell>
          <cell r="M1302">
            <v>0</v>
          </cell>
          <cell r="N1302">
            <v>0</v>
          </cell>
        </row>
        <row r="1304">
          <cell r="C1304" t="str">
            <v>A0143</v>
          </cell>
          <cell r="D1304" t="str">
            <v>PT Swadharma Bhakti Sedaya Finance</v>
          </cell>
          <cell r="E1304" t="str">
            <v>PEB 1</v>
          </cell>
          <cell r="M1304">
            <v>0</v>
          </cell>
          <cell r="N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</row>
        <row r="1305">
          <cell r="E1305" t="str">
            <v>PEB 2</v>
          </cell>
          <cell r="M1305">
            <v>0</v>
          </cell>
          <cell r="N1305">
            <v>0</v>
          </cell>
        </row>
        <row r="1306">
          <cell r="E1306" t="str">
            <v>PEB 3</v>
          </cell>
          <cell r="M1306">
            <v>0</v>
          </cell>
          <cell r="N1306">
            <v>0</v>
          </cell>
        </row>
        <row r="1307">
          <cell r="E1307" t="str">
            <v>PEB 4</v>
          </cell>
          <cell r="M1307">
            <v>0</v>
          </cell>
          <cell r="N1307">
            <v>0</v>
          </cell>
        </row>
        <row r="1308">
          <cell r="E1308" t="str">
            <v>PEB 5</v>
          </cell>
          <cell r="M1308">
            <v>0</v>
          </cell>
          <cell r="N1308">
            <v>0</v>
          </cell>
        </row>
        <row r="1309">
          <cell r="E1309" t="str">
            <v>PEB 6</v>
          </cell>
          <cell r="M1309">
            <v>0</v>
          </cell>
          <cell r="N1309">
            <v>0</v>
          </cell>
        </row>
        <row r="1310">
          <cell r="E1310" t="str">
            <v>PEB 7 / TB</v>
          </cell>
          <cell r="M1310">
            <v>0</v>
          </cell>
          <cell r="N1310">
            <v>0</v>
          </cell>
        </row>
        <row r="1311">
          <cell r="E1311" t="str">
            <v>MPP</v>
          </cell>
          <cell r="M1311">
            <v>0</v>
          </cell>
          <cell r="N1311">
            <v>0</v>
          </cell>
        </row>
        <row r="1312">
          <cell r="E1312" t="str">
            <v>ID</v>
          </cell>
          <cell r="M1312">
            <v>0</v>
          </cell>
          <cell r="N1312">
            <v>0</v>
          </cell>
        </row>
        <row r="1313">
          <cell r="E1313" t="str">
            <v>LL</v>
          </cell>
          <cell r="M1313">
            <v>0</v>
          </cell>
          <cell r="N1313">
            <v>0</v>
          </cell>
        </row>
        <row r="1314">
          <cell r="E1314" t="str">
            <v>PMK</v>
          </cell>
          <cell r="M1314">
            <v>0</v>
          </cell>
          <cell r="N1314">
            <v>0</v>
          </cell>
        </row>
        <row r="1316">
          <cell r="C1316" t="str">
            <v>A0452</v>
          </cell>
          <cell r="D1316" t="str">
            <v>PT Telen Orbit Prima</v>
          </cell>
          <cell r="E1316" t="str">
            <v>PEB 1</v>
          </cell>
          <cell r="J1316">
            <v>0</v>
          </cell>
          <cell r="K1316">
            <v>0</v>
          </cell>
          <cell r="M1316">
            <v>0</v>
          </cell>
          <cell r="N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</row>
        <row r="1317">
          <cell r="E1317" t="str">
            <v>PEB 2</v>
          </cell>
          <cell r="J1317">
            <v>0</v>
          </cell>
          <cell r="K1317">
            <v>0</v>
          </cell>
          <cell r="M1317">
            <v>0</v>
          </cell>
          <cell r="N1317">
            <v>0</v>
          </cell>
        </row>
        <row r="1318">
          <cell r="E1318" t="str">
            <v>PEB 3</v>
          </cell>
          <cell r="J1318">
            <v>0</v>
          </cell>
          <cell r="K1318">
            <v>0</v>
          </cell>
          <cell r="M1318">
            <v>0</v>
          </cell>
          <cell r="N1318">
            <v>0</v>
          </cell>
        </row>
        <row r="1319">
          <cell r="E1319" t="str">
            <v>PEB 4</v>
          </cell>
          <cell r="J1319">
            <v>0</v>
          </cell>
          <cell r="K1319">
            <v>0</v>
          </cell>
          <cell r="M1319">
            <v>0</v>
          </cell>
          <cell r="N1319">
            <v>0</v>
          </cell>
        </row>
        <row r="1320">
          <cell r="E1320" t="str">
            <v>PEB 5</v>
          </cell>
          <cell r="J1320">
            <v>0</v>
          </cell>
          <cell r="K1320">
            <v>0</v>
          </cell>
          <cell r="M1320">
            <v>0</v>
          </cell>
          <cell r="N1320">
            <v>0</v>
          </cell>
        </row>
        <row r="1321">
          <cell r="E1321" t="str">
            <v>PEB 6</v>
          </cell>
          <cell r="M1321">
            <v>0</v>
          </cell>
          <cell r="N1321">
            <v>0</v>
          </cell>
        </row>
        <row r="1322">
          <cell r="E1322" t="str">
            <v>PEB 7 / TB</v>
          </cell>
          <cell r="J1322">
            <v>0</v>
          </cell>
          <cell r="K1322">
            <v>0</v>
          </cell>
          <cell r="M1322">
            <v>0</v>
          </cell>
          <cell r="N1322">
            <v>0</v>
          </cell>
        </row>
        <row r="1323">
          <cell r="E1323" t="str">
            <v>MPP</v>
          </cell>
          <cell r="J1323">
            <v>0</v>
          </cell>
          <cell r="K1323">
            <v>0</v>
          </cell>
          <cell r="M1323">
            <v>0</v>
          </cell>
          <cell r="N1323">
            <v>0</v>
          </cell>
        </row>
        <row r="1324">
          <cell r="E1324" t="str">
            <v>ID</v>
          </cell>
          <cell r="J1324">
            <v>0</v>
          </cell>
          <cell r="K1324">
            <v>0</v>
          </cell>
          <cell r="M1324">
            <v>0</v>
          </cell>
          <cell r="N1324">
            <v>0</v>
          </cell>
        </row>
        <row r="1325">
          <cell r="E1325" t="str">
            <v>LL</v>
          </cell>
          <cell r="J1325">
            <v>0</v>
          </cell>
          <cell r="K1325">
            <v>0</v>
          </cell>
          <cell r="M1325">
            <v>0</v>
          </cell>
          <cell r="N1325">
            <v>0</v>
          </cell>
        </row>
        <row r="1326">
          <cell r="E1326" t="str">
            <v>PMK</v>
          </cell>
          <cell r="J1326">
            <v>0</v>
          </cell>
          <cell r="K1326">
            <v>0</v>
          </cell>
          <cell r="M1326">
            <v>0</v>
          </cell>
          <cell r="N1326">
            <v>0</v>
          </cell>
        </row>
        <row r="1328">
          <cell r="C1328" t="str">
            <v>A0146</v>
          </cell>
          <cell r="D1328" t="str">
            <v>PT Tjahja Sakti Motor</v>
          </cell>
          <cell r="E1328" t="str">
            <v>PEB 1</v>
          </cell>
          <cell r="M1328">
            <v>0</v>
          </cell>
          <cell r="N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</row>
        <row r="1329">
          <cell r="E1329" t="str">
            <v>PEB 2</v>
          </cell>
          <cell r="M1329">
            <v>0</v>
          </cell>
          <cell r="N1329">
            <v>0</v>
          </cell>
        </row>
        <row r="1330">
          <cell r="E1330" t="str">
            <v>PEB 3</v>
          </cell>
          <cell r="M1330">
            <v>0</v>
          </cell>
          <cell r="N1330">
            <v>0</v>
          </cell>
        </row>
        <row r="1331">
          <cell r="E1331" t="str">
            <v>PEB 4</v>
          </cell>
          <cell r="M1331">
            <v>0</v>
          </cell>
          <cell r="N1331">
            <v>0</v>
          </cell>
        </row>
        <row r="1332">
          <cell r="E1332" t="str">
            <v>PEB 5</v>
          </cell>
          <cell r="M1332">
            <v>0</v>
          </cell>
          <cell r="N1332">
            <v>0</v>
          </cell>
        </row>
        <row r="1333">
          <cell r="E1333" t="str">
            <v>PEB 6</v>
          </cell>
          <cell r="M1333">
            <v>0</v>
          </cell>
          <cell r="N1333">
            <v>0</v>
          </cell>
        </row>
        <row r="1334">
          <cell r="E1334" t="str">
            <v>PEB 7 / TB</v>
          </cell>
          <cell r="M1334">
            <v>0</v>
          </cell>
          <cell r="N1334">
            <v>0</v>
          </cell>
        </row>
        <row r="1335">
          <cell r="E1335" t="str">
            <v>MPP</v>
          </cell>
          <cell r="M1335">
            <v>0</v>
          </cell>
          <cell r="N1335">
            <v>0</v>
          </cell>
        </row>
        <row r="1336">
          <cell r="E1336" t="str">
            <v>ID</v>
          </cell>
          <cell r="M1336">
            <v>0</v>
          </cell>
          <cell r="N1336">
            <v>0</v>
          </cell>
        </row>
        <row r="1337">
          <cell r="E1337" t="str">
            <v>LL</v>
          </cell>
          <cell r="M1337">
            <v>0</v>
          </cell>
          <cell r="N1337">
            <v>0</v>
          </cell>
        </row>
        <row r="1338">
          <cell r="E1338" t="str">
            <v>PMK</v>
          </cell>
          <cell r="M1338">
            <v>0</v>
          </cell>
          <cell r="N1338">
            <v>0</v>
          </cell>
        </row>
        <row r="1340">
          <cell r="C1340" t="str">
            <v>A0364</v>
          </cell>
          <cell r="D1340" t="str">
            <v>PT Toyoda Gosei Safety System Indonesia</v>
          </cell>
          <cell r="E1340" t="str">
            <v>PEB 1</v>
          </cell>
          <cell r="M1340">
            <v>0</v>
          </cell>
          <cell r="N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</row>
        <row r="1341">
          <cell r="E1341" t="str">
            <v>PEB 2</v>
          </cell>
          <cell r="M1341">
            <v>0</v>
          </cell>
          <cell r="N1341">
            <v>0</v>
          </cell>
        </row>
        <row r="1342">
          <cell r="E1342" t="str">
            <v>PEB 3</v>
          </cell>
          <cell r="M1342">
            <v>0</v>
          </cell>
          <cell r="N1342">
            <v>0</v>
          </cell>
        </row>
        <row r="1343">
          <cell r="E1343" t="str">
            <v>PEB 4</v>
          </cell>
          <cell r="M1343">
            <v>0</v>
          </cell>
          <cell r="N1343">
            <v>0</v>
          </cell>
        </row>
        <row r="1344">
          <cell r="E1344" t="str">
            <v>PEB 5</v>
          </cell>
          <cell r="M1344">
            <v>0</v>
          </cell>
          <cell r="N1344">
            <v>0</v>
          </cell>
        </row>
        <row r="1345">
          <cell r="E1345" t="str">
            <v>PEB 6</v>
          </cell>
          <cell r="M1345">
            <v>0</v>
          </cell>
          <cell r="N1345">
            <v>0</v>
          </cell>
        </row>
        <row r="1346">
          <cell r="E1346" t="str">
            <v>PEB 7 / TB</v>
          </cell>
          <cell r="M1346">
            <v>0</v>
          </cell>
          <cell r="N1346">
            <v>0</v>
          </cell>
        </row>
        <row r="1347">
          <cell r="E1347" t="str">
            <v>MPP</v>
          </cell>
          <cell r="M1347">
            <v>0</v>
          </cell>
          <cell r="N1347">
            <v>0</v>
          </cell>
        </row>
        <row r="1348">
          <cell r="E1348" t="str">
            <v>ID</v>
          </cell>
          <cell r="M1348">
            <v>0</v>
          </cell>
          <cell r="N1348">
            <v>0</v>
          </cell>
        </row>
        <row r="1349">
          <cell r="E1349" t="str">
            <v>LL</v>
          </cell>
          <cell r="M1349">
            <v>0</v>
          </cell>
          <cell r="N1349">
            <v>0</v>
          </cell>
        </row>
        <row r="1350">
          <cell r="E1350" t="str">
            <v>PMK</v>
          </cell>
          <cell r="M1350">
            <v>0</v>
          </cell>
          <cell r="N1350">
            <v>0</v>
          </cell>
        </row>
        <row r="1352">
          <cell r="C1352" t="str">
            <v>A0411</v>
          </cell>
          <cell r="D1352" t="str">
            <v>PT Toyota Astra Financial Services</v>
          </cell>
          <cell r="E1352" t="str">
            <v>PEB 1</v>
          </cell>
          <cell r="M1352">
            <v>0</v>
          </cell>
          <cell r="N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</row>
        <row r="1353">
          <cell r="E1353" t="str">
            <v>PEB 2</v>
          </cell>
          <cell r="M1353">
            <v>0</v>
          </cell>
          <cell r="N1353">
            <v>0</v>
          </cell>
        </row>
        <row r="1354">
          <cell r="E1354" t="str">
            <v>PEB 3</v>
          </cell>
          <cell r="M1354">
            <v>0</v>
          </cell>
          <cell r="N1354">
            <v>0</v>
          </cell>
        </row>
        <row r="1355">
          <cell r="E1355" t="str">
            <v>PEB 4</v>
          </cell>
          <cell r="M1355">
            <v>0</v>
          </cell>
          <cell r="N1355">
            <v>0</v>
          </cell>
        </row>
        <row r="1356">
          <cell r="E1356" t="str">
            <v>PEB 5</v>
          </cell>
          <cell r="M1356">
            <v>0</v>
          </cell>
          <cell r="N1356">
            <v>0</v>
          </cell>
        </row>
        <row r="1357">
          <cell r="E1357" t="str">
            <v>PEB 6</v>
          </cell>
          <cell r="M1357">
            <v>0</v>
          </cell>
          <cell r="N1357">
            <v>0</v>
          </cell>
        </row>
        <row r="1358">
          <cell r="E1358" t="str">
            <v>PEB 7 / TB</v>
          </cell>
          <cell r="M1358">
            <v>0</v>
          </cell>
          <cell r="N1358">
            <v>0</v>
          </cell>
        </row>
        <row r="1359">
          <cell r="E1359" t="str">
            <v>MPP</v>
          </cell>
          <cell r="M1359">
            <v>0</v>
          </cell>
          <cell r="N1359">
            <v>0</v>
          </cell>
        </row>
        <row r="1360">
          <cell r="E1360" t="str">
            <v>ID</v>
          </cell>
          <cell r="M1360">
            <v>0</v>
          </cell>
          <cell r="N1360">
            <v>0</v>
          </cell>
        </row>
        <row r="1361">
          <cell r="E1361" t="str">
            <v>LL</v>
          </cell>
          <cell r="M1361">
            <v>0</v>
          </cell>
          <cell r="N1361">
            <v>0</v>
          </cell>
        </row>
        <row r="1362">
          <cell r="E1362" t="str">
            <v>PMK</v>
          </cell>
          <cell r="M1362">
            <v>0</v>
          </cell>
          <cell r="N1362">
            <v>0</v>
          </cell>
        </row>
        <row r="1364">
          <cell r="C1364" t="str">
            <v>A0150</v>
          </cell>
          <cell r="D1364" t="str">
            <v>PT Traktor Nusantara</v>
          </cell>
          <cell r="E1364" t="str">
            <v>PEB 1</v>
          </cell>
          <cell r="J1364">
            <v>590846</v>
          </cell>
          <cell r="K1364">
            <v>29351</v>
          </cell>
          <cell r="M1364">
            <v>-590846</v>
          </cell>
          <cell r="N1364">
            <v>-29351</v>
          </cell>
          <cell r="P1364">
            <v>-171914</v>
          </cell>
          <cell r="Q1364">
            <v>-8885</v>
          </cell>
          <cell r="R1364">
            <v>-46460</v>
          </cell>
          <cell r="S1364">
            <v>-2279</v>
          </cell>
          <cell r="T1364">
            <v>-19092</v>
          </cell>
          <cell r="U1364">
            <v>-1445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-8710</v>
          </cell>
          <cell r="AA1364">
            <v>-510</v>
          </cell>
          <cell r="AB1364">
            <v>-108786</v>
          </cell>
          <cell r="AC1364">
            <v>-5626</v>
          </cell>
          <cell r="AD1364">
            <v>-38200</v>
          </cell>
          <cell r="AE1364">
            <v>-2099</v>
          </cell>
          <cell r="AF1364">
            <v>-37183</v>
          </cell>
          <cell r="AG1364">
            <v>-11833</v>
          </cell>
          <cell r="AH1364">
            <v>-28016</v>
          </cell>
          <cell r="AI1364">
            <v>-3234</v>
          </cell>
        </row>
        <row r="1365">
          <cell r="E1365" t="str">
            <v>PEB 2</v>
          </cell>
          <cell r="J1365">
            <v>171914</v>
          </cell>
          <cell r="K1365">
            <v>8885</v>
          </cell>
          <cell r="M1365">
            <v>-171914</v>
          </cell>
          <cell r="N1365">
            <v>-8885</v>
          </cell>
          <cell r="P1365">
            <v>-46460</v>
          </cell>
          <cell r="Q1365">
            <v>-2279</v>
          </cell>
          <cell r="R1365">
            <v>-19092</v>
          </cell>
          <cell r="S1365">
            <v>-1445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-8710</v>
          </cell>
          <cell r="Y1365">
            <v>-510</v>
          </cell>
          <cell r="Z1365">
            <v>-108786</v>
          </cell>
          <cell r="AA1365">
            <v>-5626</v>
          </cell>
          <cell r="AB1365">
            <v>-38200</v>
          </cell>
          <cell r="AC1365">
            <v>-2099</v>
          </cell>
          <cell r="AD1365">
            <v>-37183</v>
          </cell>
          <cell r="AE1365">
            <v>-11833</v>
          </cell>
          <cell r="AF1365">
            <v>-28016</v>
          </cell>
          <cell r="AG1365">
            <v>-3234</v>
          </cell>
          <cell r="AH1365">
            <v>0</v>
          </cell>
          <cell r="AI1365">
            <v>0</v>
          </cell>
        </row>
        <row r="1366">
          <cell r="E1366" t="str">
            <v>PEB 3</v>
          </cell>
          <cell r="J1366">
            <v>46460</v>
          </cell>
          <cell r="K1366">
            <v>2279</v>
          </cell>
          <cell r="M1366">
            <v>-46460</v>
          </cell>
          <cell r="N1366">
            <v>-2279</v>
          </cell>
          <cell r="P1366">
            <v>-19092</v>
          </cell>
          <cell r="Q1366">
            <v>-1445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-8710</v>
          </cell>
          <cell r="W1366">
            <v>-510</v>
          </cell>
          <cell r="X1366">
            <v>-108786</v>
          </cell>
          <cell r="Y1366">
            <v>-5626</v>
          </cell>
          <cell r="Z1366">
            <v>-38200</v>
          </cell>
          <cell r="AA1366">
            <v>-2099</v>
          </cell>
          <cell r="AB1366">
            <v>-37183</v>
          </cell>
          <cell r="AC1366">
            <v>-11833</v>
          </cell>
          <cell r="AD1366">
            <v>-28016</v>
          </cell>
          <cell r="AE1366">
            <v>-3234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</row>
        <row r="1367">
          <cell r="E1367" t="str">
            <v>PEB 4</v>
          </cell>
          <cell r="J1367">
            <v>19092</v>
          </cell>
          <cell r="K1367">
            <v>1445</v>
          </cell>
          <cell r="M1367">
            <v>-19092</v>
          </cell>
          <cell r="N1367">
            <v>-1445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-8710</v>
          </cell>
          <cell r="U1367">
            <v>-510</v>
          </cell>
          <cell r="V1367">
            <v>-108786</v>
          </cell>
          <cell r="W1367">
            <v>-5626</v>
          </cell>
          <cell r="X1367">
            <v>-38200</v>
          </cell>
          <cell r="Y1367">
            <v>-2099</v>
          </cell>
          <cell r="Z1367">
            <v>-37183</v>
          </cell>
          <cell r="AA1367">
            <v>-11833</v>
          </cell>
          <cell r="AB1367">
            <v>-28016</v>
          </cell>
          <cell r="AC1367">
            <v>-3234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</row>
        <row r="1368">
          <cell r="E1368" t="str">
            <v>PEB 5</v>
          </cell>
          <cell r="J1368">
            <v>0</v>
          </cell>
          <cell r="K1368">
            <v>0</v>
          </cell>
        </row>
        <row r="1369">
          <cell r="E1369" t="str">
            <v>PEB 6</v>
          </cell>
        </row>
        <row r="1370">
          <cell r="E1370" t="str">
            <v>PEB 7 / TB</v>
          </cell>
          <cell r="J1370">
            <v>8710</v>
          </cell>
          <cell r="K1370">
            <v>510</v>
          </cell>
          <cell r="M1370">
            <v>-8710</v>
          </cell>
          <cell r="N1370">
            <v>-510</v>
          </cell>
          <cell r="P1370">
            <v>-108786</v>
          </cell>
          <cell r="Q1370">
            <v>-5626</v>
          </cell>
          <cell r="R1370">
            <v>-38200</v>
          </cell>
          <cell r="S1370">
            <v>-2099</v>
          </cell>
          <cell r="T1370">
            <v>-37183</v>
          </cell>
          <cell r="U1370">
            <v>-11833</v>
          </cell>
          <cell r="V1370">
            <v>-28016</v>
          </cell>
          <cell r="W1370">
            <v>-3234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</row>
        <row r="1371">
          <cell r="E1371" t="str">
            <v>MPP</v>
          </cell>
          <cell r="J1371">
            <v>108786</v>
          </cell>
          <cell r="K1371">
            <v>5626</v>
          </cell>
          <cell r="M1371">
            <v>-108786</v>
          </cell>
          <cell r="N1371">
            <v>-5626</v>
          </cell>
          <cell r="P1371">
            <v>-38200</v>
          </cell>
          <cell r="Q1371">
            <v>-2099</v>
          </cell>
          <cell r="R1371">
            <v>-37183</v>
          </cell>
          <cell r="S1371">
            <v>-11833</v>
          </cell>
          <cell r="T1371">
            <v>-28016</v>
          </cell>
          <cell r="U1371">
            <v>-3234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</row>
        <row r="1372">
          <cell r="E1372" t="str">
            <v>ID</v>
          </cell>
          <cell r="J1372">
            <v>38200</v>
          </cell>
          <cell r="K1372">
            <v>2099</v>
          </cell>
          <cell r="M1372">
            <v>-38200</v>
          </cell>
          <cell r="N1372">
            <v>-2099</v>
          </cell>
          <cell r="P1372">
            <v>-37183</v>
          </cell>
          <cell r="Q1372">
            <v>-11833</v>
          </cell>
          <cell r="R1372">
            <v>-28016</v>
          </cell>
          <cell r="S1372">
            <v>-3234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</row>
        <row r="1373">
          <cell r="E1373" t="str">
            <v>LL</v>
          </cell>
          <cell r="J1373">
            <v>37183</v>
          </cell>
          <cell r="K1373">
            <v>11833</v>
          </cell>
          <cell r="M1373">
            <v>-37183</v>
          </cell>
          <cell r="N1373">
            <v>-11833</v>
          </cell>
          <cell r="P1373">
            <v>-28016</v>
          </cell>
          <cell r="Q1373">
            <v>-3234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</row>
        <row r="1374">
          <cell r="E1374" t="str">
            <v>PMK</v>
          </cell>
          <cell r="J1374">
            <v>28016</v>
          </cell>
          <cell r="K1374">
            <v>3234</v>
          </cell>
          <cell r="M1374">
            <v>-28016</v>
          </cell>
          <cell r="N1374">
            <v>-3234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</row>
        <row r="1376">
          <cell r="C1376" t="str">
            <v>A0151</v>
          </cell>
          <cell r="D1376" t="str">
            <v>Dana Pensiun Astra</v>
          </cell>
          <cell r="E1376" t="str">
            <v>PEB 1</v>
          </cell>
          <cell r="M1376">
            <v>0</v>
          </cell>
          <cell r="N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</row>
        <row r="1377">
          <cell r="E1377" t="str">
            <v>PEB 2</v>
          </cell>
          <cell r="M1377">
            <v>0</v>
          </cell>
          <cell r="N1377">
            <v>0</v>
          </cell>
        </row>
        <row r="1378">
          <cell r="E1378" t="str">
            <v>PEB 3</v>
          </cell>
          <cell r="M1378">
            <v>0</v>
          </cell>
          <cell r="N1378">
            <v>0</v>
          </cell>
        </row>
        <row r="1379">
          <cell r="E1379" t="str">
            <v>PEB 4</v>
          </cell>
          <cell r="M1379">
            <v>0</v>
          </cell>
          <cell r="N1379">
            <v>0</v>
          </cell>
        </row>
        <row r="1380">
          <cell r="E1380" t="str">
            <v>PEB 5</v>
          </cell>
          <cell r="M1380">
            <v>0</v>
          </cell>
          <cell r="N1380">
            <v>0</v>
          </cell>
        </row>
        <row r="1381">
          <cell r="E1381" t="str">
            <v>PEB 6</v>
          </cell>
          <cell r="M1381">
            <v>0</v>
          </cell>
          <cell r="N1381">
            <v>0</v>
          </cell>
        </row>
        <row r="1382">
          <cell r="E1382" t="str">
            <v>PEB 7 / TB</v>
          </cell>
          <cell r="M1382">
            <v>0</v>
          </cell>
          <cell r="N1382">
            <v>0</v>
          </cell>
        </row>
        <row r="1383">
          <cell r="E1383" t="str">
            <v>MPP</v>
          </cell>
          <cell r="M1383">
            <v>0</v>
          </cell>
          <cell r="N1383">
            <v>0</v>
          </cell>
        </row>
        <row r="1384">
          <cell r="E1384" t="str">
            <v>ID</v>
          </cell>
          <cell r="M1384">
            <v>0</v>
          </cell>
          <cell r="N1384">
            <v>0</v>
          </cell>
        </row>
        <row r="1385">
          <cell r="E1385" t="str">
            <v>LL</v>
          </cell>
          <cell r="M1385">
            <v>0</v>
          </cell>
          <cell r="N1385">
            <v>0</v>
          </cell>
        </row>
        <row r="1386">
          <cell r="E1386" t="str">
            <v>PMK</v>
          </cell>
          <cell r="M1386">
            <v>0</v>
          </cell>
          <cell r="N1386">
            <v>0</v>
          </cell>
        </row>
        <row r="1388">
          <cell r="C1388" t="str">
            <v>A0153</v>
          </cell>
          <cell r="D1388" t="str">
            <v>PT Tunggal Perkasa Plantation</v>
          </cell>
          <cell r="E1388" t="str">
            <v>PEB 1</v>
          </cell>
          <cell r="M1388">
            <v>0</v>
          </cell>
          <cell r="N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</row>
        <row r="1389">
          <cell r="E1389" t="str">
            <v>PEB 2</v>
          </cell>
          <cell r="M1389">
            <v>0</v>
          </cell>
          <cell r="N1389">
            <v>0</v>
          </cell>
        </row>
        <row r="1390">
          <cell r="E1390" t="str">
            <v>PEB 3</v>
          </cell>
          <cell r="M1390">
            <v>0</v>
          </cell>
          <cell r="N1390">
            <v>0</v>
          </cell>
        </row>
        <row r="1391">
          <cell r="E1391" t="str">
            <v>PEB 4</v>
          </cell>
          <cell r="M1391">
            <v>0</v>
          </cell>
          <cell r="N1391">
            <v>0</v>
          </cell>
        </row>
        <row r="1392">
          <cell r="E1392" t="str">
            <v>PEB 5</v>
          </cell>
          <cell r="M1392">
            <v>0</v>
          </cell>
          <cell r="N1392">
            <v>0</v>
          </cell>
        </row>
        <row r="1393">
          <cell r="E1393" t="str">
            <v>PEB 6</v>
          </cell>
          <cell r="M1393">
            <v>0</v>
          </cell>
          <cell r="N1393">
            <v>0</v>
          </cell>
        </row>
        <row r="1394">
          <cell r="E1394" t="str">
            <v>PEB 7 / TB</v>
          </cell>
          <cell r="M1394">
            <v>0</v>
          </cell>
          <cell r="N1394">
            <v>0</v>
          </cell>
        </row>
        <row r="1395">
          <cell r="E1395" t="str">
            <v>MPP</v>
          </cell>
          <cell r="M1395">
            <v>0</v>
          </cell>
          <cell r="N1395">
            <v>0</v>
          </cell>
        </row>
        <row r="1396">
          <cell r="E1396" t="str">
            <v>ID</v>
          </cell>
          <cell r="M1396">
            <v>0</v>
          </cell>
          <cell r="N1396">
            <v>0</v>
          </cell>
        </row>
        <row r="1397">
          <cell r="E1397" t="str">
            <v>LL</v>
          </cell>
          <cell r="M1397">
            <v>0</v>
          </cell>
          <cell r="N1397">
            <v>0</v>
          </cell>
        </row>
        <row r="1398">
          <cell r="E1398" t="str">
            <v>PMK</v>
          </cell>
          <cell r="M1398">
            <v>0</v>
          </cell>
          <cell r="N1398">
            <v>0</v>
          </cell>
        </row>
        <row r="1400">
          <cell r="C1400" t="str">
            <v>A0156</v>
          </cell>
          <cell r="D1400" t="str">
            <v>PT United Tractors Pandu Eng.</v>
          </cell>
          <cell r="E1400" t="str">
            <v>PEB 1</v>
          </cell>
          <cell r="M1400">
            <v>0</v>
          </cell>
          <cell r="N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</row>
        <row r="1401">
          <cell r="E1401" t="str">
            <v>PEB 2</v>
          </cell>
          <cell r="M1401">
            <v>0</v>
          </cell>
          <cell r="N1401">
            <v>0</v>
          </cell>
        </row>
        <row r="1402">
          <cell r="E1402" t="str">
            <v>PEB 3</v>
          </cell>
          <cell r="M1402">
            <v>0</v>
          </cell>
          <cell r="N1402">
            <v>0</v>
          </cell>
        </row>
        <row r="1403">
          <cell r="E1403" t="str">
            <v>PEB 4</v>
          </cell>
          <cell r="M1403">
            <v>0</v>
          </cell>
          <cell r="N1403">
            <v>0</v>
          </cell>
        </row>
        <row r="1404">
          <cell r="E1404" t="str">
            <v>PEB 5</v>
          </cell>
          <cell r="M1404">
            <v>0</v>
          </cell>
          <cell r="N1404">
            <v>0</v>
          </cell>
        </row>
        <row r="1405">
          <cell r="E1405" t="str">
            <v>PEB 6</v>
          </cell>
          <cell r="M1405">
            <v>0</v>
          </cell>
          <cell r="N1405">
            <v>0</v>
          </cell>
        </row>
        <row r="1406">
          <cell r="E1406" t="str">
            <v>PEB 7 / TB</v>
          </cell>
          <cell r="M1406">
            <v>0</v>
          </cell>
          <cell r="N1406">
            <v>0</v>
          </cell>
        </row>
        <row r="1407">
          <cell r="E1407" t="str">
            <v>MPP</v>
          </cell>
          <cell r="M1407">
            <v>0</v>
          </cell>
          <cell r="N1407">
            <v>0</v>
          </cell>
        </row>
        <row r="1408">
          <cell r="E1408" t="str">
            <v>ID</v>
          </cell>
          <cell r="M1408">
            <v>0</v>
          </cell>
          <cell r="N1408">
            <v>0</v>
          </cell>
        </row>
        <row r="1409">
          <cell r="E1409" t="str">
            <v>LL</v>
          </cell>
          <cell r="M1409">
            <v>0</v>
          </cell>
          <cell r="N1409">
            <v>0</v>
          </cell>
        </row>
        <row r="1410">
          <cell r="E1410" t="str">
            <v>PMK</v>
          </cell>
          <cell r="M1410">
            <v>0</v>
          </cell>
          <cell r="N1410">
            <v>0</v>
          </cell>
        </row>
        <row r="1412">
          <cell r="C1412" t="str">
            <v>A0155</v>
          </cell>
          <cell r="D1412" t="str">
            <v>PT United Tractors TBK (Parent)</v>
          </cell>
          <cell r="E1412" t="str">
            <v>PEB 1</v>
          </cell>
          <cell r="J1412">
            <v>5395189</v>
          </cell>
          <cell r="K1412">
            <v>241039</v>
          </cell>
          <cell r="M1412">
            <v>-5395189</v>
          </cell>
          <cell r="N1412">
            <v>-241039</v>
          </cell>
          <cell r="P1412">
            <v>-2047881</v>
          </cell>
          <cell r="Q1412">
            <v>-108760</v>
          </cell>
          <cell r="R1412">
            <v>-129786</v>
          </cell>
          <cell r="S1412">
            <v>-327</v>
          </cell>
          <cell r="T1412">
            <v>-50485</v>
          </cell>
          <cell r="U1412">
            <v>-3990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-114402</v>
          </cell>
          <cell r="AA1412">
            <v>-7693</v>
          </cell>
          <cell r="AB1412">
            <v>-950935</v>
          </cell>
          <cell r="AC1412">
            <v>-50570</v>
          </cell>
          <cell r="AD1412">
            <v>-344458</v>
          </cell>
          <cell r="AE1412">
            <v>-20889</v>
          </cell>
          <cell r="AF1412">
            <v>-274686</v>
          </cell>
          <cell r="AG1412">
            <v>-122393</v>
          </cell>
          <cell r="AH1412">
            <v>-305376</v>
          </cell>
          <cell r="AI1412">
            <v>-41056</v>
          </cell>
        </row>
        <row r="1413">
          <cell r="E1413" t="str">
            <v>PEB 2</v>
          </cell>
          <cell r="J1413">
            <v>2047881</v>
          </cell>
          <cell r="K1413">
            <v>108760</v>
          </cell>
          <cell r="M1413">
            <v>-2047881</v>
          </cell>
          <cell r="N1413">
            <v>-108760</v>
          </cell>
        </row>
        <row r="1414">
          <cell r="E1414" t="str">
            <v>PEB 3</v>
          </cell>
          <cell r="J1414">
            <v>129786</v>
          </cell>
          <cell r="K1414">
            <v>327</v>
          </cell>
          <cell r="M1414">
            <v>-129786</v>
          </cell>
          <cell r="N1414">
            <v>-327</v>
          </cell>
        </row>
        <row r="1415">
          <cell r="E1415" t="str">
            <v>PEB 4</v>
          </cell>
          <cell r="J1415">
            <v>50485</v>
          </cell>
          <cell r="K1415">
            <v>3990</v>
          </cell>
          <cell r="M1415">
            <v>-50485</v>
          </cell>
          <cell r="N1415">
            <v>-3990</v>
          </cell>
        </row>
        <row r="1416">
          <cell r="E1416" t="str">
            <v>PEB 5</v>
          </cell>
          <cell r="J1416">
            <v>0</v>
          </cell>
          <cell r="K1416">
            <v>0</v>
          </cell>
          <cell r="M1416">
            <v>0</v>
          </cell>
          <cell r="N1416">
            <v>0</v>
          </cell>
        </row>
        <row r="1417">
          <cell r="E1417" t="str">
            <v>PEB 6</v>
          </cell>
          <cell r="M1417">
            <v>0</v>
          </cell>
          <cell r="N1417">
            <v>0</v>
          </cell>
        </row>
        <row r="1418">
          <cell r="E1418" t="str">
            <v>PEB 7 / TB</v>
          </cell>
          <cell r="J1418">
            <v>114402</v>
          </cell>
          <cell r="K1418">
            <v>7693</v>
          </cell>
          <cell r="M1418">
            <v>-114402</v>
          </cell>
          <cell r="N1418">
            <v>-7693</v>
          </cell>
        </row>
        <row r="1419">
          <cell r="E1419" t="str">
            <v>MPP</v>
          </cell>
          <cell r="J1419">
            <v>950935</v>
          </cell>
          <cell r="K1419">
            <v>50570</v>
          </cell>
          <cell r="M1419">
            <v>-950935</v>
          </cell>
          <cell r="N1419">
            <v>-50570</v>
          </cell>
        </row>
        <row r="1420">
          <cell r="E1420" t="str">
            <v>ID</v>
          </cell>
          <cell r="J1420">
            <v>344458</v>
          </cell>
          <cell r="K1420">
            <v>20889</v>
          </cell>
          <cell r="M1420">
            <v>-344458</v>
          </cell>
          <cell r="N1420">
            <v>-20889</v>
          </cell>
        </row>
        <row r="1421">
          <cell r="E1421" t="str">
            <v>LL</v>
          </cell>
          <cell r="J1421">
            <v>274686</v>
          </cell>
          <cell r="K1421">
            <v>122393</v>
          </cell>
          <cell r="M1421">
            <v>-274686</v>
          </cell>
          <cell r="N1421">
            <v>-122393</v>
          </cell>
        </row>
        <row r="1422">
          <cell r="E1422" t="str">
            <v>PMK</v>
          </cell>
          <cell r="J1422">
            <v>305376</v>
          </cell>
          <cell r="K1422">
            <v>41056</v>
          </cell>
          <cell r="M1422">
            <v>-305376</v>
          </cell>
          <cell r="N1422">
            <v>-41056</v>
          </cell>
        </row>
        <row r="1424">
          <cell r="C1424" t="str">
            <v>A0099</v>
          </cell>
          <cell r="D1424" t="str">
            <v>PT Waru Kalimantan Plantation</v>
          </cell>
          <cell r="E1424" t="str">
            <v>PEB 1</v>
          </cell>
          <cell r="M1424">
            <v>0</v>
          </cell>
          <cell r="N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</row>
        <row r="1425">
          <cell r="E1425" t="str">
            <v>PEB 2</v>
          </cell>
          <cell r="M1425">
            <v>0</v>
          </cell>
          <cell r="N1425">
            <v>0</v>
          </cell>
        </row>
        <row r="1426">
          <cell r="E1426" t="str">
            <v>PEB 3</v>
          </cell>
          <cell r="M1426">
            <v>0</v>
          </cell>
          <cell r="N1426">
            <v>0</v>
          </cell>
        </row>
        <row r="1427">
          <cell r="E1427" t="str">
            <v>PEB 4</v>
          </cell>
          <cell r="M1427">
            <v>0</v>
          </cell>
          <cell r="N1427">
            <v>0</v>
          </cell>
        </row>
        <row r="1428">
          <cell r="E1428" t="str">
            <v>PEB 5</v>
          </cell>
          <cell r="M1428">
            <v>0</v>
          </cell>
          <cell r="N1428">
            <v>0</v>
          </cell>
        </row>
        <row r="1429">
          <cell r="E1429" t="str">
            <v>PEB 6</v>
          </cell>
          <cell r="M1429">
            <v>0</v>
          </cell>
          <cell r="N1429">
            <v>0</v>
          </cell>
        </row>
        <row r="1430">
          <cell r="E1430" t="str">
            <v>PEB 7 / TB</v>
          </cell>
          <cell r="M1430">
            <v>0</v>
          </cell>
          <cell r="N1430">
            <v>0</v>
          </cell>
        </row>
        <row r="1431">
          <cell r="E1431" t="str">
            <v>MPP</v>
          </cell>
          <cell r="M1431">
            <v>0</v>
          </cell>
          <cell r="N1431">
            <v>0</v>
          </cell>
        </row>
        <row r="1432">
          <cell r="E1432" t="str">
            <v>ID</v>
          </cell>
          <cell r="M1432">
            <v>0</v>
          </cell>
          <cell r="N1432">
            <v>0</v>
          </cell>
        </row>
        <row r="1433">
          <cell r="E1433" t="str">
            <v>LL</v>
          </cell>
          <cell r="M1433">
            <v>0</v>
          </cell>
          <cell r="N1433">
            <v>0</v>
          </cell>
        </row>
        <row r="1434">
          <cell r="E1434" t="str">
            <v>PMK</v>
          </cell>
          <cell r="M1434">
            <v>0</v>
          </cell>
          <cell r="N1434">
            <v>0</v>
          </cell>
        </row>
        <row r="1436">
          <cell r="C1436" t="str">
            <v>A0326</v>
          </cell>
          <cell r="D1436" t="str">
            <v>PT Yutaka Manufacturing Indonesia</v>
          </cell>
          <cell r="E1436" t="str">
            <v>PEB 1</v>
          </cell>
          <cell r="M1436">
            <v>0</v>
          </cell>
          <cell r="N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</row>
        <row r="1437">
          <cell r="E1437" t="str">
            <v>PEB 2</v>
          </cell>
          <cell r="M1437">
            <v>0</v>
          </cell>
          <cell r="N1437">
            <v>0</v>
          </cell>
        </row>
        <row r="1438">
          <cell r="E1438" t="str">
            <v>PEB 3</v>
          </cell>
          <cell r="M1438">
            <v>0</v>
          </cell>
          <cell r="N1438">
            <v>0</v>
          </cell>
        </row>
        <row r="1439">
          <cell r="E1439" t="str">
            <v>PEB 4</v>
          </cell>
          <cell r="M1439">
            <v>0</v>
          </cell>
          <cell r="N1439">
            <v>0</v>
          </cell>
        </row>
        <row r="1440">
          <cell r="E1440" t="str">
            <v>PEB 5</v>
          </cell>
          <cell r="M1440">
            <v>0</v>
          </cell>
          <cell r="N1440">
            <v>0</v>
          </cell>
        </row>
        <row r="1441">
          <cell r="E1441" t="str">
            <v>PEB 6</v>
          </cell>
          <cell r="M1441">
            <v>0</v>
          </cell>
          <cell r="N1441">
            <v>0</v>
          </cell>
        </row>
        <row r="1442">
          <cell r="E1442" t="str">
            <v>PEB 7 / TB</v>
          </cell>
          <cell r="M1442">
            <v>0</v>
          </cell>
          <cell r="N1442">
            <v>0</v>
          </cell>
        </row>
        <row r="1443">
          <cell r="E1443" t="str">
            <v>MPP</v>
          </cell>
          <cell r="M1443">
            <v>0</v>
          </cell>
          <cell r="N1443">
            <v>0</v>
          </cell>
        </row>
        <row r="1444">
          <cell r="E1444" t="str">
            <v>ID</v>
          </cell>
          <cell r="M1444">
            <v>0</v>
          </cell>
          <cell r="N1444">
            <v>0</v>
          </cell>
        </row>
        <row r="1445">
          <cell r="E1445" t="str">
            <v>LL</v>
          </cell>
          <cell r="M1445">
            <v>0</v>
          </cell>
          <cell r="N1445">
            <v>0</v>
          </cell>
        </row>
        <row r="1446">
          <cell r="E1446" t="str">
            <v>PMK</v>
          </cell>
          <cell r="M1446">
            <v>0</v>
          </cell>
          <cell r="N1446">
            <v>0</v>
          </cell>
        </row>
        <row r="1448">
          <cell r="C1448" t="str">
            <v>R0406</v>
          </cell>
          <cell r="D1448" t="str">
            <v>Yayasan Astra Bina Ilmu</v>
          </cell>
          <cell r="E1448" t="str">
            <v>PEB 1</v>
          </cell>
          <cell r="M1448">
            <v>0</v>
          </cell>
          <cell r="N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</row>
        <row r="1449">
          <cell r="E1449" t="str">
            <v>PEB 2</v>
          </cell>
          <cell r="M1449">
            <v>0</v>
          </cell>
          <cell r="N1449">
            <v>0</v>
          </cell>
        </row>
        <row r="1450">
          <cell r="E1450" t="str">
            <v>PEB 3</v>
          </cell>
          <cell r="M1450">
            <v>0</v>
          </cell>
          <cell r="N1450">
            <v>0</v>
          </cell>
        </row>
        <row r="1451">
          <cell r="E1451" t="str">
            <v>PEB 4</v>
          </cell>
          <cell r="M1451">
            <v>0</v>
          </cell>
          <cell r="N1451">
            <v>0</v>
          </cell>
        </row>
        <row r="1452">
          <cell r="E1452" t="str">
            <v>PEB 5</v>
          </cell>
          <cell r="M1452">
            <v>0</v>
          </cell>
          <cell r="N1452">
            <v>0</v>
          </cell>
        </row>
        <row r="1453">
          <cell r="E1453" t="str">
            <v>PEB 6</v>
          </cell>
          <cell r="M1453">
            <v>0</v>
          </cell>
          <cell r="N1453">
            <v>0</v>
          </cell>
        </row>
        <row r="1454">
          <cell r="E1454" t="str">
            <v>PEB 7 / TB</v>
          </cell>
          <cell r="M1454">
            <v>0</v>
          </cell>
          <cell r="N1454">
            <v>0</v>
          </cell>
        </row>
        <row r="1455">
          <cell r="E1455" t="str">
            <v>MPP</v>
          </cell>
          <cell r="M1455">
            <v>0</v>
          </cell>
          <cell r="N1455">
            <v>0</v>
          </cell>
        </row>
        <row r="1456">
          <cell r="E1456" t="str">
            <v>ID</v>
          </cell>
          <cell r="M1456">
            <v>0</v>
          </cell>
          <cell r="N1456">
            <v>0</v>
          </cell>
        </row>
        <row r="1457">
          <cell r="E1457" t="str">
            <v>LL</v>
          </cell>
          <cell r="M1457">
            <v>0</v>
          </cell>
          <cell r="N1457">
            <v>0</v>
          </cell>
        </row>
        <row r="1458">
          <cell r="E1458" t="str">
            <v>PMK</v>
          </cell>
          <cell r="M1458">
            <v>0</v>
          </cell>
          <cell r="N1458">
            <v>0</v>
          </cell>
        </row>
        <row r="1460">
          <cell r="C1460" t="str">
            <v>R0411</v>
          </cell>
          <cell r="D1460" t="str">
            <v>Yayasan Astra Bina Pendidikan</v>
          </cell>
          <cell r="E1460" t="str">
            <v>PEB 1</v>
          </cell>
          <cell r="J1460">
            <v>0</v>
          </cell>
          <cell r="K1460">
            <v>0</v>
          </cell>
          <cell r="M1460">
            <v>0</v>
          </cell>
          <cell r="N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</row>
        <row r="1461">
          <cell r="E1461" t="str">
            <v>PEB 2</v>
          </cell>
          <cell r="J1461">
            <v>0</v>
          </cell>
          <cell r="K1461">
            <v>0</v>
          </cell>
          <cell r="M1461">
            <v>0</v>
          </cell>
          <cell r="N1461">
            <v>0</v>
          </cell>
        </row>
        <row r="1462">
          <cell r="E1462" t="str">
            <v>PEB 3</v>
          </cell>
          <cell r="J1462">
            <v>0</v>
          </cell>
          <cell r="K1462">
            <v>0</v>
          </cell>
          <cell r="M1462">
            <v>0</v>
          </cell>
          <cell r="N1462">
            <v>0</v>
          </cell>
        </row>
        <row r="1463">
          <cell r="E1463" t="str">
            <v>PEB 4</v>
          </cell>
          <cell r="J1463">
            <v>0</v>
          </cell>
          <cell r="K1463">
            <v>0</v>
          </cell>
          <cell r="M1463">
            <v>0</v>
          </cell>
          <cell r="N1463">
            <v>0</v>
          </cell>
        </row>
        <row r="1464">
          <cell r="E1464" t="str">
            <v>PEB 5</v>
          </cell>
          <cell r="M1464">
            <v>0</v>
          </cell>
          <cell r="N1464">
            <v>0</v>
          </cell>
        </row>
        <row r="1465">
          <cell r="E1465" t="str">
            <v>PEB 6</v>
          </cell>
          <cell r="M1465">
            <v>0</v>
          </cell>
          <cell r="N1465">
            <v>0</v>
          </cell>
        </row>
        <row r="1466">
          <cell r="E1466" t="str">
            <v>PEB 7 / TB</v>
          </cell>
          <cell r="J1466">
            <v>0</v>
          </cell>
          <cell r="K1466">
            <v>0</v>
          </cell>
          <cell r="M1466">
            <v>0</v>
          </cell>
          <cell r="N1466">
            <v>0</v>
          </cell>
        </row>
        <row r="1467">
          <cell r="E1467" t="str">
            <v>MPP</v>
          </cell>
          <cell r="J1467">
            <v>0</v>
          </cell>
          <cell r="K1467">
            <v>0</v>
          </cell>
          <cell r="M1467">
            <v>0</v>
          </cell>
          <cell r="N1467">
            <v>0</v>
          </cell>
        </row>
        <row r="1468">
          <cell r="E1468" t="str">
            <v>ID</v>
          </cell>
          <cell r="J1468">
            <v>0</v>
          </cell>
          <cell r="K1468">
            <v>0</v>
          </cell>
          <cell r="M1468">
            <v>0</v>
          </cell>
          <cell r="N1468">
            <v>0</v>
          </cell>
        </row>
        <row r="1469">
          <cell r="E1469" t="str">
            <v>LL</v>
          </cell>
          <cell r="J1469">
            <v>0</v>
          </cell>
          <cell r="K1469">
            <v>0</v>
          </cell>
          <cell r="M1469">
            <v>0</v>
          </cell>
          <cell r="N1469">
            <v>0</v>
          </cell>
        </row>
        <row r="1470">
          <cell r="E1470" t="str">
            <v>PMK</v>
          </cell>
          <cell r="M1470">
            <v>0</v>
          </cell>
          <cell r="N1470">
            <v>0</v>
          </cell>
        </row>
        <row r="1472">
          <cell r="C1472" t="str">
            <v>R0410</v>
          </cell>
          <cell r="D1472" t="str">
            <v>Yayasan Dharma Bhakti Astra</v>
          </cell>
          <cell r="E1472" t="str">
            <v>PEB 1</v>
          </cell>
          <cell r="M1472">
            <v>0</v>
          </cell>
          <cell r="N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</row>
        <row r="1473">
          <cell r="E1473" t="str">
            <v>PEB 2</v>
          </cell>
          <cell r="M1473">
            <v>0</v>
          </cell>
          <cell r="N1473">
            <v>0</v>
          </cell>
        </row>
        <row r="1474">
          <cell r="E1474" t="str">
            <v>PEB 3</v>
          </cell>
          <cell r="M1474">
            <v>0</v>
          </cell>
          <cell r="N1474">
            <v>0</v>
          </cell>
        </row>
        <row r="1475">
          <cell r="E1475" t="str">
            <v>PEB 4</v>
          </cell>
          <cell r="M1475">
            <v>0</v>
          </cell>
          <cell r="N1475">
            <v>0</v>
          </cell>
        </row>
        <row r="1476">
          <cell r="E1476" t="str">
            <v>PEB 5</v>
          </cell>
          <cell r="M1476">
            <v>0</v>
          </cell>
          <cell r="N1476">
            <v>0</v>
          </cell>
        </row>
        <row r="1477">
          <cell r="E1477" t="str">
            <v>PEB 6</v>
          </cell>
          <cell r="M1477">
            <v>0</v>
          </cell>
          <cell r="N1477">
            <v>0</v>
          </cell>
        </row>
        <row r="1478">
          <cell r="E1478" t="str">
            <v>PEB 7 / TB</v>
          </cell>
          <cell r="M1478">
            <v>0</v>
          </cell>
          <cell r="N1478">
            <v>0</v>
          </cell>
        </row>
        <row r="1479">
          <cell r="E1479" t="str">
            <v>MPP</v>
          </cell>
          <cell r="M1479">
            <v>0</v>
          </cell>
          <cell r="N1479">
            <v>0</v>
          </cell>
        </row>
        <row r="1480">
          <cell r="E1480" t="str">
            <v>ID</v>
          </cell>
          <cell r="M1480">
            <v>0</v>
          </cell>
          <cell r="N1480">
            <v>0</v>
          </cell>
        </row>
        <row r="1481">
          <cell r="E1481" t="str">
            <v>LL</v>
          </cell>
          <cell r="M1481">
            <v>0</v>
          </cell>
          <cell r="N1481">
            <v>0</v>
          </cell>
        </row>
        <row r="1482">
          <cell r="E1482" t="str">
            <v>PMK</v>
          </cell>
          <cell r="M1482">
            <v>0</v>
          </cell>
          <cell r="N1482">
            <v>0</v>
          </cell>
        </row>
      </sheetData>
      <sheetData sheetId="4">
        <row r="8">
          <cell r="C8" t="str">
            <v>S0363</v>
          </cell>
          <cell r="D8" t="str">
            <v>AI AWSO</v>
          </cell>
          <cell r="E8" t="str">
            <v>PEB 1</v>
          </cell>
          <cell r="M8">
            <v>0</v>
          </cell>
          <cell r="N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9">
          <cell r="E9" t="str">
            <v>PEB 2</v>
          </cell>
          <cell r="M9">
            <v>0</v>
          </cell>
          <cell r="N9">
            <v>0</v>
          </cell>
        </row>
        <row r="10">
          <cell r="E10" t="str">
            <v>PEB 3</v>
          </cell>
          <cell r="M10">
            <v>0</v>
          </cell>
          <cell r="N10">
            <v>0</v>
          </cell>
        </row>
        <row r="11">
          <cell r="E11" t="str">
            <v>PEB 4</v>
          </cell>
          <cell r="M11">
            <v>0</v>
          </cell>
          <cell r="N11">
            <v>0</v>
          </cell>
        </row>
        <row r="12">
          <cell r="E12" t="str">
            <v>PEB 5</v>
          </cell>
          <cell r="M12">
            <v>0</v>
          </cell>
          <cell r="N12">
            <v>0</v>
          </cell>
        </row>
        <row r="13">
          <cell r="E13" t="str">
            <v>PEB 6</v>
          </cell>
          <cell r="M13">
            <v>0</v>
          </cell>
          <cell r="N13">
            <v>0</v>
          </cell>
        </row>
        <row r="14">
          <cell r="E14" t="str">
            <v>PEB 7 / TB</v>
          </cell>
          <cell r="M14">
            <v>0</v>
          </cell>
          <cell r="N14">
            <v>0</v>
          </cell>
        </row>
        <row r="15">
          <cell r="E15" t="str">
            <v>MPP</v>
          </cell>
          <cell r="M15">
            <v>0</v>
          </cell>
          <cell r="N15">
            <v>0</v>
          </cell>
        </row>
        <row r="16">
          <cell r="E16" t="str">
            <v>ID</v>
          </cell>
          <cell r="M16">
            <v>0</v>
          </cell>
          <cell r="N16">
            <v>0</v>
          </cell>
        </row>
        <row r="17">
          <cell r="E17" t="str">
            <v>LL</v>
          </cell>
          <cell r="M17">
            <v>0</v>
          </cell>
          <cell r="N17">
            <v>0</v>
          </cell>
        </row>
        <row r="18">
          <cell r="E18" t="str">
            <v>PMK</v>
          </cell>
          <cell r="M18">
            <v>0</v>
          </cell>
          <cell r="N18">
            <v>0</v>
          </cell>
        </row>
        <row r="20">
          <cell r="C20" t="str">
            <v>S0173</v>
          </cell>
          <cell r="D20" t="str">
            <v>AI BSO</v>
          </cell>
          <cell r="E20" t="str">
            <v>PEB 1</v>
          </cell>
          <cell r="M20">
            <v>0</v>
          </cell>
          <cell r="N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E21" t="str">
            <v>PEB 2</v>
          </cell>
          <cell r="M21">
            <v>0</v>
          </cell>
          <cell r="N21">
            <v>0</v>
          </cell>
        </row>
        <row r="22">
          <cell r="E22" t="str">
            <v>PEB 3</v>
          </cell>
          <cell r="M22">
            <v>0</v>
          </cell>
          <cell r="N22">
            <v>0</v>
          </cell>
        </row>
        <row r="23">
          <cell r="E23" t="str">
            <v>PEB 4</v>
          </cell>
          <cell r="M23">
            <v>0</v>
          </cell>
          <cell r="N23">
            <v>0</v>
          </cell>
        </row>
        <row r="24">
          <cell r="E24" t="str">
            <v>PEB 5</v>
          </cell>
          <cell r="M24">
            <v>0</v>
          </cell>
          <cell r="N24">
            <v>0</v>
          </cell>
        </row>
        <row r="25">
          <cell r="E25" t="str">
            <v>PEB 6</v>
          </cell>
          <cell r="M25">
            <v>0</v>
          </cell>
          <cell r="N25">
            <v>0</v>
          </cell>
        </row>
        <row r="26">
          <cell r="E26" t="str">
            <v>PEB 7 / TB</v>
          </cell>
          <cell r="M26">
            <v>0</v>
          </cell>
          <cell r="N26">
            <v>0</v>
          </cell>
        </row>
        <row r="27">
          <cell r="E27" t="str">
            <v>MPP</v>
          </cell>
          <cell r="M27">
            <v>0</v>
          </cell>
          <cell r="N27">
            <v>0</v>
          </cell>
        </row>
        <row r="28">
          <cell r="E28" t="str">
            <v>ID</v>
          </cell>
          <cell r="M28">
            <v>0</v>
          </cell>
          <cell r="N28">
            <v>0</v>
          </cell>
        </row>
        <row r="29">
          <cell r="E29" t="str">
            <v>LL</v>
          </cell>
          <cell r="M29">
            <v>0</v>
          </cell>
          <cell r="N29">
            <v>0</v>
          </cell>
        </row>
        <row r="30">
          <cell r="E30" t="str">
            <v>PMK</v>
          </cell>
          <cell r="M30">
            <v>0</v>
          </cell>
          <cell r="N30">
            <v>0</v>
          </cell>
        </row>
        <row r="32">
          <cell r="C32" t="str">
            <v>S0003</v>
          </cell>
          <cell r="D32" t="str">
            <v>AI DSO</v>
          </cell>
          <cell r="E32" t="str">
            <v>PEB 1</v>
          </cell>
          <cell r="M32">
            <v>0</v>
          </cell>
          <cell r="N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L32">
            <v>32682.193000000003</v>
          </cell>
        </row>
        <row r="33">
          <cell r="E33" t="str">
            <v>PEB 2</v>
          </cell>
          <cell r="M33">
            <v>0</v>
          </cell>
          <cell r="N33">
            <v>0</v>
          </cell>
        </row>
        <row r="34">
          <cell r="E34" t="str">
            <v>PEB 3</v>
          </cell>
          <cell r="M34">
            <v>0</v>
          </cell>
          <cell r="N34">
            <v>0</v>
          </cell>
        </row>
        <row r="35">
          <cell r="E35" t="str">
            <v>PEB 4</v>
          </cell>
          <cell r="M35">
            <v>0</v>
          </cell>
          <cell r="N35">
            <v>0</v>
          </cell>
        </row>
        <row r="36">
          <cell r="E36" t="str">
            <v>PEB 5</v>
          </cell>
          <cell r="M36">
            <v>0</v>
          </cell>
          <cell r="N36">
            <v>0</v>
          </cell>
        </row>
        <row r="37">
          <cell r="E37" t="str">
            <v>PEB 6</v>
          </cell>
          <cell r="M37">
            <v>0</v>
          </cell>
          <cell r="N37">
            <v>0</v>
          </cell>
        </row>
        <row r="38">
          <cell r="E38" t="str">
            <v>PEB 7 / TB</v>
          </cell>
          <cell r="M38">
            <v>0</v>
          </cell>
          <cell r="N38">
            <v>0</v>
          </cell>
        </row>
        <row r="39">
          <cell r="E39" t="str">
            <v>MPP</v>
          </cell>
          <cell r="M39">
            <v>0</v>
          </cell>
          <cell r="N39">
            <v>0</v>
          </cell>
        </row>
        <row r="40">
          <cell r="E40" t="str">
            <v>ID</v>
          </cell>
          <cell r="M40">
            <v>0</v>
          </cell>
          <cell r="N40">
            <v>0</v>
          </cell>
        </row>
        <row r="41">
          <cell r="E41" t="str">
            <v>LL</v>
          </cell>
          <cell r="M41">
            <v>0</v>
          </cell>
          <cell r="N41">
            <v>0</v>
          </cell>
        </row>
        <row r="42">
          <cell r="E42" t="str">
            <v>PMK</v>
          </cell>
          <cell r="M42">
            <v>0</v>
          </cell>
          <cell r="N42">
            <v>0</v>
          </cell>
        </row>
        <row r="44">
          <cell r="C44" t="str">
            <v>S0001</v>
          </cell>
          <cell r="D44" t="str">
            <v>AI HO</v>
          </cell>
          <cell r="E44" t="str">
            <v>PEB 1</v>
          </cell>
          <cell r="M44">
            <v>0</v>
          </cell>
          <cell r="N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L44">
            <v>705294</v>
          </cell>
        </row>
        <row r="45">
          <cell r="E45" t="str">
            <v>PEB 2</v>
          </cell>
          <cell r="M45">
            <v>0</v>
          </cell>
          <cell r="N45">
            <v>0</v>
          </cell>
        </row>
        <row r="46">
          <cell r="E46" t="str">
            <v>PEB 3</v>
          </cell>
          <cell r="M46">
            <v>0</v>
          </cell>
          <cell r="N46">
            <v>0</v>
          </cell>
        </row>
        <row r="47">
          <cell r="E47" t="str">
            <v>PEB 4</v>
          </cell>
          <cell r="M47">
            <v>0</v>
          </cell>
          <cell r="N47">
            <v>0</v>
          </cell>
        </row>
        <row r="48">
          <cell r="E48" t="str">
            <v>PEB 5</v>
          </cell>
          <cell r="M48">
            <v>0</v>
          </cell>
          <cell r="N48">
            <v>0</v>
          </cell>
        </row>
        <row r="49">
          <cell r="E49" t="str">
            <v>PEB 6</v>
          </cell>
          <cell r="M49">
            <v>0</v>
          </cell>
          <cell r="N49">
            <v>0</v>
          </cell>
        </row>
        <row r="50">
          <cell r="E50" t="str">
            <v>PEB 7 / TB</v>
          </cell>
          <cell r="M50">
            <v>0</v>
          </cell>
          <cell r="N50">
            <v>0</v>
          </cell>
        </row>
        <row r="51">
          <cell r="E51" t="str">
            <v>MPP</v>
          </cell>
          <cell r="M51">
            <v>0</v>
          </cell>
          <cell r="N51">
            <v>0</v>
          </cell>
        </row>
        <row r="52">
          <cell r="E52" t="str">
            <v>ID</v>
          </cell>
          <cell r="M52">
            <v>0</v>
          </cell>
          <cell r="N52">
            <v>0</v>
          </cell>
        </row>
        <row r="53">
          <cell r="E53" t="str">
            <v>LL</v>
          </cell>
          <cell r="M53">
            <v>0</v>
          </cell>
          <cell r="N53">
            <v>0</v>
          </cell>
        </row>
        <row r="54">
          <cell r="E54" t="str">
            <v>PMK</v>
          </cell>
          <cell r="M54">
            <v>0</v>
          </cell>
          <cell r="N54">
            <v>0</v>
          </cell>
        </row>
        <row r="56">
          <cell r="C56" t="str">
            <v>S0005</v>
          </cell>
          <cell r="D56" t="str">
            <v>AI HSO</v>
          </cell>
          <cell r="E56" t="str">
            <v>PEB 1</v>
          </cell>
          <cell r="M56">
            <v>0</v>
          </cell>
          <cell r="N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E57" t="str">
            <v>PEB 2</v>
          </cell>
          <cell r="M57">
            <v>0</v>
          </cell>
          <cell r="N57">
            <v>0</v>
          </cell>
        </row>
        <row r="58">
          <cell r="E58" t="str">
            <v>PEB 3</v>
          </cell>
          <cell r="M58">
            <v>0</v>
          </cell>
          <cell r="N58">
            <v>0</v>
          </cell>
        </row>
        <row r="59">
          <cell r="E59" t="str">
            <v>PEB 4</v>
          </cell>
          <cell r="M59">
            <v>0</v>
          </cell>
          <cell r="N59">
            <v>0</v>
          </cell>
        </row>
        <row r="60">
          <cell r="E60" t="str">
            <v>PEB 5</v>
          </cell>
          <cell r="M60">
            <v>0</v>
          </cell>
          <cell r="N60">
            <v>0</v>
          </cell>
        </row>
        <row r="61">
          <cell r="E61" t="str">
            <v>PEB 6</v>
          </cell>
          <cell r="M61">
            <v>0</v>
          </cell>
          <cell r="N61">
            <v>0</v>
          </cell>
        </row>
        <row r="62">
          <cell r="E62" t="str">
            <v>PEB 7 / TB</v>
          </cell>
          <cell r="M62">
            <v>0</v>
          </cell>
          <cell r="N62">
            <v>0</v>
          </cell>
        </row>
        <row r="63">
          <cell r="E63" t="str">
            <v>MPP</v>
          </cell>
          <cell r="M63">
            <v>0</v>
          </cell>
          <cell r="N63">
            <v>0</v>
          </cell>
        </row>
        <row r="64">
          <cell r="E64" t="str">
            <v>ID</v>
          </cell>
          <cell r="M64">
            <v>0</v>
          </cell>
          <cell r="N64">
            <v>0</v>
          </cell>
        </row>
        <row r="65">
          <cell r="E65" t="str">
            <v>LL</v>
          </cell>
          <cell r="M65">
            <v>0</v>
          </cell>
          <cell r="N65">
            <v>0</v>
          </cell>
        </row>
        <row r="66">
          <cell r="E66" t="str">
            <v>PMK</v>
          </cell>
          <cell r="M66">
            <v>0</v>
          </cell>
          <cell r="N66">
            <v>0</v>
          </cell>
        </row>
        <row r="68">
          <cell r="C68" t="str">
            <v>S0004</v>
          </cell>
          <cell r="D68" t="str">
            <v>AI ISO</v>
          </cell>
          <cell r="E68" t="str">
            <v>PEB 1</v>
          </cell>
          <cell r="M68">
            <v>0</v>
          </cell>
          <cell r="N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L68">
            <v>514995</v>
          </cell>
        </row>
        <row r="69">
          <cell r="E69" t="str">
            <v>PEB 2</v>
          </cell>
          <cell r="M69">
            <v>0</v>
          </cell>
          <cell r="N69">
            <v>0</v>
          </cell>
        </row>
        <row r="70">
          <cell r="E70" t="str">
            <v>PEB 3</v>
          </cell>
          <cell r="M70">
            <v>0</v>
          </cell>
          <cell r="N70">
            <v>0</v>
          </cell>
        </row>
        <row r="71">
          <cell r="E71" t="str">
            <v>PEB 4</v>
          </cell>
          <cell r="M71">
            <v>0</v>
          </cell>
          <cell r="N71">
            <v>0</v>
          </cell>
        </row>
        <row r="72">
          <cell r="E72" t="str">
            <v>PEB 5</v>
          </cell>
          <cell r="M72">
            <v>0</v>
          </cell>
          <cell r="N72">
            <v>0</v>
          </cell>
        </row>
        <row r="73">
          <cell r="E73" t="str">
            <v>PEB 6</v>
          </cell>
          <cell r="M73">
            <v>0</v>
          </cell>
          <cell r="N73">
            <v>0</v>
          </cell>
        </row>
        <row r="74">
          <cell r="E74" t="str">
            <v>PEB 7 / TB</v>
          </cell>
          <cell r="M74">
            <v>0</v>
          </cell>
          <cell r="N74">
            <v>0</v>
          </cell>
        </row>
        <row r="75">
          <cell r="E75" t="str">
            <v>MPP</v>
          </cell>
          <cell r="M75">
            <v>0</v>
          </cell>
          <cell r="N75">
            <v>0</v>
          </cell>
        </row>
        <row r="76">
          <cell r="E76" t="str">
            <v>ID</v>
          </cell>
          <cell r="M76">
            <v>0</v>
          </cell>
          <cell r="N76">
            <v>0</v>
          </cell>
        </row>
        <row r="77">
          <cell r="E77" t="str">
            <v>LL</v>
          </cell>
          <cell r="M77">
            <v>0</v>
          </cell>
          <cell r="N77">
            <v>0</v>
          </cell>
        </row>
        <row r="78">
          <cell r="E78" t="str">
            <v>PMK</v>
          </cell>
          <cell r="M78">
            <v>0</v>
          </cell>
          <cell r="N78">
            <v>0</v>
          </cell>
        </row>
        <row r="80">
          <cell r="C80" t="str">
            <v>S0172</v>
          </cell>
          <cell r="D80" t="str">
            <v>AI NDSO</v>
          </cell>
          <cell r="E80" t="str">
            <v>PEB 1</v>
          </cell>
          <cell r="M80">
            <v>0</v>
          </cell>
          <cell r="N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E81" t="str">
            <v>PEB 2</v>
          </cell>
          <cell r="M81">
            <v>0</v>
          </cell>
          <cell r="N81">
            <v>0</v>
          </cell>
        </row>
        <row r="82">
          <cell r="E82" t="str">
            <v>PEB 3</v>
          </cell>
          <cell r="M82">
            <v>0</v>
          </cell>
          <cell r="N82">
            <v>0</v>
          </cell>
        </row>
        <row r="83">
          <cell r="E83" t="str">
            <v>PEB 4</v>
          </cell>
          <cell r="M83">
            <v>0</v>
          </cell>
          <cell r="N83">
            <v>0</v>
          </cell>
        </row>
        <row r="84">
          <cell r="E84" t="str">
            <v>PEB 5</v>
          </cell>
          <cell r="M84">
            <v>0</v>
          </cell>
          <cell r="N84">
            <v>0</v>
          </cell>
        </row>
        <row r="85">
          <cell r="E85" t="str">
            <v>PEB 6</v>
          </cell>
          <cell r="M85">
            <v>0</v>
          </cell>
          <cell r="N85">
            <v>0</v>
          </cell>
        </row>
        <row r="86">
          <cell r="E86" t="str">
            <v>PEB 7 / TB</v>
          </cell>
          <cell r="M86">
            <v>0</v>
          </cell>
          <cell r="N86">
            <v>0</v>
          </cell>
        </row>
        <row r="87">
          <cell r="E87" t="str">
            <v>MPP</v>
          </cell>
          <cell r="M87">
            <v>0</v>
          </cell>
          <cell r="N87">
            <v>0</v>
          </cell>
        </row>
        <row r="88">
          <cell r="E88" t="str">
            <v>ID</v>
          </cell>
          <cell r="M88">
            <v>0</v>
          </cell>
          <cell r="N88">
            <v>0</v>
          </cell>
        </row>
        <row r="89">
          <cell r="E89" t="str">
            <v>LL</v>
          </cell>
          <cell r="M89">
            <v>0</v>
          </cell>
          <cell r="N89">
            <v>0</v>
          </cell>
        </row>
        <row r="90">
          <cell r="E90" t="str">
            <v>PMK</v>
          </cell>
          <cell r="M90">
            <v>0</v>
          </cell>
          <cell r="N90">
            <v>0</v>
          </cell>
        </row>
        <row r="92">
          <cell r="C92" t="str">
            <v>S0174</v>
          </cell>
          <cell r="D92" t="str">
            <v>AI PSO</v>
          </cell>
          <cell r="E92" t="str">
            <v>PEB 1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E93" t="str">
            <v>PEB 2</v>
          </cell>
          <cell r="M93">
            <v>0</v>
          </cell>
          <cell r="N93">
            <v>0</v>
          </cell>
        </row>
        <row r="94">
          <cell r="E94" t="str">
            <v>PEB 3</v>
          </cell>
          <cell r="M94">
            <v>0</v>
          </cell>
          <cell r="N94">
            <v>0</v>
          </cell>
        </row>
        <row r="95">
          <cell r="E95" t="str">
            <v>PEB 4</v>
          </cell>
          <cell r="M95">
            <v>0</v>
          </cell>
          <cell r="N95">
            <v>0</v>
          </cell>
        </row>
        <row r="96">
          <cell r="E96" t="str">
            <v>PEB 5</v>
          </cell>
          <cell r="M96">
            <v>0</v>
          </cell>
          <cell r="N96">
            <v>0</v>
          </cell>
        </row>
        <row r="97">
          <cell r="E97" t="str">
            <v>PEB 6</v>
          </cell>
          <cell r="M97">
            <v>0</v>
          </cell>
          <cell r="N97">
            <v>0</v>
          </cell>
        </row>
        <row r="98">
          <cell r="E98" t="str">
            <v>PEB 7 / TB</v>
          </cell>
          <cell r="M98">
            <v>0</v>
          </cell>
          <cell r="N98">
            <v>0</v>
          </cell>
        </row>
        <row r="99">
          <cell r="E99" t="str">
            <v>MPP</v>
          </cell>
          <cell r="M99">
            <v>0</v>
          </cell>
          <cell r="N99">
            <v>0</v>
          </cell>
        </row>
        <row r="100">
          <cell r="E100" t="str">
            <v>ID</v>
          </cell>
          <cell r="M100">
            <v>0</v>
          </cell>
          <cell r="N100">
            <v>0</v>
          </cell>
        </row>
        <row r="101">
          <cell r="E101" t="str">
            <v>LL</v>
          </cell>
          <cell r="M101">
            <v>0</v>
          </cell>
          <cell r="N101">
            <v>0</v>
          </cell>
        </row>
        <row r="102">
          <cell r="E102" t="str">
            <v>PMK</v>
          </cell>
          <cell r="M102">
            <v>0</v>
          </cell>
          <cell r="N102">
            <v>0</v>
          </cell>
        </row>
        <row r="104">
          <cell r="C104" t="str">
            <v>S0015</v>
          </cell>
          <cell r="D104" t="str">
            <v>AI SSC</v>
          </cell>
          <cell r="E104" t="str">
            <v>PEB 1</v>
          </cell>
          <cell r="M104">
            <v>0</v>
          </cell>
          <cell r="N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K104">
            <v>32682.193000000003</v>
          </cell>
        </row>
        <row r="105">
          <cell r="E105" t="str">
            <v>PEB 2</v>
          </cell>
          <cell r="M105">
            <v>0</v>
          </cell>
          <cell r="N105">
            <v>0</v>
          </cell>
        </row>
        <row r="106">
          <cell r="E106" t="str">
            <v>PEB 3</v>
          </cell>
          <cell r="M106">
            <v>0</v>
          </cell>
          <cell r="N106">
            <v>0</v>
          </cell>
        </row>
        <row r="107">
          <cell r="E107" t="str">
            <v>PEB 4</v>
          </cell>
          <cell r="M107">
            <v>0</v>
          </cell>
          <cell r="N107">
            <v>0</v>
          </cell>
        </row>
        <row r="108">
          <cell r="E108" t="str">
            <v>PEB 5</v>
          </cell>
          <cell r="M108">
            <v>0</v>
          </cell>
          <cell r="N108">
            <v>0</v>
          </cell>
        </row>
        <row r="109">
          <cell r="E109" t="str">
            <v>PEB 6</v>
          </cell>
          <cell r="M109">
            <v>0</v>
          </cell>
          <cell r="N109">
            <v>0</v>
          </cell>
        </row>
        <row r="110">
          <cell r="E110" t="str">
            <v>PEB 7 / TB</v>
          </cell>
          <cell r="M110">
            <v>0</v>
          </cell>
          <cell r="N110">
            <v>0</v>
          </cell>
        </row>
        <row r="111">
          <cell r="E111" t="str">
            <v>MPP</v>
          </cell>
          <cell r="M111">
            <v>0</v>
          </cell>
          <cell r="N111">
            <v>0</v>
          </cell>
        </row>
        <row r="112">
          <cell r="E112" t="str">
            <v>ID</v>
          </cell>
          <cell r="M112">
            <v>0</v>
          </cell>
          <cell r="N112">
            <v>0</v>
          </cell>
        </row>
        <row r="113">
          <cell r="E113" t="str">
            <v>LL</v>
          </cell>
          <cell r="M113">
            <v>0</v>
          </cell>
          <cell r="N113">
            <v>0</v>
          </cell>
        </row>
        <row r="114">
          <cell r="E114" t="str">
            <v>PMK</v>
          </cell>
          <cell r="M114">
            <v>0</v>
          </cell>
          <cell r="N114">
            <v>0</v>
          </cell>
        </row>
        <row r="116">
          <cell r="C116" t="str">
            <v>S0002</v>
          </cell>
          <cell r="D116" t="str">
            <v>AI TSO</v>
          </cell>
          <cell r="E116" t="str">
            <v>PEB 1</v>
          </cell>
          <cell r="M116">
            <v>0</v>
          </cell>
          <cell r="N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E117" t="str">
            <v>PEB 2</v>
          </cell>
          <cell r="M117">
            <v>0</v>
          </cell>
          <cell r="N117">
            <v>0</v>
          </cell>
        </row>
        <row r="118">
          <cell r="E118" t="str">
            <v>PEB 3</v>
          </cell>
          <cell r="M118">
            <v>0</v>
          </cell>
          <cell r="N118">
            <v>0</v>
          </cell>
        </row>
        <row r="119">
          <cell r="E119" t="str">
            <v>PEB 4</v>
          </cell>
          <cell r="M119">
            <v>0</v>
          </cell>
          <cell r="N119">
            <v>0</v>
          </cell>
        </row>
        <row r="120">
          <cell r="E120" t="str">
            <v>PEB 5</v>
          </cell>
          <cell r="M120">
            <v>0</v>
          </cell>
          <cell r="N120">
            <v>0</v>
          </cell>
        </row>
        <row r="121">
          <cell r="E121" t="str">
            <v>PEB 6</v>
          </cell>
          <cell r="M121">
            <v>0</v>
          </cell>
          <cell r="N121">
            <v>0</v>
          </cell>
        </row>
        <row r="122">
          <cell r="E122" t="str">
            <v>PEB 7 / TB</v>
          </cell>
          <cell r="M122">
            <v>0</v>
          </cell>
          <cell r="N122">
            <v>0</v>
          </cell>
        </row>
        <row r="123">
          <cell r="E123" t="str">
            <v>MPP</v>
          </cell>
          <cell r="M123">
            <v>0</v>
          </cell>
          <cell r="N123">
            <v>0</v>
          </cell>
        </row>
        <row r="124">
          <cell r="E124" t="str">
            <v>ID</v>
          </cell>
          <cell r="M124">
            <v>0</v>
          </cell>
          <cell r="N124">
            <v>0</v>
          </cell>
        </row>
        <row r="125">
          <cell r="E125" t="str">
            <v>LL</v>
          </cell>
          <cell r="M125">
            <v>0</v>
          </cell>
          <cell r="N125">
            <v>0</v>
          </cell>
        </row>
        <row r="126">
          <cell r="E126" t="str">
            <v>PMK</v>
          </cell>
          <cell r="M126">
            <v>0</v>
          </cell>
          <cell r="N126">
            <v>0</v>
          </cell>
        </row>
        <row r="128">
          <cell r="C128" t="str">
            <v>A0253</v>
          </cell>
          <cell r="D128" t="str">
            <v>PT Agro Menara Rahmat</v>
          </cell>
          <cell r="E128" t="str">
            <v>PEB 1</v>
          </cell>
          <cell r="M128">
            <v>0</v>
          </cell>
          <cell r="N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E129" t="str">
            <v>PEB 2</v>
          </cell>
          <cell r="M129">
            <v>0</v>
          </cell>
          <cell r="N129">
            <v>0</v>
          </cell>
        </row>
        <row r="130">
          <cell r="E130" t="str">
            <v>PEB 3</v>
          </cell>
          <cell r="M130">
            <v>0</v>
          </cell>
          <cell r="N130">
            <v>0</v>
          </cell>
        </row>
        <row r="131">
          <cell r="E131" t="str">
            <v>PEB 4</v>
          </cell>
          <cell r="M131">
            <v>0</v>
          </cell>
          <cell r="N131">
            <v>0</v>
          </cell>
        </row>
        <row r="132">
          <cell r="E132" t="str">
            <v>PEB 5</v>
          </cell>
          <cell r="M132">
            <v>0</v>
          </cell>
          <cell r="N132">
            <v>0</v>
          </cell>
        </row>
        <row r="133">
          <cell r="E133" t="str">
            <v>PEB 6</v>
          </cell>
          <cell r="M133">
            <v>0</v>
          </cell>
          <cell r="N133">
            <v>0</v>
          </cell>
        </row>
        <row r="134">
          <cell r="E134" t="str">
            <v>PEB 7 / TB</v>
          </cell>
          <cell r="M134">
            <v>0</v>
          </cell>
          <cell r="N134">
            <v>0</v>
          </cell>
        </row>
        <row r="135">
          <cell r="E135" t="str">
            <v>MPP</v>
          </cell>
          <cell r="M135">
            <v>0</v>
          </cell>
          <cell r="N135">
            <v>0</v>
          </cell>
        </row>
        <row r="136">
          <cell r="E136" t="str">
            <v>ID</v>
          </cell>
          <cell r="M136">
            <v>0</v>
          </cell>
          <cell r="N136">
            <v>0</v>
          </cell>
        </row>
        <row r="137">
          <cell r="E137" t="str">
            <v>LL</v>
          </cell>
          <cell r="M137">
            <v>0</v>
          </cell>
          <cell r="N137">
            <v>0</v>
          </cell>
        </row>
        <row r="138">
          <cell r="E138" t="str">
            <v>PMK</v>
          </cell>
          <cell r="M138">
            <v>0</v>
          </cell>
          <cell r="N138">
            <v>0</v>
          </cell>
        </row>
        <row r="140">
          <cell r="C140" t="str">
            <v>A0438</v>
          </cell>
          <cell r="D140" t="str">
            <v>PT Agro Nusa Abadi</v>
          </cell>
          <cell r="E140" t="str">
            <v>PEB 1</v>
          </cell>
          <cell r="M140">
            <v>0</v>
          </cell>
          <cell r="N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E141" t="str">
            <v>PEB 2</v>
          </cell>
          <cell r="M141">
            <v>0</v>
          </cell>
          <cell r="N141">
            <v>0</v>
          </cell>
        </row>
        <row r="142">
          <cell r="E142" t="str">
            <v>PEB 3</v>
          </cell>
          <cell r="M142">
            <v>0</v>
          </cell>
          <cell r="N142">
            <v>0</v>
          </cell>
        </row>
        <row r="143">
          <cell r="E143" t="str">
            <v>PEB 4</v>
          </cell>
          <cell r="M143">
            <v>0</v>
          </cell>
          <cell r="N143">
            <v>0</v>
          </cell>
        </row>
        <row r="144">
          <cell r="E144" t="str">
            <v>PEB 5</v>
          </cell>
          <cell r="M144">
            <v>0</v>
          </cell>
          <cell r="N144">
            <v>0</v>
          </cell>
        </row>
        <row r="145">
          <cell r="E145" t="str">
            <v>PEB 6</v>
          </cell>
          <cell r="M145">
            <v>0</v>
          </cell>
          <cell r="N145">
            <v>0</v>
          </cell>
        </row>
        <row r="146">
          <cell r="E146" t="str">
            <v>PEB 7 / TB</v>
          </cell>
          <cell r="M146">
            <v>0</v>
          </cell>
          <cell r="N146">
            <v>0</v>
          </cell>
        </row>
        <row r="147">
          <cell r="E147" t="str">
            <v>MPP</v>
          </cell>
          <cell r="M147">
            <v>0</v>
          </cell>
          <cell r="N147">
            <v>0</v>
          </cell>
        </row>
        <row r="148">
          <cell r="E148" t="str">
            <v>ID</v>
          </cell>
          <cell r="M148">
            <v>0</v>
          </cell>
          <cell r="N148">
            <v>0</v>
          </cell>
        </row>
        <row r="149">
          <cell r="E149" t="str">
            <v>LL</v>
          </cell>
          <cell r="M149">
            <v>0</v>
          </cell>
          <cell r="N149">
            <v>0</v>
          </cell>
        </row>
        <row r="150">
          <cell r="E150" t="str">
            <v>PMK</v>
          </cell>
          <cell r="M150">
            <v>0</v>
          </cell>
          <cell r="N150">
            <v>0</v>
          </cell>
        </row>
        <row r="152">
          <cell r="C152" t="str">
            <v>A0049</v>
          </cell>
          <cell r="D152" t="str">
            <v>PT Aisin Indonesia</v>
          </cell>
          <cell r="E152" t="str">
            <v>PEB 1</v>
          </cell>
          <cell r="M152">
            <v>0</v>
          </cell>
          <cell r="N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L152">
            <v>208956.97946173738</v>
          </cell>
        </row>
        <row r="153">
          <cell r="E153" t="str">
            <v>PEB 2</v>
          </cell>
          <cell r="M153">
            <v>0</v>
          </cell>
          <cell r="N153">
            <v>0</v>
          </cell>
        </row>
        <row r="154">
          <cell r="E154" t="str">
            <v>PEB 3</v>
          </cell>
          <cell r="M154">
            <v>0</v>
          </cell>
          <cell r="N154">
            <v>0</v>
          </cell>
        </row>
        <row r="155">
          <cell r="E155" t="str">
            <v>PEB 4</v>
          </cell>
          <cell r="M155">
            <v>0</v>
          </cell>
          <cell r="N155">
            <v>0</v>
          </cell>
        </row>
        <row r="156">
          <cell r="E156" t="str">
            <v>PEB 5</v>
          </cell>
          <cell r="M156">
            <v>0</v>
          </cell>
          <cell r="N156">
            <v>0</v>
          </cell>
        </row>
        <row r="157">
          <cell r="E157" t="str">
            <v>PEB 6</v>
          </cell>
          <cell r="M157">
            <v>0</v>
          </cell>
          <cell r="N157">
            <v>0</v>
          </cell>
        </row>
        <row r="158">
          <cell r="E158" t="str">
            <v>PEB 7 / TB</v>
          </cell>
          <cell r="M158">
            <v>0</v>
          </cell>
          <cell r="N158">
            <v>0</v>
          </cell>
        </row>
        <row r="159">
          <cell r="E159" t="str">
            <v>MPP</v>
          </cell>
          <cell r="M159">
            <v>0</v>
          </cell>
          <cell r="N159">
            <v>0</v>
          </cell>
        </row>
        <row r="160">
          <cell r="E160" t="str">
            <v>ID</v>
          </cell>
          <cell r="M160">
            <v>0</v>
          </cell>
          <cell r="N160">
            <v>0</v>
          </cell>
        </row>
        <row r="161">
          <cell r="E161" t="str">
            <v>LL</v>
          </cell>
          <cell r="M161">
            <v>0</v>
          </cell>
          <cell r="N161">
            <v>0</v>
          </cell>
        </row>
        <row r="162">
          <cell r="E162" t="str">
            <v>PMK</v>
          </cell>
          <cell r="M162">
            <v>0</v>
          </cell>
          <cell r="N162">
            <v>0</v>
          </cell>
        </row>
        <row r="164">
          <cell r="C164" t="str">
            <v>A0161</v>
          </cell>
          <cell r="D164" t="str">
            <v>PT Ardendi Jaya Sentosa</v>
          </cell>
          <cell r="E164" t="str">
            <v>PEB 1</v>
          </cell>
          <cell r="M164">
            <v>0</v>
          </cell>
          <cell r="N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</row>
        <row r="165">
          <cell r="E165" t="str">
            <v>PEB 2</v>
          </cell>
          <cell r="M165">
            <v>0</v>
          </cell>
          <cell r="N165">
            <v>0</v>
          </cell>
        </row>
        <row r="166">
          <cell r="E166" t="str">
            <v>PEB 3</v>
          </cell>
          <cell r="M166">
            <v>0</v>
          </cell>
          <cell r="N166">
            <v>0</v>
          </cell>
        </row>
        <row r="167">
          <cell r="E167" t="str">
            <v>PEB 4</v>
          </cell>
          <cell r="M167">
            <v>0</v>
          </cell>
          <cell r="N167">
            <v>0</v>
          </cell>
        </row>
        <row r="168">
          <cell r="E168" t="str">
            <v>PEB 5</v>
          </cell>
          <cell r="M168">
            <v>0</v>
          </cell>
          <cell r="N168">
            <v>0</v>
          </cell>
        </row>
        <row r="169">
          <cell r="E169" t="str">
            <v>PEB 6</v>
          </cell>
          <cell r="M169">
            <v>0</v>
          </cell>
          <cell r="N169">
            <v>0</v>
          </cell>
        </row>
        <row r="170">
          <cell r="E170" t="str">
            <v>PEB 7 / TB</v>
          </cell>
          <cell r="M170">
            <v>0</v>
          </cell>
          <cell r="N170">
            <v>0</v>
          </cell>
        </row>
        <row r="171">
          <cell r="E171" t="str">
            <v>MPP</v>
          </cell>
          <cell r="M171">
            <v>0</v>
          </cell>
          <cell r="N171">
            <v>0</v>
          </cell>
        </row>
        <row r="172">
          <cell r="E172" t="str">
            <v>ID</v>
          </cell>
          <cell r="M172">
            <v>0</v>
          </cell>
          <cell r="N172">
            <v>0</v>
          </cell>
        </row>
        <row r="173">
          <cell r="E173" t="str">
            <v>LL</v>
          </cell>
          <cell r="M173">
            <v>0</v>
          </cell>
          <cell r="N173">
            <v>0</v>
          </cell>
        </row>
        <row r="174">
          <cell r="E174" t="str">
            <v>PMK</v>
          </cell>
          <cell r="M174">
            <v>0</v>
          </cell>
          <cell r="N174">
            <v>0</v>
          </cell>
        </row>
        <row r="176">
          <cell r="C176" t="str">
            <v>A0011</v>
          </cell>
          <cell r="D176" t="str">
            <v>PT Astra Agro Lestari Tbk - Parent</v>
          </cell>
          <cell r="E176" t="str">
            <v>PEB 1</v>
          </cell>
          <cell r="M176">
            <v>0</v>
          </cell>
          <cell r="N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163905.13</v>
          </cell>
        </row>
        <row r="177">
          <cell r="E177" t="str">
            <v>PEB 2</v>
          </cell>
          <cell r="M177">
            <v>0</v>
          </cell>
          <cell r="N177">
            <v>0</v>
          </cell>
        </row>
        <row r="178">
          <cell r="E178" t="str">
            <v>PEB 3</v>
          </cell>
          <cell r="M178">
            <v>0</v>
          </cell>
          <cell r="N178">
            <v>0</v>
          </cell>
        </row>
        <row r="179">
          <cell r="E179" t="str">
            <v>PEB 4</v>
          </cell>
          <cell r="M179">
            <v>0</v>
          </cell>
          <cell r="N179">
            <v>0</v>
          </cell>
        </row>
        <row r="180">
          <cell r="E180" t="str">
            <v>PEB 5</v>
          </cell>
          <cell r="M180">
            <v>0</v>
          </cell>
          <cell r="N180">
            <v>0</v>
          </cell>
        </row>
        <row r="181">
          <cell r="E181" t="str">
            <v>PEB 6</v>
          </cell>
          <cell r="M181">
            <v>0</v>
          </cell>
          <cell r="N181">
            <v>0</v>
          </cell>
        </row>
        <row r="182">
          <cell r="E182" t="str">
            <v>PEB 7 / TB</v>
          </cell>
          <cell r="M182">
            <v>0</v>
          </cell>
          <cell r="N182">
            <v>0</v>
          </cell>
        </row>
        <row r="183">
          <cell r="E183" t="str">
            <v>MPP</v>
          </cell>
          <cell r="M183">
            <v>0</v>
          </cell>
          <cell r="N183">
            <v>0</v>
          </cell>
        </row>
        <row r="184">
          <cell r="E184" t="str">
            <v>ID</v>
          </cell>
          <cell r="M184">
            <v>0</v>
          </cell>
          <cell r="N184">
            <v>0</v>
          </cell>
        </row>
        <row r="185">
          <cell r="E185" t="str">
            <v>LL</v>
          </cell>
          <cell r="M185">
            <v>0</v>
          </cell>
          <cell r="N185">
            <v>0</v>
          </cell>
        </row>
        <row r="186">
          <cell r="E186" t="str">
            <v>PMK</v>
          </cell>
          <cell r="M186">
            <v>0</v>
          </cell>
          <cell r="N186">
            <v>0</v>
          </cell>
        </row>
        <row r="188">
          <cell r="C188" t="str">
            <v>A0177</v>
          </cell>
          <cell r="D188" t="str">
            <v>PT Astra Auto Finance</v>
          </cell>
          <cell r="E188" t="str">
            <v>PEB 1</v>
          </cell>
          <cell r="M188">
            <v>0</v>
          </cell>
          <cell r="N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E189" t="str">
            <v>PEB 2</v>
          </cell>
          <cell r="M189">
            <v>0</v>
          </cell>
          <cell r="N189">
            <v>0</v>
          </cell>
        </row>
        <row r="190">
          <cell r="E190" t="str">
            <v>PEB 3</v>
          </cell>
          <cell r="M190">
            <v>0</v>
          </cell>
          <cell r="N190">
            <v>0</v>
          </cell>
        </row>
        <row r="191">
          <cell r="E191" t="str">
            <v>PEB 4</v>
          </cell>
          <cell r="M191">
            <v>0</v>
          </cell>
          <cell r="N191">
            <v>0</v>
          </cell>
        </row>
        <row r="192">
          <cell r="E192" t="str">
            <v>PEB 5</v>
          </cell>
          <cell r="M192">
            <v>0</v>
          </cell>
          <cell r="N192">
            <v>0</v>
          </cell>
        </row>
        <row r="193">
          <cell r="E193" t="str">
            <v>PEB 6</v>
          </cell>
          <cell r="M193">
            <v>0</v>
          </cell>
          <cell r="N193">
            <v>0</v>
          </cell>
        </row>
        <row r="194">
          <cell r="E194" t="str">
            <v>PEB 7 / TB</v>
          </cell>
          <cell r="M194">
            <v>0</v>
          </cell>
          <cell r="N194">
            <v>0</v>
          </cell>
        </row>
        <row r="195">
          <cell r="E195" t="str">
            <v>MPP</v>
          </cell>
          <cell r="M195">
            <v>0</v>
          </cell>
          <cell r="N195">
            <v>0</v>
          </cell>
        </row>
        <row r="196">
          <cell r="E196" t="str">
            <v>ID</v>
          </cell>
          <cell r="M196">
            <v>0</v>
          </cell>
          <cell r="N196">
            <v>0</v>
          </cell>
        </row>
        <row r="197">
          <cell r="E197" t="str">
            <v>LL</v>
          </cell>
          <cell r="M197">
            <v>0</v>
          </cell>
          <cell r="N197">
            <v>0</v>
          </cell>
        </row>
        <row r="198">
          <cell r="E198" t="str">
            <v>PMK</v>
          </cell>
          <cell r="M198">
            <v>0</v>
          </cell>
          <cell r="N198">
            <v>0</v>
          </cell>
        </row>
        <row r="200">
          <cell r="C200" t="str">
            <v>A0045</v>
          </cell>
          <cell r="D200" t="str">
            <v>PT Astra Daihatsu Motor</v>
          </cell>
          <cell r="E200" t="str">
            <v>PEB 1</v>
          </cell>
          <cell r="M200">
            <v>0</v>
          </cell>
          <cell r="N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</row>
        <row r="201">
          <cell r="E201" t="str">
            <v>PEB 2</v>
          </cell>
          <cell r="M201">
            <v>0</v>
          </cell>
          <cell r="N201">
            <v>0</v>
          </cell>
        </row>
        <row r="202">
          <cell r="E202" t="str">
            <v>PEB 3</v>
          </cell>
          <cell r="M202">
            <v>0</v>
          </cell>
          <cell r="N202">
            <v>0</v>
          </cell>
        </row>
        <row r="203">
          <cell r="E203" t="str">
            <v>PEB 4</v>
          </cell>
          <cell r="M203">
            <v>0</v>
          </cell>
          <cell r="N203">
            <v>0</v>
          </cell>
        </row>
        <row r="204">
          <cell r="E204" t="str">
            <v>PEB 5</v>
          </cell>
          <cell r="M204">
            <v>0</v>
          </cell>
          <cell r="N204">
            <v>0</v>
          </cell>
        </row>
        <row r="205">
          <cell r="E205" t="str">
            <v>PEB 6</v>
          </cell>
          <cell r="M205">
            <v>0</v>
          </cell>
          <cell r="N205">
            <v>0</v>
          </cell>
        </row>
        <row r="206">
          <cell r="E206" t="str">
            <v>PEB 7 / TB</v>
          </cell>
          <cell r="M206">
            <v>0</v>
          </cell>
          <cell r="N206">
            <v>0</v>
          </cell>
        </row>
        <row r="207">
          <cell r="E207" t="str">
            <v>MPP</v>
          </cell>
          <cell r="M207">
            <v>0</v>
          </cell>
          <cell r="N207">
            <v>0</v>
          </cell>
        </row>
        <row r="208">
          <cell r="E208" t="str">
            <v>ID</v>
          </cell>
          <cell r="M208">
            <v>0</v>
          </cell>
          <cell r="N208">
            <v>0</v>
          </cell>
        </row>
        <row r="209">
          <cell r="E209" t="str">
            <v>LL</v>
          </cell>
          <cell r="M209">
            <v>0</v>
          </cell>
          <cell r="N209">
            <v>0</v>
          </cell>
        </row>
        <row r="210">
          <cell r="E210" t="str">
            <v>PMK</v>
          </cell>
          <cell r="M210">
            <v>0</v>
          </cell>
          <cell r="N210">
            <v>0</v>
          </cell>
        </row>
        <row r="212">
          <cell r="C212" t="str">
            <v>A0371</v>
          </cell>
          <cell r="D212" t="str">
            <v>PT Astra Graphia Information Technology Tbk</v>
          </cell>
          <cell r="E212" t="str">
            <v>PEB 1</v>
          </cell>
          <cell r="M212">
            <v>0</v>
          </cell>
          <cell r="N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586492</v>
          </cell>
          <cell r="AL212">
            <v>219780.913</v>
          </cell>
        </row>
        <row r="213">
          <cell r="E213" t="str">
            <v>PEB 2</v>
          </cell>
          <cell r="M213">
            <v>0</v>
          </cell>
          <cell r="N213">
            <v>0</v>
          </cell>
        </row>
        <row r="214">
          <cell r="E214" t="str">
            <v>PEB 3</v>
          </cell>
          <cell r="M214">
            <v>0</v>
          </cell>
          <cell r="N214">
            <v>0</v>
          </cell>
        </row>
        <row r="215">
          <cell r="E215" t="str">
            <v>PEB 4</v>
          </cell>
          <cell r="M215">
            <v>0</v>
          </cell>
          <cell r="N215">
            <v>0</v>
          </cell>
        </row>
        <row r="216">
          <cell r="E216" t="str">
            <v>PEB 5</v>
          </cell>
          <cell r="M216">
            <v>0</v>
          </cell>
          <cell r="N216">
            <v>0</v>
          </cell>
        </row>
        <row r="217">
          <cell r="E217" t="str">
            <v>PEB 6</v>
          </cell>
          <cell r="M217">
            <v>0</v>
          </cell>
          <cell r="N217">
            <v>0</v>
          </cell>
        </row>
        <row r="218">
          <cell r="E218" t="str">
            <v>PEB 7 / TB</v>
          </cell>
          <cell r="M218">
            <v>0</v>
          </cell>
          <cell r="N218">
            <v>0</v>
          </cell>
        </row>
        <row r="219">
          <cell r="E219" t="str">
            <v>MPP</v>
          </cell>
          <cell r="M219">
            <v>0</v>
          </cell>
          <cell r="N219">
            <v>0</v>
          </cell>
        </row>
        <row r="220">
          <cell r="E220" t="str">
            <v>ID</v>
          </cell>
          <cell r="M220">
            <v>0</v>
          </cell>
          <cell r="N220">
            <v>0</v>
          </cell>
        </row>
        <row r="221">
          <cell r="E221" t="str">
            <v>LL</v>
          </cell>
          <cell r="M221">
            <v>0</v>
          </cell>
          <cell r="N221">
            <v>0</v>
          </cell>
        </row>
        <row r="222">
          <cell r="E222" t="str">
            <v>PMK</v>
          </cell>
          <cell r="M222">
            <v>0</v>
          </cell>
          <cell r="N222">
            <v>0</v>
          </cell>
        </row>
        <row r="224">
          <cell r="C224" t="str">
            <v>A0014</v>
          </cell>
          <cell r="D224" t="str">
            <v>PT Astra Graphia Tbk</v>
          </cell>
          <cell r="E224" t="str">
            <v>PEB 1</v>
          </cell>
          <cell r="M224">
            <v>0</v>
          </cell>
          <cell r="N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L224">
            <v>586492</v>
          </cell>
        </row>
        <row r="225">
          <cell r="E225" t="str">
            <v>PEB 2</v>
          </cell>
          <cell r="M225">
            <v>0</v>
          </cell>
          <cell r="N225">
            <v>0</v>
          </cell>
        </row>
        <row r="226">
          <cell r="E226" t="str">
            <v>PEB 3</v>
          </cell>
          <cell r="M226">
            <v>0</v>
          </cell>
          <cell r="N226">
            <v>0</v>
          </cell>
        </row>
        <row r="227">
          <cell r="E227" t="str">
            <v>PEB 4</v>
          </cell>
          <cell r="M227">
            <v>0</v>
          </cell>
          <cell r="N227">
            <v>0</v>
          </cell>
        </row>
        <row r="228">
          <cell r="E228" t="str">
            <v>PEB 5</v>
          </cell>
          <cell r="M228">
            <v>0</v>
          </cell>
          <cell r="N228">
            <v>0</v>
          </cell>
        </row>
        <row r="229">
          <cell r="E229" t="str">
            <v>PEB 6</v>
          </cell>
          <cell r="M229">
            <v>0</v>
          </cell>
          <cell r="N229">
            <v>0</v>
          </cell>
        </row>
        <row r="230">
          <cell r="E230" t="str">
            <v>PEB 7 / TB</v>
          </cell>
          <cell r="M230">
            <v>0</v>
          </cell>
          <cell r="N230">
            <v>0</v>
          </cell>
        </row>
        <row r="231">
          <cell r="E231" t="str">
            <v>MPP</v>
          </cell>
          <cell r="M231">
            <v>0</v>
          </cell>
          <cell r="N231">
            <v>0</v>
          </cell>
        </row>
        <row r="232">
          <cell r="E232" t="str">
            <v>ID</v>
          </cell>
          <cell r="M232">
            <v>0</v>
          </cell>
          <cell r="N232">
            <v>0</v>
          </cell>
        </row>
        <row r="233">
          <cell r="E233" t="str">
            <v>LL</v>
          </cell>
          <cell r="M233">
            <v>0</v>
          </cell>
          <cell r="N233">
            <v>0</v>
          </cell>
        </row>
        <row r="234">
          <cell r="E234" t="str">
            <v>PMK</v>
          </cell>
          <cell r="M234">
            <v>0</v>
          </cell>
          <cell r="N234">
            <v>0</v>
          </cell>
        </row>
        <row r="236">
          <cell r="C236" t="str">
            <v>A0060</v>
          </cell>
          <cell r="D236" t="str">
            <v>PT Astra Honda Motor</v>
          </cell>
          <cell r="E236" t="str">
            <v>PEB 1</v>
          </cell>
          <cell r="M236">
            <v>0</v>
          </cell>
          <cell r="N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L236">
            <v>7638803.9299999997</v>
          </cell>
        </row>
        <row r="237">
          <cell r="E237" t="str">
            <v>PEB 2</v>
          </cell>
          <cell r="M237">
            <v>0</v>
          </cell>
          <cell r="N237">
            <v>0</v>
          </cell>
        </row>
        <row r="238">
          <cell r="E238" t="str">
            <v>PEB 3</v>
          </cell>
          <cell r="M238">
            <v>0</v>
          </cell>
          <cell r="N238">
            <v>0</v>
          </cell>
        </row>
        <row r="239">
          <cell r="E239" t="str">
            <v>PEB 4</v>
          </cell>
          <cell r="M239">
            <v>0</v>
          </cell>
          <cell r="N239">
            <v>0</v>
          </cell>
        </row>
        <row r="240">
          <cell r="E240" t="str">
            <v>PEB 5</v>
          </cell>
          <cell r="M240">
            <v>0</v>
          </cell>
          <cell r="N240">
            <v>0</v>
          </cell>
        </row>
        <row r="241">
          <cell r="E241" t="str">
            <v>PEB 6</v>
          </cell>
          <cell r="M241">
            <v>0</v>
          </cell>
          <cell r="N241">
            <v>0</v>
          </cell>
        </row>
        <row r="242">
          <cell r="E242" t="str">
            <v>PEB 7 / TB</v>
          </cell>
          <cell r="M242">
            <v>0</v>
          </cell>
          <cell r="N242">
            <v>0</v>
          </cell>
        </row>
        <row r="243">
          <cell r="E243" t="str">
            <v>MPP</v>
          </cell>
          <cell r="M243">
            <v>0</v>
          </cell>
          <cell r="N243">
            <v>0</v>
          </cell>
        </row>
        <row r="244">
          <cell r="E244" t="str">
            <v>ID</v>
          </cell>
          <cell r="M244">
            <v>0</v>
          </cell>
          <cell r="N244">
            <v>0</v>
          </cell>
        </row>
        <row r="245">
          <cell r="E245" t="str">
            <v>LL</v>
          </cell>
          <cell r="M245">
            <v>0</v>
          </cell>
          <cell r="N245">
            <v>0</v>
          </cell>
        </row>
        <row r="246">
          <cell r="E246" t="str">
            <v>PMK</v>
          </cell>
          <cell r="M246">
            <v>0</v>
          </cell>
          <cell r="N246">
            <v>0</v>
          </cell>
        </row>
        <row r="248">
          <cell r="C248" t="str">
            <v>A0316</v>
          </cell>
          <cell r="D248" t="str">
            <v>PT Astra Komponen Indonesia</v>
          </cell>
          <cell r="E248" t="str">
            <v>PEB 1</v>
          </cell>
          <cell r="M248">
            <v>0</v>
          </cell>
          <cell r="N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L248">
            <v>1001895</v>
          </cell>
        </row>
        <row r="249">
          <cell r="E249" t="str">
            <v>PEB 2</v>
          </cell>
          <cell r="M249">
            <v>0</v>
          </cell>
          <cell r="N249">
            <v>0</v>
          </cell>
        </row>
        <row r="250">
          <cell r="E250" t="str">
            <v>PEB 3</v>
          </cell>
          <cell r="M250">
            <v>0</v>
          </cell>
          <cell r="N250">
            <v>0</v>
          </cell>
        </row>
        <row r="251">
          <cell r="E251" t="str">
            <v>PEB 4</v>
          </cell>
          <cell r="M251">
            <v>0</v>
          </cell>
          <cell r="N251">
            <v>0</v>
          </cell>
        </row>
        <row r="252">
          <cell r="E252" t="str">
            <v>PEB 5</v>
          </cell>
          <cell r="M252">
            <v>0</v>
          </cell>
          <cell r="N252">
            <v>0</v>
          </cell>
        </row>
        <row r="253">
          <cell r="E253" t="str">
            <v>PEB 6</v>
          </cell>
          <cell r="M253">
            <v>0</v>
          </cell>
          <cell r="N253">
            <v>0</v>
          </cell>
        </row>
        <row r="254">
          <cell r="E254" t="str">
            <v>PEB 7 / TB</v>
          </cell>
          <cell r="M254">
            <v>0</v>
          </cell>
          <cell r="N254">
            <v>0</v>
          </cell>
        </row>
        <row r="255">
          <cell r="E255" t="str">
            <v>MPP</v>
          </cell>
          <cell r="M255">
            <v>0</v>
          </cell>
          <cell r="N255">
            <v>0</v>
          </cell>
        </row>
        <row r="256">
          <cell r="E256" t="str">
            <v>ID</v>
          </cell>
          <cell r="M256">
            <v>0</v>
          </cell>
          <cell r="N256">
            <v>0</v>
          </cell>
        </row>
        <row r="257">
          <cell r="E257" t="str">
            <v>LL</v>
          </cell>
          <cell r="M257">
            <v>0</v>
          </cell>
          <cell r="N257">
            <v>0</v>
          </cell>
        </row>
        <row r="258">
          <cell r="E258" t="str">
            <v>PMK</v>
          </cell>
          <cell r="M258">
            <v>0</v>
          </cell>
          <cell r="N258">
            <v>0</v>
          </cell>
        </row>
        <row r="260">
          <cell r="C260" t="str">
            <v>A0178</v>
          </cell>
          <cell r="D260" t="str">
            <v>PT Astra Mitra Ventura</v>
          </cell>
          <cell r="E260" t="str">
            <v>PEB 1</v>
          </cell>
          <cell r="M260">
            <v>0</v>
          </cell>
          <cell r="N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E261" t="str">
            <v>PEB 2</v>
          </cell>
          <cell r="M261">
            <v>0</v>
          </cell>
          <cell r="N261">
            <v>0</v>
          </cell>
        </row>
        <row r="262">
          <cell r="E262" t="str">
            <v>PEB 3</v>
          </cell>
          <cell r="M262">
            <v>0</v>
          </cell>
          <cell r="N262">
            <v>0</v>
          </cell>
        </row>
        <row r="263">
          <cell r="E263" t="str">
            <v>PEB 4</v>
          </cell>
          <cell r="M263">
            <v>0</v>
          </cell>
          <cell r="N263">
            <v>0</v>
          </cell>
        </row>
        <row r="264">
          <cell r="E264" t="str">
            <v>PEB 5</v>
          </cell>
          <cell r="M264">
            <v>0</v>
          </cell>
          <cell r="N264">
            <v>0</v>
          </cell>
        </row>
        <row r="265">
          <cell r="E265" t="str">
            <v>PEB 6</v>
          </cell>
          <cell r="M265">
            <v>0</v>
          </cell>
          <cell r="N265">
            <v>0</v>
          </cell>
        </row>
        <row r="266">
          <cell r="E266" t="str">
            <v>PEB 7 / TB</v>
          </cell>
          <cell r="M266">
            <v>0</v>
          </cell>
          <cell r="N266">
            <v>0</v>
          </cell>
        </row>
        <row r="267">
          <cell r="E267" t="str">
            <v>MPP</v>
          </cell>
          <cell r="M267">
            <v>0</v>
          </cell>
          <cell r="N267">
            <v>0</v>
          </cell>
        </row>
        <row r="268">
          <cell r="E268" t="str">
            <v>ID</v>
          </cell>
          <cell r="M268">
            <v>0</v>
          </cell>
          <cell r="N268">
            <v>0</v>
          </cell>
        </row>
        <row r="269">
          <cell r="E269" t="str">
            <v>LL</v>
          </cell>
          <cell r="M269">
            <v>0</v>
          </cell>
          <cell r="N269">
            <v>0</v>
          </cell>
        </row>
        <row r="270">
          <cell r="E270" t="str">
            <v>PMK</v>
          </cell>
          <cell r="M270">
            <v>0</v>
          </cell>
          <cell r="N270">
            <v>0</v>
          </cell>
        </row>
        <row r="272">
          <cell r="C272" t="str">
            <v>A0020</v>
          </cell>
          <cell r="D272" t="str">
            <v>PT Astra Multi Finance</v>
          </cell>
          <cell r="E272" t="str">
            <v>PEB 1</v>
          </cell>
          <cell r="M272">
            <v>0</v>
          </cell>
          <cell r="N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E273" t="str">
            <v>PEB 2</v>
          </cell>
          <cell r="M273">
            <v>0</v>
          </cell>
          <cell r="N273">
            <v>0</v>
          </cell>
        </row>
        <row r="274">
          <cell r="E274" t="str">
            <v>PEB 3</v>
          </cell>
          <cell r="M274">
            <v>0</v>
          </cell>
          <cell r="N274">
            <v>0</v>
          </cell>
        </row>
        <row r="275">
          <cell r="E275" t="str">
            <v>PEB 4</v>
          </cell>
          <cell r="M275">
            <v>0</v>
          </cell>
          <cell r="N275">
            <v>0</v>
          </cell>
        </row>
        <row r="276">
          <cell r="E276" t="str">
            <v>PEB 5</v>
          </cell>
          <cell r="M276">
            <v>0</v>
          </cell>
          <cell r="N276">
            <v>0</v>
          </cell>
        </row>
        <row r="277">
          <cell r="E277" t="str">
            <v>PEB 6</v>
          </cell>
          <cell r="M277">
            <v>0</v>
          </cell>
          <cell r="N277">
            <v>0</v>
          </cell>
        </row>
        <row r="278">
          <cell r="E278" t="str">
            <v>PEB 7 / TB</v>
          </cell>
          <cell r="M278">
            <v>0</v>
          </cell>
          <cell r="N278">
            <v>0</v>
          </cell>
        </row>
        <row r="279">
          <cell r="E279" t="str">
            <v>MPP</v>
          </cell>
          <cell r="M279">
            <v>0</v>
          </cell>
          <cell r="N279">
            <v>0</v>
          </cell>
        </row>
        <row r="280">
          <cell r="E280" t="str">
            <v>ID</v>
          </cell>
          <cell r="M280">
            <v>0</v>
          </cell>
          <cell r="N280">
            <v>0</v>
          </cell>
        </row>
        <row r="281">
          <cell r="E281" t="str">
            <v>LL</v>
          </cell>
          <cell r="M281">
            <v>0</v>
          </cell>
          <cell r="N281">
            <v>0</v>
          </cell>
        </row>
        <row r="282">
          <cell r="E282" t="str">
            <v>PMK</v>
          </cell>
          <cell r="M282">
            <v>0</v>
          </cell>
          <cell r="N282">
            <v>0</v>
          </cell>
        </row>
        <row r="284">
          <cell r="C284" t="str">
            <v>A0306</v>
          </cell>
          <cell r="D284" t="str">
            <v>PT Astra Nippon Gasket Indonesia</v>
          </cell>
          <cell r="E284" t="str">
            <v>PEB 1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E285" t="str">
            <v>PEB 2</v>
          </cell>
          <cell r="M285">
            <v>0</v>
          </cell>
          <cell r="N285">
            <v>0</v>
          </cell>
        </row>
        <row r="286">
          <cell r="E286" t="str">
            <v>PEB 3</v>
          </cell>
          <cell r="M286">
            <v>0</v>
          </cell>
          <cell r="N286">
            <v>0</v>
          </cell>
        </row>
        <row r="287">
          <cell r="E287" t="str">
            <v>PEB 4</v>
          </cell>
          <cell r="M287">
            <v>0</v>
          </cell>
          <cell r="N287">
            <v>0</v>
          </cell>
        </row>
        <row r="288">
          <cell r="E288" t="str">
            <v>PEB 5</v>
          </cell>
          <cell r="M288">
            <v>0</v>
          </cell>
          <cell r="N288">
            <v>0</v>
          </cell>
        </row>
        <row r="289">
          <cell r="E289" t="str">
            <v>PEB 6</v>
          </cell>
          <cell r="M289">
            <v>0</v>
          </cell>
          <cell r="N289">
            <v>0</v>
          </cell>
        </row>
        <row r="290">
          <cell r="E290" t="str">
            <v>PEB 7 / TB</v>
          </cell>
          <cell r="M290">
            <v>0</v>
          </cell>
          <cell r="N290">
            <v>0</v>
          </cell>
        </row>
        <row r="291">
          <cell r="E291" t="str">
            <v>MPP</v>
          </cell>
          <cell r="M291">
            <v>0</v>
          </cell>
          <cell r="N291">
            <v>0</v>
          </cell>
        </row>
        <row r="292">
          <cell r="E292" t="str">
            <v>ID</v>
          </cell>
          <cell r="M292">
            <v>0</v>
          </cell>
          <cell r="N292">
            <v>0</v>
          </cell>
        </row>
        <row r="293">
          <cell r="E293" t="str">
            <v>LL</v>
          </cell>
          <cell r="M293">
            <v>0</v>
          </cell>
          <cell r="N293">
            <v>0</v>
          </cell>
        </row>
        <row r="294">
          <cell r="E294" t="str">
            <v>PMK</v>
          </cell>
          <cell r="M294">
            <v>0</v>
          </cell>
          <cell r="N294">
            <v>0</v>
          </cell>
        </row>
        <row r="296">
          <cell r="C296" t="str">
            <v>A0172</v>
          </cell>
          <cell r="D296" t="str">
            <v>PT Astra Nissan Diesel Indonesia</v>
          </cell>
          <cell r="E296" t="str">
            <v>PEB 1</v>
          </cell>
          <cell r="M296">
            <v>0</v>
          </cell>
          <cell r="N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E297" t="str">
            <v>PEB 2</v>
          </cell>
          <cell r="M297">
            <v>0</v>
          </cell>
          <cell r="N297">
            <v>0</v>
          </cell>
        </row>
        <row r="298">
          <cell r="E298" t="str">
            <v>PEB 3</v>
          </cell>
          <cell r="M298">
            <v>0</v>
          </cell>
          <cell r="N298">
            <v>0</v>
          </cell>
        </row>
        <row r="299">
          <cell r="E299" t="str">
            <v>PEB 4</v>
          </cell>
          <cell r="M299">
            <v>0</v>
          </cell>
          <cell r="N299">
            <v>0</v>
          </cell>
        </row>
        <row r="300">
          <cell r="E300" t="str">
            <v>PEB 5</v>
          </cell>
          <cell r="M300">
            <v>0</v>
          </cell>
          <cell r="N300">
            <v>0</v>
          </cell>
        </row>
        <row r="301">
          <cell r="E301" t="str">
            <v>PEB 6</v>
          </cell>
          <cell r="M301">
            <v>0</v>
          </cell>
          <cell r="N301">
            <v>0</v>
          </cell>
        </row>
        <row r="302">
          <cell r="E302" t="str">
            <v>PEB 7 / TB</v>
          </cell>
          <cell r="M302">
            <v>0</v>
          </cell>
          <cell r="N302">
            <v>0</v>
          </cell>
        </row>
        <row r="303">
          <cell r="E303" t="str">
            <v>MPP</v>
          </cell>
          <cell r="M303">
            <v>0</v>
          </cell>
          <cell r="N303">
            <v>0</v>
          </cell>
        </row>
        <row r="304">
          <cell r="E304" t="str">
            <v>ID</v>
          </cell>
          <cell r="M304">
            <v>0</v>
          </cell>
          <cell r="N304">
            <v>0</v>
          </cell>
        </row>
        <row r="305">
          <cell r="E305" t="str">
            <v>LL</v>
          </cell>
          <cell r="M305">
            <v>0</v>
          </cell>
          <cell r="N305">
            <v>0</v>
          </cell>
        </row>
        <row r="306">
          <cell r="E306" t="str">
            <v>PMK</v>
          </cell>
          <cell r="M306">
            <v>0</v>
          </cell>
          <cell r="N306">
            <v>0</v>
          </cell>
        </row>
        <row r="308">
          <cell r="C308" t="str">
            <v>A0317</v>
          </cell>
          <cell r="D308" t="str">
            <v>PT Astra Otoparts Tbk - HO</v>
          </cell>
          <cell r="E308" t="str">
            <v>PEB 1</v>
          </cell>
          <cell r="M308">
            <v>0</v>
          </cell>
          <cell r="N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9689403.3654200993</v>
          </cell>
          <cell r="AL308">
            <v>3011926.2770000002</v>
          </cell>
        </row>
        <row r="309">
          <cell r="E309" t="str">
            <v>PEB 2</v>
          </cell>
          <cell r="M309">
            <v>0</v>
          </cell>
          <cell r="N309">
            <v>0</v>
          </cell>
        </row>
        <row r="310">
          <cell r="E310" t="str">
            <v>PEB 3</v>
          </cell>
          <cell r="M310">
            <v>0</v>
          </cell>
          <cell r="N310">
            <v>0</v>
          </cell>
        </row>
        <row r="311">
          <cell r="E311" t="str">
            <v>PEB 4</v>
          </cell>
          <cell r="M311">
            <v>0</v>
          </cell>
          <cell r="N311">
            <v>0</v>
          </cell>
        </row>
        <row r="312">
          <cell r="E312" t="str">
            <v>PEB 5</v>
          </cell>
          <cell r="M312">
            <v>0</v>
          </cell>
          <cell r="N312">
            <v>0</v>
          </cell>
        </row>
        <row r="313">
          <cell r="E313" t="str">
            <v>PEB 6</v>
          </cell>
          <cell r="M313">
            <v>0</v>
          </cell>
          <cell r="N313">
            <v>0</v>
          </cell>
        </row>
        <row r="314">
          <cell r="E314" t="str">
            <v>PEB 7 / TB</v>
          </cell>
          <cell r="M314">
            <v>0</v>
          </cell>
          <cell r="N314">
            <v>0</v>
          </cell>
        </row>
        <row r="315">
          <cell r="E315" t="str">
            <v>MPP</v>
          </cell>
          <cell r="M315">
            <v>0</v>
          </cell>
          <cell r="N315">
            <v>0</v>
          </cell>
        </row>
        <row r="316">
          <cell r="E316" t="str">
            <v>ID</v>
          </cell>
          <cell r="M316">
            <v>0</v>
          </cell>
          <cell r="N316">
            <v>0</v>
          </cell>
        </row>
        <row r="317">
          <cell r="E317" t="str">
            <v>LL</v>
          </cell>
          <cell r="M317">
            <v>0</v>
          </cell>
          <cell r="N317">
            <v>0</v>
          </cell>
        </row>
        <row r="318">
          <cell r="E318" t="str">
            <v>PMK</v>
          </cell>
          <cell r="M318">
            <v>0</v>
          </cell>
          <cell r="N318">
            <v>0</v>
          </cell>
        </row>
        <row r="320">
          <cell r="C320" t="str">
            <v>Nm</v>
          </cell>
          <cell r="D320" t="str">
            <v>PT Astra Otoparts Tbk - Div. Nusametal</v>
          </cell>
          <cell r="E320" t="str">
            <v>PEB 1</v>
          </cell>
          <cell r="M320">
            <v>0</v>
          </cell>
          <cell r="N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E321" t="str">
            <v>PEB 2</v>
          </cell>
          <cell r="M321">
            <v>0</v>
          </cell>
          <cell r="N321">
            <v>0</v>
          </cell>
        </row>
        <row r="322">
          <cell r="E322" t="str">
            <v>PEB 3</v>
          </cell>
          <cell r="M322">
            <v>0</v>
          </cell>
          <cell r="N322">
            <v>0</v>
          </cell>
        </row>
        <row r="323">
          <cell r="E323" t="str">
            <v>PEB 4</v>
          </cell>
          <cell r="M323">
            <v>0</v>
          </cell>
          <cell r="N323">
            <v>0</v>
          </cell>
        </row>
        <row r="324">
          <cell r="E324" t="str">
            <v>PEB 5</v>
          </cell>
          <cell r="M324">
            <v>0</v>
          </cell>
          <cell r="N324">
            <v>0</v>
          </cell>
        </row>
        <row r="325">
          <cell r="E325" t="str">
            <v>PEB 6</v>
          </cell>
          <cell r="M325">
            <v>0</v>
          </cell>
          <cell r="N325">
            <v>0</v>
          </cell>
        </row>
        <row r="326">
          <cell r="E326" t="str">
            <v>PEB 7 / TB</v>
          </cell>
          <cell r="M326">
            <v>0</v>
          </cell>
          <cell r="N326">
            <v>0</v>
          </cell>
        </row>
        <row r="327">
          <cell r="E327" t="str">
            <v>MPP</v>
          </cell>
          <cell r="M327">
            <v>0</v>
          </cell>
          <cell r="N327">
            <v>0</v>
          </cell>
        </row>
        <row r="328">
          <cell r="E328" t="str">
            <v>ID</v>
          </cell>
          <cell r="M328">
            <v>0</v>
          </cell>
          <cell r="N328">
            <v>0</v>
          </cell>
        </row>
        <row r="329">
          <cell r="E329" t="str">
            <v>LL</v>
          </cell>
          <cell r="M329">
            <v>0</v>
          </cell>
          <cell r="N329">
            <v>0</v>
          </cell>
        </row>
        <row r="330">
          <cell r="E330" t="str">
            <v>PMK</v>
          </cell>
          <cell r="M330">
            <v>0</v>
          </cell>
          <cell r="N330">
            <v>0</v>
          </cell>
        </row>
        <row r="332">
          <cell r="C332" t="str">
            <v>Ap</v>
          </cell>
          <cell r="D332" t="str">
            <v>PT Astra Otoparts Tbk - Div. Adiwira</v>
          </cell>
          <cell r="E332" t="str">
            <v>PEB 1</v>
          </cell>
          <cell r="M332">
            <v>0</v>
          </cell>
          <cell r="N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</row>
        <row r="333">
          <cell r="E333" t="str">
            <v>PEB 2</v>
          </cell>
          <cell r="M333">
            <v>0</v>
          </cell>
          <cell r="N333">
            <v>0</v>
          </cell>
        </row>
        <row r="334">
          <cell r="E334" t="str">
            <v>PEB 3</v>
          </cell>
          <cell r="M334">
            <v>0</v>
          </cell>
          <cell r="N334">
            <v>0</v>
          </cell>
        </row>
        <row r="335">
          <cell r="E335" t="str">
            <v>PEB 4</v>
          </cell>
          <cell r="M335">
            <v>0</v>
          </cell>
          <cell r="N335">
            <v>0</v>
          </cell>
        </row>
        <row r="336">
          <cell r="E336" t="str">
            <v>PEB 5</v>
          </cell>
          <cell r="M336">
            <v>0</v>
          </cell>
          <cell r="N336">
            <v>0</v>
          </cell>
        </row>
        <row r="337">
          <cell r="E337" t="str">
            <v>PEB 6</v>
          </cell>
          <cell r="M337">
            <v>0</v>
          </cell>
          <cell r="N337">
            <v>0</v>
          </cell>
        </row>
        <row r="338">
          <cell r="E338" t="str">
            <v>PEB 7 / TB</v>
          </cell>
          <cell r="M338">
            <v>0</v>
          </cell>
          <cell r="N338">
            <v>0</v>
          </cell>
        </row>
        <row r="339">
          <cell r="E339" t="str">
            <v>MPP</v>
          </cell>
          <cell r="M339">
            <v>0</v>
          </cell>
          <cell r="N339">
            <v>0</v>
          </cell>
        </row>
        <row r="340">
          <cell r="E340" t="str">
            <v>ID</v>
          </cell>
          <cell r="M340">
            <v>0</v>
          </cell>
          <cell r="N340">
            <v>0</v>
          </cell>
        </row>
        <row r="341">
          <cell r="E341" t="str">
            <v>LL</v>
          </cell>
          <cell r="M341">
            <v>0</v>
          </cell>
          <cell r="N341">
            <v>0</v>
          </cell>
        </row>
        <row r="342">
          <cell r="E342" t="str">
            <v>PMK</v>
          </cell>
          <cell r="M342">
            <v>0</v>
          </cell>
          <cell r="N342">
            <v>0</v>
          </cell>
        </row>
        <row r="344">
          <cell r="C344" t="str">
            <v>We</v>
          </cell>
          <cell r="D344" t="str">
            <v>PT Astra Otoparts Tbk - Div. Winteq</v>
          </cell>
          <cell r="E344" t="str">
            <v>PEB 1</v>
          </cell>
          <cell r="M344">
            <v>0</v>
          </cell>
          <cell r="N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L344">
            <v>174368.758</v>
          </cell>
        </row>
        <row r="345">
          <cell r="E345" t="str">
            <v>PEB 2</v>
          </cell>
          <cell r="M345">
            <v>0</v>
          </cell>
          <cell r="N345">
            <v>0</v>
          </cell>
        </row>
        <row r="346">
          <cell r="E346" t="str">
            <v>PEB 3</v>
          </cell>
          <cell r="M346">
            <v>0</v>
          </cell>
          <cell r="N346">
            <v>0</v>
          </cell>
        </row>
        <row r="347">
          <cell r="E347" t="str">
            <v>PEB 4</v>
          </cell>
          <cell r="M347">
            <v>0</v>
          </cell>
          <cell r="N347">
            <v>0</v>
          </cell>
        </row>
        <row r="348">
          <cell r="E348" t="str">
            <v>PEB 5</v>
          </cell>
          <cell r="M348">
            <v>0</v>
          </cell>
          <cell r="N348">
            <v>0</v>
          </cell>
        </row>
        <row r="349">
          <cell r="E349" t="str">
            <v>PEB 6</v>
          </cell>
          <cell r="M349">
            <v>0</v>
          </cell>
          <cell r="N349">
            <v>0</v>
          </cell>
        </row>
        <row r="350">
          <cell r="E350" t="str">
            <v>PEB 7 / TB</v>
          </cell>
          <cell r="M350">
            <v>0</v>
          </cell>
          <cell r="N350">
            <v>0</v>
          </cell>
        </row>
        <row r="351">
          <cell r="E351" t="str">
            <v>MPP</v>
          </cell>
          <cell r="M351">
            <v>0</v>
          </cell>
          <cell r="N351">
            <v>0</v>
          </cell>
        </row>
        <row r="352">
          <cell r="E352" t="str">
            <v>ID</v>
          </cell>
          <cell r="M352">
            <v>0</v>
          </cell>
          <cell r="N352">
            <v>0</v>
          </cell>
        </row>
        <row r="353">
          <cell r="E353" t="str">
            <v>LL</v>
          </cell>
          <cell r="M353">
            <v>0</v>
          </cell>
          <cell r="N353">
            <v>0</v>
          </cell>
        </row>
        <row r="354">
          <cell r="E354" t="str">
            <v>PMK</v>
          </cell>
          <cell r="M354">
            <v>0</v>
          </cell>
          <cell r="N354">
            <v>0</v>
          </cell>
        </row>
        <row r="356">
          <cell r="C356" t="str">
            <v>A0024</v>
          </cell>
          <cell r="D356" t="str">
            <v>PT Astra Sedaya Finance</v>
          </cell>
          <cell r="E356" t="str">
            <v>PEB 1</v>
          </cell>
          <cell r="M356">
            <v>0</v>
          </cell>
          <cell r="N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K356">
            <v>666653.82563480246</v>
          </cell>
        </row>
        <row r="357">
          <cell r="E357" t="str">
            <v>PEB 2</v>
          </cell>
          <cell r="M357">
            <v>0</v>
          </cell>
          <cell r="N357">
            <v>0</v>
          </cell>
        </row>
        <row r="358">
          <cell r="E358" t="str">
            <v>PEB 3</v>
          </cell>
          <cell r="M358">
            <v>0</v>
          </cell>
          <cell r="N358">
            <v>0</v>
          </cell>
        </row>
        <row r="359">
          <cell r="E359" t="str">
            <v>PEB 4</v>
          </cell>
          <cell r="M359">
            <v>0</v>
          </cell>
          <cell r="N359">
            <v>0</v>
          </cell>
        </row>
        <row r="360">
          <cell r="E360" t="str">
            <v>PEB 5</v>
          </cell>
          <cell r="M360">
            <v>0</v>
          </cell>
          <cell r="N360">
            <v>0</v>
          </cell>
        </row>
        <row r="361">
          <cell r="E361" t="str">
            <v>PEB 6</v>
          </cell>
          <cell r="M361">
            <v>0</v>
          </cell>
          <cell r="N361">
            <v>0</v>
          </cell>
        </row>
        <row r="362">
          <cell r="E362" t="str">
            <v>PEB 7 / TB</v>
          </cell>
          <cell r="M362">
            <v>0</v>
          </cell>
          <cell r="N362">
            <v>0</v>
          </cell>
        </row>
        <row r="363">
          <cell r="E363" t="str">
            <v>MPP</v>
          </cell>
          <cell r="M363">
            <v>0</v>
          </cell>
          <cell r="N363">
            <v>0</v>
          </cell>
        </row>
        <row r="364">
          <cell r="E364" t="str">
            <v>ID</v>
          </cell>
          <cell r="M364">
            <v>0</v>
          </cell>
          <cell r="N364">
            <v>0</v>
          </cell>
        </row>
        <row r="365">
          <cell r="E365" t="str">
            <v>LL</v>
          </cell>
          <cell r="M365">
            <v>0</v>
          </cell>
          <cell r="N365">
            <v>0</v>
          </cell>
        </row>
        <row r="366">
          <cell r="E366" t="str">
            <v>PMK</v>
          </cell>
          <cell r="M366">
            <v>0</v>
          </cell>
          <cell r="N366">
            <v>0</v>
          </cell>
        </row>
        <row r="368">
          <cell r="C368" t="str">
            <v>A0224</v>
          </cell>
          <cell r="D368" t="str">
            <v>PT Astratel Nusantara</v>
          </cell>
          <cell r="E368" t="str">
            <v>PEB 1</v>
          </cell>
          <cell r="M368">
            <v>0</v>
          </cell>
          <cell r="N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E369" t="str">
            <v>PEB 2</v>
          </cell>
          <cell r="M369">
            <v>0</v>
          </cell>
          <cell r="N369">
            <v>0</v>
          </cell>
        </row>
        <row r="370">
          <cell r="E370" t="str">
            <v>PEB 3</v>
          </cell>
          <cell r="M370">
            <v>0</v>
          </cell>
          <cell r="N370">
            <v>0</v>
          </cell>
        </row>
        <row r="371">
          <cell r="E371" t="str">
            <v>PEB 4</v>
          </cell>
          <cell r="M371">
            <v>0</v>
          </cell>
          <cell r="N371">
            <v>0</v>
          </cell>
        </row>
        <row r="372">
          <cell r="E372" t="str">
            <v>PEB 5</v>
          </cell>
          <cell r="M372">
            <v>0</v>
          </cell>
          <cell r="N372">
            <v>0</v>
          </cell>
        </row>
        <row r="373">
          <cell r="E373" t="str">
            <v>PEB 6</v>
          </cell>
          <cell r="M373">
            <v>0</v>
          </cell>
          <cell r="N373">
            <v>0</v>
          </cell>
        </row>
        <row r="374">
          <cell r="E374" t="str">
            <v>PEB 7 / TB</v>
          </cell>
          <cell r="M374">
            <v>0</v>
          </cell>
          <cell r="N374">
            <v>0</v>
          </cell>
        </row>
        <row r="375">
          <cell r="E375" t="str">
            <v>MPP</v>
          </cell>
          <cell r="M375">
            <v>0</v>
          </cell>
          <cell r="N375">
            <v>0</v>
          </cell>
        </row>
        <row r="376">
          <cell r="E376" t="str">
            <v>ID</v>
          </cell>
          <cell r="M376">
            <v>0</v>
          </cell>
          <cell r="N376">
            <v>0</v>
          </cell>
        </row>
        <row r="377">
          <cell r="E377" t="str">
            <v>LL</v>
          </cell>
          <cell r="M377">
            <v>0</v>
          </cell>
          <cell r="N377">
            <v>0</v>
          </cell>
        </row>
        <row r="378">
          <cell r="E378" t="str">
            <v>PMK</v>
          </cell>
          <cell r="M378">
            <v>0</v>
          </cell>
          <cell r="N378">
            <v>0</v>
          </cell>
        </row>
        <row r="380">
          <cell r="C380" t="str">
            <v>A0026</v>
          </cell>
          <cell r="D380" t="str">
            <v>PT Asuransi Astra Buana</v>
          </cell>
          <cell r="E380" t="str">
            <v>PEB 1</v>
          </cell>
          <cell r="M380">
            <v>0</v>
          </cell>
          <cell r="N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E381" t="str">
            <v>PEB 2</v>
          </cell>
          <cell r="M381">
            <v>0</v>
          </cell>
          <cell r="N381">
            <v>0</v>
          </cell>
        </row>
        <row r="382">
          <cell r="E382" t="str">
            <v>PEB 3</v>
          </cell>
          <cell r="M382">
            <v>0</v>
          </cell>
          <cell r="N382">
            <v>0</v>
          </cell>
        </row>
        <row r="383">
          <cell r="E383" t="str">
            <v>PEB 4</v>
          </cell>
          <cell r="M383">
            <v>0</v>
          </cell>
          <cell r="N383">
            <v>0</v>
          </cell>
        </row>
        <row r="384">
          <cell r="E384" t="str">
            <v>PEB 5</v>
          </cell>
          <cell r="M384">
            <v>0</v>
          </cell>
          <cell r="N384">
            <v>0</v>
          </cell>
        </row>
        <row r="385">
          <cell r="E385" t="str">
            <v>PEB 6</v>
          </cell>
          <cell r="M385">
            <v>0</v>
          </cell>
          <cell r="N385">
            <v>0</v>
          </cell>
        </row>
        <row r="386">
          <cell r="E386" t="str">
            <v>PEB 7 / TB</v>
          </cell>
          <cell r="M386">
            <v>0</v>
          </cell>
          <cell r="N386">
            <v>0</v>
          </cell>
        </row>
        <row r="387">
          <cell r="E387" t="str">
            <v>MPP</v>
          </cell>
          <cell r="M387">
            <v>0</v>
          </cell>
          <cell r="N387">
            <v>0</v>
          </cell>
        </row>
        <row r="388">
          <cell r="E388" t="str">
            <v>ID</v>
          </cell>
          <cell r="M388">
            <v>0</v>
          </cell>
          <cell r="N388">
            <v>0</v>
          </cell>
        </row>
        <row r="389">
          <cell r="E389" t="str">
            <v>LL</v>
          </cell>
          <cell r="M389">
            <v>0</v>
          </cell>
          <cell r="N389">
            <v>0</v>
          </cell>
        </row>
        <row r="390">
          <cell r="E390" t="str">
            <v>PMK</v>
          </cell>
          <cell r="M390">
            <v>0</v>
          </cell>
          <cell r="N390">
            <v>0</v>
          </cell>
        </row>
        <row r="392">
          <cell r="C392" t="str">
            <v>A0038</v>
          </cell>
          <cell r="D392" t="str">
            <v>PT AT Indonesia</v>
          </cell>
          <cell r="E392" t="str">
            <v>PEB 1</v>
          </cell>
          <cell r="M392">
            <v>0</v>
          </cell>
          <cell r="N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E393" t="str">
            <v>PEB 2</v>
          </cell>
          <cell r="M393">
            <v>0</v>
          </cell>
          <cell r="N393">
            <v>0</v>
          </cell>
        </row>
        <row r="394">
          <cell r="E394" t="str">
            <v>PEB 3</v>
          </cell>
          <cell r="M394">
            <v>0</v>
          </cell>
          <cell r="N394">
            <v>0</v>
          </cell>
        </row>
        <row r="395">
          <cell r="E395" t="str">
            <v>PEB 4</v>
          </cell>
          <cell r="M395">
            <v>0</v>
          </cell>
          <cell r="N395">
            <v>0</v>
          </cell>
        </row>
        <row r="396">
          <cell r="E396" t="str">
            <v>PEB 5</v>
          </cell>
          <cell r="M396">
            <v>0</v>
          </cell>
          <cell r="N396">
            <v>0</v>
          </cell>
        </row>
        <row r="397">
          <cell r="E397" t="str">
            <v>PEB 6</v>
          </cell>
          <cell r="M397">
            <v>0</v>
          </cell>
          <cell r="N397">
            <v>0</v>
          </cell>
        </row>
        <row r="398">
          <cell r="E398" t="str">
            <v>PEB 7 / TB</v>
          </cell>
          <cell r="M398">
            <v>0</v>
          </cell>
          <cell r="N398">
            <v>0</v>
          </cell>
        </row>
        <row r="399">
          <cell r="E399" t="str">
            <v>MPP</v>
          </cell>
          <cell r="M399">
            <v>0</v>
          </cell>
          <cell r="N399">
            <v>0</v>
          </cell>
        </row>
        <row r="400">
          <cell r="E400" t="str">
            <v>ID</v>
          </cell>
          <cell r="M400">
            <v>0</v>
          </cell>
          <cell r="N400">
            <v>0</v>
          </cell>
        </row>
        <row r="401">
          <cell r="E401" t="str">
            <v>LL</v>
          </cell>
          <cell r="M401">
            <v>0</v>
          </cell>
          <cell r="N401">
            <v>0</v>
          </cell>
        </row>
        <row r="402">
          <cell r="E402" t="str">
            <v>PMK</v>
          </cell>
          <cell r="M402">
            <v>0</v>
          </cell>
          <cell r="N402">
            <v>0</v>
          </cell>
        </row>
        <row r="404">
          <cell r="C404" t="str">
            <v>A0331</v>
          </cell>
          <cell r="D404" t="str">
            <v>PT Bhadra Cemerlang</v>
          </cell>
          <cell r="E404" t="str">
            <v>PEB 1</v>
          </cell>
          <cell r="M404">
            <v>0</v>
          </cell>
          <cell r="N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E405" t="str">
            <v>PEB 2</v>
          </cell>
          <cell r="M405">
            <v>0</v>
          </cell>
          <cell r="N405">
            <v>0</v>
          </cell>
        </row>
        <row r="406">
          <cell r="E406" t="str">
            <v>PEB 3</v>
          </cell>
          <cell r="M406">
            <v>0</v>
          </cell>
          <cell r="N406">
            <v>0</v>
          </cell>
        </row>
        <row r="407">
          <cell r="E407" t="str">
            <v>PEB 4</v>
          </cell>
          <cell r="M407">
            <v>0</v>
          </cell>
          <cell r="N407">
            <v>0</v>
          </cell>
        </row>
        <row r="408">
          <cell r="E408" t="str">
            <v>PEB 5</v>
          </cell>
          <cell r="M408">
            <v>0</v>
          </cell>
          <cell r="N408">
            <v>0</v>
          </cell>
        </row>
        <row r="409">
          <cell r="E409" t="str">
            <v>PEB 6</v>
          </cell>
          <cell r="M409">
            <v>0</v>
          </cell>
          <cell r="N409">
            <v>0</v>
          </cell>
        </row>
        <row r="410">
          <cell r="E410" t="str">
            <v>PEB 7 / TB</v>
          </cell>
          <cell r="M410">
            <v>0</v>
          </cell>
          <cell r="N410">
            <v>0</v>
          </cell>
        </row>
        <row r="411">
          <cell r="E411" t="str">
            <v>MPP</v>
          </cell>
          <cell r="M411">
            <v>0</v>
          </cell>
          <cell r="N411">
            <v>0</v>
          </cell>
        </row>
        <row r="412">
          <cell r="E412" t="str">
            <v>ID</v>
          </cell>
          <cell r="M412">
            <v>0</v>
          </cell>
          <cell r="N412">
            <v>0</v>
          </cell>
        </row>
        <row r="413">
          <cell r="E413" t="str">
            <v>LL</v>
          </cell>
          <cell r="M413">
            <v>0</v>
          </cell>
          <cell r="N413">
            <v>0</v>
          </cell>
        </row>
        <row r="414">
          <cell r="E414" t="str">
            <v>PMK</v>
          </cell>
          <cell r="M414">
            <v>0</v>
          </cell>
          <cell r="N414">
            <v>0</v>
          </cell>
        </row>
        <row r="416">
          <cell r="C416" t="str">
            <v>A0398</v>
          </cell>
          <cell r="D416" t="str">
            <v>PT Bhadra Sukses</v>
          </cell>
          <cell r="E416" t="str">
            <v>PEB 1</v>
          </cell>
          <cell r="M416">
            <v>0</v>
          </cell>
          <cell r="N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E417" t="str">
            <v>PEB 2</v>
          </cell>
          <cell r="M417">
            <v>0</v>
          </cell>
          <cell r="N417">
            <v>0</v>
          </cell>
        </row>
        <row r="418">
          <cell r="E418" t="str">
            <v>PEB 3</v>
          </cell>
          <cell r="M418">
            <v>0</v>
          </cell>
          <cell r="N418">
            <v>0</v>
          </cell>
        </row>
        <row r="419">
          <cell r="E419" t="str">
            <v>PEB 4</v>
          </cell>
          <cell r="M419">
            <v>0</v>
          </cell>
          <cell r="N419">
            <v>0</v>
          </cell>
        </row>
        <row r="420">
          <cell r="E420" t="str">
            <v>PEB 5</v>
          </cell>
          <cell r="M420">
            <v>0</v>
          </cell>
          <cell r="N420">
            <v>0</v>
          </cell>
        </row>
        <row r="421">
          <cell r="E421" t="str">
            <v>PEB 6</v>
          </cell>
          <cell r="M421">
            <v>0</v>
          </cell>
          <cell r="N421">
            <v>0</v>
          </cell>
        </row>
        <row r="422">
          <cell r="E422" t="str">
            <v>PEB 7 / TB</v>
          </cell>
          <cell r="M422">
            <v>0</v>
          </cell>
          <cell r="N422">
            <v>0</v>
          </cell>
        </row>
        <row r="423">
          <cell r="E423" t="str">
            <v>MPP</v>
          </cell>
          <cell r="M423">
            <v>0</v>
          </cell>
          <cell r="N423">
            <v>0</v>
          </cell>
        </row>
        <row r="424">
          <cell r="E424" t="str">
            <v>ID</v>
          </cell>
          <cell r="M424">
            <v>0</v>
          </cell>
          <cell r="N424">
            <v>0</v>
          </cell>
        </row>
        <row r="425">
          <cell r="E425" t="str">
            <v>LL</v>
          </cell>
          <cell r="M425">
            <v>0</v>
          </cell>
          <cell r="N425">
            <v>0</v>
          </cell>
        </row>
        <row r="426">
          <cell r="E426" t="str">
            <v>PMK</v>
          </cell>
          <cell r="M426">
            <v>0</v>
          </cell>
          <cell r="N426">
            <v>0</v>
          </cell>
        </row>
        <row r="428">
          <cell r="C428" t="str">
            <v>A0210</v>
          </cell>
          <cell r="D428" t="str">
            <v>PT Bina Pertiwi</v>
          </cell>
          <cell r="E428" t="str">
            <v>PEB 1</v>
          </cell>
          <cell r="M428">
            <v>0</v>
          </cell>
          <cell r="N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442644.9</v>
          </cell>
          <cell r="AL428">
            <v>295788.12300000002</v>
          </cell>
        </row>
        <row r="429">
          <cell r="E429" t="str">
            <v>PEB 2</v>
          </cell>
          <cell r="M429">
            <v>0</v>
          </cell>
          <cell r="N429">
            <v>0</v>
          </cell>
        </row>
        <row r="430">
          <cell r="E430" t="str">
            <v>PEB 3</v>
          </cell>
          <cell r="M430">
            <v>0</v>
          </cell>
          <cell r="N430">
            <v>0</v>
          </cell>
        </row>
        <row r="431">
          <cell r="E431" t="str">
            <v>PEB 4</v>
          </cell>
          <cell r="M431">
            <v>0</v>
          </cell>
          <cell r="N431">
            <v>0</v>
          </cell>
        </row>
        <row r="432">
          <cell r="E432" t="str">
            <v>PEB 5</v>
          </cell>
          <cell r="M432">
            <v>0</v>
          </cell>
          <cell r="N432">
            <v>0</v>
          </cell>
        </row>
        <row r="433">
          <cell r="E433" t="str">
            <v>PEB 6</v>
          </cell>
          <cell r="M433">
            <v>0</v>
          </cell>
          <cell r="N433">
            <v>0</v>
          </cell>
        </row>
        <row r="434">
          <cell r="E434" t="str">
            <v>PEB 7 / TB</v>
          </cell>
          <cell r="M434">
            <v>0</v>
          </cell>
          <cell r="N434">
            <v>0</v>
          </cell>
        </row>
        <row r="435">
          <cell r="E435" t="str">
            <v>MPP</v>
          </cell>
          <cell r="M435">
            <v>0</v>
          </cell>
          <cell r="N435">
            <v>0</v>
          </cell>
        </row>
        <row r="436">
          <cell r="E436" t="str">
            <v>ID</v>
          </cell>
          <cell r="M436">
            <v>0</v>
          </cell>
          <cell r="N436">
            <v>0</v>
          </cell>
        </row>
        <row r="437">
          <cell r="E437" t="str">
            <v>LL</v>
          </cell>
          <cell r="M437">
            <v>0</v>
          </cell>
          <cell r="N437">
            <v>0</v>
          </cell>
        </row>
        <row r="438">
          <cell r="E438" t="str">
            <v>PMK</v>
          </cell>
          <cell r="M438">
            <v>0</v>
          </cell>
          <cell r="N438">
            <v>0</v>
          </cell>
        </row>
        <row r="440">
          <cell r="C440" t="str">
            <v>A0415</v>
          </cell>
          <cell r="D440" t="str">
            <v>PT Borneo Indah Marjaya</v>
          </cell>
          <cell r="E440" t="str">
            <v>PEB 1</v>
          </cell>
          <cell r="M440">
            <v>0</v>
          </cell>
          <cell r="N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</row>
        <row r="441">
          <cell r="E441" t="str">
            <v>PEB 2</v>
          </cell>
          <cell r="M441">
            <v>0</v>
          </cell>
          <cell r="N441">
            <v>0</v>
          </cell>
        </row>
        <row r="442">
          <cell r="E442" t="str">
            <v>PEB 3</v>
          </cell>
          <cell r="M442">
            <v>0</v>
          </cell>
          <cell r="N442">
            <v>0</v>
          </cell>
        </row>
        <row r="443">
          <cell r="E443" t="str">
            <v>PEB 4</v>
          </cell>
          <cell r="M443">
            <v>0</v>
          </cell>
          <cell r="N443">
            <v>0</v>
          </cell>
        </row>
        <row r="444">
          <cell r="E444" t="str">
            <v>PEB 5</v>
          </cell>
          <cell r="M444">
            <v>0</v>
          </cell>
          <cell r="N444">
            <v>0</v>
          </cell>
        </row>
        <row r="445">
          <cell r="E445" t="str">
            <v>PEB 6</v>
          </cell>
          <cell r="M445">
            <v>0</v>
          </cell>
          <cell r="N445">
            <v>0</v>
          </cell>
        </row>
        <row r="446">
          <cell r="E446" t="str">
            <v>PEB 7 / TB</v>
          </cell>
          <cell r="M446">
            <v>0</v>
          </cell>
          <cell r="N446">
            <v>0</v>
          </cell>
        </row>
        <row r="447">
          <cell r="E447" t="str">
            <v>MPP</v>
          </cell>
          <cell r="M447">
            <v>0</v>
          </cell>
          <cell r="N447">
            <v>0</v>
          </cell>
        </row>
        <row r="448">
          <cell r="E448" t="str">
            <v>ID</v>
          </cell>
          <cell r="M448">
            <v>0</v>
          </cell>
          <cell r="N448">
            <v>0</v>
          </cell>
        </row>
        <row r="449">
          <cell r="E449" t="str">
            <v>LL</v>
          </cell>
          <cell r="M449">
            <v>0</v>
          </cell>
          <cell r="N449">
            <v>0</v>
          </cell>
        </row>
        <row r="450">
          <cell r="E450" t="str">
            <v>PMK</v>
          </cell>
          <cell r="M450">
            <v>0</v>
          </cell>
          <cell r="N450">
            <v>0</v>
          </cell>
        </row>
        <row r="452">
          <cell r="C452" t="str">
            <v>A0232</v>
          </cell>
          <cell r="D452" t="str">
            <v>PT Brahmayasa Bahtera</v>
          </cell>
          <cell r="E452" t="str">
            <v>PEB 1</v>
          </cell>
          <cell r="M452">
            <v>0</v>
          </cell>
          <cell r="N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E453" t="str">
            <v>PEB 2</v>
          </cell>
          <cell r="M453">
            <v>0</v>
          </cell>
          <cell r="N453">
            <v>0</v>
          </cell>
        </row>
        <row r="454">
          <cell r="E454" t="str">
            <v>PEB 3</v>
          </cell>
          <cell r="M454">
            <v>0</v>
          </cell>
          <cell r="N454">
            <v>0</v>
          </cell>
        </row>
        <row r="455">
          <cell r="E455" t="str">
            <v>PEB 4</v>
          </cell>
          <cell r="M455">
            <v>0</v>
          </cell>
          <cell r="N455">
            <v>0</v>
          </cell>
        </row>
        <row r="456">
          <cell r="E456" t="str">
            <v>PEB 5</v>
          </cell>
          <cell r="M456">
            <v>0</v>
          </cell>
          <cell r="N456">
            <v>0</v>
          </cell>
        </row>
        <row r="457">
          <cell r="E457" t="str">
            <v>PEB 6</v>
          </cell>
          <cell r="M457">
            <v>0</v>
          </cell>
          <cell r="N457">
            <v>0</v>
          </cell>
        </row>
        <row r="458">
          <cell r="E458" t="str">
            <v>PEB 7 / TB</v>
          </cell>
          <cell r="M458">
            <v>0</v>
          </cell>
          <cell r="N458">
            <v>0</v>
          </cell>
        </row>
        <row r="459">
          <cell r="E459" t="str">
            <v>MPP</v>
          </cell>
          <cell r="M459">
            <v>0</v>
          </cell>
          <cell r="N459">
            <v>0</v>
          </cell>
        </row>
        <row r="460">
          <cell r="E460" t="str">
            <v>ID</v>
          </cell>
          <cell r="M460">
            <v>0</v>
          </cell>
          <cell r="N460">
            <v>0</v>
          </cell>
        </row>
        <row r="461">
          <cell r="E461" t="str">
            <v>LL</v>
          </cell>
          <cell r="M461">
            <v>0</v>
          </cell>
          <cell r="N461">
            <v>0</v>
          </cell>
        </row>
        <row r="462">
          <cell r="E462" t="str">
            <v>PMK</v>
          </cell>
          <cell r="M462">
            <v>0</v>
          </cell>
          <cell r="N462">
            <v>0</v>
          </cell>
        </row>
        <row r="464">
          <cell r="C464" t="str">
            <v>A0248</v>
          </cell>
          <cell r="D464" t="str">
            <v>PT Cakradenta Agung Pertiwi</v>
          </cell>
          <cell r="E464" t="str">
            <v>PEB 1</v>
          </cell>
          <cell r="M464">
            <v>0</v>
          </cell>
          <cell r="N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E465" t="str">
            <v>PEB 2</v>
          </cell>
          <cell r="M465">
            <v>0</v>
          </cell>
          <cell r="N465">
            <v>0</v>
          </cell>
        </row>
        <row r="466">
          <cell r="E466" t="str">
            <v>PEB 3</v>
          </cell>
          <cell r="M466">
            <v>0</v>
          </cell>
          <cell r="N466">
            <v>0</v>
          </cell>
        </row>
        <row r="467">
          <cell r="E467" t="str">
            <v>PEB 4</v>
          </cell>
          <cell r="M467">
            <v>0</v>
          </cell>
          <cell r="N467">
            <v>0</v>
          </cell>
        </row>
        <row r="468">
          <cell r="E468" t="str">
            <v>PEB 5</v>
          </cell>
          <cell r="M468">
            <v>0</v>
          </cell>
          <cell r="N468">
            <v>0</v>
          </cell>
        </row>
        <row r="469">
          <cell r="E469" t="str">
            <v>PEB 6</v>
          </cell>
          <cell r="M469">
            <v>0</v>
          </cell>
          <cell r="N469">
            <v>0</v>
          </cell>
        </row>
        <row r="470">
          <cell r="E470" t="str">
            <v>PEB 7 / TB</v>
          </cell>
          <cell r="M470">
            <v>0</v>
          </cell>
          <cell r="N470">
            <v>0</v>
          </cell>
        </row>
        <row r="471">
          <cell r="E471" t="str">
            <v>MPP</v>
          </cell>
          <cell r="M471">
            <v>0</v>
          </cell>
          <cell r="N471">
            <v>0</v>
          </cell>
        </row>
        <row r="472">
          <cell r="E472" t="str">
            <v>ID</v>
          </cell>
          <cell r="M472">
            <v>0</v>
          </cell>
          <cell r="N472">
            <v>0</v>
          </cell>
        </row>
        <row r="473">
          <cell r="E473" t="str">
            <v>LL</v>
          </cell>
          <cell r="M473">
            <v>0</v>
          </cell>
          <cell r="N473">
            <v>0</v>
          </cell>
        </row>
        <row r="474">
          <cell r="E474" t="str">
            <v>PMK</v>
          </cell>
          <cell r="M474">
            <v>0</v>
          </cell>
          <cell r="N474">
            <v>0</v>
          </cell>
        </row>
        <row r="476">
          <cell r="C476" t="str">
            <v>A0247</v>
          </cell>
          <cell r="D476" t="str">
            <v>PT Cakung Permata Nusa</v>
          </cell>
          <cell r="E476" t="str">
            <v>PEB 1</v>
          </cell>
          <cell r="M476">
            <v>0</v>
          </cell>
          <cell r="N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E477" t="str">
            <v>PEB 2</v>
          </cell>
          <cell r="M477">
            <v>0</v>
          </cell>
          <cell r="N477">
            <v>0</v>
          </cell>
        </row>
        <row r="478">
          <cell r="E478" t="str">
            <v>PEB 3</v>
          </cell>
          <cell r="M478">
            <v>0</v>
          </cell>
          <cell r="N478">
            <v>0</v>
          </cell>
        </row>
        <row r="479">
          <cell r="E479" t="str">
            <v>PEB 4</v>
          </cell>
          <cell r="M479">
            <v>0</v>
          </cell>
          <cell r="N479">
            <v>0</v>
          </cell>
        </row>
        <row r="480">
          <cell r="E480" t="str">
            <v>PEB 5</v>
          </cell>
          <cell r="M480">
            <v>0</v>
          </cell>
          <cell r="N480">
            <v>0</v>
          </cell>
        </row>
        <row r="481">
          <cell r="E481" t="str">
            <v>PEB 6</v>
          </cell>
          <cell r="M481">
            <v>0</v>
          </cell>
          <cell r="N481">
            <v>0</v>
          </cell>
        </row>
        <row r="482">
          <cell r="E482" t="str">
            <v>PEB 7 / TB</v>
          </cell>
          <cell r="M482">
            <v>0</v>
          </cell>
          <cell r="N482">
            <v>0</v>
          </cell>
        </row>
        <row r="483">
          <cell r="E483" t="str">
            <v>MPP</v>
          </cell>
          <cell r="M483">
            <v>0</v>
          </cell>
          <cell r="N483">
            <v>0</v>
          </cell>
        </row>
        <row r="484">
          <cell r="E484" t="str">
            <v>ID</v>
          </cell>
          <cell r="M484">
            <v>0</v>
          </cell>
          <cell r="N484">
            <v>0</v>
          </cell>
        </row>
        <row r="485">
          <cell r="E485" t="str">
            <v>LL</v>
          </cell>
          <cell r="M485">
            <v>0</v>
          </cell>
          <cell r="N485">
            <v>0</v>
          </cell>
        </row>
        <row r="486">
          <cell r="E486" t="str">
            <v>PMK</v>
          </cell>
          <cell r="M486">
            <v>0</v>
          </cell>
          <cell r="N486">
            <v>0</v>
          </cell>
        </row>
        <row r="488">
          <cell r="C488" t="str">
            <v>A0037</v>
          </cell>
          <cell r="D488" t="str">
            <v>PT Century Batteries Indonesia</v>
          </cell>
          <cell r="E488" t="str">
            <v>PEB 1</v>
          </cell>
          <cell r="M488">
            <v>0</v>
          </cell>
          <cell r="N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208956.97946173738</v>
          </cell>
        </row>
        <row r="489">
          <cell r="E489" t="str">
            <v>PEB 2</v>
          </cell>
          <cell r="M489">
            <v>0</v>
          </cell>
          <cell r="N489">
            <v>0</v>
          </cell>
        </row>
        <row r="490">
          <cell r="E490" t="str">
            <v>PEB 3</v>
          </cell>
          <cell r="M490">
            <v>0</v>
          </cell>
          <cell r="N490">
            <v>0</v>
          </cell>
        </row>
        <row r="491">
          <cell r="E491" t="str">
            <v>PEB 4</v>
          </cell>
          <cell r="M491">
            <v>0</v>
          </cell>
          <cell r="N491">
            <v>0</v>
          </cell>
        </row>
        <row r="492">
          <cell r="E492" t="str">
            <v>PEB 5</v>
          </cell>
          <cell r="M492">
            <v>0</v>
          </cell>
          <cell r="N492">
            <v>0</v>
          </cell>
        </row>
        <row r="493">
          <cell r="E493" t="str">
            <v>PEB 6</v>
          </cell>
          <cell r="M493">
            <v>0</v>
          </cell>
          <cell r="N493">
            <v>0</v>
          </cell>
        </row>
        <row r="494">
          <cell r="E494" t="str">
            <v>PEB 7 / TB</v>
          </cell>
          <cell r="M494">
            <v>0</v>
          </cell>
          <cell r="N494">
            <v>0</v>
          </cell>
        </row>
        <row r="495">
          <cell r="E495" t="str">
            <v>MPP</v>
          </cell>
          <cell r="M495">
            <v>0</v>
          </cell>
          <cell r="N495">
            <v>0</v>
          </cell>
        </row>
        <row r="496">
          <cell r="E496" t="str">
            <v>ID</v>
          </cell>
          <cell r="M496">
            <v>0</v>
          </cell>
          <cell r="N496">
            <v>0</v>
          </cell>
        </row>
        <row r="497">
          <cell r="E497" t="str">
            <v>LL</v>
          </cell>
          <cell r="M497">
            <v>0</v>
          </cell>
          <cell r="N497">
            <v>0</v>
          </cell>
        </row>
        <row r="498">
          <cell r="E498" t="str">
            <v>PMK</v>
          </cell>
          <cell r="M498">
            <v>0</v>
          </cell>
          <cell r="N498">
            <v>0</v>
          </cell>
        </row>
        <row r="500">
          <cell r="C500" t="str">
            <v>A0445</v>
          </cell>
          <cell r="D500" t="str">
            <v>PT Citra Agro Nusantara</v>
          </cell>
          <cell r="E500" t="str">
            <v>PEB 1</v>
          </cell>
          <cell r="M500">
            <v>0</v>
          </cell>
          <cell r="N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</row>
        <row r="501">
          <cell r="E501" t="str">
            <v>PEB 2</v>
          </cell>
          <cell r="M501">
            <v>0</v>
          </cell>
          <cell r="N501">
            <v>0</v>
          </cell>
        </row>
        <row r="502">
          <cell r="E502" t="str">
            <v>PEB 3</v>
          </cell>
          <cell r="M502">
            <v>0</v>
          </cell>
          <cell r="N502">
            <v>0</v>
          </cell>
        </row>
        <row r="503">
          <cell r="E503" t="str">
            <v>PEB 4</v>
          </cell>
          <cell r="M503">
            <v>0</v>
          </cell>
          <cell r="N503">
            <v>0</v>
          </cell>
        </row>
        <row r="504">
          <cell r="E504" t="str">
            <v>PEB 5</v>
          </cell>
          <cell r="M504">
            <v>0</v>
          </cell>
          <cell r="N504">
            <v>0</v>
          </cell>
        </row>
        <row r="505">
          <cell r="E505" t="str">
            <v>PEB 6</v>
          </cell>
          <cell r="M505">
            <v>0</v>
          </cell>
          <cell r="N505">
            <v>0</v>
          </cell>
        </row>
        <row r="506">
          <cell r="E506" t="str">
            <v>PEB 7 / TB</v>
          </cell>
          <cell r="M506">
            <v>0</v>
          </cell>
          <cell r="N506">
            <v>0</v>
          </cell>
        </row>
        <row r="507">
          <cell r="E507" t="str">
            <v>MPP</v>
          </cell>
          <cell r="M507">
            <v>0</v>
          </cell>
          <cell r="N507">
            <v>0</v>
          </cell>
        </row>
        <row r="508">
          <cell r="E508" t="str">
            <v>ID</v>
          </cell>
          <cell r="M508">
            <v>0</v>
          </cell>
          <cell r="N508">
            <v>0</v>
          </cell>
        </row>
        <row r="509">
          <cell r="E509" t="str">
            <v>LL</v>
          </cell>
          <cell r="M509">
            <v>0</v>
          </cell>
          <cell r="N509">
            <v>0</v>
          </cell>
        </row>
        <row r="510">
          <cell r="E510" t="str">
            <v>PMK</v>
          </cell>
          <cell r="M510">
            <v>0</v>
          </cell>
          <cell r="N510">
            <v>0</v>
          </cell>
        </row>
        <row r="512">
          <cell r="C512" t="str">
            <v>A0008</v>
          </cell>
          <cell r="D512" t="str">
            <v>PT Daya Mitra Serasi</v>
          </cell>
          <cell r="E512" t="str">
            <v>PEB 1</v>
          </cell>
          <cell r="M512">
            <v>0</v>
          </cell>
          <cell r="N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E513" t="str">
            <v>PEB 2</v>
          </cell>
          <cell r="M513">
            <v>0</v>
          </cell>
          <cell r="N513">
            <v>0</v>
          </cell>
        </row>
        <row r="514">
          <cell r="E514" t="str">
            <v>PEB 3</v>
          </cell>
          <cell r="M514">
            <v>0</v>
          </cell>
          <cell r="N514">
            <v>0</v>
          </cell>
        </row>
        <row r="515">
          <cell r="E515" t="str">
            <v>PEB 4</v>
          </cell>
          <cell r="M515">
            <v>0</v>
          </cell>
          <cell r="N515">
            <v>0</v>
          </cell>
        </row>
        <row r="516">
          <cell r="E516" t="str">
            <v>PEB 5</v>
          </cell>
          <cell r="M516">
            <v>0</v>
          </cell>
          <cell r="N516">
            <v>0</v>
          </cell>
        </row>
        <row r="517">
          <cell r="E517" t="str">
            <v>PEB 6</v>
          </cell>
          <cell r="M517">
            <v>0</v>
          </cell>
          <cell r="N517">
            <v>0</v>
          </cell>
        </row>
        <row r="518">
          <cell r="E518" t="str">
            <v>PEB 7 / TB</v>
          </cell>
          <cell r="M518">
            <v>0</v>
          </cell>
          <cell r="N518">
            <v>0</v>
          </cell>
        </row>
        <row r="519">
          <cell r="E519" t="str">
            <v>MPP</v>
          </cell>
          <cell r="M519">
            <v>0</v>
          </cell>
          <cell r="N519">
            <v>0</v>
          </cell>
        </row>
        <row r="520">
          <cell r="E520" t="str">
            <v>ID</v>
          </cell>
          <cell r="M520">
            <v>0</v>
          </cell>
          <cell r="N520">
            <v>0</v>
          </cell>
        </row>
        <row r="521">
          <cell r="E521" t="str">
            <v>LL</v>
          </cell>
          <cell r="M521">
            <v>0</v>
          </cell>
          <cell r="N521">
            <v>0</v>
          </cell>
        </row>
        <row r="522">
          <cell r="E522" t="str">
            <v>PMK</v>
          </cell>
          <cell r="M522">
            <v>0</v>
          </cell>
          <cell r="N522">
            <v>0</v>
          </cell>
        </row>
        <row r="524">
          <cell r="C524" t="str">
            <v>A0051</v>
          </cell>
          <cell r="D524" t="str">
            <v>PT DIC Astra Chemicals</v>
          </cell>
          <cell r="E524" t="str">
            <v>PEB 1</v>
          </cell>
          <cell r="M524">
            <v>0</v>
          </cell>
          <cell r="N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K524">
            <v>286045.14400000003</v>
          </cell>
        </row>
        <row r="525">
          <cell r="E525" t="str">
            <v>PEB 2</v>
          </cell>
          <cell r="M525">
            <v>0</v>
          </cell>
          <cell r="N525">
            <v>0</v>
          </cell>
        </row>
        <row r="526">
          <cell r="E526" t="str">
            <v>PEB 3</v>
          </cell>
          <cell r="M526">
            <v>0</v>
          </cell>
          <cell r="N526">
            <v>0</v>
          </cell>
        </row>
        <row r="527">
          <cell r="E527" t="str">
            <v>PEB 4</v>
          </cell>
          <cell r="M527">
            <v>0</v>
          </cell>
          <cell r="N527">
            <v>0</v>
          </cell>
        </row>
        <row r="528">
          <cell r="E528" t="str">
            <v>PEB 5</v>
          </cell>
          <cell r="M528">
            <v>0</v>
          </cell>
          <cell r="N528">
            <v>0</v>
          </cell>
        </row>
        <row r="529">
          <cell r="E529" t="str">
            <v>PEB 6</v>
          </cell>
          <cell r="M529">
            <v>0</v>
          </cell>
          <cell r="N529">
            <v>0</v>
          </cell>
        </row>
        <row r="530">
          <cell r="E530" t="str">
            <v>PEB 7 / TB</v>
          </cell>
          <cell r="M530">
            <v>0</v>
          </cell>
          <cell r="N530">
            <v>0</v>
          </cell>
        </row>
        <row r="531">
          <cell r="E531" t="str">
            <v>MPP</v>
          </cell>
          <cell r="M531">
            <v>0</v>
          </cell>
          <cell r="N531">
            <v>0</v>
          </cell>
        </row>
        <row r="532">
          <cell r="E532" t="str">
            <v>ID</v>
          </cell>
          <cell r="M532">
            <v>0</v>
          </cell>
          <cell r="N532">
            <v>0</v>
          </cell>
        </row>
        <row r="533">
          <cell r="E533" t="str">
            <v>LL</v>
          </cell>
          <cell r="M533">
            <v>0</v>
          </cell>
          <cell r="N533">
            <v>0</v>
          </cell>
        </row>
        <row r="534">
          <cell r="E534" t="str">
            <v>PMK</v>
          </cell>
          <cell r="M534">
            <v>0</v>
          </cell>
          <cell r="N534">
            <v>0</v>
          </cell>
        </row>
        <row r="536">
          <cell r="C536" t="str">
            <v>A0239</v>
          </cell>
          <cell r="D536" t="str">
            <v>PT Astra Daido Steel Indonesia (d/h PT Dirgamenara Nusadwipa)</v>
          </cell>
          <cell r="E536" t="str">
            <v>PEB 1</v>
          </cell>
          <cell r="M536">
            <v>0</v>
          </cell>
          <cell r="N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L536">
            <v>286045.14400000003</v>
          </cell>
        </row>
        <row r="537">
          <cell r="E537" t="str">
            <v>PEB 2</v>
          </cell>
          <cell r="M537">
            <v>0</v>
          </cell>
          <cell r="N537">
            <v>0</v>
          </cell>
        </row>
        <row r="538">
          <cell r="E538" t="str">
            <v>PEB 3</v>
          </cell>
          <cell r="M538">
            <v>0</v>
          </cell>
          <cell r="N538">
            <v>0</v>
          </cell>
        </row>
        <row r="539">
          <cell r="E539" t="str">
            <v>PEB 4</v>
          </cell>
          <cell r="M539">
            <v>0</v>
          </cell>
          <cell r="N539">
            <v>0</v>
          </cell>
        </row>
        <row r="540">
          <cell r="E540" t="str">
            <v>PEB 5</v>
          </cell>
          <cell r="M540">
            <v>0</v>
          </cell>
          <cell r="N540">
            <v>0</v>
          </cell>
        </row>
        <row r="541">
          <cell r="E541" t="str">
            <v>PEB 6</v>
          </cell>
          <cell r="M541">
            <v>0</v>
          </cell>
          <cell r="N541">
            <v>0</v>
          </cell>
        </row>
        <row r="542">
          <cell r="E542" t="str">
            <v>PEB 7 / TB</v>
          </cell>
          <cell r="M542">
            <v>0</v>
          </cell>
          <cell r="N542">
            <v>0</v>
          </cell>
        </row>
        <row r="543">
          <cell r="E543" t="str">
            <v>MPP</v>
          </cell>
          <cell r="M543">
            <v>0</v>
          </cell>
          <cell r="N543">
            <v>0</v>
          </cell>
        </row>
        <row r="544">
          <cell r="E544" t="str">
            <v>ID</v>
          </cell>
          <cell r="M544">
            <v>0</v>
          </cell>
          <cell r="N544">
            <v>0</v>
          </cell>
        </row>
        <row r="545">
          <cell r="E545" t="str">
            <v>LL</v>
          </cell>
          <cell r="M545">
            <v>0</v>
          </cell>
          <cell r="N545">
            <v>0</v>
          </cell>
        </row>
        <row r="546">
          <cell r="E546" t="str">
            <v>PMK</v>
          </cell>
          <cell r="M546">
            <v>0</v>
          </cell>
          <cell r="N546">
            <v>0</v>
          </cell>
        </row>
        <row r="548">
          <cell r="C548" t="str">
            <v xml:space="preserve">A0054 </v>
          </cell>
          <cell r="D548" t="str">
            <v>PT Ekadura Indonesia &amp; Ekadura Dumai</v>
          </cell>
          <cell r="E548" t="str">
            <v>PEB 1</v>
          </cell>
          <cell r="M548">
            <v>0</v>
          </cell>
          <cell r="N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</row>
        <row r="549">
          <cell r="E549" t="str">
            <v>PEB 2</v>
          </cell>
          <cell r="M549">
            <v>0</v>
          </cell>
          <cell r="N549">
            <v>0</v>
          </cell>
        </row>
        <row r="550">
          <cell r="E550" t="str">
            <v>PEB 3</v>
          </cell>
          <cell r="M550">
            <v>0</v>
          </cell>
          <cell r="N550">
            <v>0</v>
          </cell>
        </row>
        <row r="551">
          <cell r="E551" t="str">
            <v>PEB 4</v>
          </cell>
          <cell r="M551">
            <v>0</v>
          </cell>
          <cell r="N551">
            <v>0</v>
          </cell>
        </row>
        <row r="552">
          <cell r="E552" t="str">
            <v>PEB 5</v>
          </cell>
          <cell r="M552">
            <v>0</v>
          </cell>
          <cell r="N552">
            <v>0</v>
          </cell>
        </row>
        <row r="553">
          <cell r="E553" t="str">
            <v>PEB 6</v>
          </cell>
          <cell r="M553">
            <v>0</v>
          </cell>
          <cell r="N553">
            <v>0</v>
          </cell>
        </row>
        <row r="554">
          <cell r="E554" t="str">
            <v>PEB 7 / TB</v>
          </cell>
          <cell r="M554">
            <v>0</v>
          </cell>
          <cell r="N554">
            <v>0</v>
          </cell>
        </row>
        <row r="555">
          <cell r="E555" t="str">
            <v>MPP</v>
          </cell>
          <cell r="M555">
            <v>0</v>
          </cell>
          <cell r="N555">
            <v>0</v>
          </cell>
        </row>
        <row r="556">
          <cell r="E556" t="str">
            <v>ID</v>
          </cell>
          <cell r="M556">
            <v>0</v>
          </cell>
          <cell r="N556">
            <v>0</v>
          </cell>
        </row>
        <row r="557">
          <cell r="E557" t="str">
            <v>LL</v>
          </cell>
          <cell r="M557">
            <v>0</v>
          </cell>
          <cell r="N557">
            <v>0</v>
          </cell>
        </row>
        <row r="558">
          <cell r="E558" t="str">
            <v>PMK</v>
          </cell>
          <cell r="M558">
            <v>0</v>
          </cell>
          <cell r="N558">
            <v>0</v>
          </cell>
        </row>
        <row r="560">
          <cell r="C560" t="str">
            <v>A0266</v>
          </cell>
          <cell r="D560" t="str">
            <v>PT Ekadura Perdana</v>
          </cell>
          <cell r="E560" t="str">
            <v>PEB 1</v>
          </cell>
          <cell r="M560">
            <v>0</v>
          </cell>
          <cell r="N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E561" t="str">
            <v>PEB 2</v>
          </cell>
          <cell r="M561">
            <v>0</v>
          </cell>
          <cell r="N561">
            <v>0</v>
          </cell>
        </row>
        <row r="562">
          <cell r="E562" t="str">
            <v>PEB 3</v>
          </cell>
          <cell r="M562">
            <v>0</v>
          </cell>
          <cell r="N562">
            <v>0</v>
          </cell>
        </row>
        <row r="563">
          <cell r="E563" t="str">
            <v>PEB 4</v>
          </cell>
          <cell r="M563">
            <v>0</v>
          </cell>
          <cell r="N563">
            <v>0</v>
          </cell>
        </row>
        <row r="564">
          <cell r="E564" t="str">
            <v>PEB 5</v>
          </cell>
          <cell r="M564">
            <v>0</v>
          </cell>
          <cell r="N564">
            <v>0</v>
          </cell>
        </row>
        <row r="565">
          <cell r="E565" t="str">
            <v>PEB 6</v>
          </cell>
          <cell r="M565">
            <v>0</v>
          </cell>
          <cell r="N565">
            <v>0</v>
          </cell>
        </row>
        <row r="566">
          <cell r="E566" t="str">
            <v>PEB 7 / TB</v>
          </cell>
          <cell r="M566">
            <v>0</v>
          </cell>
          <cell r="N566">
            <v>0</v>
          </cell>
        </row>
        <row r="567">
          <cell r="E567" t="str">
            <v>MPP</v>
          </cell>
          <cell r="M567">
            <v>0</v>
          </cell>
          <cell r="N567">
            <v>0</v>
          </cell>
        </row>
        <row r="568">
          <cell r="E568" t="str">
            <v>ID</v>
          </cell>
          <cell r="M568">
            <v>0</v>
          </cell>
          <cell r="N568">
            <v>0</v>
          </cell>
        </row>
        <row r="569">
          <cell r="E569" t="str">
            <v>LL</v>
          </cell>
          <cell r="M569">
            <v>0</v>
          </cell>
          <cell r="N569">
            <v>0</v>
          </cell>
        </row>
        <row r="570">
          <cell r="E570" t="str">
            <v>PMK</v>
          </cell>
          <cell r="M570">
            <v>0</v>
          </cell>
          <cell r="N570">
            <v>0</v>
          </cell>
        </row>
        <row r="572">
          <cell r="C572" t="str">
            <v>A0062</v>
          </cell>
          <cell r="D572" t="str">
            <v>PT FCSM Manufacturing Indonesia</v>
          </cell>
          <cell r="E572" t="str">
            <v>PEB 1</v>
          </cell>
          <cell r="M572">
            <v>0</v>
          </cell>
          <cell r="N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E573" t="str">
            <v>PEB 2</v>
          </cell>
          <cell r="M573">
            <v>0</v>
          </cell>
          <cell r="N573">
            <v>0</v>
          </cell>
        </row>
        <row r="574">
          <cell r="E574" t="str">
            <v>PEB 3</v>
          </cell>
          <cell r="M574">
            <v>0</v>
          </cell>
          <cell r="N574">
            <v>0</v>
          </cell>
        </row>
        <row r="575">
          <cell r="E575" t="str">
            <v>PEB 4</v>
          </cell>
          <cell r="M575">
            <v>0</v>
          </cell>
          <cell r="N575">
            <v>0</v>
          </cell>
        </row>
        <row r="576">
          <cell r="E576" t="str">
            <v>PEB 5</v>
          </cell>
          <cell r="M576">
            <v>0</v>
          </cell>
          <cell r="N576">
            <v>0</v>
          </cell>
        </row>
        <row r="577">
          <cell r="E577" t="str">
            <v>PEB 6</v>
          </cell>
          <cell r="M577">
            <v>0</v>
          </cell>
          <cell r="N577">
            <v>0</v>
          </cell>
        </row>
        <row r="578">
          <cell r="E578" t="str">
            <v>PEB 7 / TB</v>
          </cell>
          <cell r="M578">
            <v>0</v>
          </cell>
          <cell r="N578">
            <v>0</v>
          </cell>
        </row>
        <row r="579">
          <cell r="E579" t="str">
            <v>MPP</v>
          </cell>
          <cell r="M579">
            <v>0</v>
          </cell>
          <cell r="N579">
            <v>0</v>
          </cell>
        </row>
        <row r="580">
          <cell r="E580" t="str">
            <v>ID</v>
          </cell>
          <cell r="M580">
            <v>0</v>
          </cell>
          <cell r="N580">
            <v>0</v>
          </cell>
        </row>
        <row r="581">
          <cell r="E581" t="str">
            <v>LL</v>
          </cell>
          <cell r="M581">
            <v>0</v>
          </cell>
          <cell r="N581">
            <v>0</v>
          </cell>
        </row>
        <row r="582">
          <cell r="E582" t="str">
            <v>PMK</v>
          </cell>
          <cell r="M582">
            <v>0</v>
          </cell>
          <cell r="N582">
            <v>0</v>
          </cell>
        </row>
        <row r="584">
          <cell r="C584" t="str">
            <v>A0098</v>
          </cell>
          <cell r="D584" t="str">
            <v>PT Federal International Finance</v>
          </cell>
          <cell r="E584" t="str">
            <v>PEB 1</v>
          </cell>
          <cell r="M584">
            <v>0</v>
          </cell>
          <cell r="N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</row>
        <row r="585">
          <cell r="E585" t="str">
            <v>PEB 2</v>
          </cell>
          <cell r="M585">
            <v>0</v>
          </cell>
          <cell r="N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</row>
        <row r="586">
          <cell r="E586" t="str">
            <v>PEB 3</v>
          </cell>
          <cell r="M586">
            <v>0</v>
          </cell>
          <cell r="N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E587" t="str">
            <v>PEB 4</v>
          </cell>
          <cell r="M587">
            <v>0</v>
          </cell>
          <cell r="N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E588" t="str">
            <v>PEB 5</v>
          </cell>
          <cell r="M588">
            <v>0</v>
          </cell>
          <cell r="N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</row>
        <row r="589">
          <cell r="E589" t="str">
            <v>PEB 6</v>
          </cell>
          <cell r="M589">
            <v>0</v>
          </cell>
          <cell r="N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E590" t="str">
            <v>PEB 7 / TB</v>
          </cell>
          <cell r="M590">
            <v>0</v>
          </cell>
          <cell r="N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E591" t="str">
            <v>MPP</v>
          </cell>
          <cell r="M591">
            <v>0</v>
          </cell>
          <cell r="N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</row>
        <row r="592">
          <cell r="E592" t="str">
            <v>ID</v>
          </cell>
          <cell r="M592">
            <v>0</v>
          </cell>
          <cell r="N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E593" t="str">
            <v>LL</v>
          </cell>
          <cell r="M593">
            <v>0</v>
          </cell>
          <cell r="N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E594" t="str">
            <v>PMK</v>
          </cell>
          <cell r="M594">
            <v>0</v>
          </cell>
          <cell r="N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6">
          <cell r="C596" t="str">
            <v>A0059</v>
          </cell>
          <cell r="D596" t="str">
            <v>PT Federal Izumi Manufacturing</v>
          </cell>
          <cell r="E596" t="str">
            <v>PEB 1</v>
          </cell>
          <cell r="M596">
            <v>0</v>
          </cell>
          <cell r="N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E597" t="str">
            <v>PEB 2</v>
          </cell>
          <cell r="M597">
            <v>0</v>
          </cell>
          <cell r="N597">
            <v>0</v>
          </cell>
        </row>
        <row r="598">
          <cell r="E598" t="str">
            <v>PEB 3</v>
          </cell>
          <cell r="M598">
            <v>0</v>
          </cell>
          <cell r="N598">
            <v>0</v>
          </cell>
        </row>
        <row r="599">
          <cell r="E599" t="str">
            <v>PEB 4</v>
          </cell>
          <cell r="M599">
            <v>0</v>
          </cell>
          <cell r="N599">
            <v>0</v>
          </cell>
        </row>
        <row r="600">
          <cell r="E600" t="str">
            <v>PEB 5</v>
          </cell>
          <cell r="M600">
            <v>0</v>
          </cell>
          <cell r="N600">
            <v>0</v>
          </cell>
        </row>
        <row r="601">
          <cell r="E601" t="str">
            <v>PEB 6</v>
          </cell>
          <cell r="M601">
            <v>0</v>
          </cell>
          <cell r="N601">
            <v>0</v>
          </cell>
        </row>
        <row r="602">
          <cell r="E602" t="str">
            <v>PEB 7 / TB</v>
          </cell>
          <cell r="M602">
            <v>0</v>
          </cell>
          <cell r="N602">
            <v>0</v>
          </cell>
        </row>
        <row r="603">
          <cell r="E603" t="str">
            <v>MPP</v>
          </cell>
          <cell r="M603">
            <v>0</v>
          </cell>
          <cell r="N603">
            <v>0</v>
          </cell>
        </row>
        <row r="604">
          <cell r="E604" t="str">
            <v>ID</v>
          </cell>
          <cell r="M604">
            <v>0</v>
          </cell>
          <cell r="N604">
            <v>0</v>
          </cell>
        </row>
        <row r="605">
          <cell r="E605" t="str">
            <v>LL</v>
          </cell>
          <cell r="M605">
            <v>0</v>
          </cell>
          <cell r="N605">
            <v>0</v>
          </cell>
        </row>
        <row r="606">
          <cell r="E606" t="str">
            <v>PMK</v>
          </cell>
          <cell r="M606">
            <v>0</v>
          </cell>
          <cell r="N606">
            <v>0</v>
          </cell>
        </row>
        <row r="608">
          <cell r="C608" t="str">
            <v>A0274</v>
          </cell>
          <cell r="D608" t="str">
            <v>PT Federal Nittan Industries</v>
          </cell>
          <cell r="E608" t="str">
            <v>PEB 1</v>
          </cell>
          <cell r="M608">
            <v>0</v>
          </cell>
          <cell r="N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</row>
        <row r="609">
          <cell r="E609" t="str">
            <v>PEB 2</v>
          </cell>
          <cell r="M609">
            <v>0</v>
          </cell>
          <cell r="N609">
            <v>0</v>
          </cell>
        </row>
        <row r="610">
          <cell r="E610" t="str">
            <v>PEB 3</v>
          </cell>
          <cell r="M610">
            <v>0</v>
          </cell>
          <cell r="N610">
            <v>0</v>
          </cell>
        </row>
        <row r="611">
          <cell r="E611" t="str">
            <v>PEB 4</v>
          </cell>
          <cell r="M611">
            <v>0</v>
          </cell>
          <cell r="N611">
            <v>0</v>
          </cell>
        </row>
        <row r="612">
          <cell r="E612" t="str">
            <v>PEB 5</v>
          </cell>
          <cell r="M612">
            <v>0</v>
          </cell>
          <cell r="N612">
            <v>0</v>
          </cell>
        </row>
        <row r="613">
          <cell r="E613" t="str">
            <v>PEB 6</v>
          </cell>
          <cell r="M613">
            <v>0</v>
          </cell>
          <cell r="N613">
            <v>0</v>
          </cell>
        </row>
        <row r="614">
          <cell r="E614" t="str">
            <v>PEB 7 / TB</v>
          </cell>
          <cell r="M614">
            <v>0</v>
          </cell>
          <cell r="N614">
            <v>0</v>
          </cell>
        </row>
        <row r="615">
          <cell r="E615" t="str">
            <v>MPP</v>
          </cell>
          <cell r="M615">
            <v>0</v>
          </cell>
          <cell r="N615">
            <v>0</v>
          </cell>
        </row>
        <row r="616">
          <cell r="E616" t="str">
            <v>ID</v>
          </cell>
          <cell r="M616">
            <v>0</v>
          </cell>
          <cell r="N616">
            <v>0</v>
          </cell>
        </row>
        <row r="617">
          <cell r="E617" t="str">
            <v>LL</v>
          </cell>
          <cell r="M617">
            <v>0</v>
          </cell>
          <cell r="N617">
            <v>0</v>
          </cell>
        </row>
        <row r="618">
          <cell r="E618" t="str">
            <v>PMK</v>
          </cell>
          <cell r="M618">
            <v>0</v>
          </cell>
          <cell r="N618">
            <v>0</v>
          </cell>
        </row>
        <row r="620">
          <cell r="C620" t="str">
            <v>A0275</v>
          </cell>
          <cell r="D620" t="str">
            <v>PT Fuji Technica Indonesia</v>
          </cell>
          <cell r="E620" t="str">
            <v>PEB 1</v>
          </cell>
          <cell r="M620">
            <v>0</v>
          </cell>
          <cell r="N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E621" t="str">
            <v>PEB 2</v>
          </cell>
          <cell r="M621">
            <v>0</v>
          </cell>
          <cell r="N621">
            <v>0</v>
          </cell>
        </row>
        <row r="622">
          <cell r="E622" t="str">
            <v>PEB 3</v>
          </cell>
          <cell r="M622">
            <v>0</v>
          </cell>
          <cell r="N622">
            <v>0</v>
          </cell>
        </row>
        <row r="623">
          <cell r="E623" t="str">
            <v>PEB 4</v>
          </cell>
          <cell r="M623">
            <v>0</v>
          </cell>
          <cell r="N623">
            <v>0</v>
          </cell>
        </row>
        <row r="624">
          <cell r="E624" t="str">
            <v>PEB 5</v>
          </cell>
          <cell r="M624">
            <v>0</v>
          </cell>
          <cell r="N624">
            <v>0</v>
          </cell>
        </row>
        <row r="625">
          <cell r="E625" t="str">
            <v>PEB 6</v>
          </cell>
          <cell r="M625">
            <v>0</v>
          </cell>
          <cell r="N625">
            <v>0</v>
          </cell>
        </row>
        <row r="626">
          <cell r="E626" t="str">
            <v>PEB 7 / TB</v>
          </cell>
          <cell r="M626">
            <v>0</v>
          </cell>
          <cell r="N626">
            <v>0</v>
          </cell>
        </row>
        <row r="627">
          <cell r="E627" t="str">
            <v>MPP</v>
          </cell>
          <cell r="M627">
            <v>0</v>
          </cell>
          <cell r="N627">
            <v>0</v>
          </cell>
        </row>
        <row r="628">
          <cell r="E628" t="str">
            <v>ID</v>
          </cell>
          <cell r="M628">
            <v>0</v>
          </cell>
          <cell r="N628">
            <v>0</v>
          </cell>
        </row>
        <row r="629">
          <cell r="E629" t="str">
            <v>LL</v>
          </cell>
          <cell r="M629">
            <v>0</v>
          </cell>
          <cell r="N629">
            <v>0</v>
          </cell>
        </row>
        <row r="630">
          <cell r="E630" t="str">
            <v>PMK</v>
          </cell>
          <cell r="M630">
            <v>0</v>
          </cell>
          <cell r="N630">
            <v>0</v>
          </cell>
        </row>
        <row r="632">
          <cell r="C632" t="str">
            <v>A0065</v>
          </cell>
          <cell r="D632" t="str">
            <v>PT Gaya Motor</v>
          </cell>
          <cell r="E632" t="str">
            <v>PEB 1</v>
          </cell>
          <cell r="M632">
            <v>0</v>
          </cell>
          <cell r="N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E633" t="str">
            <v>PEB 2</v>
          </cell>
          <cell r="M633">
            <v>0</v>
          </cell>
          <cell r="N633">
            <v>0</v>
          </cell>
        </row>
        <row r="634">
          <cell r="E634" t="str">
            <v>PEB 3</v>
          </cell>
          <cell r="M634">
            <v>0</v>
          </cell>
          <cell r="N634">
            <v>0</v>
          </cell>
        </row>
        <row r="635">
          <cell r="E635" t="str">
            <v>PEB 4</v>
          </cell>
          <cell r="M635">
            <v>0</v>
          </cell>
          <cell r="N635">
            <v>0</v>
          </cell>
        </row>
        <row r="636">
          <cell r="E636" t="str">
            <v>PEB 5</v>
          </cell>
          <cell r="M636">
            <v>0</v>
          </cell>
          <cell r="N636">
            <v>0</v>
          </cell>
        </row>
        <row r="637">
          <cell r="E637" t="str">
            <v>PEB 6</v>
          </cell>
          <cell r="M637">
            <v>0</v>
          </cell>
          <cell r="N637">
            <v>0</v>
          </cell>
        </row>
        <row r="638">
          <cell r="E638" t="str">
            <v>PEB 7 / TB</v>
          </cell>
          <cell r="M638">
            <v>0</v>
          </cell>
          <cell r="N638">
            <v>0</v>
          </cell>
        </row>
        <row r="639">
          <cell r="E639" t="str">
            <v>MPP</v>
          </cell>
          <cell r="M639">
            <v>0</v>
          </cell>
          <cell r="N639">
            <v>0</v>
          </cell>
        </row>
        <row r="640">
          <cell r="E640" t="str">
            <v>ID</v>
          </cell>
          <cell r="M640">
            <v>0</v>
          </cell>
          <cell r="N640">
            <v>0</v>
          </cell>
        </row>
        <row r="641">
          <cell r="E641" t="str">
            <v>LL</v>
          </cell>
          <cell r="M641">
            <v>0</v>
          </cell>
          <cell r="N641">
            <v>0</v>
          </cell>
        </row>
        <row r="642">
          <cell r="E642" t="str">
            <v>PMK</v>
          </cell>
          <cell r="M642">
            <v>0</v>
          </cell>
          <cell r="N642">
            <v>0</v>
          </cell>
        </row>
        <row r="644">
          <cell r="C644" t="str">
            <v>A0070</v>
          </cell>
          <cell r="D644" t="str">
            <v>PT GS Battery</v>
          </cell>
          <cell r="E644" t="str">
            <v>PEB 1</v>
          </cell>
          <cell r="M644">
            <v>0</v>
          </cell>
          <cell r="N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K644">
            <v>3011926.2770000002</v>
          </cell>
        </row>
        <row r="645">
          <cell r="E645" t="str">
            <v>PEB 2</v>
          </cell>
          <cell r="M645">
            <v>0</v>
          </cell>
          <cell r="N645">
            <v>0</v>
          </cell>
        </row>
        <row r="646">
          <cell r="E646" t="str">
            <v>PEB 3</v>
          </cell>
          <cell r="M646">
            <v>0</v>
          </cell>
          <cell r="N646">
            <v>0</v>
          </cell>
        </row>
        <row r="647">
          <cell r="E647" t="str">
            <v>PEB 4</v>
          </cell>
          <cell r="M647">
            <v>0</v>
          </cell>
          <cell r="N647">
            <v>0</v>
          </cell>
        </row>
        <row r="648">
          <cell r="E648" t="str">
            <v>PEB 5</v>
          </cell>
          <cell r="M648">
            <v>0</v>
          </cell>
          <cell r="N648">
            <v>0</v>
          </cell>
        </row>
        <row r="649">
          <cell r="E649" t="str">
            <v>PEB 6</v>
          </cell>
          <cell r="M649">
            <v>0</v>
          </cell>
          <cell r="N649">
            <v>0</v>
          </cell>
        </row>
        <row r="650">
          <cell r="E650" t="str">
            <v>PEB 7 / TB</v>
          </cell>
          <cell r="M650">
            <v>0</v>
          </cell>
          <cell r="N650">
            <v>0</v>
          </cell>
        </row>
        <row r="651">
          <cell r="E651" t="str">
            <v>MPP</v>
          </cell>
          <cell r="M651">
            <v>0</v>
          </cell>
          <cell r="N651">
            <v>0</v>
          </cell>
        </row>
        <row r="652">
          <cell r="E652" t="str">
            <v>ID</v>
          </cell>
          <cell r="M652">
            <v>0</v>
          </cell>
          <cell r="N652">
            <v>0</v>
          </cell>
        </row>
        <row r="653">
          <cell r="E653" t="str">
            <v>LL</v>
          </cell>
          <cell r="M653">
            <v>0</v>
          </cell>
          <cell r="N653">
            <v>0</v>
          </cell>
        </row>
        <row r="654">
          <cell r="E654" t="str">
            <v>PMK</v>
          </cell>
          <cell r="M654">
            <v>0</v>
          </cell>
          <cell r="N654">
            <v>0</v>
          </cell>
        </row>
        <row r="656">
          <cell r="C656" t="str">
            <v>A0254</v>
          </cell>
          <cell r="D656" t="str">
            <v>PT Gunung Sejahtera Dua Indah</v>
          </cell>
          <cell r="E656" t="str">
            <v>PEB 1</v>
          </cell>
          <cell r="M656">
            <v>0</v>
          </cell>
          <cell r="N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E657" t="str">
            <v>PEB 2</v>
          </cell>
          <cell r="M657">
            <v>0</v>
          </cell>
          <cell r="N657">
            <v>0</v>
          </cell>
        </row>
        <row r="658">
          <cell r="E658" t="str">
            <v>PEB 3</v>
          </cell>
          <cell r="M658">
            <v>0</v>
          </cell>
          <cell r="N658">
            <v>0</v>
          </cell>
        </row>
        <row r="659">
          <cell r="E659" t="str">
            <v>PEB 4</v>
          </cell>
          <cell r="M659">
            <v>0</v>
          </cell>
          <cell r="N659">
            <v>0</v>
          </cell>
        </row>
        <row r="660">
          <cell r="E660" t="str">
            <v>PEB 5</v>
          </cell>
          <cell r="M660">
            <v>0</v>
          </cell>
          <cell r="N660">
            <v>0</v>
          </cell>
        </row>
        <row r="661">
          <cell r="E661" t="str">
            <v>PEB 6</v>
          </cell>
          <cell r="M661">
            <v>0</v>
          </cell>
          <cell r="N661">
            <v>0</v>
          </cell>
        </row>
        <row r="662">
          <cell r="E662" t="str">
            <v>PEB 7 / TB</v>
          </cell>
          <cell r="M662">
            <v>0</v>
          </cell>
          <cell r="N662">
            <v>0</v>
          </cell>
        </row>
        <row r="663">
          <cell r="E663" t="str">
            <v>MPP</v>
          </cell>
          <cell r="M663">
            <v>0</v>
          </cell>
          <cell r="N663">
            <v>0</v>
          </cell>
        </row>
        <row r="664">
          <cell r="E664" t="str">
            <v>ID</v>
          </cell>
          <cell r="M664">
            <v>0</v>
          </cell>
          <cell r="N664">
            <v>0</v>
          </cell>
        </row>
        <row r="665">
          <cell r="E665" t="str">
            <v>LL</v>
          </cell>
          <cell r="M665">
            <v>0</v>
          </cell>
          <cell r="N665">
            <v>0</v>
          </cell>
        </row>
        <row r="666">
          <cell r="E666" t="str">
            <v>PMK</v>
          </cell>
          <cell r="M666">
            <v>0</v>
          </cell>
          <cell r="N666">
            <v>0</v>
          </cell>
        </row>
        <row r="668">
          <cell r="C668" t="str">
            <v>A0256</v>
          </cell>
          <cell r="D668" t="str">
            <v>PT Gunung Sejahtera Ibu Pertiwi</v>
          </cell>
          <cell r="E668" t="str">
            <v>PEB 1</v>
          </cell>
          <cell r="M668">
            <v>0</v>
          </cell>
          <cell r="N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</row>
        <row r="669">
          <cell r="E669" t="str">
            <v>PEB 2</v>
          </cell>
          <cell r="M669">
            <v>0</v>
          </cell>
          <cell r="N669">
            <v>0</v>
          </cell>
        </row>
        <row r="670">
          <cell r="E670" t="str">
            <v>PEB 3</v>
          </cell>
          <cell r="M670">
            <v>0</v>
          </cell>
          <cell r="N670">
            <v>0</v>
          </cell>
        </row>
        <row r="671">
          <cell r="E671" t="str">
            <v>PEB 4</v>
          </cell>
          <cell r="M671">
            <v>0</v>
          </cell>
          <cell r="N671">
            <v>0</v>
          </cell>
        </row>
        <row r="672">
          <cell r="E672" t="str">
            <v>PEB 5</v>
          </cell>
          <cell r="M672">
            <v>0</v>
          </cell>
          <cell r="N672">
            <v>0</v>
          </cell>
        </row>
        <row r="673">
          <cell r="E673" t="str">
            <v>PEB 6</v>
          </cell>
          <cell r="M673">
            <v>0</v>
          </cell>
          <cell r="N673">
            <v>0</v>
          </cell>
        </row>
        <row r="674">
          <cell r="E674" t="str">
            <v>PEB 7 / TB</v>
          </cell>
          <cell r="M674">
            <v>0</v>
          </cell>
          <cell r="N674">
            <v>0</v>
          </cell>
        </row>
        <row r="675">
          <cell r="E675" t="str">
            <v>MPP</v>
          </cell>
          <cell r="M675">
            <v>0</v>
          </cell>
          <cell r="N675">
            <v>0</v>
          </cell>
        </row>
        <row r="676">
          <cell r="E676" t="str">
            <v>ID</v>
          </cell>
          <cell r="M676">
            <v>0</v>
          </cell>
          <cell r="N676">
            <v>0</v>
          </cell>
        </row>
        <row r="677">
          <cell r="E677" t="str">
            <v>LL</v>
          </cell>
          <cell r="M677">
            <v>0</v>
          </cell>
          <cell r="N677">
            <v>0</v>
          </cell>
        </row>
        <row r="678">
          <cell r="E678" t="str">
            <v>PMK</v>
          </cell>
          <cell r="M678">
            <v>0</v>
          </cell>
          <cell r="N678">
            <v>0</v>
          </cell>
        </row>
        <row r="680">
          <cell r="C680" t="str">
            <v>A0250</v>
          </cell>
          <cell r="D680" t="str">
            <v>PT Gunung Sejahtera Puti Pesona</v>
          </cell>
          <cell r="E680" t="str">
            <v>PEB 1</v>
          </cell>
          <cell r="M680">
            <v>0</v>
          </cell>
          <cell r="N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</row>
        <row r="681">
          <cell r="E681" t="str">
            <v>PEB 2</v>
          </cell>
          <cell r="M681">
            <v>0</v>
          </cell>
          <cell r="N681">
            <v>0</v>
          </cell>
        </row>
        <row r="682">
          <cell r="E682" t="str">
            <v>PEB 3</v>
          </cell>
          <cell r="M682">
            <v>0</v>
          </cell>
          <cell r="N682">
            <v>0</v>
          </cell>
        </row>
        <row r="683">
          <cell r="E683" t="str">
            <v>PEB 4</v>
          </cell>
          <cell r="M683">
            <v>0</v>
          </cell>
          <cell r="N683">
            <v>0</v>
          </cell>
        </row>
        <row r="684">
          <cell r="E684" t="str">
            <v>PEB 5</v>
          </cell>
          <cell r="M684">
            <v>0</v>
          </cell>
          <cell r="N684">
            <v>0</v>
          </cell>
        </row>
        <row r="685">
          <cell r="E685" t="str">
            <v>PEB 6</v>
          </cell>
          <cell r="M685">
            <v>0</v>
          </cell>
          <cell r="N685">
            <v>0</v>
          </cell>
        </row>
        <row r="686">
          <cell r="E686" t="str">
            <v>PEB 7 / TB</v>
          </cell>
          <cell r="M686">
            <v>0</v>
          </cell>
          <cell r="N686">
            <v>0</v>
          </cell>
        </row>
        <row r="687">
          <cell r="E687" t="str">
            <v>MPP</v>
          </cell>
          <cell r="M687">
            <v>0</v>
          </cell>
          <cell r="N687">
            <v>0</v>
          </cell>
        </row>
        <row r="688">
          <cell r="E688" t="str">
            <v>ID</v>
          </cell>
          <cell r="M688">
            <v>0</v>
          </cell>
          <cell r="N688">
            <v>0</v>
          </cell>
        </row>
        <row r="689">
          <cell r="E689" t="str">
            <v>LL</v>
          </cell>
          <cell r="M689">
            <v>0</v>
          </cell>
          <cell r="N689">
            <v>0</v>
          </cell>
        </row>
        <row r="690">
          <cell r="E690" t="str">
            <v>PMK</v>
          </cell>
          <cell r="M690">
            <v>0</v>
          </cell>
          <cell r="N690">
            <v>0</v>
          </cell>
        </row>
        <row r="692">
          <cell r="C692" t="str">
            <v>A0252</v>
          </cell>
          <cell r="D692" t="str">
            <v>PT Gunung Sejahtera Yoli Makmur</v>
          </cell>
          <cell r="E692" t="str">
            <v>PEB 1</v>
          </cell>
          <cell r="M692">
            <v>0</v>
          </cell>
          <cell r="N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</row>
        <row r="693">
          <cell r="E693" t="str">
            <v>PEB 2</v>
          </cell>
          <cell r="M693">
            <v>0</v>
          </cell>
          <cell r="N693">
            <v>0</v>
          </cell>
        </row>
        <row r="694">
          <cell r="E694" t="str">
            <v>PEB 3</v>
          </cell>
          <cell r="M694">
            <v>0</v>
          </cell>
          <cell r="N694">
            <v>0</v>
          </cell>
        </row>
        <row r="695">
          <cell r="E695" t="str">
            <v>PEB 4</v>
          </cell>
          <cell r="M695">
            <v>0</v>
          </cell>
          <cell r="N695">
            <v>0</v>
          </cell>
        </row>
        <row r="696">
          <cell r="E696" t="str">
            <v>PEB 5</v>
          </cell>
          <cell r="M696">
            <v>0</v>
          </cell>
          <cell r="N696">
            <v>0</v>
          </cell>
        </row>
        <row r="697">
          <cell r="E697" t="str">
            <v>PEB 6</v>
          </cell>
          <cell r="M697">
            <v>0</v>
          </cell>
          <cell r="N697">
            <v>0</v>
          </cell>
        </row>
        <row r="698">
          <cell r="E698" t="str">
            <v>PEB 7 / TB</v>
          </cell>
          <cell r="M698">
            <v>0</v>
          </cell>
          <cell r="N698">
            <v>0</v>
          </cell>
        </row>
        <row r="699">
          <cell r="E699" t="str">
            <v>MPP</v>
          </cell>
          <cell r="M699">
            <v>0</v>
          </cell>
          <cell r="N699">
            <v>0</v>
          </cell>
        </row>
        <row r="700">
          <cell r="E700" t="str">
            <v>ID</v>
          </cell>
          <cell r="M700">
            <v>0</v>
          </cell>
          <cell r="N700">
            <v>0</v>
          </cell>
        </row>
        <row r="701">
          <cell r="E701" t="str">
            <v>LL</v>
          </cell>
          <cell r="M701">
            <v>0</v>
          </cell>
          <cell r="N701">
            <v>0</v>
          </cell>
        </row>
        <row r="702">
          <cell r="E702" t="str">
            <v>PMK</v>
          </cell>
          <cell r="M702">
            <v>0</v>
          </cell>
          <cell r="N702">
            <v>0</v>
          </cell>
        </row>
        <row r="704">
          <cell r="C704" t="str">
            <v>A0077</v>
          </cell>
          <cell r="D704" t="str">
            <v>PT Indokarlo Perkasa</v>
          </cell>
          <cell r="E704" t="str">
            <v>PEB 1</v>
          </cell>
          <cell r="M704">
            <v>0</v>
          </cell>
          <cell r="N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</row>
        <row r="705">
          <cell r="E705" t="str">
            <v>PEB 2</v>
          </cell>
          <cell r="M705">
            <v>0</v>
          </cell>
          <cell r="N705">
            <v>0</v>
          </cell>
        </row>
        <row r="706">
          <cell r="E706" t="str">
            <v>PEB 3</v>
          </cell>
          <cell r="M706">
            <v>0</v>
          </cell>
          <cell r="N706">
            <v>0</v>
          </cell>
        </row>
        <row r="707">
          <cell r="E707" t="str">
            <v>PEB 4</v>
          </cell>
          <cell r="M707">
            <v>0</v>
          </cell>
          <cell r="N707">
            <v>0</v>
          </cell>
        </row>
        <row r="708">
          <cell r="E708" t="str">
            <v>PEB 5</v>
          </cell>
          <cell r="M708">
            <v>0</v>
          </cell>
          <cell r="N708">
            <v>0</v>
          </cell>
        </row>
        <row r="709">
          <cell r="E709" t="str">
            <v>PEB 6</v>
          </cell>
          <cell r="M709">
            <v>0</v>
          </cell>
          <cell r="N709">
            <v>0</v>
          </cell>
        </row>
        <row r="710">
          <cell r="E710" t="str">
            <v>PEB 7 / TB</v>
          </cell>
          <cell r="M710">
            <v>0</v>
          </cell>
          <cell r="N710">
            <v>0</v>
          </cell>
        </row>
        <row r="711">
          <cell r="E711" t="str">
            <v>MPP</v>
          </cell>
          <cell r="M711">
            <v>0</v>
          </cell>
          <cell r="N711">
            <v>0</v>
          </cell>
        </row>
        <row r="712">
          <cell r="E712" t="str">
            <v>ID</v>
          </cell>
          <cell r="M712">
            <v>0</v>
          </cell>
          <cell r="N712">
            <v>0</v>
          </cell>
        </row>
        <row r="713">
          <cell r="E713" t="str">
            <v>LL</v>
          </cell>
          <cell r="M713">
            <v>0</v>
          </cell>
          <cell r="N713">
            <v>0</v>
          </cell>
        </row>
        <row r="714">
          <cell r="E714" t="str">
            <v>PMK</v>
          </cell>
          <cell r="M714">
            <v>0</v>
          </cell>
          <cell r="N714">
            <v>0</v>
          </cell>
        </row>
        <row r="716">
          <cell r="C716" t="str">
            <v>A0079</v>
          </cell>
          <cell r="D716" t="str">
            <v>PT Intertel Nusaperdana</v>
          </cell>
          <cell r="E716" t="str">
            <v>PEB 1</v>
          </cell>
          <cell r="M716">
            <v>0</v>
          </cell>
          <cell r="N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</row>
        <row r="717">
          <cell r="E717" t="str">
            <v>PEB 2</v>
          </cell>
          <cell r="M717">
            <v>0</v>
          </cell>
          <cell r="N717">
            <v>0</v>
          </cell>
        </row>
        <row r="718">
          <cell r="E718" t="str">
            <v>PEB 3</v>
          </cell>
          <cell r="M718">
            <v>0</v>
          </cell>
          <cell r="N718">
            <v>0</v>
          </cell>
        </row>
        <row r="719">
          <cell r="E719" t="str">
            <v>PEB 4</v>
          </cell>
          <cell r="M719">
            <v>0</v>
          </cell>
          <cell r="N719">
            <v>0</v>
          </cell>
        </row>
        <row r="720">
          <cell r="E720" t="str">
            <v>PEB 5</v>
          </cell>
          <cell r="M720">
            <v>0</v>
          </cell>
          <cell r="N720">
            <v>0</v>
          </cell>
        </row>
        <row r="721">
          <cell r="E721" t="str">
            <v>PEB 6</v>
          </cell>
          <cell r="M721">
            <v>0</v>
          </cell>
          <cell r="N721">
            <v>0</v>
          </cell>
        </row>
        <row r="722">
          <cell r="E722" t="str">
            <v>PEB 7 / TB</v>
          </cell>
          <cell r="M722">
            <v>0</v>
          </cell>
          <cell r="N722">
            <v>0</v>
          </cell>
        </row>
        <row r="723">
          <cell r="E723" t="str">
            <v>MPP</v>
          </cell>
          <cell r="M723">
            <v>0</v>
          </cell>
          <cell r="N723">
            <v>0</v>
          </cell>
        </row>
        <row r="724">
          <cell r="E724" t="str">
            <v>ID</v>
          </cell>
          <cell r="M724">
            <v>0</v>
          </cell>
          <cell r="N724">
            <v>0</v>
          </cell>
        </row>
        <row r="725">
          <cell r="E725" t="str">
            <v>LL</v>
          </cell>
          <cell r="M725">
            <v>0</v>
          </cell>
          <cell r="N725">
            <v>0</v>
          </cell>
        </row>
        <row r="726">
          <cell r="E726" t="str">
            <v>PMK</v>
          </cell>
          <cell r="M726">
            <v>0</v>
          </cell>
          <cell r="N726">
            <v>0</v>
          </cell>
        </row>
        <row r="728">
          <cell r="C728" t="str">
            <v>A0081</v>
          </cell>
          <cell r="D728" t="str">
            <v>PT Inti Pantja Press Industry</v>
          </cell>
          <cell r="E728" t="str">
            <v>PEB 1</v>
          </cell>
          <cell r="M728">
            <v>0</v>
          </cell>
          <cell r="N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</row>
        <row r="729">
          <cell r="E729" t="str">
            <v>PEB 2</v>
          </cell>
          <cell r="M729">
            <v>0</v>
          </cell>
          <cell r="N729">
            <v>0</v>
          </cell>
        </row>
        <row r="730">
          <cell r="E730" t="str">
            <v>PEB 3</v>
          </cell>
          <cell r="M730">
            <v>0</v>
          </cell>
          <cell r="N730">
            <v>0</v>
          </cell>
        </row>
        <row r="731">
          <cell r="E731" t="str">
            <v>PEB 4</v>
          </cell>
          <cell r="M731">
            <v>0</v>
          </cell>
          <cell r="N731">
            <v>0</v>
          </cell>
        </row>
        <row r="732">
          <cell r="E732" t="str">
            <v>PEB 5</v>
          </cell>
          <cell r="M732">
            <v>0</v>
          </cell>
          <cell r="N732">
            <v>0</v>
          </cell>
        </row>
        <row r="733">
          <cell r="E733" t="str">
            <v>PEB 6</v>
          </cell>
          <cell r="M733">
            <v>0</v>
          </cell>
          <cell r="N733">
            <v>0</v>
          </cell>
        </row>
        <row r="734">
          <cell r="E734" t="str">
            <v>PEB 7 / TB</v>
          </cell>
          <cell r="M734">
            <v>0</v>
          </cell>
          <cell r="N734">
            <v>0</v>
          </cell>
        </row>
        <row r="735">
          <cell r="E735" t="str">
            <v>MPP</v>
          </cell>
          <cell r="M735">
            <v>0</v>
          </cell>
          <cell r="N735">
            <v>0</v>
          </cell>
        </row>
        <row r="736">
          <cell r="E736" t="str">
            <v>ID</v>
          </cell>
          <cell r="M736">
            <v>0</v>
          </cell>
          <cell r="N736">
            <v>0</v>
          </cell>
        </row>
        <row r="737">
          <cell r="E737" t="str">
            <v>LL</v>
          </cell>
          <cell r="M737">
            <v>0</v>
          </cell>
          <cell r="N737">
            <v>0</v>
          </cell>
        </row>
        <row r="738">
          <cell r="E738" t="str">
            <v>PMK</v>
          </cell>
          <cell r="M738">
            <v>0</v>
          </cell>
          <cell r="N738">
            <v>0</v>
          </cell>
        </row>
        <row r="740">
          <cell r="C740" t="str">
            <v>A0115</v>
          </cell>
          <cell r="D740" t="str">
            <v>PT Isuzu Astra Motor Indonesia (d/h Pantja Motor)</v>
          </cell>
          <cell r="E740" t="str">
            <v>PEB 1</v>
          </cell>
          <cell r="M740">
            <v>0</v>
          </cell>
          <cell r="N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</row>
        <row r="741">
          <cell r="E741" t="str">
            <v>PEB 2</v>
          </cell>
          <cell r="M741">
            <v>0</v>
          </cell>
          <cell r="N741">
            <v>0</v>
          </cell>
        </row>
        <row r="742">
          <cell r="E742" t="str">
            <v>PEB 3</v>
          </cell>
          <cell r="M742">
            <v>0</v>
          </cell>
          <cell r="N742">
            <v>0</v>
          </cell>
        </row>
        <row r="743">
          <cell r="E743" t="str">
            <v>PEB 4</v>
          </cell>
          <cell r="M743">
            <v>0</v>
          </cell>
          <cell r="N743">
            <v>0</v>
          </cell>
        </row>
        <row r="744">
          <cell r="E744" t="str">
            <v>PEB 5</v>
          </cell>
          <cell r="M744">
            <v>0</v>
          </cell>
          <cell r="N744">
            <v>0</v>
          </cell>
        </row>
        <row r="745">
          <cell r="E745" t="str">
            <v>PEB 6</v>
          </cell>
          <cell r="M745">
            <v>0</v>
          </cell>
          <cell r="N745">
            <v>0</v>
          </cell>
        </row>
        <row r="746">
          <cell r="E746" t="str">
            <v>PEB 7 / TB</v>
          </cell>
          <cell r="M746">
            <v>0</v>
          </cell>
          <cell r="N746">
            <v>0</v>
          </cell>
        </row>
        <row r="747">
          <cell r="E747" t="str">
            <v>MPP</v>
          </cell>
          <cell r="M747">
            <v>0</v>
          </cell>
          <cell r="N747">
            <v>0</v>
          </cell>
        </row>
        <row r="748">
          <cell r="E748" t="str">
            <v>ID</v>
          </cell>
          <cell r="M748">
            <v>0</v>
          </cell>
          <cell r="N748">
            <v>0</v>
          </cell>
        </row>
        <row r="749">
          <cell r="E749" t="str">
            <v>LL</v>
          </cell>
          <cell r="M749">
            <v>0</v>
          </cell>
          <cell r="N749">
            <v>0</v>
          </cell>
        </row>
        <row r="750">
          <cell r="E750" t="str">
            <v>PMK</v>
          </cell>
          <cell r="M750">
            <v>0</v>
          </cell>
          <cell r="N750">
            <v>0</v>
          </cell>
        </row>
        <row r="752">
          <cell r="C752" t="str">
            <v>A0360</v>
          </cell>
          <cell r="D752" t="str">
            <v>PT Kalimantan Prima Persada</v>
          </cell>
          <cell r="E752" t="str">
            <v>PEB 1</v>
          </cell>
          <cell r="M752">
            <v>0</v>
          </cell>
          <cell r="N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K752">
            <v>176041.84336199699</v>
          </cell>
        </row>
        <row r="753">
          <cell r="E753" t="str">
            <v>PEB 2</v>
          </cell>
          <cell r="M753">
            <v>0</v>
          </cell>
          <cell r="N753">
            <v>0</v>
          </cell>
        </row>
        <row r="754">
          <cell r="E754" t="str">
            <v>PEB 3</v>
          </cell>
          <cell r="M754">
            <v>0</v>
          </cell>
          <cell r="N754">
            <v>0</v>
          </cell>
        </row>
        <row r="755">
          <cell r="E755" t="str">
            <v>PEB 4</v>
          </cell>
          <cell r="M755">
            <v>0</v>
          </cell>
          <cell r="N755">
            <v>0</v>
          </cell>
        </row>
        <row r="756">
          <cell r="E756" t="str">
            <v>PEB 5</v>
          </cell>
          <cell r="M756">
            <v>0</v>
          </cell>
          <cell r="N756">
            <v>0</v>
          </cell>
        </row>
        <row r="757">
          <cell r="E757" t="str">
            <v>PEB 6</v>
          </cell>
          <cell r="M757">
            <v>0</v>
          </cell>
          <cell r="N757">
            <v>0</v>
          </cell>
        </row>
        <row r="758">
          <cell r="E758" t="str">
            <v>PEB 7 / TB</v>
          </cell>
          <cell r="M758">
            <v>0</v>
          </cell>
          <cell r="N758">
            <v>0</v>
          </cell>
        </row>
        <row r="759">
          <cell r="E759" t="str">
            <v>MPP</v>
          </cell>
          <cell r="M759">
            <v>0</v>
          </cell>
          <cell r="N759">
            <v>0</v>
          </cell>
        </row>
        <row r="760">
          <cell r="E760" t="str">
            <v>ID</v>
          </cell>
          <cell r="M760">
            <v>0</v>
          </cell>
          <cell r="N760">
            <v>0</v>
          </cell>
        </row>
        <row r="761">
          <cell r="E761" t="str">
            <v>LL</v>
          </cell>
          <cell r="M761">
            <v>0</v>
          </cell>
          <cell r="N761">
            <v>0</v>
          </cell>
        </row>
        <row r="762">
          <cell r="E762" t="str">
            <v>PMK</v>
          </cell>
          <cell r="M762">
            <v>0</v>
          </cell>
          <cell r="N762">
            <v>0</v>
          </cell>
        </row>
        <row r="764">
          <cell r="C764" t="str">
            <v>A0350</v>
          </cell>
          <cell r="D764" t="str">
            <v>PT Karya Nusa Eka Daya</v>
          </cell>
          <cell r="E764" t="str">
            <v>PEB 1</v>
          </cell>
          <cell r="M764">
            <v>0</v>
          </cell>
          <cell r="N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</row>
        <row r="765">
          <cell r="E765" t="str">
            <v>PEB 2</v>
          </cell>
          <cell r="M765">
            <v>0</v>
          </cell>
          <cell r="N765">
            <v>0</v>
          </cell>
        </row>
        <row r="766">
          <cell r="E766" t="str">
            <v>PEB 3</v>
          </cell>
          <cell r="M766">
            <v>0</v>
          </cell>
          <cell r="N766">
            <v>0</v>
          </cell>
        </row>
        <row r="767">
          <cell r="E767" t="str">
            <v>PEB 4</v>
          </cell>
          <cell r="M767">
            <v>0</v>
          </cell>
          <cell r="N767">
            <v>0</v>
          </cell>
        </row>
        <row r="768">
          <cell r="E768" t="str">
            <v>PEB 5</v>
          </cell>
          <cell r="M768">
            <v>0</v>
          </cell>
          <cell r="N768">
            <v>0</v>
          </cell>
        </row>
        <row r="769">
          <cell r="E769" t="str">
            <v>PEB 6</v>
          </cell>
          <cell r="M769">
            <v>0</v>
          </cell>
          <cell r="N769">
            <v>0</v>
          </cell>
        </row>
        <row r="770">
          <cell r="E770" t="str">
            <v>PEB 7 / TB</v>
          </cell>
          <cell r="M770">
            <v>0</v>
          </cell>
          <cell r="N770">
            <v>0</v>
          </cell>
        </row>
        <row r="771">
          <cell r="E771" t="str">
            <v>MPP</v>
          </cell>
          <cell r="M771">
            <v>0</v>
          </cell>
          <cell r="N771">
            <v>0</v>
          </cell>
        </row>
        <row r="772">
          <cell r="E772" t="str">
            <v>ID</v>
          </cell>
          <cell r="M772">
            <v>0</v>
          </cell>
          <cell r="N772">
            <v>0</v>
          </cell>
        </row>
        <row r="773">
          <cell r="E773" t="str">
            <v>LL</v>
          </cell>
          <cell r="M773">
            <v>0</v>
          </cell>
          <cell r="N773">
            <v>0</v>
          </cell>
        </row>
        <row r="774">
          <cell r="E774" t="str">
            <v>PMK</v>
          </cell>
          <cell r="M774">
            <v>0</v>
          </cell>
          <cell r="N774">
            <v>0</v>
          </cell>
        </row>
        <row r="776">
          <cell r="C776" t="str">
            <v>A0083</v>
          </cell>
          <cell r="D776" t="str">
            <v>PT Karya Tanah Subur</v>
          </cell>
          <cell r="E776" t="str">
            <v>PEB 1</v>
          </cell>
          <cell r="M776">
            <v>0</v>
          </cell>
          <cell r="N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</row>
        <row r="777">
          <cell r="E777" t="str">
            <v>PEB 2</v>
          </cell>
          <cell r="M777">
            <v>0</v>
          </cell>
          <cell r="N777">
            <v>0</v>
          </cell>
        </row>
        <row r="778">
          <cell r="E778" t="str">
            <v>PEB 3</v>
          </cell>
          <cell r="M778">
            <v>0</v>
          </cell>
          <cell r="N778">
            <v>0</v>
          </cell>
        </row>
        <row r="779">
          <cell r="E779" t="str">
            <v>PEB 4</v>
          </cell>
          <cell r="M779">
            <v>0</v>
          </cell>
          <cell r="N779">
            <v>0</v>
          </cell>
        </row>
        <row r="780">
          <cell r="E780" t="str">
            <v>PEB 5</v>
          </cell>
          <cell r="M780">
            <v>0</v>
          </cell>
          <cell r="N780">
            <v>0</v>
          </cell>
        </row>
        <row r="781">
          <cell r="E781" t="str">
            <v>PEB 6</v>
          </cell>
          <cell r="M781">
            <v>0</v>
          </cell>
          <cell r="N781">
            <v>0</v>
          </cell>
        </row>
        <row r="782">
          <cell r="E782" t="str">
            <v>PEB 7 / TB</v>
          </cell>
          <cell r="M782">
            <v>0</v>
          </cell>
          <cell r="N782">
            <v>0</v>
          </cell>
        </row>
        <row r="783">
          <cell r="E783" t="str">
            <v>MPP</v>
          </cell>
          <cell r="M783">
            <v>0</v>
          </cell>
          <cell r="N783">
            <v>0</v>
          </cell>
        </row>
        <row r="784">
          <cell r="E784" t="str">
            <v>ID</v>
          </cell>
          <cell r="M784">
            <v>0</v>
          </cell>
          <cell r="N784">
            <v>0</v>
          </cell>
        </row>
        <row r="785">
          <cell r="E785" t="str">
            <v>LL</v>
          </cell>
          <cell r="M785">
            <v>0</v>
          </cell>
          <cell r="N785">
            <v>0</v>
          </cell>
        </row>
        <row r="786">
          <cell r="E786" t="str">
            <v>PMK</v>
          </cell>
          <cell r="M786">
            <v>0</v>
          </cell>
          <cell r="N786">
            <v>0</v>
          </cell>
        </row>
        <row r="788">
          <cell r="C788" t="str">
            <v>A0084</v>
          </cell>
          <cell r="D788" t="str">
            <v>PT Kayaba Indonesia</v>
          </cell>
          <cell r="E788" t="str">
            <v>PEB 1</v>
          </cell>
          <cell r="M788">
            <v>0</v>
          </cell>
          <cell r="N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</row>
        <row r="789">
          <cell r="E789" t="str">
            <v>PEB 2</v>
          </cell>
          <cell r="M789">
            <v>0</v>
          </cell>
          <cell r="N789">
            <v>0</v>
          </cell>
        </row>
        <row r="790">
          <cell r="E790" t="str">
            <v>PEB 3</v>
          </cell>
          <cell r="M790">
            <v>0</v>
          </cell>
          <cell r="N790">
            <v>0</v>
          </cell>
        </row>
        <row r="791">
          <cell r="E791" t="str">
            <v>PEB 4</v>
          </cell>
          <cell r="M791">
            <v>0</v>
          </cell>
          <cell r="N791">
            <v>0</v>
          </cell>
        </row>
        <row r="792">
          <cell r="E792" t="str">
            <v>PEB 5</v>
          </cell>
          <cell r="M792">
            <v>0</v>
          </cell>
          <cell r="N792">
            <v>0</v>
          </cell>
        </row>
        <row r="793">
          <cell r="E793" t="str">
            <v>PEB 6</v>
          </cell>
          <cell r="M793">
            <v>0</v>
          </cell>
          <cell r="N793">
            <v>0</v>
          </cell>
        </row>
        <row r="794">
          <cell r="E794" t="str">
            <v>PEB 7 / TB</v>
          </cell>
          <cell r="M794">
            <v>0</v>
          </cell>
          <cell r="N794">
            <v>0</v>
          </cell>
        </row>
        <row r="795">
          <cell r="E795" t="str">
            <v>MPP</v>
          </cell>
          <cell r="M795">
            <v>0</v>
          </cell>
          <cell r="N795">
            <v>0</v>
          </cell>
        </row>
        <row r="796">
          <cell r="E796" t="str">
            <v>ID</v>
          </cell>
          <cell r="M796">
            <v>0</v>
          </cell>
          <cell r="N796">
            <v>0</v>
          </cell>
        </row>
        <row r="797">
          <cell r="E797" t="str">
            <v>LL</v>
          </cell>
          <cell r="M797">
            <v>0</v>
          </cell>
          <cell r="N797">
            <v>0</v>
          </cell>
        </row>
        <row r="798">
          <cell r="E798" t="str">
            <v>PMK</v>
          </cell>
          <cell r="M798">
            <v>0</v>
          </cell>
          <cell r="N798">
            <v>0</v>
          </cell>
        </row>
        <row r="800">
          <cell r="C800" t="str">
            <v>A0086</v>
          </cell>
          <cell r="D800" t="str">
            <v>PT Kimia Tirta Utama</v>
          </cell>
          <cell r="E800" t="str">
            <v>PEB 1</v>
          </cell>
          <cell r="M800">
            <v>0</v>
          </cell>
          <cell r="N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</row>
        <row r="801">
          <cell r="E801" t="str">
            <v>PEB 2</v>
          </cell>
          <cell r="M801">
            <v>0</v>
          </cell>
          <cell r="N801">
            <v>0</v>
          </cell>
        </row>
        <row r="802">
          <cell r="E802" t="str">
            <v>PEB 3</v>
          </cell>
          <cell r="M802">
            <v>0</v>
          </cell>
          <cell r="N802">
            <v>0</v>
          </cell>
        </row>
        <row r="803">
          <cell r="E803" t="str">
            <v>PEB 4</v>
          </cell>
          <cell r="M803">
            <v>0</v>
          </cell>
          <cell r="N803">
            <v>0</v>
          </cell>
        </row>
        <row r="804">
          <cell r="E804" t="str">
            <v>PEB 5</v>
          </cell>
          <cell r="M804">
            <v>0</v>
          </cell>
          <cell r="N804">
            <v>0</v>
          </cell>
        </row>
        <row r="805">
          <cell r="E805" t="str">
            <v>PEB 6</v>
          </cell>
          <cell r="M805">
            <v>0</v>
          </cell>
          <cell r="N805">
            <v>0</v>
          </cell>
        </row>
        <row r="806">
          <cell r="E806" t="str">
            <v>PEB 7 / TB</v>
          </cell>
          <cell r="M806">
            <v>0</v>
          </cell>
          <cell r="N806">
            <v>0</v>
          </cell>
        </row>
        <row r="807">
          <cell r="E807" t="str">
            <v>MPP</v>
          </cell>
          <cell r="M807">
            <v>0</v>
          </cell>
          <cell r="N807">
            <v>0</v>
          </cell>
        </row>
        <row r="808">
          <cell r="E808" t="str">
            <v>ID</v>
          </cell>
          <cell r="M808">
            <v>0</v>
          </cell>
          <cell r="N808">
            <v>0</v>
          </cell>
        </row>
        <row r="809">
          <cell r="E809" t="str">
            <v>LL</v>
          </cell>
          <cell r="M809">
            <v>0</v>
          </cell>
          <cell r="N809">
            <v>0</v>
          </cell>
        </row>
        <row r="810">
          <cell r="E810" t="str">
            <v>PMK</v>
          </cell>
          <cell r="M810">
            <v>0</v>
          </cell>
          <cell r="N810">
            <v>0</v>
          </cell>
        </row>
        <row r="812">
          <cell r="C812" t="str">
            <v>A0378</v>
          </cell>
          <cell r="D812" t="str">
            <v>PT Komatsu Astra Finance</v>
          </cell>
          <cell r="E812" t="str">
            <v>PEB 1</v>
          </cell>
          <cell r="M812">
            <v>0</v>
          </cell>
          <cell r="N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</row>
        <row r="813">
          <cell r="E813" t="str">
            <v>PEB 2</v>
          </cell>
          <cell r="M813">
            <v>0</v>
          </cell>
          <cell r="N813">
            <v>0</v>
          </cell>
        </row>
        <row r="814">
          <cell r="E814" t="str">
            <v>PEB 3</v>
          </cell>
          <cell r="M814">
            <v>0</v>
          </cell>
          <cell r="N814">
            <v>0</v>
          </cell>
        </row>
        <row r="815">
          <cell r="E815" t="str">
            <v>PEB 4</v>
          </cell>
          <cell r="M815">
            <v>0</v>
          </cell>
          <cell r="N815">
            <v>0</v>
          </cell>
        </row>
        <row r="816">
          <cell r="E816" t="str">
            <v>PEB 5</v>
          </cell>
          <cell r="M816">
            <v>0</v>
          </cell>
          <cell r="N816">
            <v>0</v>
          </cell>
        </row>
        <row r="817">
          <cell r="E817" t="str">
            <v>PEB 6</v>
          </cell>
          <cell r="M817">
            <v>0</v>
          </cell>
          <cell r="N817">
            <v>0</v>
          </cell>
        </row>
        <row r="818">
          <cell r="E818" t="str">
            <v>PEB 7 / TB</v>
          </cell>
          <cell r="M818">
            <v>0</v>
          </cell>
          <cell r="N818">
            <v>0</v>
          </cell>
        </row>
        <row r="819">
          <cell r="E819" t="str">
            <v>MPP</v>
          </cell>
          <cell r="M819">
            <v>0</v>
          </cell>
          <cell r="N819">
            <v>0</v>
          </cell>
        </row>
        <row r="820">
          <cell r="E820" t="str">
            <v>ID</v>
          </cell>
          <cell r="M820">
            <v>0</v>
          </cell>
          <cell r="N820">
            <v>0</v>
          </cell>
        </row>
        <row r="821">
          <cell r="E821" t="str">
            <v>LL</v>
          </cell>
          <cell r="M821">
            <v>0</v>
          </cell>
          <cell r="N821">
            <v>0</v>
          </cell>
        </row>
        <row r="822">
          <cell r="E822" t="str">
            <v>PMK</v>
          </cell>
          <cell r="M822">
            <v>0</v>
          </cell>
          <cell r="N822">
            <v>0</v>
          </cell>
        </row>
        <row r="824">
          <cell r="C824" t="str">
            <v>A0328</v>
          </cell>
          <cell r="D824" t="str">
            <v>PT Komatsu Remanufacturing Asia</v>
          </cell>
          <cell r="E824" t="str">
            <v>PEB 1</v>
          </cell>
          <cell r="M824">
            <v>0</v>
          </cell>
          <cell r="N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</row>
        <row r="825">
          <cell r="E825" t="str">
            <v>PEB 2</v>
          </cell>
          <cell r="M825">
            <v>0</v>
          </cell>
          <cell r="N825">
            <v>0</v>
          </cell>
        </row>
        <row r="826">
          <cell r="E826" t="str">
            <v>PEB 3</v>
          </cell>
          <cell r="M826">
            <v>0</v>
          </cell>
          <cell r="N826">
            <v>0</v>
          </cell>
        </row>
        <row r="827">
          <cell r="E827" t="str">
            <v>PEB 4</v>
          </cell>
          <cell r="M827">
            <v>0</v>
          </cell>
          <cell r="N827">
            <v>0</v>
          </cell>
        </row>
        <row r="828">
          <cell r="E828" t="str">
            <v>PEB 5</v>
          </cell>
          <cell r="M828">
            <v>0</v>
          </cell>
          <cell r="N828">
            <v>0</v>
          </cell>
        </row>
        <row r="829">
          <cell r="E829" t="str">
            <v>PEB 6</v>
          </cell>
          <cell r="M829">
            <v>0</v>
          </cell>
          <cell r="N829">
            <v>0</v>
          </cell>
        </row>
        <row r="830">
          <cell r="E830" t="str">
            <v>PEB 7 / TB</v>
          </cell>
          <cell r="M830">
            <v>0</v>
          </cell>
          <cell r="N830">
            <v>0</v>
          </cell>
        </row>
        <row r="831">
          <cell r="E831" t="str">
            <v>MPP</v>
          </cell>
          <cell r="M831">
            <v>0</v>
          </cell>
          <cell r="N831">
            <v>0</v>
          </cell>
        </row>
        <row r="832">
          <cell r="E832" t="str">
            <v>ID</v>
          </cell>
          <cell r="M832">
            <v>0</v>
          </cell>
          <cell r="N832">
            <v>0</v>
          </cell>
        </row>
        <row r="833">
          <cell r="E833" t="str">
            <v>LL</v>
          </cell>
          <cell r="M833">
            <v>0</v>
          </cell>
          <cell r="N833">
            <v>0</v>
          </cell>
        </row>
        <row r="834">
          <cell r="E834" t="str">
            <v>PMK</v>
          </cell>
          <cell r="M834">
            <v>0</v>
          </cell>
          <cell r="N834">
            <v>0</v>
          </cell>
        </row>
        <row r="836">
          <cell r="C836" t="str">
            <v>A0262</v>
          </cell>
          <cell r="D836" t="str">
            <v>PT Lestari Tani Teladan</v>
          </cell>
          <cell r="E836" t="str">
            <v>PEB 1</v>
          </cell>
          <cell r="M836">
            <v>0</v>
          </cell>
          <cell r="N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</row>
        <row r="837">
          <cell r="E837" t="str">
            <v>PEB 2</v>
          </cell>
          <cell r="M837">
            <v>0</v>
          </cell>
          <cell r="N837">
            <v>0</v>
          </cell>
        </row>
        <row r="838">
          <cell r="E838" t="str">
            <v>PEB 3</v>
          </cell>
          <cell r="M838">
            <v>0</v>
          </cell>
          <cell r="N838">
            <v>0</v>
          </cell>
        </row>
        <row r="839">
          <cell r="E839" t="str">
            <v>PEB 4</v>
          </cell>
          <cell r="M839">
            <v>0</v>
          </cell>
          <cell r="N839">
            <v>0</v>
          </cell>
        </row>
        <row r="840">
          <cell r="E840" t="str">
            <v>PEB 5</v>
          </cell>
          <cell r="M840">
            <v>0</v>
          </cell>
          <cell r="N840">
            <v>0</v>
          </cell>
        </row>
        <row r="841">
          <cell r="E841" t="str">
            <v>PEB 6</v>
          </cell>
          <cell r="M841">
            <v>0</v>
          </cell>
          <cell r="N841">
            <v>0</v>
          </cell>
        </row>
        <row r="842">
          <cell r="E842" t="str">
            <v>PEB 7 / TB</v>
          </cell>
          <cell r="M842">
            <v>0</v>
          </cell>
          <cell r="N842">
            <v>0</v>
          </cell>
        </row>
        <row r="843">
          <cell r="E843" t="str">
            <v>MPP</v>
          </cell>
          <cell r="M843">
            <v>0</v>
          </cell>
          <cell r="N843">
            <v>0</v>
          </cell>
        </row>
        <row r="844">
          <cell r="E844" t="str">
            <v>ID</v>
          </cell>
          <cell r="M844">
            <v>0</v>
          </cell>
          <cell r="N844">
            <v>0</v>
          </cell>
        </row>
        <row r="845">
          <cell r="E845" t="str">
            <v>LL</v>
          </cell>
          <cell r="M845">
            <v>0</v>
          </cell>
          <cell r="N845">
            <v>0</v>
          </cell>
        </row>
        <row r="846">
          <cell r="E846" t="str">
            <v>PMK</v>
          </cell>
          <cell r="M846">
            <v>0</v>
          </cell>
          <cell r="N846">
            <v>0</v>
          </cell>
        </row>
        <row r="848">
          <cell r="C848" t="str">
            <v>A0261</v>
          </cell>
          <cell r="D848" t="str">
            <v>PT LETAWA</v>
          </cell>
          <cell r="E848" t="str">
            <v>PEB 1</v>
          </cell>
          <cell r="M848">
            <v>0</v>
          </cell>
          <cell r="N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</row>
        <row r="849">
          <cell r="E849" t="str">
            <v>PEB 2</v>
          </cell>
          <cell r="M849">
            <v>0</v>
          </cell>
          <cell r="N849">
            <v>0</v>
          </cell>
        </row>
        <row r="850">
          <cell r="E850" t="str">
            <v>PEB 3</v>
          </cell>
          <cell r="M850">
            <v>0</v>
          </cell>
          <cell r="N850">
            <v>0</v>
          </cell>
        </row>
        <row r="851">
          <cell r="E851" t="str">
            <v>PEB 4</v>
          </cell>
          <cell r="M851">
            <v>0</v>
          </cell>
          <cell r="N851">
            <v>0</v>
          </cell>
        </row>
        <row r="852">
          <cell r="E852" t="str">
            <v>PEB 5</v>
          </cell>
          <cell r="M852">
            <v>0</v>
          </cell>
          <cell r="N852">
            <v>0</v>
          </cell>
        </row>
        <row r="853">
          <cell r="E853" t="str">
            <v>PEB 6</v>
          </cell>
          <cell r="M853">
            <v>0</v>
          </cell>
          <cell r="N853">
            <v>0</v>
          </cell>
        </row>
        <row r="854">
          <cell r="E854" t="str">
            <v>PEB 7 / TB</v>
          </cell>
          <cell r="M854">
            <v>0</v>
          </cell>
          <cell r="N854">
            <v>0</v>
          </cell>
        </row>
        <row r="855">
          <cell r="E855" t="str">
            <v>MPP</v>
          </cell>
          <cell r="M855">
            <v>0</v>
          </cell>
          <cell r="N855">
            <v>0</v>
          </cell>
        </row>
        <row r="856">
          <cell r="E856" t="str">
            <v>ID</v>
          </cell>
          <cell r="M856">
            <v>0</v>
          </cell>
          <cell r="N856">
            <v>0</v>
          </cell>
        </row>
        <row r="857">
          <cell r="E857" t="str">
            <v>LL</v>
          </cell>
          <cell r="M857">
            <v>0</v>
          </cell>
          <cell r="N857">
            <v>0</v>
          </cell>
        </row>
        <row r="858">
          <cell r="E858" t="str">
            <v>PMK</v>
          </cell>
          <cell r="M858">
            <v>0</v>
          </cell>
          <cell r="N858">
            <v>0</v>
          </cell>
        </row>
        <row r="860">
          <cell r="C860" t="str">
            <v>A0263</v>
          </cell>
          <cell r="D860" t="str">
            <v>PT Mamuang</v>
          </cell>
          <cell r="E860" t="str">
            <v>PEB 1</v>
          </cell>
          <cell r="M860">
            <v>0</v>
          </cell>
          <cell r="N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</row>
        <row r="861">
          <cell r="E861" t="str">
            <v>PEB 2</v>
          </cell>
          <cell r="M861">
            <v>0</v>
          </cell>
          <cell r="N861">
            <v>0</v>
          </cell>
        </row>
        <row r="862">
          <cell r="E862" t="str">
            <v>PEB 3</v>
          </cell>
          <cell r="M862">
            <v>0</v>
          </cell>
          <cell r="N862">
            <v>0</v>
          </cell>
        </row>
        <row r="863">
          <cell r="E863" t="str">
            <v>PEB 4</v>
          </cell>
          <cell r="M863">
            <v>0</v>
          </cell>
          <cell r="N863">
            <v>0</v>
          </cell>
        </row>
        <row r="864">
          <cell r="E864" t="str">
            <v>PEB 5</v>
          </cell>
          <cell r="M864">
            <v>0</v>
          </cell>
          <cell r="N864">
            <v>0</v>
          </cell>
        </row>
        <row r="865">
          <cell r="E865" t="str">
            <v>PEB 6</v>
          </cell>
          <cell r="M865">
            <v>0</v>
          </cell>
          <cell r="N865">
            <v>0</v>
          </cell>
        </row>
        <row r="866">
          <cell r="E866" t="str">
            <v>PEB 7 / TB</v>
          </cell>
          <cell r="M866">
            <v>0</v>
          </cell>
          <cell r="N866">
            <v>0</v>
          </cell>
        </row>
        <row r="867">
          <cell r="E867" t="str">
            <v>MPP</v>
          </cell>
          <cell r="M867">
            <v>0</v>
          </cell>
          <cell r="N867">
            <v>0</v>
          </cell>
        </row>
        <row r="868">
          <cell r="E868" t="str">
            <v>ID</v>
          </cell>
          <cell r="M868">
            <v>0</v>
          </cell>
          <cell r="N868">
            <v>0</v>
          </cell>
        </row>
        <row r="869">
          <cell r="E869" t="str">
            <v>LL</v>
          </cell>
          <cell r="M869">
            <v>0</v>
          </cell>
          <cell r="N869">
            <v>0</v>
          </cell>
        </row>
        <row r="870">
          <cell r="E870" t="str">
            <v>PMK</v>
          </cell>
          <cell r="M870">
            <v>0</v>
          </cell>
          <cell r="N870">
            <v>0</v>
          </cell>
        </row>
        <row r="872">
          <cell r="C872" t="str">
            <v>A0096</v>
          </cell>
          <cell r="D872" t="str">
            <v>PT Menara Terus Makmur</v>
          </cell>
          <cell r="E872" t="str">
            <v>PEB 1</v>
          </cell>
          <cell r="M872">
            <v>0</v>
          </cell>
          <cell r="N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</row>
        <row r="873">
          <cell r="E873" t="str">
            <v>PEB 2</v>
          </cell>
          <cell r="M873">
            <v>0</v>
          </cell>
          <cell r="N873">
            <v>0</v>
          </cell>
        </row>
        <row r="874">
          <cell r="E874" t="str">
            <v>PEB 3</v>
          </cell>
          <cell r="M874">
            <v>0</v>
          </cell>
          <cell r="N874">
            <v>0</v>
          </cell>
        </row>
        <row r="875">
          <cell r="E875" t="str">
            <v>PEB 4</v>
          </cell>
          <cell r="M875">
            <v>0</v>
          </cell>
          <cell r="N875">
            <v>0</v>
          </cell>
        </row>
        <row r="876">
          <cell r="E876" t="str">
            <v>PEB 5</v>
          </cell>
          <cell r="M876">
            <v>0</v>
          </cell>
          <cell r="N876">
            <v>0</v>
          </cell>
        </row>
        <row r="877">
          <cell r="E877" t="str">
            <v>PEB 6</v>
          </cell>
          <cell r="M877">
            <v>0</v>
          </cell>
          <cell r="N877">
            <v>0</v>
          </cell>
        </row>
        <row r="878">
          <cell r="E878" t="str">
            <v>PEB 7 / TB</v>
          </cell>
          <cell r="M878">
            <v>0</v>
          </cell>
          <cell r="N878">
            <v>0</v>
          </cell>
        </row>
        <row r="879">
          <cell r="E879" t="str">
            <v>MPP</v>
          </cell>
          <cell r="M879">
            <v>0</v>
          </cell>
          <cell r="N879">
            <v>0</v>
          </cell>
        </row>
        <row r="880">
          <cell r="E880" t="str">
            <v>ID</v>
          </cell>
          <cell r="M880">
            <v>0</v>
          </cell>
          <cell r="N880">
            <v>0</v>
          </cell>
        </row>
        <row r="881">
          <cell r="E881" t="str">
            <v>LL</v>
          </cell>
          <cell r="M881">
            <v>0</v>
          </cell>
          <cell r="N881">
            <v>0</v>
          </cell>
        </row>
        <row r="882">
          <cell r="E882" t="str">
            <v>PMK</v>
          </cell>
          <cell r="M882">
            <v>0</v>
          </cell>
          <cell r="N882">
            <v>0</v>
          </cell>
        </row>
        <row r="884">
          <cell r="C884" t="str">
            <v>A0097</v>
          </cell>
          <cell r="D884" t="str">
            <v>PT Mesin Isuzu Indonesia</v>
          </cell>
          <cell r="E884" t="str">
            <v>PEB 1</v>
          </cell>
          <cell r="M884">
            <v>0</v>
          </cell>
          <cell r="N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</row>
        <row r="885">
          <cell r="E885" t="str">
            <v>PEB 2</v>
          </cell>
          <cell r="M885">
            <v>0</v>
          </cell>
          <cell r="N885">
            <v>0</v>
          </cell>
        </row>
        <row r="886">
          <cell r="E886" t="str">
            <v>PEB 3</v>
          </cell>
          <cell r="M886">
            <v>0</v>
          </cell>
          <cell r="N886">
            <v>0</v>
          </cell>
        </row>
        <row r="887">
          <cell r="E887" t="str">
            <v>PEB 4</v>
          </cell>
          <cell r="M887">
            <v>0</v>
          </cell>
          <cell r="N887">
            <v>0</v>
          </cell>
        </row>
        <row r="888">
          <cell r="E888" t="str">
            <v>PEB 5</v>
          </cell>
          <cell r="M888">
            <v>0</v>
          </cell>
          <cell r="N888">
            <v>0</v>
          </cell>
        </row>
        <row r="889">
          <cell r="E889" t="str">
            <v>PEB 6</v>
          </cell>
          <cell r="M889">
            <v>0</v>
          </cell>
          <cell r="N889">
            <v>0</v>
          </cell>
        </row>
        <row r="890">
          <cell r="E890" t="str">
            <v>PEB 7 / TB</v>
          </cell>
          <cell r="M890">
            <v>0</v>
          </cell>
          <cell r="N890">
            <v>0</v>
          </cell>
        </row>
        <row r="891">
          <cell r="E891" t="str">
            <v>MPP</v>
          </cell>
          <cell r="M891">
            <v>0</v>
          </cell>
          <cell r="N891">
            <v>0</v>
          </cell>
        </row>
        <row r="892">
          <cell r="E892" t="str">
            <v>ID</v>
          </cell>
          <cell r="M892">
            <v>0</v>
          </cell>
          <cell r="N892">
            <v>0</v>
          </cell>
        </row>
        <row r="893">
          <cell r="E893" t="str">
            <v>LL</v>
          </cell>
          <cell r="M893">
            <v>0</v>
          </cell>
          <cell r="N893">
            <v>0</v>
          </cell>
        </row>
        <row r="894">
          <cell r="E894" t="str">
            <v>PMK</v>
          </cell>
          <cell r="M894">
            <v>0</v>
          </cell>
          <cell r="N894">
            <v>0</v>
          </cell>
        </row>
        <row r="896">
          <cell r="C896" t="str">
            <v>A0451</v>
          </cell>
          <cell r="D896" t="str">
            <v>PT Multi Prima Universal</v>
          </cell>
          <cell r="E896" t="str">
            <v>PEB 1</v>
          </cell>
          <cell r="M896">
            <v>0</v>
          </cell>
          <cell r="N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K896">
            <v>661617.92963871697</v>
          </cell>
        </row>
        <row r="897">
          <cell r="E897" t="str">
            <v>PEB 2</v>
          </cell>
          <cell r="M897">
            <v>0</v>
          </cell>
          <cell r="N897">
            <v>0</v>
          </cell>
        </row>
        <row r="898">
          <cell r="E898" t="str">
            <v>PEB 3</v>
          </cell>
          <cell r="M898">
            <v>0</v>
          </cell>
          <cell r="N898">
            <v>0</v>
          </cell>
        </row>
        <row r="899">
          <cell r="E899" t="str">
            <v>PEB 4</v>
          </cell>
          <cell r="M899">
            <v>0</v>
          </cell>
          <cell r="N899">
            <v>0</v>
          </cell>
        </row>
        <row r="900">
          <cell r="E900" t="str">
            <v>PEB 5</v>
          </cell>
          <cell r="M900">
            <v>0</v>
          </cell>
          <cell r="N900">
            <v>0</v>
          </cell>
        </row>
        <row r="901">
          <cell r="E901" t="str">
            <v>PEB 6</v>
          </cell>
          <cell r="M901">
            <v>0</v>
          </cell>
          <cell r="N901">
            <v>0</v>
          </cell>
        </row>
        <row r="902">
          <cell r="E902" t="str">
            <v>PEB 7 / TB</v>
          </cell>
          <cell r="M902">
            <v>0</v>
          </cell>
          <cell r="N902">
            <v>0</v>
          </cell>
        </row>
        <row r="903">
          <cell r="E903" t="str">
            <v>MPP</v>
          </cell>
          <cell r="M903">
            <v>0</v>
          </cell>
          <cell r="N903">
            <v>0</v>
          </cell>
        </row>
        <row r="904">
          <cell r="E904" t="str">
            <v>ID</v>
          </cell>
          <cell r="M904">
            <v>0</v>
          </cell>
          <cell r="N904">
            <v>0</v>
          </cell>
        </row>
        <row r="905">
          <cell r="E905" t="str">
            <v>LL</v>
          </cell>
          <cell r="M905">
            <v>0</v>
          </cell>
          <cell r="N905">
            <v>0</v>
          </cell>
        </row>
        <row r="906">
          <cell r="E906" t="str">
            <v>PMK</v>
          </cell>
          <cell r="M906">
            <v>0</v>
          </cell>
          <cell r="N906">
            <v>0</v>
          </cell>
        </row>
        <row r="908">
          <cell r="C908" t="str">
            <v>A0329</v>
          </cell>
          <cell r="D908" t="str">
            <v>PT Nirmala Agro Lestari</v>
          </cell>
          <cell r="E908" t="str">
            <v>PEB 1</v>
          </cell>
          <cell r="M908">
            <v>0</v>
          </cell>
          <cell r="N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</row>
        <row r="909">
          <cell r="E909" t="str">
            <v>PEB 2</v>
          </cell>
          <cell r="M909">
            <v>0</v>
          </cell>
          <cell r="N909">
            <v>0</v>
          </cell>
        </row>
        <row r="910">
          <cell r="E910" t="str">
            <v>PEB 3</v>
          </cell>
          <cell r="M910">
            <v>0</v>
          </cell>
          <cell r="N910">
            <v>0</v>
          </cell>
        </row>
        <row r="911">
          <cell r="E911" t="str">
            <v>PEB 4</v>
          </cell>
          <cell r="M911">
            <v>0</v>
          </cell>
          <cell r="N911">
            <v>0</v>
          </cell>
        </row>
        <row r="912">
          <cell r="E912" t="str">
            <v>PEB 5</v>
          </cell>
          <cell r="M912">
            <v>0</v>
          </cell>
          <cell r="N912">
            <v>0</v>
          </cell>
        </row>
        <row r="913">
          <cell r="E913" t="str">
            <v>PEB 6</v>
          </cell>
          <cell r="M913">
            <v>0</v>
          </cell>
          <cell r="N913">
            <v>0</v>
          </cell>
        </row>
        <row r="914">
          <cell r="E914" t="str">
            <v>PEB 7 / TB</v>
          </cell>
          <cell r="M914">
            <v>0</v>
          </cell>
          <cell r="N914">
            <v>0</v>
          </cell>
        </row>
        <row r="915">
          <cell r="E915" t="str">
            <v>MPP</v>
          </cell>
          <cell r="M915">
            <v>0</v>
          </cell>
          <cell r="N915">
            <v>0</v>
          </cell>
        </row>
        <row r="916">
          <cell r="E916" t="str">
            <v>ID</v>
          </cell>
          <cell r="M916">
            <v>0</v>
          </cell>
          <cell r="N916">
            <v>0</v>
          </cell>
        </row>
        <row r="917">
          <cell r="E917" t="str">
            <v>LL</v>
          </cell>
          <cell r="M917">
            <v>0</v>
          </cell>
          <cell r="N917">
            <v>0</v>
          </cell>
        </row>
        <row r="918">
          <cell r="E918" t="str">
            <v>PMK</v>
          </cell>
          <cell r="M918">
            <v>0</v>
          </cell>
          <cell r="N918">
            <v>0</v>
          </cell>
        </row>
        <row r="920">
          <cell r="C920" t="str">
            <v>A0345</v>
          </cell>
          <cell r="D920" t="str">
            <v>PT Nusa Keihin Indonesia</v>
          </cell>
          <cell r="E920" t="str">
            <v>PEB 1</v>
          </cell>
          <cell r="M920">
            <v>0</v>
          </cell>
          <cell r="N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</row>
        <row r="921">
          <cell r="E921" t="str">
            <v>PEB 2</v>
          </cell>
          <cell r="M921">
            <v>0</v>
          </cell>
          <cell r="N921">
            <v>0</v>
          </cell>
        </row>
        <row r="922">
          <cell r="E922" t="str">
            <v>PEB 3</v>
          </cell>
          <cell r="M922">
            <v>0</v>
          </cell>
          <cell r="N922">
            <v>0</v>
          </cell>
        </row>
        <row r="923">
          <cell r="E923" t="str">
            <v>PEB 4</v>
          </cell>
          <cell r="M923">
            <v>0</v>
          </cell>
          <cell r="N923">
            <v>0</v>
          </cell>
        </row>
        <row r="924">
          <cell r="E924" t="str">
            <v>PEB 5</v>
          </cell>
          <cell r="M924">
            <v>0</v>
          </cell>
          <cell r="N924">
            <v>0</v>
          </cell>
        </row>
        <row r="925">
          <cell r="E925" t="str">
            <v>PEB 6</v>
          </cell>
          <cell r="M925">
            <v>0</v>
          </cell>
          <cell r="N925">
            <v>0</v>
          </cell>
        </row>
        <row r="926">
          <cell r="E926" t="str">
            <v>PEB 7 / TB</v>
          </cell>
          <cell r="M926">
            <v>0</v>
          </cell>
          <cell r="N926">
            <v>0</v>
          </cell>
        </row>
        <row r="927">
          <cell r="E927" t="str">
            <v>MPP</v>
          </cell>
          <cell r="M927">
            <v>0</v>
          </cell>
          <cell r="N927">
            <v>0</v>
          </cell>
        </row>
        <row r="928">
          <cell r="E928" t="str">
            <v>ID</v>
          </cell>
          <cell r="M928">
            <v>0</v>
          </cell>
          <cell r="N928">
            <v>0</v>
          </cell>
        </row>
        <row r="929">
          <cell r="E929" t="str">
            <v>LL</v>
          </cell>
          <cell r="M929">
            <v>0</v>
          </cell>
          <cell r="N929">
            <v>0</v>
          </cell>
        </row>
        <row r="930">
          <cell r="E930" t="str">
            <v>PMK</v>
          </cell>
          <cell r="M930">
            <v>0</v>
          </cell>
          <cell r="N930">
            <v>0</v>
          </cell>
        </row>
        <row r="932">
          <cell r="C932" t="str">
            <v>A0231</v>
          </cell>
          <cell r="D932" t="str">
            <v>PT Pama Indo Mining</v>
          </cell>
          <cell r="E932" t="str">
            <v>PEB 1</v>
          </cell>
          <cell r="M932">
            <v>0</v>
          </cell>
          <cell r="N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</row>
        <row r="933">
          <cell r="E933" t="str">
            <v>PEB 2</v>
          </cell>
          <cell r="M933">
            <v>0</v>
          </cell>
          <cell r="N933">
            <v>0</v>
          </cell>
        </row>
        <row r="934">
          <cell r="E934" t="str">
            <v>PEB 3</v>
          </cell>
          <cell r="M934">
            <v>0</v>
          </cell>
          <cell r="N934">
            <v>0</v>
          </cell>
        </row>
        <row r="935">
          <cell r="E935" t="str">
            <v>PEB 4</v>
          </cell>
          <cell r="M935">
            <v>0</v>
          </cell>
          <cell r="N935">
            <v>0</v>
          </cell>
        </row>
        <row r="936">
          <cell r="E936" t="str">
            <v>PEB 5</v>
          </cell>
          <cell r="M936">
            <v>0</v>
          </cell>
          <cell r="N936">
            <v>0</v>
          </cell>
        </row>
        <row r="937">
          <cell r="E937" t="str">
            <v>PEB 6</v>
          </cell>
          <cell r="M937">
            <v>0</v>
          </cell>
          <cell r="N937">
            <v>0</v>
          </cell>
        </row>
        <row r="938">
          <cell r="E938" t="str">
            <v>PEB 7 / TB</v>
          </cell>
          <cell r="M938">
            <v>0</v>
          </cell>
          <cell r="N938">
            <v>0</v>
          </cell>
        </row>
        <row r="939">
          <cell r="E939" t="str">
            <v>MPP</v>
          </cell>
          <cell r="M939">
            <v>0</v>
          </cell>
          <cell r="N939">
            <v>0</v>
          </cell>
        </row>
        <row r="940">
          <cell r="E940" t="str">
            <v>ID</v>
          </cell>
          <cell r="M940">
            <v>0</v>
          </cell>
          <cell r="N940">
            <v>0</v>
          </cell>
        </row>
        <row r="941">
          <cell r="E941" t="str">
            <v>LL</v>
          </cell>
          <cell r="M941">
            <v>0</v>
          </cell>
          <cell r="N941">
            <v>0</v>
          </cell>
        </row>
        <row r="942">
          <cell r="E942" t="str">
            <v>PMK</v>
          </cell>
          <cell r="M942">
            <v>0</v>
          </cell>
          <cell r="N942">
            <v>0</v>
          </cell>
        </row>
        <row r="944">
          <cell r="C944" t="str">
            <v>A0112</v>
          </cell>
          <cell r="D944" t="str">
            <v>PT Pama Persada Nusantara</v>
          </cell>
          <cell r="E944" t="str">
            <v>PEB 1</v>
          </cell>
          <cell r="M944">
            <v>0</v>
          </cell>
          <cell r="N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L944">
            <v>158468</v>
          </cell>
        </row>
        <row r="945">
          <cell r="E945" t="str">
            <v>PEB 2</v>
          </cell>
          <cell r="M945">
            <v>0</v>
          </cell>
          <cell r="N945">
            <v>0</v>
          </cell>
        </row>
        <row r="946">
          <cell r="E946" t="str">
            <v>PEB 3</v>
          </cell>
          <cell r="M946">
            <v>0</v>
          </cell>
          <cell r="N946">
            <v>0</v>
          </cell>
        </row>
        <row r="947">
          <cell r="E947" t="str">
            <v>PEB 4</v>
          </cell>
          <cell r="M947">
            <v>0</v>
          </cell>
          <cell r="N947">
            <v>0</v>
          </cell>
        </row>
        <row r="948">
          <cell r="E948" t="str">
            <v>PEB 5</v>
          </cell>
          <cell r="M948">
            <v>0</v>
          </cell>
          <cell r="N948">
            <v>0</v>
          </cell>
        </row>
        <row r="949">
          <cell r="E949" t="str">
            <v>PEB 6</v>
          </cell>
          <cell r="M949">
            <v>0</v>
          </cell>
          <cell r="N949">
            <v>0</v>
          </cell>
        </row>
        <row r="950">
          <cell r="E950" t="str">
            <v>PEB 7 / TB</v>
          </cell>
          <cell r="M950">
            <v>0</v>
          </cell>
          <cell r="N950">
            <v>0</v>
          </cell>
        </row>
        <row r="951">
          <cell r="E951" t="str">
            <v>MPP</v>
          </cell>
          <cell r="M951">
            <v>0</v>
          </cell>
          <cell r="N951">
            <v>0</v>
          </cell>
        </row>
        <row r="952">
          <cell r="E952" t="str">
            <v>ID</v>
          </cell>
          <cell r="M952">
            <v>0</v>
          </cell>
          <cell r="N952">
            <v>0</v>
          </cell>
        </row>
        <row r="953">
          <cell r="E953" t="str">
            <v>LL</v>
          </cell>
          <cell r="M953">
            <v>0</v>
          </cell>
          <cell r="N953">
            <v>0</v>
          </cell>
        </row>
        <row r="954">
          <cell r="E954" t="str">
            <v>PMK</v>
          </cell>
          <cell r="M954">
            <v>0</v>
          </cell>
          <cell r="N954">
            <v>0</v>
          </cell>
        </row>
        <row r="956">
          <cell r="C956" t="str">
            <v>A0258</v>
          </cell>
          <cell r="D956" t="str">
            <v>PT Pandji Waringin</v>
          </cell>
          <cell r="E956" t="str">
            <v>PEB 1</v>
          </cell>
          <cell r="M956">
            <v>0</v>
          </cell>
          <cell r="N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</row>
        <row r="957">
          <cell r="E957" t="str">
            <v>PEB 2</v>
          </cell>
          <cell r="M957">
            <v>0</v>
          </cell>
          <cell r="N957">
            <v>0</v>
          </cell>
        </row>
        <row r="958">
          <cell r="E958" t="str">
            <v>PEB 3</v>
          </cell>
          <cell r="M958">
            <v>0</v>
          </cell>
          <cell r="N958">
            <v>0</v>
          </cell>
        </row>
        <row r="959">
          <cell r="E959" t="str">
            <v>PEB 4</v>
          </cell>
          <cell r="M959">
            <v>0</v>
          </cell>
          <cell r="N959">
            <v>0</v>
          </cell>
        </row>
        <row r="960">
          <cell r="E960" t="str">
            <v>PEB 5</v>
          </cell>
          <cell r="M960">
            <v>0</v>
          </cell>
          <cell r="N960">
            <v>0</v>
          </cell>
        </row>
        <row r="961">
          <cell r="E961" t="str">
            <v>PEB 6</v>
          </cell>
          <cell r="M961">
            <v>0</v>
          </cell>
          <cell r="N961">
            <v>0</v>
          </cell>
        </row>
        <row r="962">
          <cell r="E962" t="str">
            <v>PEB 7 / TB</v>
          </cell>
          <cell r="M962">
            <v>0</v>
          </cell>
          <cell r="N962">
            <v>0</v>
          </cell>
        </row>
        <row r="963">
          <cell r="E963" t="str">
            <v>MPP</v>
          </cell>
          <cell r="M963">
            <v>0</v>
          </cell>
          <cell r="N963">
            <v>0</v>
          </cell>
        </row>
        <row r="964">
          <cell r="E964" t="str">
            <v>ID</v>
          </cell>
          <cell r="M964">
            <v>0</v>
          </cell>
          <cell r="N964">
            <v>0</v>
          </cell>
        </row>
        <row r="965">
          <cell r="E965" t="str">
            <v>LL</v>
          </cell>
          <cell r="M965">
            <v>0</v>
          </cell>
          <cell r="N965">
            <v>0</v>
          </cell>
        </row>
        <row r="966">
          <cell r="E966" t="str">
            <v>PMK</v>
          </cell>
          <cell r="M966">
            <v>0</v>
          </cell>
          <cell r="N966">
            <v>0</v>
          </cell>
        </row>
        <row r="968">
          <cell r="C968" t="str">
            <v>A0267</v>
          </cell>
          <cell r="D968" t="str">
            <v>PT Pasang Kayu</v>
          </cell>
          <cell r="E968" t="str">
            <v>PEB 1</v>
          </cell>
          <cell r="M968">
            <v>0</v>
          </cell>
          <cell r="N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</row>
        <row r="969">
          <cell r="E969" t="str">
            <v>PEB 2</v>
          </cell>
          <cell r="M969">
            <v>0</v>
          </cell>
          <cell r="N969">
            <v>0</v>
          </cell>
        </row>
        <row r="970">
          <cell r="E970" t="str">
            <v>PEB 3</v>
          </cell>
          <cell r="M970">
            <v>0</v>
          </cell>
          <cell r="N970">
            <v>0</v>
          </cell>
        </row>
        <row r="971">
          <cell r="E971" t="str">
            <v>PEB 4</v>
          </cell>
          <cell r="M971">
            <v>0</v>
          </cell>
          <cell r="N971">
            <v>0</v>
          </cell>
        </row>
        <row r="972">
          <cell r="E972" t="str">
            <v>PEB 5</v>
          </cell>
          <cell r="M972">
            <v>0</v>
          </cell>
          <cell r="N972">
            <v>0</v>
          </cell>
        </row>
        <row r="973">
          <cell r="E973" t="str">
            <v>PEB 6</v>
          </cell>
          <cell r="M973">
            <v>0</v>
          </cell>
          <cell r="N973">
            <v>0</v>
          </cell>
        </row>
        <row r="974">
          <cell r="E974" t="str">
            <v>PEB 7 / TB</v>
          </cell>
          <cell r="M974">
            <v>0</v>
          </cell>
          <cell r="N974">
            <v>0</v>
          </cell>
        </row>
        <row r="975">
          <cell r="E975" t="str">
            <v>MPP</v>
          </cell>
          <cell r="M975">
            <v>0</v>
          </cell>
          <cell r="N975">
            <v>0</v>
          </cell>
        </row>
        <row r="976">
          <cell r="E976" t="str">
            <v>ID</v>
          </cell>
          <cell r="M976">
            <v>0</v>
          </cell>
          <cell r="N976">
            <v>0</v>
          </cell>
        </row>
        <row r="977">
          <cell r="E977" t="str">
            <v>LL</v>
          </cell>
          <cell r="M977">
            <v>0</v>
          </cell>
          <cell r="N977">
            <v>0</v>
          </cell>
        </row>
        <row r="978">
          <cell r="E978" t="str">
            <v>PMK</v>
          </cell>
          <cell r="M978">
            <v>0</v>
          </cell>
          <cell r="N978">
            <v>0</v>
          </cell>
        </row>
        <row r="980">
          <cell r="C980" t="str">
            <v>A0117</v>
          </cell>
          <cell r="D980" t="str">
            <v>PT Perkebunan Lembah Bhakti</v>
          </cell>
          <cell r="E980" t="str">
            <v>PEB 1</v>
          </cell>
          <cell r="M980">
            <v>0</v>
          </cell>
          <cell r="N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</row>
        <row r="981">
          <cell r="E981" t="str">
            <v>PEB 2</v>
          </cell>
          <cell r="M981">
            <v>0</v>
          </cell>
          <cell r="N981">
            <v>0</v>
          </cell>
        </row>
        <row r="982">
          <cell r="E982" t="str">
            <v>PEB 3</v>
          </cell>
          <cell r="M982">
            <v>0</v>
          </cell>
          <cell r="N982">
            <v>0</v>
          </cell>
        </row>
        <row r="983">
          <cell r="E983" t="str">
            <v>PEB 4</v>
          </cell>
          <cell r="M983">
            <v>0</v>
          </cell>
          <cell r="N983">
            <v>0</v>
          </cell>
        </row>
        <row r="984">
          <cell r="E984" t="str">
            <v>PEB 5</v>
          </cell>
          <cell r="M984">
            <v>0</v>
          </cell>
          <cell r="N984">
            <v>0</v>
          </cell>
        </row>
        <row r="985">
          <cell r="E985" t="str">
            <v>PEB 6</v>
          </cell>
          <cell r="M985">
            <v>0</v>
          </cell>
          <cell r="N985">
            <v>0</v>
          </cell>
        </row>
        <row r="986">
          <cell r="E986" t="str">
            <v>PEB 7 / TB</v>
          </cell>
          <cell r="M986">
            <v>0</v>
          </cell>
          <cell r="N986">
            <v>0</v>
          </cell>
        </row>
        <row r="987">
          <cell r="E987" t="str">
            <v>MPP</v>
          </cell>
          <cell r="M987">
            <v>0</v>
          </cell>
          <cell r="N987">
            <v>0</v>
          </cell>
        </row>
        <row r="988">
          <cell r="E988" t="str">
            <v>ID</v>
          </cell>
          <cell r="M988">
            <v>0</v>
          </cell>
          <cell r="N988">
            <v>0</v>
          </cell>
        </row>
        <row r="989">
          <cell r="E989" t="str">
            <v>LL</v>
          </cell>
          <cell r="M989">
            <v>0</v>
          </cell>
          <cell r="N989">
            <v>0</v>
          </cell>
        </row>
        <row r="990">
          <cell r="E990" t="str">
            <v>PMK</v>
          </cell>
          <cell r="M990">
            <v>0</v>
          </cell>
          <cell r="N990">
            <v>0</v>
          </cell>
        </row>
        <row r="992">
          <cell r="C992" t="str">
            <v>A0249</v>
          </cell>
          <cell r="D992" t="str">
            <v>PT Persada Bina Nusantara Abadi</v>
          </cell>
          <cell r="E992" t="str">
            <v>PEB 1</v>
          </cell>
          <cell r="M992">
            <v>0</v>
          </cell>
          <cell r="N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</row>
        <row r="993">
          <cell r="E993" t="str">
            <v>PEB 2</v>
          </cell>
          <cell r="M993">
            <v>0</v>
          </cell>
          <cell r="N993">
            <v>0</v>
          </cell>
        </row>
        <row r="994">
          <cell r="E994" t="str">
            <v>PEB 3</v>
          </cell>
          <cell r="M994">
            <v>0</v>
          </cell>
          <cell r="N994">
            <v>0</v>
          </cell>
        </row>
        <row r="995">
          <cell r="E995" t="str">
            <v>PEB 4</v>
          </cell>
          <cell r="M995">
            <v>0</v>
          </cell>
          <cell r="N995">
            <v>0</v>
          </cell>
        </row>
        <row r="996">
          <cell r="E996" t="str">
            <v>PEB 5</v>
          </cell>
          <cell r="M996">
            <v>0</v>
          </cell>
          <cell r="N996">
            <v>0</v>
          </cell>
        </row>
        <row r="997">
          <cell r="E997" t="str">
            <v>PEB 6</v>
          </cell>
          <cell r="M997">
            <v>0</v>
          </cell>
          <cell r="N997">
            <v>0</v>
          </cell>
        </row>
        <row r="998">
          <cell r="E998" t="str">
            <v>PEB 7 / TB</v>
          </cell>
          <cell r="M998">
            <v>0</v>
          </cell>
          <cell r="N998">
            <v>0</v>
          </cell>
        </row>
        <row r="999">
          <cell r="E999" t="str">
            <v>MPP</v>
          </cell>
          <cell r="M999">
            <v>0</v>
          </cell>
          <cell r="N999">
            <v>0</v>
          </cell>
        </row>
        <row r="1000">
          <cell r="E1000" t="str">
            <v>ID</v>
          </cell>
          <cell r="M1000">
            <v>0</v>
          </cell>
          <cell r="N1000">
            <v>0</v>
          </cell>
        </row>
        <row r="1001">
          <cell r="E1001" t="str">
            <v>LL</v>
          </cell>
          <cell r="M1001">
            <v>0</v>
          </cell>
          <cell r="N1001">
            <v>0</v>
          </cell>
        </row>
        <row r="1002">
          <cell r="E1002" t="str">
            <v>PMK</v>
          </cell>
          <cell r="M1002">
            <v>0</v>
          </cell>
          <cell r="N1002">
            <v>0</v>
          </cell>
        </row>
        <row r="1004">
          <cell r="C1004" t="str">
            <v>A0057</v>
          </cell>
          <cell r="D1004" t="str">
            <v>PT Pratama Sedaya Finance</v>
          </cell>
          <cell r="E1004" t="str">
            <v>PEB 1</v>
          </cell>
          <cell r="M1004">
            <v>0</v>
          </cell>
          <cell r="N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</row>
        <row r="1005">
          <cell r="E1005" t="str">
            <v>PEB 2</v>
          </cell>
          <cell r="M1005">
            <v>0</v>
          </cell>
          <cell r="N1005">
            <v>0</v>
          </cell>
        </row>
        <row r="1006">
          <cell r="E1006" t="str">
            <v>PEB 3</v>
          </cell>
          <cell r="M1006">
            <v>0</v>
          </cell>
          <cell r="N1006">
            <v>0</v>
          </cell>
        </row>
        <row r="1007">
          <cell r="E1007" t="str">
            <v>PEB 4</v>
          </cell>
          <cell r="M1007">
            <v>0</v>
          </cell>
          <cell r="N1007">
            <v>0</v>
          </cell>
        </row>
        <row r="1008">
          <cell r="E1008" t="str">
            <v>PEB 5</v>
          </cell>
          <cell r="M1008">
            <v>0</v>
          </cell>
          <cell r="N1008">
            <v>0</v>
          </cell>
        </row>
        <row r="1009">
          <cell r="E1009" t="str">
            <v>PEB 6</v>
          </cell>
          <cell r="M1009">
            <v>0</v>
          </cell>
          <cell r="N1009">
            <v>0</v>
          </cell>
        </row>
        <row r="1010">
          <cell r="E1010" t="str">
            <v>PEB 7 / TB</v>
          </cell>
          <cell r="M1010">
            <v>0</v>
          </cell>
          <cell r="N1010">
            <v>0</v>
          </cell>
        </row>
        <row r="1011">
          <cell r="E1011" t="str">
            <v>MPP</v>
          </cell>
          <cell r="M1011">
            <v>0</v>
          </cell>
          <cell r="N1011">
            <v>0</v>
          </cell>
        </row>
        <row r="1012">
          <cell r="E1012" t="str">
            <v>ID</v>
          </cell>
          <cell r="M1012">
            <v>0</v>
          </cell>
          <cell r="N1012">
            <v>0</v>
          </cell>
        </row>
        <row r="1013">
          <cell r="E1013" t="str">
            <v>LL</v>
          </cell>
          <cell r="M1013">
            <v>0</v>
          </cell>
          <cell r="N1013">
            <v>0</v>
          </cell>
        </row>
        <row r="1014">
          <cell r="E1014" t="str">
            <v>PMK</v>
          </cell>
          <cell r="M1014">
            <v>0</v>
          </cell>
          <cell r="N1014">
            <v>0</v>
          </cell>
        </row>
        <row r="1016">
          <cell r="C1016" t="str">
            <v>A0424</v>
          </cell>
          <cell r="D1016" t="str">
            <v>PT Prima Multi Mineral</v>
          </cell>
          <cell r="E1016" t="str">
            <v>PEB 1</v>
          </cell>
          <cell r="M1016">
            <v>0</v>
          </cell>
          <cell r="N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</row>
        <row r="1017">
          <cell r="E1017" t="str">
            <v>PEB 2</v>
          </cell>
          <cell r="M1017">
            <v>0</v>
          </cell>
          <cell r="N1017">
            <v>0</v>
          </cell>
        </row>
        <row r="1018">
          <cell r="E1018" t="str">
            <v>PEB 3</v>
          </cell>
          <cell r="M1018">
            <v>0</v>
          </cell>
          <cell r="N1018">
            <v>0</v>
          </cell>
        </row>
        <row r="1019">
          <cell r="E1019" t="str">
            <v>PEB 4</v>
          </cell>
          <cell r="M1019">
            <v>0</v>
          </cell>
          <cell r="N1019">
            <v>0</v>
          </cell>
        </row>
        <row r="1020">
          <cell r="E1020" t="str">
            <v>PEB 5</v>
          </cell>
          <cell r="M1020">
            <v>0</v>
          </cell>
          <cell r="N1020">
            <v>0</v>
          </cell>
        </row>
        <row r="1021">
          <cell r="E1021" t="str">
            <v>PEB 6</v>
          </cell>
          <cell r="M1021">
            <v>0</v>
          </cell>
          <cell r="N1021">
            <v>0</v>
          </cell>
        </row>
        <row r="1022">
          <cell r="E1022" t="str">
            <v>PEB 7 / TB</v>
          </cell>
          <cell r="M1022">
            <v>0</v>
          </cell>
          <cell r="N1022">
            <v>0</v>
          </cell>
        </row>
        <row r="1023">
          <cell r="E1023" t="str">
            <v>MPP</v>
          </cell>
          <cell r="M1023">
            <v>0</v>
          </cell>
          <cell r="N1023">
            <v>0</v>
          </cell>
        </row>
        <row r="1024">
          <cell r="E1024" t="str">
            <v>ID</v>
          </cell>
          <cell r="M1024">
            <v>0</v>
          </cell>
          <cell r="N1024">
            <v>0</v>
          </cell>
        </row>
        <row r="1025">
          <cell r="E1025" t="str">
            <v>LL</v>
          </cell>
          <cell r="M1025">
            <v>0</v>
          </cell>
          <cell r="N1025">
            <v>0</v>
          </cell>
        </row>
        <row r="1026">
          <cell r="E1026" t="str">
            <v>PMK</v>
          </cell>
          <cell r="M1026">
            <v>0</v>
          </cell>
          <cell r="N1026">
            <v>0</v>
          </cell>
        </row>
        <row r="1028">
          <cell r="C1028" t="str">
            <v>A0439</v>
          </cell>
          <cell r="D1028" t="str">
            <v>PT Rimbunan Alam Sentosa</v>
          </cell>
          <cell r="E1028" t="str">
            <v>PEB 1</v>
          </cell>
          <cell r="M1028">
            <v>0</v>
          </cell>
          <cell r="N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</row>
        <row r="1029">
          <cell r="E1029" t="str">
            <v>PEB 2</v>
          </cell>
          <cell r="M1029">
            <v>0</v>
          </cell>
          <cell r="N1029">
            <v>0</v>
          </cell>
        </row>
        <row r="1030">
          <cell r="E1030" t="str">
            <v>PEB 3</v>
          </cell>
          <cell r="M1030">
            <v>0</v>
          </cell>
          <cell r="N1030">
            <v>0</v>
          </cell>
        </row>
        <row r="1031">
          <cell r="E1031" t="str">
            <v>PEB 4</v>
          </cell>
          <cell r="M1031">
            <v>0</v>
          </cell>
          <cell r="N1031">
            <v>0</v>
          </cell>
        </row>
        <row r="1032">
          <cell r="E1032" t="str">
            <v>PEB 5</v>
          </cell>
          <cell r="M1032">
            <v>0</v>
          </cell>
          <cell r="N1032">
            <v>0</v>
          </cell>
        </row>
        <row r="1033">
          <cell r="E1033" t="str">
            <v>PEB 6</v>
          </cell>
          <cell r="M1033">
            <v>0</v>
          </cell>
          <cell r="N1033">
            <v>0</v>
          </cell>
        </row>
        <row r="1034">
          <cell r="E1034" t="str">
            <v>PEB 7 / TB</v>
          </cell>
          <cell r="M1034">
            <v>0</v>
          </cell>
          <cell r="N1034">
            <v>0</v>
          </cell>
        </row>
        <row r="1035">
          <cell r="E1035" t="str">
            <v>MPP</v>
          </cell>
          <cell r="M1035">
            <v>0</v>
          </cell>
          <cell r="N1035">
            <v>0</v>
          </cell>
        </row>
        <row r="1036">
          <cell r="E1036" t="str">
            <v>ID</v>
          </cell>
          <cell r="M1036">
            <v>0</v>
          </cell>
          <cell r="N1036">
            <v>0</v>
          </cell>
        </row>
        <row r="1037">
          <cell r="E1037" t="str">
            <v>LL</v>
          </cell>
          <cell r="M1037">
            <v>0</v>
          </cell>
          <cell r="N1037">
            <v>0</v>
          </cell>
        </row>
        <row r="1038">
          <cell r="E1038" t="str">
            <v>PMK</v>
          </cell>
          <cell r="M1038">
            <v>0</v>
          </cell>
          <cell r="N1038">
            <v>0</v>
          </cell>
        </row>
        <row r="1040">
          <cell r="C1040" t="str">
            <v>A0126</v>
          </cell>
          <cell r="D1040" t="str">
            <v>PT Sari Aditya Loka</v>
          </cell>
          <cell r="E1040" t="str">
            <v>PEB 1</v>
          </cell>
          <cell r="M1040">
            <v>0</v>
          </cell>
          <cell r="N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</row>
        <row r="1041">
          <cell r="E1041" t="str">
            <v>PEB 2</v>
          </cell>
          <cell r="M1041">
            <v>0</v>
          </cell>
          <cell r="N1041">
            <v>0</v>
          </cell>
        </row>
        <row r="1042">
          <cell r="E1042" t="str">
            <v>PEB 3</v>
          </cell>
          <cell r="M1042">
            <v>0</v>
          </cell>
          <cell r="N1042">
            <v>0</v>
          </cell>
        </row>
        <row r="1043">
          <cell r="E1043" t="str">
            <v>PEB 4</v>
          </cell>
          <cell r="M1043">
            <v>0</v>
          </cell>
          <cell r="N1043">
            <v>0</v>
          </cell>
        </row>
        <row r="1044">
          <cell r="E1044" t="str">
            <v>PEB 5</v>
          </cell>
          <cell r="M1044">
            <v>0</v>
          </cell>
          <cell r="N1044">
            <v>0</v>
          </cell>
        </row>
        <row r="1045">
          <cell r="E1045" t="str">
            <v>PEB 6</v>
          </cell>
          <cell r="M1045">
            <v>0</v>
          </cell>
          <cell r="N1045">
            <v>0</v>
          </cell>
        </row>
        <row r="1046">
          <cell r="E1046" t="str">
            <v>PEB 7 / TB</v>
          </cell>
          <cell r="M1046">
            <v>0</v>
          </cell>
          <cell r="N1046">
            <v>0</v>
          </cell>
        </row>
        <row r="1047">
          <cell r="E1047" t="str">
            <v>MPP</v>
          </cell>
          <cell r="M1047">
            <v>0</v>
          </cell>
          <cell r="N1047">
            <v>0</v>
          </cell>
        </row>
        <row r="1048">
          <cell r="E1048" t="str">
            <v>ID</v>
          </cell>
          <cell r="M1048">
            <v>0</v>
          </cell>
          <cell r="N1048">
            <v>0</v>
          </cell>
        </row>
        <row r="1049">
          <cell r="E1049" t="str">
            <v>LL</v>
          </cell>
          <cell r="M1049">
            <v>0</v>
          </cell>
          <cell r="N1049">
            <v>0</v>
          </cell>
        </row>
        <row r="1050">
          <cell r="E1050" t="str">
            <v>PMK</v>
          </cell>
          <cell r="M1050">
            <v>0</v>
          </cell>
          <cell r="N1050">
            <v>0</v>
          </cell>
        </row>
        <row r="1052">
          <cell r="C1052" t="str">
            <v>A0127</v>
          </cell>
          <cell r="D1052" t="str">
            <v>PT Sari Lembah Subur</v>
          </cell>
          <cell r="E1052" t="str">
            <v>PEB 1</v>
          </cell>
          <cell r="M1052">
            <v>0</v>
          </cell>
          <cell r="N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</row>
        <row r="1053">
          <cell r="E1053" t="str">
            <v>PEB 2</v>
          </cell>
          <cell r="M1053">
            <v>0</v>
          </cell>
          <cell r="N1053">
            <v>0</v>
          </cell>
        </row>
        <row r="1054">
          <cell r="E1054" t="str">
            <v>PEB 3</v>
          </cell>
          <cell r="M1054">
            <v>0</v>
          </cell>
          <cell r="N1054">
            <v>0</v>
          </cell>
        </row>
        <row r="1055">
          <cell r="E1055" t="str">
            <v>PEB 4</v>
          </cell>
          <cell r="M1055">
            <v>0</v>
          </cell>
          <cell r="N1055">
            <v>0</v>
          </cell>
        </row>
        <row r="1056">
          <cell r="E1056" t="str">
            <v>PEB 5</v>
          </cell>
          <cell r="M1056">
            <v>0</v>
          </cell>
          <cell r="N1056">
            <v>0</v>
          </cell>
        </row>
        <row r="1057">
          <cell r="E1057" t="str">
            <v>PEB 6</v>
          </cell>
          <cell r="M1057">
            <v>0</v>
          </cell>
          <cell r="N1057">
            <v>0</v>
          </cell>
        </row>
        <row r="1058">
          <cell r="E1058" t="str">
            <v>PEB 7 / TB</v>
          </cell>
          <cell r="M1058">
            <v>0</v>
          </cell>
          <cell r="N1058">
            <v>0</v>
          </cell>
        </row>
        <row r="1059">
          <cell r="E1059" t="str">
            <v>MPP</v>
          </cell>
          <cell r="M1059">
            <v>0</v>
          </cell>
          <cell r="N1059">
            <v>0</v>
          </cell>
        </row>
        <row r="1060">
          <cell r="E1060" t="str">
            <v>ID</v>
          </cell>
          <cell r="M1060">
            <v>0</v>
          </cell>
          <cell r="N1060">
            <v>0</v>
          </cell>
        </row>
        <row r="1061">
          <cell r="E1061" t="str">
            <v>LL</v>
          </cell>
          <cell r="M1061">
            <v>0</v>
          </cell>
          <cell r="N1061">
            <v>0</v>
          </cell>
        </row>
        <row r="1062">
          <cell r="E1062" t="str">
            <v>PMK</v>
          </cell>
          <cell r="M1062">
            <v>0</v>
          </cell>
          <cell r="N1062">
            <v>0</v>
          </cell>
        </row>
        <row r="1064">
          <cell r="C1064" t="str">
            <v>A0278</v>
          </cell>
          <cell r="D1064" t="str">
            <v>PT Sawit Asahan Indah</v>
          </cell>
          <cell r="E1064" t="str">
            <v>PEB 1</v>
          </cell>
          <cell r="M1064">
            <v>0</v>
          </cell>
          <cell r="N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</row>
        <row r="1065">
          <cell r="E1065" t="str">
            <v>PEB 2</v>
          </cell>
          <cell r="M1065">
            <v>0</v>
          </cell>
          <cell r="N1065">
            <v>0</v>
          </cell>
        </row>
        <row r="1066">
          <cell r="E1066" t="str">
            <v>PEB 3</v>
          </cell>
          <cell r="M1066">
            <v>0</v>
          </cell>
          <cell r="N1066">
            <v>0</v>
          </cell>
        </row>
        <row r="1067">
          <cell r="E1067" t="str">
            <v>PEB 4</v>
          </cell>
          <cell r="M1067">
            <v>0</v>
          </cell>
          <cell r="N1067">
            <v>0</v>
          </cell>
        </row>
        <row r="1068">
          <cell r="E1068" t="str">
            <v>PEB 5</v>
          </cell>
          <cell r="M1068">
            <v>0</v>
          </cell>
          <cell r="N1068">
            <v>0</v>
          </cell>
        </row>
        <row r="1069">
          <cell r="E1069" t="str">
            <v>PEB 6</v>
          </cell>
          <cell r="M1069">
            <v>0</v>
          </cell>
          <cell r="N1069">
            <v>0</v>
          </cell>
        </row>
        <row r="1070">
          <cell r="E1070" t="str">
            <v>PEB 7 / TB</v>
          </cell>
          <cell r="M1070">
            <v>0</v>
          </cell>
          <cell r="N1070">
            <v>0</v>
          </cell>
        </row>
        <row r="1071">
          <cell r="E1071" t="str">
            <v>MPP</v>
          </cell>
          <cell r="M1071">
            <v>0</v>
          </cell>
          <cell r="N1071">
            <v>0</v>
          </cell>
        </row>
        <row r="1072">
          <cell r="E1072" t="str">
            <v>ID</v>
          </cell>
          <cell r="M1072">
            <v>0</v>
          </cell>
          <cell r="N1072">
            <v>0</v>
          </cell>
        </row>
        <row r="1073">
          <cell r="E1073" t="str">
            <v>LL</v>
          </cell>
          <cell r="M1073">
            <v>0</v>
          </cell>
          <cell r="N1073">
            <v>0</v>
          </cell>
        </row>
        <row r="1074">
          <cell r="E1074" t="str">
            <v>PMK</v>
          </cell>
          <cell r="M1074">
            <v>0</v>
          </cell>
          <cell r="N1074">
            <v>0</v>
          </cell>
        </row>
        <row r="1076">
          <cell r="C1076" t="str">
            <v>A0436</v>
          </cell>
          <cell r="D1076" t="str">
            <v>PT Sawit Jaya Abadi</v>
          </cell>
          <cell r="E1076" t="str">
            <v>PEB 1</v>
          </cell>
          <cell r="M1076">
            <v>0</v>
          </cell>
          <cell r="N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</row>
        <row r="1077">
          <cell r="E1077" t="str">
            <v>PEB 2</v>
          </cell>
          <cell r="M1077">
            <v>0</v>
          </cell>
          <cell r="N1077">
            <v>0</v>
          </cell>
        </row>
        <row r="1078">
          <cell r="E1078" t="str">
            <v>PEB 3</v>
          </cell>
          <cell r="M1078">
            <v>0</v>
          </cell>
          <cell r="N1078">
            <v>0</v>
          </cell>
        </row>
        <row r="1079">
          <cell r="E1079" t="str">
            <v>PEB 4</v>
          </cell>
          <cell r="M1079">
            <v>0</v>
          </cell>
          <cell r="N1079">
            <v>0</v>
          </cell>
        </row>
        <row r="1080">
          <cell r="E1080" t="str">
            <v>PEB 5</v>
          </cell>
          <cell r="M1080">
            <v>0</v>
          </cell>
          <cell r="N1080">
            <v>0</v>
          </cell>
        </row>
        <row r="1081">
          <cell r="E1081" t="str">
            <v>PEB 6</v>
          </cell>
          <cell r="M1081">
            <v>0</v>
          </cell>
          <cell r="N1081">
            <v>0</v>
          </cell>
        </row>
        <row r="1082">
          <cell r="E1082" t="str">
            <v>PEB 7 / TB</v>
          </cell>
          <cell r="M1082">
            <v>0</v>
          </cell>
          <cell r="N1082">
            <v>0</v>
          </cell>
        </row>
        <row r="1083">
          <cell r="E1083" t="str">
            <v>MPP</v>
          </cell>
          <cell r="M1083">
            <v>0</v>
          </cell>
          <cell r="N1083">
            <v>0</v>
          </cell>
        </row>
        <row r="1084">
          <cell r="E1084" t="str">
            <v>ID</v>
          </cell>
          <cell r="M1084">
            <v>0</v>
          </cell>
          <cell r="N1084">
            <v>0</v>
          </cell>
        </row>
        <row r="1085">
          <cell r="E1085" t="str">
            <v>LL</v>
          </cell>
          <cell r="M1085">
            <v>0</v>
          </cell>
          <cell r="N1085">
            <v>0</v>
          </cell>
        </row>
        <row r="1086">
          <cell r="E1086" t="str">
            <v>PMK</v>
          </cell>
          <cell r="M1086">
            <v>0</v>
          </cell>
          <cell r="N1086">
            <v>0</v>
          </cell>
        </row>
        <row r="1088">
          <cell r="C1088" t="str">
            <v>A0128</v>
          </cell>
          <cell r="D1088" t="str">
            <v>PT Sedaya Multi Investama</v>
          </cell>
          <cell r="E1088" t="str">
            <v>PEB 1</v>
          </cell>
          <cell r="M1088">
            <v>0</v>
          </cell>
          <cell r="N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</row>
        <row r="1089">
          <cell r="E1089" t="str">
            <v>PEB 2</v>
          </cell>
          <cell r="M1089">
            <v>0</v>
          </cell>
          <cell r="N1089">
            <v>0</v>
          </cell>
        </row>
        <row r="1090">
          <cell r="E1090" t="str">
            <v>PEB 3</v>
          </cell>
          <cell r="M1090">
            <v>0</v>
          </cell>
          <cell r="N1090">
            <v>0</v>
          </cell>
        </row>
        <row r="1091">
          <cell r="E1091" t="str">
            <v>PEB 4</v>
          </cell>
          <cell r="M1091">
            <v>0</v>
          </cell>
          <cell r="N1091">
            <v>0</v>
          </cell>
        </row>
        <row r="1092">
          <cell r="E1092" t="str">
            <v>PEB 5</v>
          </cell>
          <cell r="M1092">
            <v>0</v>
          </cell>
          <cell r="N1092">
            <v>0</v>
          </cell>
        </row>
        <row r="1093">
          <cell r="E1093" t="str">
            <v>PEB 6</v>
          </cell>
          <cell r="M1093">
            <v>0</v>
          </cell>
          <cell r="N1093">
            <v>0</v>
          </cell>
        </row>
        <row r="1094">
          <cell r="E1094" t="str">
            <v>PEB 7 / TB</v>
          </cell>
          <cell r="M1094">
            <v>0</v>
          </cell>
          <cell r="N1094">
            <v>0</v>
          </cell>
        </row>
        <row r="1095">
          <cell r="E1095" t="str">
            <v>MPP</v>
          </cell>
          <cell r="M1095">
            <v>0</v>
          </cell>
          <cell r="N1095">
            <v>0</v>
          </cell>
        </row>
        <row r="1096">
          <cell r="E1096" t="str">
            <v>ID</v>
          </cell>
          <cell r="M1096">
            <v>0</v>
          </cell>
          <cell r="N1096">
            <v>0</v>
          </cell>
        </row>
        <row r="1097">
          <cell r="E1097" t="str">
            <v>LL</v>
          </cell>
          <cell r="M1097">
            <v>0</v>
          </cell>
          <cell r="N1097">
            <v>0</v>
          </cell>
        </row>
        <row r="1098">
          <cell r="E1098" t="str">
            <v>PMK</v>
          </cell>
          <cell r="M1098">
            <v>0</v>
          </cell>
          <cell r="N1098">
            <v>0</v>
          </cell>
        </row>
        <row r="1100">
          <cell r="C1100" t="str">
            <v>A0240</v>
          </cell>
          <cell r="D1100" t="str">
            <v>PT Sedaya Pratama</v>
          </cell>
          <cell r="E1100" t="str">
            <v>PEB 1</v>
          </cell>
          <cell r="M1100">
            <v>0</v>
          </cell>
          <cell r="N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</row>
        <row r="1101">
          <cell r="E1101" t="str">
            <v>PEB 2</v>
          </cell>
          <cell r="M1101">
            <v>0</v>
          </cell>
          <cell r="N1101">
            <v>0</v>
          </cell>
        </row>
        <row r="1102">
          <cell r="E1102" t="str">
            <v>PEB 3</v>
          </cell>
          <cell r="M1102">
            <v>0</v>
          </cell>
          <cell r="N1102">
            <v>0</v>
          </cell>
        </row>
        <row r="1103">
          <cell r="E1103" t="str">
            <v>PEB 4</v>
          </cell>
          <cell r="M1103">
            <v>0</v>
          </cell>
          <cell r="N1103">
            <v>0</v>
          </cell>
        </row>
        <row r="1104">
          <cell r="E1104" t="str">
            <v>PEB 5</v>
          </cell>
          <cell r="M1104">
            <v>0</v>
          </cell>
          <cell r="N1104">
            <v>0</v>
          </cell>
        </row>
        <row r="1105">
          <cell r="E1105" t="str">
            <v>PEB 6</v>
          </cell>
          <cell r="M1105">
            <v>0</v>
          </cell>
          <cell r="N1105">
            <v>0</v>
          </cell>
        </row>
        <row r="1106">
          <cell r="E1106" t="str">
            <v>PEB 7 / TB</v>
          </cell>
          <cell r="M1106">
            <v>0</v>
          </cell>
          <cell r="N1106">
            <v>0</v>
          </cell>
        </row>
        <row r="1107">
          <cell r="E1107" t="str">
            <v>MPP</v>
          </cell>
          <cell r="M1107">
            <v>0</v>
          </cell>
          <cell r="N1107">
            <v>0</v>
          </cell>
        </row>
        <row r="1108">
          <cell r="E1108" t="str">
            <v>ID</v>
          </cell>
          <cell r="M1108">
            <v>0</v>
          </cell>
          <cell r="N1108">
            <v>0</v>
          </cell>
        </row>
        <row r="1109">
          <cell r="E1109" t="str">
            <v>LL</v>
          </cell>
          <cell r="M1109">
            <v>0</v>
          </cell>
          <cell r="N1109">
            <v>0</v>
          </cell>
        </row>
        <row r="1110">
          <cell r="E1110" t="str">
            <v>PMK</v>
          </cell>
          <cell r="M1110">
            <v>0</v>
          </cell>
          <cell r="N1110">
            <v>0</v>
          </cell>
        </row>
        <row r="1112">
          <cell r="C1112" t="str">
            <v>A0209</v>
          </cell>
          <cell r="D1112" t="str">
            <v>PT Serasi Auto Raya</v>
          </cell>
          <cell r="E1112" t="str">
            <v>PEB 1</v>
          </cell>
          <cell r="M1112">
            <v>0</v>
          </cell>
          <cell r="N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K1112">
            <v>1404394.7010000001</v>
          </cell>
        </row>
        <row r="1113">
          <cell r="E1113" t="str">
            <v>PEB 2</v>
          </cell>
          <cell r="M1113">
            <v>0</v>
          </cell>
          <cell r="N1113">
            <v>0</v>
          </cell>
        </row>
        <row r="1114">
          <cell r="E1114" t="str">
            <v>PEB 3</v>
          </cell>
          <cell r="M1114">
            <v>0</v>
          </cell>
          <cell r="N1114">
            <v>0</v>
          </cell>
        </row>
        <row r="1115">
          <cell r="E1115" t="str">
            <v>PEB 4</v>
          </cell>
          <cell r="M1115">
            <v>0</v>
          </cell>
          <cell r="N1115">
            <v>0</v>
          </cell>
        </row>
        <row r="1116">
          <cell r="E1116" t="str">
            <v>PEB 5</v>
          </cell>
          <cell r="M1116">
            <v>0</v>
          </cell>
          <cell r="N1116">
            <v>0</v>
          </cell>
        </row>
        <row r="1117">
          <cell r="E1117" t="str">
            <v>PEB 6</v>
          </cell>
          <cell r="M1117">
            <v>0</v>
          </cell>
          <cell r="N1117">
            <v>0</v>
          </cell>
        </row>
        <row r="1118">
          <cell r="E1118" t="str">
            <v>PEB 7 / TB</v>
          </cell>
          <cell r="M1118">
            <v>0</v>
          </cell>
          <cell r="N1118">
            <v>0</v>
          </cell>
        </row>
        <row r="1119">
          <cell r="E1119" t="str">
            <v>MPP</v>
          </cell>
          <cell r="M1119">
            <v>0</v>
          </cell>
          <cell r="N1119">
            <v>0</v>
          </cell>
        </row>
        <row r="1120">
          <cell r="E1120" t="str">
            <v>ID</v>
          </cell>
          <cell r="M1120">
            <v>0</v>
          </cell>
          <cell r="N1120">
            <v>0</v>
          </cell>
        </row>
        <row r="1121">
          <cell r="E1121" t="str">
            <v>LL</v>
          </cell>
          <cell r="M1121">
            <v>0</v>
          </cell>
          <cell r="N1121">
            <v>0</v>
          </cell>
        </row>
        <row r="1122">
          <cell r="E1122" t="str">
            <v>PMK</v>
          </cell>
          <cell r="M1122">
            <v>0</v>
          </cell>
          <cell r="N1122">
            <v>0</v>
          </cell>
        </row>
        <row r="1124">
          <cell r="C1124" t="str">
            <v>A0373</v>
          </cell>
          <cell r="D1124" t="str">
            <v>PT Serasi Transportasi Nusantara</v>
          </cell>
          <cell r="E1124" t="str">
            <v>PEB 1</v>
          </cell>
          <cell r="M1124">
            <v>0</v>
          </cell>
          <cell r="N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</row>
        <row r="1125">
          <cell r="E1125" t="str">
            <v>PEB 2</v>
          </cell>
          <cell r="M1125">
            <v>0</v>
          </cell>
          <cell r="N1125">
            <v>0</v>
          </cell>
        </row>
        <row r="1126">
          <cell r="E1126" t="str">
            <v>PEB 3</v>
          </cell>
          <cell r="M1126">
            <v>0</v>
          </cell>
          <cell r="N1126">
            <v>0</v>
          </cell>
        </row>
        <row r="1127">
          <cell r="E1127" t="str">
            <v>PEB 4</v>
          </cell>
          <cell r="M1127">
            <v>0</v>
          </cell>
          <cell r="N1127">
            <v>0</v>
          </cell>
        </row>
        <row r="1128">
          <cell r="E1128" t="str">
            <v>PEB 5</v>
          </cell>
          <cell r="M1128">
            <v>0</v>
          </cell>
          <cell r="N1128">
            <v>0</v>
          </cell>
        </row>
        <row r="1129">
          <cell r="E1129" t="str">
            <v>PEB 6</v>
          </cell>
          <cell r="M1129">
            <v>0</v>
          </cell>
          <cell r="N1129">
            <v>0</v>
          </cell>
        </row>
        <row r="1130">
          <cell r="E1130" t="str">
            <v>PEB 7 / TB</v>
          </cell>
          <cell r="M1130">
            <v>0</v>
          </cell>
          <cell r="N1130">
            <v>0</v>
          </cell>
        </row>
        <row r="1131">
          <cell r="E1131" t="str">
            <v>MPP</v>
          </cell>
          <cell r="M1131">
            <v>0</v>
          </cell>
          <cell r="N1131">
            <v>0</v>
          </cell>
        </row>
        <row r="1132">
          <cell r="E1132" t="str">
            <v>ID</v>
          </cell>
          <cell r="M1132">
            <v>0</v>
          </cell>
          <cell r="N1132">
            <v>0</v>
          </cell>
        </row>
        <row r="1133">
          <cell r="E1133" t="str">
            <v>LL</v>
          </cell>
          <cell r="M1133">
            <v>0</v>
          </cell>
          <cell r="N1133">
            <v>0</v>
          </cell>
        </row>
        <row r="1134">
          <cell r="E1134" t="str">
            <v>PMK</v>
          </cell>
          <cell r="M1134">
            <v>0</v>
          </cell>
          <cell r="N1134">
            <v>0</v>
          </cell>
        </row>
        <row r="1136">
          <cell r="C1136" t="str">
            <v>A0132</v>
          </cell>
          <cell r="D1136" t="str">
            <v>PT Showa Indonesia</v>
          </cell>
          <cell r="E1136" t="str">
            <v>PEB 1</v>
          </cell>
          <cell r="M1136">
            <v>0</v>
          </cell>
          <cell r="N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</row>
        <row r="1137">
          <cell r="E1137" t="str">
            <v>PEB 2</v>
          </cell>
          <cell r="M1137">
            <v>0</v>
          </cell>
          <cell r="N1137">
            <v>0</v>
          </cell>
        </row>
        <row r="1138">
          <cell r="E1138" t="str">
            <v>PEB 3</v>
          </cell>
          <cell r="M1138">
            <v>0</v>
          </cell>
          <cell r="N1138">
            <v>0</v>
          </cell>
        </row>
        <row r="1139">
          <cell r="E1139" t="str">
            <v>PEB 4</v>
          </cell>
          <cell r="M1139">
            <v>0</v>
          </cell>
          <cell r="N1139">
            <v>0</v>
          </cell>
        </row>
        <row r="1140">
          <cell r="E1140" t="str">
            <v>PEB 5</v>
          </cell>
          <cell r="M1140">
            <v>0</v>
          </cell>
          <cell r="N1140">
            <v>0</v>
          </cell>
        </row>
        <row r="1141">
          <cell r="E1141" t="str">
            <v>PEB 6</v>
          </cell>
          <cell r="M1141">
            <v>0</v>
          </cell>
          <cell r="N1141">
            <v>0</v>
          </cell>
        </row>
        <row r="1142">
          <cell r="E1142" t="str">
            <v>PEB 7 / TB</v>
          </cell>
          <cell r="M1142">
            <v>0</v>
          </cell>
          <cell r="N1142">
            <v>0</v>
          </cell>
        </row>
        <row r="1143">
          <cell r="E1143" t="str">
            <v>MPP</v>
          </cell>
          <cell r="M1143">
            <v>0</v>
          </cell>
          <cell r="N1143">
            <v>0</v>
          </cell>
        </row>
        <row r="1144">
          <cell r="E1144" t="str">
            <v>ID</v>
          </cell>
          <cell r="M1144">
            <v>0</v>
          </cell>
          <cell r="N1144">
            <v>0</v>
          </cell>
        </row>
        <row r="1145">
          <cell r="E1145" t="str">
            <v>LL</v>
          </cell>
          <cell r="M1145">
            <v>0</v>
          </cell>
          <cell r="N1145">
            <v>0</v>
          </cell>
        </row>
        <row r="1146">
          <cell r="E1146" t="str">
            <v>PMK</v>
          </cell>
          <cell r="M1146">
            <v>0</v>
          </cell>
          <cell r="N1146">
            <v>0</v>
          </cell>
        </row>
        <row r="1148">
          <cell r="C1148" t="str">
            <v>A0135</v>
          </cell>
          <cell r="D1148" t="str">
            <v>PT Staco Estika Sedaya Finance</v>
          </cell>
          <cell r="E1148" t="str">
            <v>PEB 1</v>
          </cell>
          <cell r="M1148">
            <v>0</v>
          </cell>
          <cell r="N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</row>
        <row r="1149">
          <cell r="E1149" t="str">
            <v>PEB 2</v>
          </cell>
          <cell r="M1149">
            <v>0</v>
          </cell>
          <cell r="N1149">
            <v>0</v>
          </cell>
        </row>
        <row r="1150">
          <cell r="E1150" t="str">
            <v>PEB 3</v>
          </cell>
          <cell r="M1150">
            <v>0</v>
          </cell>
          <cell r="N1150">
            <v>0</v>
          </cell>
        </row>
        <row r="1151">
          <cell r="E1151" t="str">
            <v>PEB 4</v>
          </cell>
          <cell r="M1151">
            <v>0</v>
          </cell>
          <cell r="N1151">
            <v>0</v>
          </cell>
        </row>
        <row r="1152">
          <cell r="E1152" t="str">
            <v>PEB 5</v>
          </cell>
          <cell r="M1152">
            <v>0</v>
          </cell>
          <cell r="N1152">
            <v>0</v>
          </cell>
        </row>
        <row r="1153">
          <cell r="E1153" t="str">
            <v>PEB 6</v>
          </cell>
          <cell r="M1153">
            <v>0</v>
          </cell>
          <cell r="N1153">
            <v>0</v>
          </cell>
        </row>
        <row r="1154">
          <cell r="E1154" t="str">
            <v>PEB 7 / TB</v>
          </cell>
          <cell r="M1154">
            <v>0</v>
          </cell>
          <cell r="N1154">
            <v>0</v>
          </cell>
        </row>
        <row r="1155">
          <cell r="E1155" t="str">
            <v>MPP</v>
          </cell>
          <cell r="M1155">
            <v>0</v>
          </cell>
          <cell r="N1155">
            <v>0</v>
          </cell>
        </row>
        <row r="1156">
          <cell r="E1156" t="str">
            <v>ID</v>
          </cell>
          <cell r="M1156">
            <v>0</v>
          </cell>
          <cell r="N1156">
            <v>0</v>
          </cell>
        </row>
        <row r="1157">
          <cell r="E1157" t="str">
            <v>LL</v>
          </cell>
          <cell r="M1157">
            <v>0</v>
          </cell>
          <cell r="N1157">
            <v>0</v>
          </cell>
        </row>
        <row r="1158">
          <cell r="E1158" t="str">
            <v>PMK</v>
          </cell>
          <cell r="M1158">
            <v>0</v>
          </cell>
          <cell r="N1158">
            <v>0</v>
          </cell>
        </row>
        <row r="1160">
          <cell r="C1160" t="str">
            <v>A0273</v>
          </cell>
          <cell r="D1160" t="str">
            <v>PT Stacomitra Graha</v>
          </cell>
          <cell r="E1160" t="str">
            <v>PEB 1</v>
          </cell>
          <cell r="M1160">
            <v>0</v>
          </cell>
          <cell r="N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</row>
        <row r="1161">
          <cell r="E1161" t="str">
            <v>PEB 2</v>
          </cell>
          <cell r="M1161">
            <v>0</v>
          </cell>
          <cell r="N1161">
            <v>0</v>
          </cell>
        </row>
        <row r="1162">
          <cell r="E1162" t="str">
            <v>PEB 3</v>
          </cell>
          <cell r="M1162">
            <v>0</v>
          </cell>
          <cell r="N1162">
            <v>0</v>
          </cell>
        </row>
        <row r="1163">
          <cell r="E1163" t="str">
            <v>PEB 4</v>
          </cell>
          <cell r="M1163">
            <v>0</v>
          </cell>
          <cell r="N1163">
            <v>0</v>
          </cell>
        </row>
        <row r="1164">
          <cell r="E1164" t="str">
            <v>PEB 5</v>
          </cell>
          <cell r="M1164">
            <v>0</v>
          </cell>
          <cell r="N1164">
            <v>0</v>
          </cell>
        </row>
        <row r="1165">
          <cell r="E1165" t="str">
            <v>PEB 6</v>
          </cell>
          <cell r="M1165">
            <v>0</v>
          </cell>
          <cell r="N1165">
            <v>0</v>
          </cell>
        </row>
        <row r="1166">
          <cell r="E1166" t="str">
            <v>PEB 7 / TB</v>
          </cell>
          <cell r="M1166">
            <v>0</v>
          </cell>
          <cell r="N1166">
            <v>0</v>
          </cell>
        </row>
        <row r="1167">
          <cell r="E1167" t="str">
            <v>MPP</v>
          </cell>
          <cell r="M1167">
            <v>0</v>
          </cell>
          <cell r="N1167">
            <v>0</v>
          </cell>
        </row>
        <row r="1168">
          <cell r="E1168" t="str">
            <v>ID</v>
          </cell>
          <cell r="M1168">
            <v>0</v>
          </cell>
          <cell r="N1168">
            <v>0</v>
          </cell>
        </row>
        <row r="1169">
          <cell r="E1169" t="str">
            <v>LL</v>
          </cell>
          <cell r="M1169">
            <v>0</v>
          </cell>
          <cell r="N1169">
            <v>0</v>
          </cell>
        </row>
        <row r="1170">
          <cell r="E1170" t="str">
            <v>PMK</v>
          </cell>
          <cell r="M1170">
            <v>0</v>
          </cell>
          <cell r="N1170">
            <v>0</v>
          </cell>
        </row>
        <row r="1172">
          <cell r="C1172" t="str">
            <v>A0435</v>
          </cell>
          <cell r="D1172" t="str">
            <v>PT Subur Abadi Plantation</v>
          </cell>
          <cell r="E1172" t="str">
            <v>PEB 1</v>
          </cell>
          <cell r="M1172">
            <v>0</v>
          </cell>
          <cell r="N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</row>
        <row r="1173">
          <cell r="E1173" t="str">
            <v>PEB 2</v>
          </cell>
          <cell r="M1173">
            <v>0</v>
          </cell>
          <cell r="N1173">
            <v>0</v>
          </cell>
        </row>
        <row r="1174">
          <cell r="E1174" t="str">
            <v>PEB 3</v>
          </cell>
          <cell r="M1174">
            <v>0</v>
          </cell>
          <cell r="N1174">
            <v>0</v>
          </cell>
        </row>
        <row r="1175">
          <cell r="E1175" t="str">
            <v>PEB 4</v>
          </cell>
          <cell r="M1175">
            <v>0</v>
          </cell>
          <cell r="N1175">
            <v>0</v>
          </cell>
        </row>
        <row r="1176">
          <cell r="E1176" t="str">
            <v>PEB 5</v>
          </cell>
          <cell r="M1176">
            <v>0</v>
          </cell>
          <cell r="N1176">
            <v>0</v>
          </cell>
        </row>
        <row r="1177">
          <cell r="E1177" t="str">
            <v>PEB 6</v>
          </cell>
          <cell r="M1177">
            <v>0</v>
          </cell>
          <cell r="N1177">
            <v>0</v>
          </cell>
        </row>
        <row r="1178">
          <cell r="E1178" t="str">
            <v>PEB 7 / TB</v>
          </cell>
          <cell r="M1178">
            <v>0</v>
          </cell>
          <cell r="N1178">
            <v>0</v>
          </cell>
        </row>
        <row r="1179">
          <cell r="E1179" t="str">
            <v>MPP</v>
          </cell>
          <cell r="M1179">
            <v>0</v>
          </cell>
          <cell r="N1179">
            <v>0</v>
          </cell>
        </row>
        <row r="1180">
          <cell r="E1180" t="str">
            <v>ID</v>
          </cell>
          <cell r="M1180">
            <v>0</v>
          </cell>
          <cell r="N1180">
            <v>0</v>
          </cell>
        </row>
        <row r="1181">
          <cell r="E1181" t="str">
            <v>LL</v>
          </cell>
          <cell r="M1181">
            <v>0</v>
          </cell>
          <cell r="N1181">
            <v>0</v>
          </cell>
        </row>
        <row r="1182">
          <cell r="E1182" t="str">
            <v>PMK</v>
          </cell>
          <cell r="M1182">
            <v>0</v>
          </cell>
          <cell r="N1182">
            <v>0</v>
          </cell>
        </row>
        <row r="1184">
          <cell r="C1184" t="str">
            <v>A0169</v>
          </cell>
          <cell r="D1184" t="str">
            <v>PT Sukses Tani Nusa Subur</v>
          </cell>
          <cell r="E1184" t="str">
            <v>PEB 1</v>
          </cell>
          <cell r="M1184">
            <v>0</v>
          </cell>
          <cell r="N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</row>
        <row r="1185">
          <cell r="E1185" t="str">
            <v>PEB 2</v>
          </cell>
          <cell r="M1185">
            <v>0</v>
          </cell>
          <cell r="N1185">
            <v>0</v>
          </cell>
        </row>
        <row r="1186">
          <cell r="E1186" t="str">
            <v>PEB 3</v>
          </cell>
          <cell r="M1186">
            <v>0</v>
          </cell>
          <cell r="N1186">
            <v>0</v>
          </cell>
        </row>
        <row r="1187">
          <cell r="E1187" t="str">
            <v>PEB 4</v>
          </cell>
          <cell r="M1187">
            <v>0</v>
          </cell>
          <cell r="N1187">
            <v>0</v>
          </cell>
        </row>
        <row r="1188">
          <cell r="E1188" t="str">
            <v>PEB 5</v>
          </cell>
          <cell r="M1188">
            <v>0</v>
          </cell>
          <cell r="N1188">
            <v>0</v>
          </cell>
        </row>
        <row r="1189">
          <cell r="E1189" t="str">
            <v>PEB 6</v>
          </cell>
          <cell r="M1189">
            <v>0</v>
          </cell>
          <cell r="N1189">
            <v>0</v>
          </cell>
        </row>
        <row r="1190">
          <cell r="E1190" t="str">
            <v>PEB 7 / TB</v>
          </cell>
          <cell r="M1190">
            <v>0</v>
          </cell>
          <cell r="N1190">
            <v>0</v>
          </cell>
        </row>
        <row r="1191">
          <cell r="E1191" t="str">
            <v>MPP</v>
          </cell>
          <cell r="M1191">
            <v>0</v>
          </cell>
          <cell r="N1191">
            <v>0</v>
          </cell>
        </row>
        <row r="1192">
          <cell r="E1192" t="str">
            <v>ID</v>
          </cell>
          <cell r="M1192">
            <v>0</v>
          </cell>
          <cell r="N1192">
            <v>0</v>
          </cell>
        </row>
        <row r="1193">
          <cell r="E1193" t="str">
            <v>LL</v>
          </cell>
          <cell r="M1193">
            <v>0</v>
          </cell>
          <cell r="N1193">
            <v>0</v>
          </cell>
        </row>
        <row r="1194">
          <cell r="E1194" t="str">
            <v>PMK</v>
          </cell>
          <cell r="M1194">
            <v>0</v>
          </cell>
          <cell r="N1194">
            <v>0</v>
          </cell>
        </row>
        <row r="1196">
          <cell r="C1196" t="str">
            <v>A0377</v>
          </cell>
          <cell r="D1196" t="str">
            <v>PT Sumber Kharisma Persada</v>
          </cell>
          <cell r="E1196" t="str">
            <v>PEB 1</v>
          </cell>
          <cell r="M1196">
            <v>0</v>
          </cell>
          <cell r="N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</row>
        <row r="1197">
          <cell r="E1197" t="str">
            <v>PEB 2</v>
          </cell>
          <cell r="M1197">
            <v>0</v>
          </cell>
          <cell r="N1197">
            <v>0</v>
          </cell>
        </row>
        <row r="1198">
          <cell r="E1198" t="str">
            <v>PEB 3</v>
          </cell>
          <cell r="M1198">
            <v>0</v>
          </cell>
          <cell r="N1198">
            <v>0</v>
          </cell>
        </row>
        <row r="1199">
          <cell r="E1199" t="str">
            <v>PEB 4</v>
          </cell>
          <cell r="M1199">
            <v>0</v>
          </cell>
          <cell r="N1199">
            <v>0</v>
          </cell>
        </row>
        <row r="1200">
          <cell r="E1200" t="str">
            <v>PEB 5</v>
          </cell>
          <cell r="M1200">
            <v>0</v>
          </cell>
          <cell r="N1200">
            <v>0</v>
          </cell>
        </row>
        <row r="1201">
          <cell r="E1201" t="str">
            <v>PEB 6</v>
          </cell>
          <cell r="M1201">
            <v>0</v>
          </cell>
          <cell r="N1201">
            <v>0</v>
          </cell>
        </row>
        <row r="1202">
          <cell r="E1202" t="str">
            <v>PEB 7 / TB</v>
          </cell>
          <cell r="M1202">
            <v>0</v>
          </cell>
          <cell r="N1202">
            <v>0</v>
          </cell>
        </row>
        <row r="1203">
          <cell r="E1203" t="str">
            <v>MPP</v>
          </cell>
          <cell r="M1203">
            <v>0</v>
          </cell>
          <cell r="N1203">
            <v>0</v>
          </cell>
        </row>
        <row r="1204">
          <cell r="E1204" t="str">
            <v>ID</v>
          </cell>
          <cell r="M1204">
            <v>0</v>
          </cell>
          <cell r="N1204">
            <v>0</v>
          </cell>
        </row>
        <row r="1205">
          <cell r="E1205" t="str">
            <v>LL</v>
          </cell>
          <cell r="M1205">
            <v>0</v>
          </cell>
          <cell r="N1205">
            <v>0</v>
          </cell>
        </row>
        <row r="1206">
          <cell r="E1206" t="str">
            <v>PMK</v>
          </cell>
          <cell r="M1206">
            <v>0</v>
          </cell>
          <cell r="N1206">
            <v>0</v>
          </cell>
        </row>
        <row r="1208">
          <cell r="C1208" t="str">
            <v>A0421</v>
          </cell>
          <cell r="D1208" t="str">
            <v>PT Sumber Utama Makmur</v>
          </cell>
          <cell r="E1208" t="str">
            <v>PEB 1</v>
          </cell>
          <cell r="M1208">
            <v>0</v>
          </cell>
          <cell r="N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</row>
        <row r="1209">
          <cell r="E1209" t="str">
            <v>PEB 2</v>
          </cell>
          <cell r="M1209">
            <v>0</v>
          </cell>
          <cell r="N1209">
            <v>0</v>
          </cell>
        </row>
        <row r="1210">
          <cell r="E1210" t="str">
            <v>PEB 3</v>
          </cell>
          <cell r="M1210">
            <v>0</v>
          </cell>
          <cell r="N1210">
            <v>0</v>
          </cell>
        </row>
        <row r="1211">
          <cell r="E1211" t="str">
            <v>PEB 4</v>
          </cell>
          <cell r="M1211">
            <v>0</v>
          </cell>
          <cell r="N1211">
            <v>0</v>
          </cell>
        </row>
        <row r="1212">
          <cell r="E1212" t="str">
            <v>PEB 5</v>
          </cell>
          <cell r="M1212">
            <v>0</v>
          </cell>
          <cell r="N1212">
            <v>0</v>
          </cell>
        </row>
        <row r="1213">
          <cell r="E1213" t="str">
            <v>PEB 6</v>
          </cell>
          <cell r="M1213">
            <v>0</v>
          </cell>
          <cell r="N1213">
            <v>0</v>
          </cell>
        </row>
        <row r="1214">
          <cell r="E1214" t="str">
            <v>PEB 7 / TB</v>
          </cell>
          <cell r="M1214">
            <v>0</v>
          </cell>
          <cell r="N1214">
            <v>0</v>
          </cell>
        </row>
        <row r="1215">
          <cell r="E1215" t="str">
            <v>MPP</v>
          </cell>
          <cell r="M1215">
            <v>0</v>
          </cell>
          <cell r="N1215">
            <v>0</v>
          </cell>
        </row>
        <row r="1216">
          <cell r="E1216" t="str">
            <v>ID</v>
          </cell>
          <cell r="M1216">
            <v>0</v>
          </cell>
          <cell r="N1216">
            <v>0</v>
          </cell>
        </row>
        <row r="1217">
          <cell r="E1217" t="str">
            <v>LL</v>
          </cell>
          <cell r="M1217">
            <v>0</v>
          </cell>
          <cell r="N1217">
            <v>0</v>
          </cell>
        </row>
        <row r="1218">
          <cell r="E1218" t="str">
            <v>PMK</v>
          </cell>
          <cell r="M1218">
            <v>0</v>
          </cell>
          <cell r="N1218">
            <v>0</v>
          </cell>
        </row>
        <row r="1220">
          <cell r="C1220" t="str">
            <v>A0142</v>
          </cell>
          <cell r="D1220" t="str">
            <v>PT Surya Artha Nusantara Finance</v>
          </cell>
          <cell r="E1220" t="str">
            <v>PEB 1</v>
          </cell>
          <cell r="M1220">
            <v>0</v>
          </cell>
          <cell r="N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</row>
        <row r="1221">
          <cell r="E1221" t="str">
            <v>PEB 2</v>
          </cell>
          <cell r="M1221">
            <v>0</v>
          </cell>
          <cell r="N1221">
            <v>0</v>
          </cell>
        </row>
        <row r="1222">
          <cell r="E1222" t="str">
            <v>PEB 3</v>
          </cell>
          <cell r="M1222">
            <v>0</v>
          </cell>
          <cell r="N1222">
            <v>0</v>
          </cell>
        </row>
        <row r="1223">
          <cell r="E1223" t="str">
            <v>PEB 4</v>
          </cell>
          <cell r="M1223">
            <v>0</v>
          </cell>
          <cell r="N1223">
            <v>0</v>
          </cell>
        </row>
        <row r="1224">
          <cell r="E1224" t="str">
            <v>PEB 5</v>
          </cell>
          <cell r="M1224">
            <v>0</v>
          </cell>
          <cell r="N1224">
            <v>0</v>
          </cell>
        </row>
        <row r="1225">
          <cell r="E1225" t="str">
            <v>PEB 6</v>
          </cell>
          <cell r="M1225">
            <v>0</v>
          </cell>
          <cell r="N1225">
            <v>0</v>
          </cell>
        </row>
        <row r="1226">
          <cell r="E1226" t="str">
            <v>PEB 7 / TB</v>
          </cell>
          <cell r="M1226">
            <v>0</v>
          </cell>
          <cell r="N1226">
            <v>0</v>
          </cell>
        </row>
        <row r="1227">
          <cell r="E1227" t="str">
            <v>MPP</v>
          </cell>
          <cell r="M1227">
            <v>0</v>
          </cell>
          <cell r="N1227">
            <v>0</v>
          </cell>
        </row>
        <row r="1228">
          <cell r="E1228" t="str">
            <v>ID</v>
          </cell>
          <cell r="M1228">
            <v>0</v>
          </cell>
          <cell r="N1228">
            <v>0</v>
          </cell>
        </row>
        <row r="1229">
          <cell r="E1229" t="str">
            <v>LL</v>
          </cell>
          <cell r="M1229">
            <v>0</v>
          </cell>
          <cell r="N1229">
            <v>0</v>
          </cell>
        </row>
        <row r="1230">
          <cell r="E1230" t="str">
            <v>PMK</v>
          </cell>
          <cell r="M1230">
            <v>0</v>
          </cell>
          <cell r="N1230">
            <v>0</v>
          </cell>
        </row>
        <row r="1232">
          <cell r="C1232" t="str">
            <v>A0251</v>
          </cell>
          <cell r="D1232" t="str">
            <v>PT Surya Indah Nusantara Pagi</v>
          </cell>
          <cell r="E1232" t="str">
            <v>PEB 1</v>
          </cell>
          <cell r="M1232">
            <v>0</v>
          </cell>
          <cell r="N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</row>
        <row r="1233">
          <cell r="E1233" t="str">
            <v>PEB 2</v>
          </cell>
          <cell r="M1233">
            <v>0</v>
          </cell>
          <cell r="N1233">
            <v>0</v>
          </cell>
        </row>
        <row r="1234">
          <cell r="E1234" t="str">
            <v>PEB 3</v>
          </cell>
          <cell r="M1234">
            <v>0</v>
          </cell>
          <cell r="N1234">
            <v>0</v>
          </cell>
        </row>
        <row r="1235">
          <cell r="E1235" t="str">
            <v>PEB 4</v>
          </cell>
          <cell r="M1235">
            <v>0</v>
          </cell>
          <cell r="N1235">
            <v>0</v>
          </cell>
        </row>
        <row r="1236">
          <cell r="E1236" t="str">
            <v>PEB 5</v>
          </cell>
          <cell r="M1236">
            <v>0</v>
          </cell>
          <cell r="N1236">
            <v>0</v>
          </cell>
        </row>
        <row r="1237">
          <cell r="E1237" t="str">
            <v>PEB 6</v>
          </cell>
          <cell r="M1237">
            <v>0</v>
          </cell>
          <cell r="N1237">
            <v>0</v>
          </cell>
        </row>
        <row r="1238">
          <cell r="E1238" t="str">
            <v>PEB 7 / TB</v>
          </cell>
          <cell r="M1238">
            <v>0</v>
          </cell>
          <cell r="N1238">
            <v>0</v>
          </cell>
        </row>
        <row r="1239">
          <cell r="E1239" t="str">
            <v>MPP</v>
          </cell>
          <cell r="M1239">
            <v>0</v>
          </cell>
          <cell r="N1239">
            <v>0</v>
          </cell>
        </row>
        <row r="1240">
          <cell r="E1240" t="str">
            <v>ID</v>
          </cell>
          <cell r="M1240">
            <v>0</v>
          </cell>
          <cell r="N1240">
            <v>0</v>
          </cell>
        </row>
        <row r="1241">
          <cell r="E1241" t="str">
            <v>LL</v>
          </cell>
          <cell r="M1241">
            <v>0</v>
          </cell>
          <cell r="N1241">
            <v>0</v>
          </cell>
        </row>
        <row r="1242">
          <cell r="E1242" t="str">
            <v>PMK</v>
          </cell>
          <cell r="M1242">
            <v>0</v>
          </cell>
          <cell r="N1242">
            <v>0</v>
          </cell>
        </row>
        <row r="1244">
          <cell r="C1244" t="str">
            <v>A0259</v>
          </cell>
          <cell r="D1244" t="str">
            <v>PT Surya Panen Subur</v>
          </cell>
          <cell r="E1244" t="str">
            <v>PEB 1</v>
          </cell>
          <cell r="M1244">
            <v>0</v>
          </cell>
          <cell r="N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</row>
        <row r="1245">
          <cell r="E1245" t="str">
            <v>PEB 2</v>
          </cell>
          <cell r="M1245">
            <v>0</v>
          </cell>
          <cell r="N1245">
            <v>0</v>
          </cell>
        </row>
        <row r="1246">
          <cell r="E1246" t="str">
            <v>PEB 3</v>
          </cell>
          <cell r="M1246">
            <v>0</v>
          </cell>
          <cell r="N1246">
            <v>0</v>
          </cell>
        </row>
        <row r="1247">
          <cell r="E1247" t="str">
            <v>PEB 4</v>
          </cell>
          <cell r="M1247">
            <v>0</v>
          </cell>
          <cell r="N1247">
            <v>0</v>
          </cell>
        </row>
        <row r="1248">
          <cell r="E1248" t="str">
            <v>PEB 5</v>
          </cell>
          <cell r="M1248">
            <v>0</v>
          </cell>
          <cell r="N1248">
            <v>0</v>
          </cell>
        </row>
        <row r="1249">
          <cell r="E1249" t="str">
            <v>PEB 6</v>
          </cell>
          <cell r="M1249">
            <v>0</v>
          </cell>
          <cell r="N1249">
            <v>0</v>
          </cell>
        </row>
        <row r="1250">
          <cell r="E1250" t="str">
            <v>PEB 7 / TB</v>
          </cell>
          <cell r="M1250">
            <v>0</v>
          </cell>
          <cell r="N1250">
            <v>0</v>
          </cell>
        </row>
        <row r="1251">
          <cell r="E1251" t="str">
            <v>MPP</v>
          </cell>
          <cell r="M1251">
            <v>0</v>
          </cell>
          <cell r="N1251">
            <v>0</v>
          </cell>
        </row>
        <row r="1252">
          <cell r="E1252" t="str">
            <v>ID</v>
          </cell>
          <cell r="M1252">
            <v>0</v>
          </cell>
          <cell r="N1252">
            <v>0</v>
          </cell>
        </row>
        <row r="1253">
          <cell r="E1253" t="str">
            <v>LL</v>
          </cell>
          <cell r="M1253">
            <v>0</v>
          </cell>
          <cell r="N1253">
            <v>0</v>
          </cell>
        </row>
        <row r="1254">
          <cell r="E1254" t="str">
            <v>PMK</v>
          </cell>
          <cell r="M1254">
            <v>0</v>
          </cell>
          <cell r="N1254">
            <v>0</v>
          </cell>
        </row>
        <row r="1256">
          <cell r="C1256" t="str">
            <v>A0170</v>
          </cell>
          <cell r="D1256" t="str">
            <v>PT Suryaraya Lestari</v>
          </cell>
          <cell r="E1256" t="str">
            <v>PEB 1</v>
          </cell>
          <cell r="M1256">
            <v>0</v>
          </cell>
          <cell r="N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</row>
        <row r="1257">
          <cell r="E1257" t="str">
            <v>PEB 2</v>
          </cell>
          <cell r="M1257">
            <v>0</v>
          </cell>
          <cell r="N1257">
            <v>0</v>
          </cell>
        </row>
        <row r="1258">
          <cell r="E1258" t="str">
            <v>PEB 3</v>
          </cell>
          <cell r="M1258">
            <v>0</v>
          </cell>
          <cell r="N1258">
            <v>0</v>
          </cell>
        </row>
        <row r="1259">
          <cell r="E1259" t="str">
            <v>PEB 4</v>
          </cell>
          <cell r="M1259">
            <v>0</v>
          </cell>
          <cell r="N1259">
            <v>0</v>
          </cell>
        </row>
        <row r="1260">
          <cell r="E1260" t="str">
            <v>PEB 5</v>
          </cell>
          <cell r="M1260">
            <v>0</v>
          </cell>
          <cell r="N1260">
            <v>0</v>
          </cell>
        </row>
        <row r="1261">
          <cell r="E1261" t="str">
            <v>PEB 6</v>
          </cell>
          <cell r="M1261">
            <v>0</v>
          </cell>
          <cell r="N1261">
            <v>0</v>
          </cell>
        </row>
        <row r="1262">
          <cell r="E1262" t="str">
            <v>PEB 7 / TB</v>
          </cell>
          <cell r="M1262">
            <v>0</v>
          </cell>
          <cell r="N1262">
            <v>0</v>
          </cell>
        </row>
        <row r="1263">
          <cell r="E1263" t="str">
            <v>MPP</v>
          </cell>
          <cell r="M1263">
            <v>0</v>
          </cell>
          <cell r="N1263">
            <v>0</v>
          </cell>
        </row>
        <row r="1264">
          <cell r="E1264" t="str">
            <v>ID</v>
          </cell>
          <cell r="M1264">
            <v>0</v>
          </cell>
          <cell r="N1264">
            <v>0</v>
          </cell>
        </row>
        <row r="1265">
          <cell r="E1265" t="str">
            <v>LL</v>
          </cell>
          <cell r="M1265">
            <v>0</v>
          </cell>
          <cell r="N1265">
            <v>0</v>
          </cell>
        </row>
        <row r="1266">
          <cell r="E1266" t="str">
            <v>PMK</v>
          </cell>
          <cell r="M1266">
            <v>0</v>
          </cell>
          <cell r="N1266">
            <v>0</v>
          </cell>
        </row>
        <row r="1268">
          <cell r="C1268" t="str">
            <v>A0140</v>
          </cell>
          <cell r="D1268" t="str">
            <v>PT Suryaraya Prawira</v>
          </cell>
          <cell r="E1268" t="str">
            <v>PEB 1</v>
          </cell>
          <cell r="M1268">
            <v>0</v>
          </cell>
          <cell r="N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</row>
        <row r="1269">
          <cell r="E1269" t="str">
            <v>PEB 2</v>
          </cell>
          <cell r="M1269">
            <v>0</v>
          </cell>
          <cell r="N1269">
            <v>0</v>
          </cell>
        </row>
        <row r="1270">
          <cell r="E1270" t="str">
            <v>PEB 3</v>
          </cell>
          <cell r="M1270">
            <v>0</v>
          </cell>
          <cell r="N1270">
            <v>0</v>
          </cell>
        </row>
        <row r="1271">
          <cell r="E1271" t="str">
            <v>PEB 4</v>
          </cell>
          <cell r="M1271">
            <v>0</v>
          </cell>
          <cell r="N1271">
            <v>0</v>
          </cell>
        </row>
        <row r="1272">
          <cell r="E1272" t="str">
            <v>PEB 5</v>
          </cell>
          <cell r="M1272">
            <v>0</v>
          </cell>
          <cell r="N1272">
            <v>0</v>
          </cell>
        </row>
        <row r="1273">
          <cell r="E1273" t="str">
            <v>PEB 6</v>
          </cell>
          <cell r="M1273">
            <v>0</v>
          </cell>
          <cell r="N1273">
            <v>0</v>
          </cell>
        </row>
        <row r="1274">
          <cell r="E1274" t="str">
            <v>PEB 7 / TB</v>
          </cell>
          <cell r="M1274">
            <v>0</v>
          </cell>
          <cell r="N1274">
            <v>0</v>
          </cell>
        </row>
        <row r="1275">
          <cell r="E1275" t="str">
            <v>MPP</v>
          </cell>
          <cell r="M1275">
            <v>0</v>
          </cell>
          <cell r="N1275">
            <v>0</v>
          </cell>
        </row>
        <row r="1276">
          <cell r="E1276" t="str">
            <v>ID</v>
          </cell>
          <cell r="M1276">
            <v>0</v>
          </cell>
          <cell r="N1276">
            <v>0</v>
          </cell>
        </row>
        <row r="1277">
          <cell r="E1277" t="str">
            <v>LL</v>
          </cell>
          <cell r="M1277">
            <v>0</v>
          </cell>
          <cell r="N1277">
            <v>0</v>
          </cell>
        </row>
        <row r="1278">
          <cell r="E1278" t="str">
            <v>PMK</v>
          </cell>
          <cell r="M1278">
            <v>0</v>
          </cell>
          <cell r="N1278">
            <v>0</v>
          </cell>
        </row>
        <row r="1280">
          <cell r="C1280" t="str">
            <v>A0199</v>
          </cell>
          <cell r="D1280" t="str">
            <v>PT Suryaraya Rubberindo Industries</v>
          </cell>
          <cell r="E1280" t="str">
            <v>PEB 1</v>
          </cell>
          <cell r="M1280">
            <v>0</v>
          </cell>
          <cell r="N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L1280">
            <v>330093.50099999999</v>
          </cell>
        </row>
        <row r="1281">
          <cell r="E1281" t="str">
            <v>PEB 2</v>
          </cell>
          <cell r="M1281">
            <v>0</v>
          </cell>
          <cell r="N1281">
            <v>0</v>
          </cell>
        </row>
        <row r="1282">
          <cell r="E1282" t="str">
            <v>PEB 3</v>
          </cell>
          <cell r="M1282">
            <v>0</v>
          </cell>
          <cell r="N1282">
            <v>0</v>
          </cell>
        </row>
        <row r="1283">
          <cell r="E1283" t="str">
            <v>PEB 4</v>
          </cell>
          <cell r="M1283">
            <v>0</v>
          </cell>
          <cell r="N1283">
            <v>0</v>
          </cell>
        </row>
        <row r="1284">
          <cell r="E1284" t="str">
            <v>PEB 5</v>
          </cell>
          <cell r="M1284">
            <v>0</v>
          </cell>
          <cell r="N1284">
            <v>0</v>
          </cell>
        </row>
        <row r="1285">
          <cell r="E1285" t="str">
            <v>PEB 6</v>
          </cell>
          <cell r="M1285">
            <v>0</v>
          </cell>
          <cell r="N1285">
            <v>0</v>
          </cell>
        </row>
        <row r="1286">
          <cell r="E1286" t="str">
            <v>PEB 7 / TB</v>
          </cell>
          <cell r="M1286">
            <v>0</v>
          </cell>
          <cell r="N1286">
            <v>0</v>
          </cell>
        </row>
        <row r="1287">
          <cell r="E1287" t="str">
            <v>MPP</v>
          </cell>
          <cell r="M1287">
            <v>0</v>
          </cell>
          <cell r="N1287">
            <v>0</v>
          </cell>
        </row>
        <row r="1288">
          <cell r="E1288" t="str">
            <v>ID</v>
          </cell>
          <cell r="M1288">
            <v>0</v>
          </cell>
          <cell r="N1288">
            <v>0</v>
          </cell>
        </row>
        <row r="1289">
          <cell r="E1289" t="str">
            <v>LL</v>
          </cell>
          <cell r="M1289">
            <v>0</v>
          </cell>
          <cell r="N1289">
            <v>0</v>
          </cell>
        </row>
        <row r="1290">
          <cell r="E1290" t="str">
            <v>PMK</v>
          </cell>
          <cell r="M1290">
            <v>0</v>
          </cell>
          <cell r="N1290">
            <v>0</v>
          </cell>
        </row>
        <row r="1292">
          <cell r="C1292" t="str">
            <v>A0221</v>
          </cell>
          <cell r="D1292" t="str">
            <v>PT Swadaya Harapan Nusantara</v>
          </cell>
          <cell r="E1292" t="str">
            <v>PEB 1</v>
          </cell>
          <cell r="M1292">
            <v>0</v>
          </cell>
          <cell r="N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K1292">
            <v>40309.194302000004</v>
          </cell>
        </row>
        <row r="1293">
          <cell r="E1293" t="str">
            <v>PEB 2</v>
          </cell>
          <cell r="M1293">
            <v>0</v>
          </cell>
          <cell r="N1293">
            <v>0</v>
          </cell>
        </row>
        <row r="1294">
          <cell r="E1294" t="str">
            <v>PEB 3</v>
          </cell>
          <cell r="M1294">
            <v>0</v>
          </cell>
          <cell r="N1294">
            <v>0</v>
          </cell>
        </row>
        <row r="1295">
          <cell r="E1295" t="str">
            <v>PEB 4</v>
          </cell>
          <cell r="M1295">
            <v>0</v>
          </cell>
          <cell r="N1295">
            <v>0</v>
          </cell>
        </row>
        <row r="1296">
          <cell r="E1296" t="str">
            <v>PEB 5</v>
          </cell>
          <cell r="M1296">
            <v>0</v>
          </cell>
          <cell r="N1296">
            <v>0</v>
          </cell>
        </row>
        <row r="1297">
          <cell r="E1297" t="str">
            <v>PEB 6</v>
          </cell>
          <cell r="M1297">
            <v>0</v>
          </cell>
          <cell r="N1297">
            <v>0</v>
          </cell>
        </row>
        <row r="1298">
          <cell r="E1298" t="str">
            <v>PEB 7 / TB</v>
          </cell>
          <cell r="M1298">
            <v>0</v>
          </cell>
          <cell r="N1298">
            <v>0</v>
          </cell>
        </row>
        <row r="1299">
          <cell r="E1299" t="str">
            <v>MPP</v>
          </cell>
          <cell r="M1299">
            <v>0</v>
          </cell>
          <cell r="N1299">
            <v>0</v>
          </cell>
        </row>
        <row r="1300">
          <cell r="E1300" t="str">
            <v>ID</v>
          </cell>
          <cell r="M1300">
            <v>0</v>
          </cell>
          <cell r="N1300">
            <v>0</v>
          </cell>
        </row>
        <row r="1301">
          <cell r="E1301" t="str">
            <v>LL</v>
          </cell>
          <cell r="M1301">
            <v>0</v>
          </cell>
          <cell r="N1301">
            <v>0</v>
          </cell>
        </row>
        <row r="1302">
          <cell r="E1302" t="str">
            <v>PMK</v>
          </cell>
          <cell r="M1302">
            <v>0</v>
          </cell>
          <cell r="N1302">
            <v>0</v>
          </cell>
        </row>
        <row r="1304">
          <cell r="C1304" t="str">
            <v>A0143</v>
          </cell>
          <cell r="D1304" t="str">
            <v>PT Swadharma Bhakti Sedaya Finance</v>
          </cell>
          <cell r="E1304" t="str">
            <v>PEB 1</v>
          </cell>
          <cell r="M1304">
            <v>0</v>
          </cell>
          <cell r="N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</row>
        <row r="1305">
          <cell r="E1305" t="str">
            <v>PEB 2</v>
          </cell>
          <cell r="M1305">
            <v>0</v>
          </cell>
          <cell r="N1305">
            <v>0</v>
          </cell>
        </row>
        <row r="1306">
          <cell r="E1306" t="str">
            <v>PEB 3</v>
          </cell>
          <cell r="M1306">
            <v>0</v>
          </cell>
          <cell r="N1306">
            <v>0</v>
          </cell>
        </row>
        <row r="1307">
          <cell r="E1307" t="str">
            <v>PEB 4</v>
          </cell>
          <cell r="M1307">
            <v>0</v>
          </cell>
          <cell r="N1307">
            <v>0</v>
          </cell>
        </row>
        <row r="1308">
          <cell r="E1308" t="str">
            <v>PEB 5</v>
          </cell>
          <cell r="M1308">
            <v>0</v>
          </cell>
          <cell r="N1308">
            <v>0</v>
          </cell>
        </row>
        <row r="1309">
          <cell r="E1309" t="str">
            <v>PEB 6</v>
          </cell>
          <cell r="M1309">
            <v>0</v>
          </cell>
          <cell r="N1309">
            <v>0</v>
          </cell>
        </row>
        <row r="1310">
          <cell r="E1310" t="str">
            <v>PEB 7 / TB</v>
          </cell>
          <cell r="M1310">
            <v>0</v>
          </cell>
          <cell r="N1310">
            <v>0</v>
          </cell>
        </row>
        <row r="1311">
          <cell r="E1311" t="str">
            <v>MPP</v>
          </cell>
          <cell r="M1311">
            <v>0</v>
          </cell>
          <cell r="N1311">
            <v>0</v>
          </cell>
        </row>
        <row r="1312">
          <cell r="E1312" t="str">
            <v>ID</v>
          </cell>
          <cell r="M1312">
            <v>0</v>
          </cell>
          <cell r="N1312">
            <v>0</v>
          </cell>
        </row>
        <row r="1313">
          <cell r="E1313" t="str">
            <v>LL</v>
          </cell>
          <cell r="M1313">
            <v>0</v>
          </cell>
          <cell r="N1313">
            <v>0</v>
          </cell>
        </row>
        <row r="1314">
          <cell r="E1314" t="str">
            <v>PMK</v>
          </cell>
          <cell r="M1314">
            <v>0</v>
          </cell>
          <cell r="N1314">
            <v>0</v>
          </cell>
        </row>
        <row r="1316">
          <cell r="C1316" t="str">
            <v>A0452</v>
          </cell>
          <cell r="D1316" t="str">
            <v>PT Telen Orbit Prima</v>
          </cell>
          <cell r="E1316" t="str">
            <v>PEB 1</v>
          </cell>
          <cell r="M1316">
            <v>0</v>
          </cell>
          <cell r="N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K1316">
            <v>34352.337767767305</v>
          </cell>
        </row>
        <row r="1317">
          <cell r="E1317" t="str">
            <v>PEB 2</v>
          </cell>
          <cell r="M1317">
            <v>0</v>
          </cell>
          <cell r="N1317">
            <v>0</v>
          </cell>
        </row>
        <row r="1318">
          <cell r="E1318" t="str">
            <v>PEB 3</v>
          </cell>
          <cell r="M1318">
            <v>0</v>
          </cell>
          <cell r="N1318">
            <v>0</v>
          </cell>
        </row>
        <row r="1319">
          <cell r="E1319" t="str">
            <v>PEB 4</v>
          </cell>
          <cell r="M1319">
            <v>0</v>
          </cell>
          <cell r="N1319">
            <v>0</v>
          </cell>
        </row>
        <row r="1320">
          <cell r="E1320" t="str">
            <v>PEB 5</v>
          </cell>
          <cell r="M1320">
            <v>0</v>
          </cell>
          <cell r="N1320">
            <v>0</v>
          </cell>
        </row>
        <row r="1321">
          <cell r="E1321" t="str">
            <v>PEB 6</v>
          </cell>
          <cell r="M1321">
            <v>0</v>
          </cell>
          <cell r="N1321">
            <v>0</v>
          </cell>
        </row>
        <row r="1322">
          <cell r="E1322" t="str">
            <v>PEB 7 / TB</v>
          </cell>
          <cell r="M1322">
            <v>0</v>
          </cell>
          <cell r="N1322">
            <v>0</v>
          </cell>
        </row>
        <row r="1323">
          <cell r="E1323" t="str">
            <v>MPP</v>
          </cell>
          <cell r="M1323">
            <v>0</v>
          </cell>
          <cell r="N1323">
            <v>0</v>
          </cell>
        </row>
        <row r="1324">
          <cell r="E1324" t="str">
            <v>ID</v>
          </cell>
          <cell r="M1324">
            <v>0</v>
          </cell>
          <cell r="N1324">
            <v>0</v>
          </cell>
        </row>
        <row r="1325">
          <cell r="E1325" t="str">
            <v>LL</v>
          </cell>
          <cell r="M1325">
            <v>0</v>
          </cell>
          <cell r="N1325">
            <v>0</v>
          </cell>
        </row>
        <row r="1326">
          <cell r="E1326" t="str">
            <v>PMK</v>
          </cell>
          <cell r="M1326">
            <v>0</v>
          </cell>
          <cell r="N1326">
            <v>0</v>
          </cell>
        </row>
        <row r="1328">
          <cell r="C1328" t="str">
            <v>A0146</v>
          </cell>
          <cell r="D1328" t="str">
            <v>PT Tjahja Sakti Motor</v>
          </cell>
          <cell r="E1328" t="str">
            <v>PEB 1</v>
          </cell>
          <cell r="M1328">
            <v>0</v>
          </cell>
          <cell r="N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</row>
        <row r="1329">
          <cell r="E1329" t="str">
            <v>PEB 2</v>
          </cell>
          <cell r="M1329">
            <v>0</v>
          </cell>
          <cell r="N1329">
            <v>0</v>
          </cell>
        </row>
        <row r="1330">
          <cell r="E1330" t="str">
            <v>PEB 3</v>
          </cell>
          <cell r="M1330">
            <v>0</v>
          </cell>
          <cell r="N1330">
            <v>0</v>
          </cell>
        </row>
        <row r="1331">
          <cell r="E1331" t="str">
            <v>PEB 4</v>
          </cell>
          <cell r="M1331">
            <v>0</v>
          </cell>
          <cell r="N1331">
            <v>0</v>
          </cell>
        </row>
        <row r="1332">
          <cell r="E1332" t="str">
            <v>PEB 5</v>
          </cell>
          <cell r="M1332">
            <v>0</v>
          </cell>
          <cell r="N1332">
            <v>0</v>
          </cell>
        </row>
        <row r="1333">
          <cell r="E1333" t="str">
            <v>PEB 6</v>
          </cell>
          <cell r="M1333">
            <v>0</v>
          </cell>
          <cell r="N1333">
            <v>0</v>
          </cell>
        </row>
        <row r="1334">
          <cell r="E1334" t="str">
            <v>PEB 7 / TB</v>
          </cell>
          <cell r="M1334">
            <v>0</v>
          </cell>
          <cell r="N1334">
            <v>0</v>
          </cell>
        </row>
        <row r="1335">
          <cell r="E1335" t="str">
            <v>MPP</v>
          </cell>
          <cell r="M1335">
            <v>0</v>
          </cell>
          <cell r="N1335">
            <v>0</v>
          </cell>
        </row>
        <row r="1336">
          <cell r="E1336" t="str">
            <v>ID</v>
          </cell>
          <cell r="M1336">
            <v>0</v>
          </cell>
          <cell r="N1336">
            <v>0</v>
          </cell>
        </row>
        <row r="1337">
          <cell r="E1337" t="str">
            <v>LL</v>
          </cell>
          <cell r="M1337">
            <v>0</v>
          </cell>
          <cell r="N1337">
            <v>0</v>
          </cell>
        </row>
        <row r="1338">
          <cell r="E1338" t="str">
            <v>PMK</v>
          </cell>
          <cell r="M1338">
            <v>0</v>
          </cell>
          <cell r="N1338">
            <v>0</v>
          </cell>
        </row>
        <row r="1340">
          <cell r="C1340" t="str">
            <v>A0364</v>
          </cell>
          <cell r="D1340" t="str">
            <v>PT Toyoda Gosei Safety System Indonesia</v>
          </cell>
          <cell r="E1340" t="str">
            <v>PEB 1</v>
          </cell>
          <cell r="M1340">
            <v>0</v>
          </cell>
          <cell r="N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</row>
        <row r="1341">
          <cell r="E1341" t="str">
            <v>PEB 2</v>
          </cell>
          <cell r="M1341">
            <v>0</v>
          </cell>
          <cell r="N1341">
            <v>0</v>
          </cell>
        </row>
        <row r="1342">
          <cell r="E1342" t="str">
            <v>PEB 3</v>
          </cell>
          <cell r="M1342">
            <v>0</v>
          </cell>
          <cell r="N1342">
            <v>0</v>
          </cell>
        </row>
        <row r="1343">
          <cell r="E1343" t="str">
            <v>PEB 4</v>
          </cell>
          <cell r="M1343">
            <v>0</v>
          </cell>
          <cell r="N1343">
            <v>0</v>
          </cell>
        </row>
        <row r="1344">
          <cell r="E1344" t="str">
            <v>PEB 5</v>
          </cell>
          <cell r="M1344">
            <v>0</v>
          </cell>
          <cell r="N1344">
            <v>0</v>
          </cell>
        </row>
        <row r="1345">
          <cell r="E1345" t="str">
            <v>PEB 6</v>
          </cell>
          <cell r="M1345">
            <v>0</v>
          </cell>
          <cell r="N1345">
            <v>0</v>
          </cell>
        </row>
        <row r="1346">
          <cell r="E1346" t="str">
            <v>PEB 7 / TB</v>
          </cell>
          <cell r="M1346">
            <v>0</v>
          </cell>
          <cell r="N1346">
            <v>0</v>
          </cell>
        </row>
        <row r="1347">
          <cell r="E1347" t="str">
            <v>MPP</v>
          </cell>
          <cell r="M1347">
            <v>0</v>
          </cell>
          <cell r="N1347">
            <v>0</v>
          </cell>
        </row>
        <row r="1348">
          <cell r="E1348" t="str">
            <v>ID</v>
          </cell>
          <cell r="M1348">
            <v>0</v>
          </cell>
          <cell r="N1348">
            <v>0</v>
          </cell>
        </row>
        <row r="1349">
          <cell r="E1349" t="str">
            <v>LL</v>
          </cell>
          <cell r="M1349">
            <v>0</v>
          </cell>
          <cell r="N1349">
            <v>0</v>
          </cell>
        </row>
        <row r="1350">
          <cell r="E1350" t="str">
            <v>PMK</v>
          </cell>
          <cell r="M1350">
            <v>0</v>
          </cell>
          <cell r="N1350">
            <v>0</v>
          </cell>
        </row>
        <row r="1352">
          <cell r="C1352" t="str">
            <v>A0411</v>
          </cell>
          <cell r="D1352" t="str">
            <v>PT Toyota Astra Financial Services</v>
          </cell>
          <cell r="E1352" t="str">
            <v>PEB 1</v>
          </cell>
          <cell r="M1352">
            <v>0</v>
          </cell>
          <cell r="N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</row>
        <row r="1353">
          <cell r="E1353" t="str">
            <v>PEB 2</v>
          </cell>
          <cell r="M1353">
            <v>0</v>
          </cell>
          <cell r="N1353">
            <v>0</v>
          </cell>
        </row>
        <row r="1354">
          <cell r="E1354" t="str">
            <v>PEB 3</v>
          </cell>
          <cell r="M1354">
            <v>0</v>
          </cell>
          <cell r="N1354">
            <v>0</v>
          </cell>
        </row>
        <row r="1355">
          <cell r="E1355" t="str">
            <v>PEB 4</v>
          </cell>
          <cell r="M1355">
            <v>0</v>
          </cell>
          <cell r="N1355">
            <v>0</v>
          </cell>
        </row>
        <row r="1356">
          <cell r="E1356" t="str">
            <v>PEB 5</v>
          </cell>
          <cell r="M1356">
            <v>0</v>
          </cell>
          <cell r="N1356">
            <v>0</v>
          </cell>
        </row>
        <row r="1357">
          <cell r="E1357" t="str">
            <v>PEB 6</v>
          </cell>
          <cell r="M1357">
            <v>0</v>
          </cell>
          <cell r="N1357">
            <v>0</v>
          </cell>
        </row>
        <row r="1358">
          <cell r="E1358" t="str">
            <v>PEB 7 / TB</v>
          </cell>
          <cell r="M1358">
            <v>0</v>
          </cell>
          <cell r="N1358">
            <v>0</v>
          </cell>
        </row>
        <row r="1359">
          <cell r="E1359" t="str">
            <v>MPP</v>
          </cell>
          <cell r="M1359">
            <v>0</v>
          </cell>
          <cell r="N1359">
            <v>0</v>
          </cell>
        </row>
        <row r="1360">
          <cell r="E1360" t="str">
            <v>ID</v>
          </cell>
          <cell r="M1360">
            <v>0</v>
          </cell>
          <cell r="N1360">
            <v>0</v>
          </cell>
        </row>
        <row r="1361">
          <cell r="E1361" t="str">
            <v>LL</v>
          </cell>
          <cell r="M1361">
            <v>0</v>
          </cell>
          <cell r="N1361">
            <v>0</v>
          </cell>
        </row>
        <row r="1362">
          <cell r="E1362" t="str">
            <v>PMK</v>
          </cell>
          <cell r="M1362">
            <v>0</v>
          </cell>
          <cell r="N1362">
            <v>0</v>
          </cell>
        </row>
        <row r="1364">
          <cell r="C1364" t="str">
            <v>A0150</v>
          </cell>
          <cell r="D1364" t="str">
            <v>PT Traktor Nusantara</v>
          </cell>
          <cell r="E1364" t="str">
            <v>PEB 1</v>
          </cell>
          <cell r="M1364">
            <v>0</v>
          </cell>
          <cell r="N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L1364">
            <v>40309.194302000004</v>
          </cell>
        </row>
        <row r="1365">
          <cell r="E1365" t="str">
            <v>PEB 2</v>
          </cell>
          <cell r="M1365">
            <v>0</v>
          </cell>
          <cell r="N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</row>
        <row r="1366">
          <cell r="E1366" t="str">
            <v>PEB 3</v>
          </cell>
          <cell r="M1366">
            <v>0</v>
          </cell>
          <cell r="N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</row>
        <row r="1367">
          <cell r="E1367" t="str">
            <v>PEB 4</v>
          </cell>
          <cell r="M1367">
            <v>0</v>
          </cell>
          <cell r="N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</row>
        <row r="1368">
          <cell r="E1368" t="str">
            <v>PEB 5</v>
          </cell>
        </row>
        <row r="1369">
          <cell r="E1369" t="str">
            <v>PEB 6</v>
          </cell>
        </row>
        <row r="1370">
          <cell r="E1370" t="str">
            <v>PEB 7 / TB</v>
          </cell>
          <cell r="M1370">
            <v>0</v>
          </cell>
          <cell r="N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</row>
        <row r="1371">
          <cell r="E1371" t="str">
            <v>MPP</v>
          </cell>
          <cell r="M1371">
            <v>0</v>
          </cell>
          <cell r="N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</row>
        <row r="1372">
          <cell r="E1372" t="str">
            <v>ID</v>
          </cell>
          <cell r="M1372">
            <v>0</v>
          </cell>
          <cell r="N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</row>
        <row r="1373">
          <cell r="E1373" t="str">
            <v>LL</v>
          </cell>
          <cell r="M1373">
            <v>0</v>
          </cell>
          <cell r="N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</row>
        <row r="1374">
          <cell r="E1374" t="str">
            <v>PMK</v>
          </cell>
          <cell r="M1374">
            <v>0</v>
          </cell>
          <cell r="N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</row>
        <row r="1376">
          <cell r="C1376" t="str">
            <v>A0151</v>
          </cell>
          <cell r="D1376" t="str">
            <v>Dana Pensiun Astra</v>
          </cell>
          <cell r="E1376" t="str">
            <v>PEB 1</v>
          </cell>
          <cell r="M1376">
            <v>0</v>
          </cell>
          <cell r="N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</row>
        <row r="1377">
          <cell r="E1377" t="str">
            <v>PEB 2</v>
          </cell>
          <cell r="M1377">
            <v>0</v>
          </cell>
          <cell r="N1377">
            <v>0</v>
          </cell>
        </row>
        <row r="1378">
          <cell r="E1378" t="str">
            <v>PEB 3</v>
          </cell>
          <cell r="M1378">
            <v>0</v>
          </cell>
          <cell r="N1378">
            <v>0</v>
          </cell>
        </row>
        <row r="1379">
          <cell r="E1379" t="str">
            <v>PEB 4</v>
          </cell>
          <cell r="M1379">
            <v>0</v>
          </cell>
          <cell r="N1379">
            <v>0</v>
          </cell>
        </row>
        <row r="1380">
          <cell r="E1380" t="str">
            <v>PEB 5</v>
          </cell>
          <cell r="M1380">
            <v>0</v>
          </cell>
          <cell r="N1380">
            <v>0</v>
          </cell>
        </row>
        <row r="1381">
          <cell r="E1381" t="str">
            <v>PEB 6</v>
          </cell>
          <cell r="M1381">
            <v>0</v>
          </cell>
          <cell r="N1381">
            <v>0</v>
          </cell>
        </row>
        <row r="1382">
          <cell r="E1382" t="str">
            <v>PEB 7 / TB</v>
          </cell>
          <cell r="M1382">
            <v>0</v>
          </cell>
          <cell r="N1382">
            <v>0</v>
          </cell>
        </row>
        <row r="1383">
          <cell r="E1383" t="str">
            <v>MPP</v>
          </cell>
          <cell r="M1383">
            <v>0</v>
          </cell>
          <cell r="N1383">
            <v>0</v>
          </cell>
        </row>
        <row r="1384">
          <cell r="E1384" t="str">
            <v>ID</v>
          </cell>
          <cell r="M1384">
            <v>0</v>
          </cell>
          <cell r="N1384">
            <v>0</v>
          </cell>
        </row>
        <row r="1385">
          <cell r="E1385" t="str">
            <v>LL</v>
          </cell>
          <cell r="M1385">
            <v>0</v>
          </cell>
          <cell r="N1385">
            <v>0</v>
          </cell>
        </row>
        <row r="1386">
          <cell r="E1386" t="str">
            <v>PMK</v>
          </cell>
          <cell r="M1386">
            <v>0</v>
          </cell>
          <cell r="N1386">
            <v>0</v>
          </cell>
        </row>
        <row r="1388">
          <cell r="C1388" t="str">
            <v>A0153</v>
          </cell>
          <cell r="D1388" t="str">
            <v>PT Tunggal Perkasa Plantation</v>
          </cell>
          <cell r="E1388" t="str">
            <v>PEB 1</v>
          </cell>
          <cell r="M1388">
            <v>0</v>
          </cell>
          <cell r="N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</row>
        <row r="1389">
          <cell r="E1389" t="str">
            <v>PEB 2</v>
          </cell>
          <cell r="M1389">
            <v>0</v>
          </cell>
          <cell r="N1389">
            <v>0</v>
          </cell>
        </row>
        <row r="1390">
          <cell r="E1390" t="str">
            <v>PEB 3</v>
          </cell>
          <cell r="M1390">
            <v>0</v>
          </cell>
          <cell r="N1390">
            <v>0</v>
          </cell>
        </row>
        <row r="1391">
          <cell r="E1391" t="str">
            <v>PEB 4</v>
          </cell>
          <cell r="M1391">
            <v>0</v>
          </cell>
          <cell r="N1391">
            <v>0</v>
          </cell>
        </row>
        <row r="1392">
          <cell r="E1392" t="str">
            <v>PEB 5</v>
          </cell>
          <cell r="M1392">
            <v>0</v>
          </cell>
          <cell r="N1392">
            <v>0</v>
          </cell>
        </row>
        <row r="1393">
          <cell r="E1393" t="str">
            <v>PEB 6</v>
          </cell>
          <cell r="M1393">
            <v>0</v>
          </cell>
          <cell r="N1393">
            <v>0</v>
          </cell>
        </row>
        <row r="1394">
          <cell r="E1394" t="str">
            <v>PEB 7 / TB</v>
          </cell>
          <cell r="M1394">
            <v>0</v>
          </cell>
          <cell r="N1394">
            <v>0</v>
          </cell>
        </row>
        <row r="1395">
          <cell r="E1395" t="str">
            <v>MPP</v>
          </cell>
          <cell r="M1395">
            <v>0</v>
          </cell>
          <cell r="N1395">
            <v>0</v>
          </cell>
        </row>
        <row r="1396">
          <cell r="E1396" t="str">
            <v>ID</v>
          </cell>
          <cell r="M1396">
            <v>0</v>
          </cell>
          <cell r="N1396">
            <v>0</v>
          </cell>
        </row>
        <row r="1397">
          <cell r="E1397" t="str">
            <v>LL</v>
          </cell>
          <cell r="M1397">
            <v>0</v>
          </cell>
          <cell r="N1397">
            <v>0</v>
          </cell>
        </row>
        <row r="1398">
          <cell r="E1398" t="str">
            <v>PMK</v>
          </cell>
          <cell r="M1398">
            <v>0</v>
          </cell>
          <cell r="N1398">
            <v>0</v>
          </cell>
        </row>
        <row r="1400">
          <cell r="C1400" t="str">
            <v>A0156</v>
          </cell>
          <cell r="D1400" t="str">
            <v>PT United Tractors Pandu Eng.</v>
          </cell>
          <cell r="E1400" t="str">
            <v>PEB 1</v>
          </cell>
          <cell r="M1400">
            <v>0</v>
          </cell>
          <cell r="N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</row>
        <row r="1401">
          <cell r="E1401" t="str">
            <v>PEB 2</v>
          </cell>
          <cell r="M1401">
            <v>0</v>
          </cell>
          <cell r="N1401">
            <v>0</v>
          </cell>
        </row>
        <row r="1402">
          <cell r="E1402" t="str">
            <v>PEB 3</v>
          </cell>
          <cell r="M1402">
            <v>0</v>
          </cell>
          <cell r="N1402">
            <v>0</v>
          </cell>
        </row>
        <row r="1403">
          <cell r="E1403" t="str">
            <v>PEB 4</v>
          </cell>
          <cell r="M1403">
            <v>0</v>
          </cell>
          <cell r="N1403">
            <v>0</v>
          </cell>
        </row>
        <row r="1404">
          <cell r="E1404" t="str">
            <v>PEB 5</v>
          </cell>
          <cell r="M1404">
            <v>0</v>
          </cell>
          <cell r="N1404">
            <v>0</v>
          </cell>
        </row>
        <row r="1405">
          <cell r="E1405" t="str">
            <v>PEB 6</v>
          </cell>
          <cell r="M1405">
            <v>0</v>
          </cell>
          <cell r="N1405">
            <v>0</v>
          </cell>
        </row>
        <row r="1406">
          <cell r="E1406" t="str">
            <v>PEB 7 / TB</v>
          </cell>
          <cell r="M1406">
            <v>0</v>
          </cell>
          <cell r="N1406">
            <v>0</v>
          </cell>
        </row>
        <row r="1407">
          <cell r="E1407" t="str">
            <v>MPP</v>
          </cell>
          <cell r="M1407">
            <v>0</v>
          </cell>
          <cell r="N1407">
            <v>0</v>
          </cell>
        </row>
        <row r="1408">
          <cell r="E1408" t="str">
            <v>ID</v>
          </cell>
          <cell r="M1408">
            <v>0</v>
          </cell>
          <cell r="N1408">
            <v>0</v>
          </cell>
        </row>
        <row r="1409">
          <cell r="E1409" t="str">
            <v>LL</v>
          </cell>
          <cell r="M1409">
            <v>0</v>
          </cell>
          <cell r="N1409">
            <v>0</v>
          </cell>
        </row>
        <row r="1410">
          <cell r="E1410" t="str">
            <v>PMK</v>
          </cell>
          <cell r="M1410">
            <v>0</v>
          </cell>
          <cell r="N1410">
            <v>0</v>
          </cell>
        </row>
        <row r="1412">
          <cell r="C1412" t="str">
            <v>A0155</v>
          </cell>
          <cell r="D1412" t="str">
            <v>PT United Tractors TBK (Parent)</v>
          </cell>
          <cell r="E1412" t="str">
            <v>PEB 1</v>
          </cell>
          <cell r="M1412">
            <v>0</v>
          </cell>
          <cell r="N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K1412">
            <v>663827.304</v>
          </cell>
          <cell r="AL1412">
            <v>1627258.6880000001</v>
          </cell>
        </row>
        <row r="1413">
          <cell r="E1413" t="str">
            <v>PEB 2</v>
          </cell>
          <cell r="M1413">
            <v>0</v>
          </cell>
          <cell r="N1413">
            <v>0</v>
          </cell>
        </row>
        <row r="1414">
          <cell r="E1414" t="str">
            <v>PEB 3</v>
          </cell>
          <cell r="M1414">
            <v>0</v>
          </cell>
          <cell r="N1414">
            <v>0</v>
          </cell>
        </row>
        <row r="1415">
          <cell r="E1415" t="str">
            <v>PEB 4</v>
          </cell>
          <cell r="M1415">
            <v>0</v>
          </cell>
          <cell r="N1415">
            <v>0</v>
          </cell>
        </row>
        <row r="1416">
          <cell r="E1416" t="str">
            <v>PEB 5</v>
          </cell>
          <cell r="M1416">
            <v>0</v>
          </cell>
          <cell r="N1416">
            <v>0</v>
          </cell>
        </row>
        <row r="1417">
          <cell r="E1417" t="str">
            <v>PEB 6</v>
          </cell>
          <cell r="M1417">
            <v>0</v>
          </cell>
          <cell r="N1417">
            <v>0</v>
          </cell>
        </row>
        <row r="1418">
          <cell r="E1418" t="str">
            <v>PEB 7 / TB</v>
          </cell>
          <cell r="M1418">
            <v>0</v>
          </cell>
          <cell r="N1418">
            <v>0</v>
          </cell>
        </row>
        <row r="1419">
          <cell r="E1419" t="str">
            <v>MPP</v>
          </cell>
          <cell r="M1419">
            <v>0</v>
          </cell>
          <cell r="N1419">
            <v>0</v>
          </cell>
        </row>
        <row r="1420">
          <cell r="E1420" t="str">
            <v>ID</v>
          </cell>
          <cell r="M1420">
            <v>0</v>
          </cell>
          <cell r="N1420">
            <v>0</v>
          </cell>
        </row>
        <row r="1421">
          <cell r="E1421" t="str">
            <v>LL</v>
          </cell>
          <cell r="M1421">
            <v>0</v>
          </cell>
          <cell r="N1421">
            <v>0</v>
          </cell>
        </row>
        <row r="1422">
          <cell r="E1422" t="str">
            <v>PMK</v>
          </cell>
          <cell r="M1422">
            <v>0</v>
          </cell>
          <cell r="N1422">
            <v>0</v>
          </cell>
        </row>
        <row r="1424">
          <cell r="C1424" t="str">
            <v>A0099</v>
          </cell>
          <cell r="D1424" t="str">
            <v>PT Waru Kalimantan Plantation</v>
          </cell>
          <cell r="E1424" t="str">
            <v>PEB 1</v>
          </cell>
          <cell r="M1424">
            <v>0</v>
          </cell>
          <cell r="N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</row>
        <row r="1425">
          <cell r="E1425" t="str">
            <v>PEB 2</v>
          </cell>
          <cell r="M1425">
            <v>0</v>
          </cell>
          <cell r="N1425">
            <v>0</v>
          </cell>
        </row>
        <row r="1426">
          <cell r="E1426" t="str">
            <v>PEB 3</v>
          </cell>
          <cell r="M1426">
            <v>0</v>
          </cell>
          <cell r="N1426">
            <v>0</v>
          </cell>
        </row>
        <row r="1427">
          <cell r="E1427" t="str">
            <v>PEB 4</v>
          </cell>
          <cell r="M1427">
            <v>0</v>
          </cell>
          <cell r="N1427">
            <v>0</v>
          </cell>
        </row>
        <row r="1428">
          <cell r="E1428" t="str">
            <v>PEB 5</v>
          </cell>
          <cell r="M1428">
            <v>0</v>
          </cell>
          <cell r="N1428">
            <v>0</v>
          </cell>
        </row>
        <row r="1429">
          <cell r="E1429" t="str">
            <v>PEB 6</v>
          </cell>
          <cell r="M1429">
            <v>0</v>
          </cell>
          <cell r="N1429">
            <v>0</v>
          </cell>
        </row>
        <row r="1430">
          <cell r="E1430" t="str">
            <v>PEB 7 / TB</v>
          </cell>
          <cell r="M1430">
            <v>0</v>
          </cell>
          <cell r="N1430">
            <v>0</v>
          </cell>
        </row>
        <row r="1431">
          <cell r="E1431" t="str">
            <v>MPP</v>
          </cell>
          <cell r="M1431">
            <v>0</v>
          </cell>
          <cell r="N1431">
            <v>0</v>
          </cell>
        </row>
        <row r="1432">
          <cell r="E1432" t="str">
            <v>ID</v>
          </cell>
          <cell r="M1432">
            <v>0</v>
          </cell>
          <cell r="N1432">
            <v>0</v>
          </cell>
        </row>
        <row r="1433">
          <cell r="E1433" t="str">
            <v>LL</v>
          </cell>
          <cell r="M1433">
            <v>0</v>
          </cell>
          <cell r="N1433">
            <v>0</v>
          </cell>
        </row>
        <row r="1434">
          <cell r="E1434" t="str">
            <v>PMK</v>
          </cell>
          <cell r="M1434">
            <v>0</v>
          </cell>
          <cell r="N1434">
            <v>0</v>
          </cell>
        </row>
        <row r="1436">
          <cell r="C1436" t="str">
            <v>A0326</v>
          </cell>
          <cell r="D1436" t="str">
            <v>PT Yutaka Manufacturing Indonesia</v>
          </cell>
          <cell r="E1436" t="str">
            <v>PEB 1</v>
          </cell>
          <cell r="M1436">
            <v>0</v>
          </cell>
          <cell r="N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</row>
        <row r="1437">
          <cell r="E1437" t="str">
            <v>PEB 2</v>
          </cell>
          <cell r="M1437">
            <v>0</v>
          </cell>
          <cell r="N1437">
            <v>0</v>
          </cell>
        </row>
        <row r="1438">
          <cell r="E1438" t="str">
            <v>PEB 3</v>
          </cell>
          <cell r="M1438">
            <v>0</v>
          </cell>
          <cell r="N1438">
            <v>0</v>
          </cell>
        </row>
        <row r="1439">
          <cell r="E1439" t="str">
            <v>PEB 4</v>
          </cell>
          <cell r="M1439">
            <v>0</v>
          </cell>
          <cell r="N1439">
            <v>0</v>
          </cell>
        </row>
        <row r="1440">
          <cell r="E1440" t="str">
            <v>PEB 5</v>
          </cell>
          <cell r="M1440">
            <v>0</v>
          </cell>
          <cell r="N1440">
            <v>0</v>
          </cell>
        </row>
        <row r="1441">
          <cell r="E1441" t="str">
            <v>PEB 6</v>
          </cell>
          <cell r="M1441">
            <v>0</v>
          </cell>
          <cell r="N1441">
            <v>0</v>
          </cell>
        </row>
        <row r="1442">
          <cell r="E1442" t="str">
            <v>PEB 7 / TB</v>
          </cell>
          <cell r="M1442">
            <v>0</v>
          </cell>
          <cell r="N1442">
            <v>0</v>
          </cell>
        </row>
        <row r="1443">
          <cell r="E1443" t="str">
            <v>MPP</v>
          </cell>
          <cell r="M1443">
            <v>0</v>
          </cell>
          <cell r="N1443">
            <v>0</v>
          </cell>
        </row>
        <row r="1444">
          <cell r="E1444" t="str">
            <v>ID</v>
          </cell>
          <cell r="M1444">
            <v>0</v>
          </cell>
          <cell r="N1444">
            <v>0</v>
          </cell>
        </row>
        <row r="1445">
          <cell r="E1445" t="str">
            <v>LL</v>
          </cell>
          <cell r="M1445">
            <v>0</v>
          </cell>
          <cell r="N1445">
            <v>0</v>
          </cell>
        </row>
        <row r="1446">
          <cell r="E1446" t="str">
            <v>PMK</v>
          </cell>
          <cell r="M1446">
            <v>0</v>
          </cell>
          <cell r="N1446">
            <v>0</v>
          </cell>
        </row>
        <row r="1448">
          <cell r="C1448" t="str">
            <v>R0406</v>
          </cell>
          <cell r="D1448" t="str">
            <v>Yayasan Astra Bina Ilmu</v>
          </cell>
          <cell r="E1448" t="str">
            <v>PEB 1</v>
          </cell>
          <cell r="M1448">
            <v>0</v>
          </cell>
          <cell r="N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</row>
        <row r="1449">
          <cell r="E1449" t="str">
            <v>PEB 2</v>
          </cell>
          <cell r="M1449">
            <v>0</v>
          </cell>
          <cell r="N1449">
            <v>0</v>
          </cell>
        </row>
        <row r="1450">
          <cell r="E1450" t="str">
            <v>PEB 3</v>
          </cell>
          <cell r="M1450">
            <v>0</v>
          </cell>
          <cell r="N1450">
            <v>0</v>
          </cell>
        </row>
        <row r="1451">
          <cell r="E1451" t="str">
            <v>PEB 4</v>
          </cell>
          <cell r="M1451">
            <v>0</v>
          </cell>
          <cell r="N1451">
            <v>0</v>
          </cell>
        </row>
        <row r="1452">
          <cell r="E1452" t="str">
            <v>PEB 5</v>
          </cell>
          <cell r="M1452">
            <v>0</v>
          </cell>
          <cell r="N1452">
            <v>0</v>
          </cell>
        </row>
        <row r="1453">
          <cell r="E1453" t="str">
            <v>PEB 6</v>
          </cell>
          <cell r="M1453">
            <v>0</v>
          </cell>
          <cell r="N1453">
            <v>0</v>
          </cell>
        </row>
        <row r="1454">
          <cell r="E1454" t="str">
            <v>PEB 7 / TB</v>
          </cell>
          <cell r="M1454">
            <v>0</v>
          </cell>
          <cell r="N1454">
            <v>0</v>
          </cell>
        </row>
        <row r="1455">
          <cell r="E1455" t="str">
            <v>MPP</v>
          </cell>
          <cell r="M1455">
            <v>0</v>
          </cell>
          <cell r="N1455">
            <v>0</v>
          </cell>
        </row>
        <row r="1456">
          <cell r="E1456" t="str">
            <v>ID</v>
          </cell>
          <cell r="M1456">
            <v>0</v>
          </cell>
          <cell r="N1456">
            <v>0</v>
          </cell>
        </row>
        <row r="1457">
          <cell r="E1457" t="str">
            <v>LL</v>
          </cell>
          <cell r="M1457">
            <v>0</v>
          </cell>
          <cell r="N1457">
            <v>0</v>
          </cell>
        </row>
        <row r="1458">
          <cell r="E1458" t="str">
            <v>PMK</v>
          </cell>
          <cell r="M1458">
            <v>0</v>
          </cell>
          <cell r="N1458">
            <v>0</v>
          </cell>
        </row>
        <row r="1460">
          <cell r="C1460" t="str">
            <v>R0411</v>
          </cell>
          <cell r="D1460" t="str">
            <v>Yayasan Astra Bina Pendidikan</v>
          </cell>
          <cell r="E1460" t="str">
            <v>PEB 1</v>
          </cell>
          <cell r="M1460">
            <v>0</v>
          </cell>
          <cell r="N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</row>
        <row r="1461">
          <cell r="E1461" t="str">
            <v>PEB 2</v>
          </cell>
          <cell r="M1461">
            <v>0</v>
          </cell>
          <cell r="N1461">
            <v>0</v>
          </cell>
        </row>
        <row r="1462">
          <cell r="E1462" t="str">
            <v>PEB 3</v>
          </cell>
          <cell r="M1462">
            <v>0</v>
          </cell>
          <cell r="N1462">
            <v>0</v>
          </cell>
        </row>
        <row r="1463">
          <cell r="E1463" t="str">
            <v>PEB 4</v>
          </cell>
          <cell r="M1463">
            <v>0</v>
          </cell>
          <cell r="N1463">
            <v>0</v>
          </cell>
        </row>
        <row r="1464">
          <cell r="E1464" t="str">
            <v>PEB 5</v>
          </cell>
          <cell r="M1464">
            <v>0</v>
          </cell>
          <cell r="N1464">
            <v>0</v>
          </cell>
        </row>
        <row r="1465">
          <cell r="E1465" t="str">
            <v>PEB 6</v>
          </cell>
          <cell r="M1465">
            <v>0</v>
          </cell>
          <cell r="N1465">
            <v>0</v>
          </cell>
        </row>
        <row r="1466">
          <cell r="E1466" t="str">
            <v>PEB 7 / TB</v>
          </cell>
          <cell r="M1466">
            <v>0</v>
          </cell>
          <cell r="N1466">
            <v>0</v>
          </cell>
        </row>
        <row r="1467">
          <cell r="E1467" t="str">
            <v>MPP</v>
          </cell>
          <cell r="M1467">
            <v>0</v>
          </cell>
          <cell r="N1467">
            <v>0</v>
          </cell>
        </row>
        <row r="1468">
          <cell r="E1468" t="str">
            <v>ID</v>
          </cell>
          <cell r="M1468">
            <v>0</v>
          </cell>
          <cell r="N1468">
            <v>0</v>
          </cell>
        </row>
        <row r="1469">
          <cell r="E1469" t="str">
            <v>LL</v>
          </cell>
          <cell r="M1469">
            <v>0</v>
          </cell>
          <cell r="N1469">
            <v>0</v>
          </cell>
        </row>
        <row r="1470">
          <cell r="E1470" t="str">
            <v>PMK</v>
          </cell>
          <cell r="M1470">
            <v>0</v>
          </cell>
          <cell r="N1470">
            <v>0</v>
          </cell>
        </row>
        <row r="1472">
          <cell r="C1472" t="str">
            <v>R0410</v>
          </cell>
          <cell r="D1472" t="str">
            <v>Yayasan Dharma Bhakti Astra</v>
          </cell>
          <cell r="E1472" t="str">
            <v>PEB 1</v>
          </cell>
          <cell r="M1472">
            <v>0</v>
          </cell>
          <cell r="N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</row>
        <row r="1473">
          <cell r="E1473" t="str">
            <v>PEB 2</v>
          </cell>
          <cell r="M1473">
            <v>0</v>
          </cell>
          <cell r="N1473">
            <v>0</v>
          </cell>
        </row>
        <row r="1474">
          <cell r="E1474" t="str">
            <v>PEB 3</v>
          </cell>
          <cell r="M1474">
            <v>0</v>
          </cell>
          <cell r="N1474">
            <v>0</v>
          </cell>
        </row>
        <row r="1475">
          <cell r="E1475" t="str">
            <v>PEB 4</v>
          </cell>
          <cell r="M1475">
            <v>0</v>
          </cell>
          <cell r="N1475">
            <v>0</v>
          </cell>
        </row>
        <row r="1476">
          <cell r="E1476" t="str">
            <v>PEB 5</v>
          </cell>
          <cell r="M1476">
            <v>0</v>
          </cell>
          <cell r="N1476">
            <v>0</v>
          </cell>
        </row>
        <row r="1477">
          <cell r="E1477" t="str">
            <v>PEB 6</v>
          </cell>
          <cell r="M1477">
            <v>0</v>
          </cell>
          <cell r="N1477">
            <v>0</v>
          </cell>
        </row>
        <row r="1478">
          <cell r="E1478" t="str">
            <v>PEB 7 / TB</v>
          </cell>
          <cell r="M1478">
            <v>0</v>
          </cell>
          <cell r="N1478">
            <v>0</v>
          </cell>
        </row>
        <row r="1479">
          <cell r="E1479" t="str">
            <v>MPP</v>
          </cell>
          <cell r="M1479">
            <v>0</v>
          </cell>
          <cell r="N1479">
            <v>0</v>
          </cell>
        </row>
        <row r="1480">
          <cell r="E1480" t="str">
            <v>ID</v>
          </cell>
          <cell r="M1480">
            <v>0</v>
          </cell>
          <cell r="N1480">
            <v>0</v>
          </cell>
        </row>
        <row r="1481">
          <cell r="E1481" t="str">
            <v>LL</v>
          </cell>
          <cell r="M1481">
            <v>0</v>
          </cell>
          <cell r="N1481">
            <v>0</v>
          </cell>
        </row>
        <row r="1482">
          <cell r="E1482" t="str">
            <v>PMK</v>
          </cell>
          <cell r="M1482">
            <v>0</v>
          </cell>
          <cell r="N1482">
            <v>0</v>
          </cell>
        </row>
      </sheetData>
      <sheetData sheetId="5">
        <row r="8">
          <cell r="C8" t="str">
            <v>S0363</v>
          </cell>
          <cell r="D8" t="str">
            <v>AI AWSO</v>
          </cell>
          <cell r="E8" t="str">
            <v>PEB 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60237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133338</v>
          </cell>
          <cell r="AA8">
            <v>0</v>
          </cell>
          <cell r="AB8">
            <v>44667</v>
          </cell>
          <cell r="AC8">
            <v>0</v>
          </cell>
        </row>
        <row r="9">
          <cell r="E9" t="str">
            <v>PEB 2</v>
          </cell>
          <cell r="G9">
            <v>0</v>
          </cell>
        </row>
        <row r="10">
          <cell r="E10" t="str">
            <v>PEB 3</v>
          </cell>
          <cell r="G10">
            <v>0</v>
          </cell>
        </row>
        <row r="11">
          <cell r="E11" t="str">
            <v>PEB 4</v>
          </cell>
          <cell r="G11">
            <v>0</v>
          </cell>
        </row>
        <row r="12">
          <cell r="E12" t="str">
            <v>PEB 5</v>
          </cell>
          <cell r="G12">
            <v>0</v>
          </cell>
        </row>
        <row r="13">
          <cell r="E13" t="str">
            <v>PEB 6</v>
          </cell>
          <cell r="G13">
            <v>0</v>
          </cell>
        </row>
        <row r="14">
          <cell r="E14" t="str">
            <v>PEB 7 / TB</v>
          </cell>
          <cell r="G14">
            <v>60237</v>
          </cell>
        </row>
        <row r="15">
          <cell r="E15" t="str">
            <v>MPP</v>
          </cell>
          <cell r="G15">
            <v>0</v>
          </cell>
        </row>
        <row r="16">
          <cell r="E16" t="str">
            <v>ID</v>
          </cell>
          <cell r="G16">
            <v>0</v>
          </cell>
        </row>
        <row r="17">
          <cell r="E17" t="str">
            <v>LL</v>
          </cell>
          <cell r="G17">
            <v>133338</v>
          </cell>
        </row>
        <row r="18">
          <cell r="E18" t="str">
            <v>PMK</v>
          </cell>
          <cell r="G18">
            <v>44667</v>
          </cell>
        </row>
        <row r="20">
          <cell r="C20" t="str">
            <v>S0173</v>
          </cell>
          <cell r="D20" t="str">
            <v>AI BSO</v>
          </cell>
          <cell r="E20" t="str">
            <v>PEB 1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105072</v>
          </cell>
          <cell r="U20">
            <v>699543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187090</v>
          </cell>
          <cell r="AA20">
            <v>0</v>
          </cell>
          <cell r="AB20">
            <v>196664</v>
          </cell>
          <cell r="AC20">
            <v>0</v>
          </cell>
        </row>
        <row r="21">
          <cell r="E21" t="str">
            <v>PEB 2</v>
          </cell>
          <cell r="G21">
            <v>0</v>
          </cell>
          <cell r="H21">
            <v>0</v>
          </cell>
        </row>
        <row r="22">
          <cell r="E22" t="str">
            <v>PEB 3</v>
          </cell>
          <cell r="G22">
            <v>0</v>
          </cell>
          <cell r="H22">
            <v>0</v>
          </cell>
        </row>
        <row r="23">
          <cell r="E23" t="str">
            <v>PEB 4</v>
          </cell>
          <cell r="G23">
            <v>0</v>
          </cell>
          <cell r="H23">
            <v>0</v>
          </cell>
        </row>
        <row r="24">
          <cell r="E24" t="str">
            <v>PEB 5</v>
          </cell>
          <cell r="G24">
            <v>0</v>
          </cell>
          <cell r="H24">
            <v>0</v>
          </cell>
        </row>
        <row r="25">
          <cell r="E25" t="str">
            <v>PEB 6</v>
          </cell>
          <cell r="G25">
            <v>0</v>
          </cell>
          <cell r="H25">
            <v>0</v>
          </cell>
        </row>
        <row r="26">
          <cell r="E26" t="str">
            <v>PEB 7 / TB</v>
          </cell>
          <cell r="G26">
            <v>105072</v>
          </cell>
          <cell r="H26">
            <v>699543</v>
          </cell>
        </row>
        <row r="27">
          <cell r="E27" t="str">
            <v>MPP</v>
          </cell>
          <cell r="G27">
            <v>0</v>
          </cell>
          <cell r="H27">
            <v>0</v>
          </cell>
        </row>
        <row r="28">
          <cell r="E28" t="str">
            <v>ID</v>
          </cell>
          <cell r="G28">
            <v>0</v>
          </cell>
          <cell r="H28">
            <v>0</v>
          </cell>
        </row>
        <row r="29">
          <cell r="E29" t="str">
            <v>LL</v>
          </cell>
          <cell r="G29">
            <v>187090</v>
          </cell>
          <cell r="H29">
            <v>0</v>
          </cell>
        </row>
        <row r="30">
          <cell r="E30" t="str">
            <v>PMK</v>
          </cell>
          <cell r="G30">
            <v>196664</v>
          </cell>
          <cell r="H30">
            <v>0</v>
          </cell>
        </row>
        <row r="32">
          <cell r="C32" t="str">
            <v>S0003</v>
          </cell>
          <cell r="D32" t="str">
            <v>AI DSO</v>
          </cell>
          <cell r="E32" t="str">
            <v>PEB 1</v>
          </cell>
          <cell r="J32">
            <v>273592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142084</v>
          </cell>
          <cell r="U32">
            <v>44473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711300</v>
          </cell>
          <cell r="AA32">
            <v>0</v>
          </cell>
          <cell r="AB32">
            <v>500056</v>
          </cell>
          <cell r="AC32">
            <v>0</v>
          </cell>
        </row>
        <row r="33">
          <cell r="E33" t="str">
            <v>PEB 2</v>
          </cell>
          <cell r="G33">
            <v>273592</v>
          </cell>
          <cell r="H33">
            <v>0</v>
          </cell>
        </row>
        <row r="34">
          <cell r="E34" t="str">
            <v>PEB 3</v>
          </cell>
          <cell r="G34">
            <v>0</v>
          </cell>
          <cell r="H34">
            <v>0</v>
          </cell>
        </row>
        <row r="35">
          <cell r="E35" t="str">
            <v>PEB 4</v>
          </cell>
          <cell r="G35">
            <v>0</v>
          </cell>
          <cell r="H35">
            <v>0</v>
          </cell>
        </row>
        <row r="36">
          <cell r="E36" t="str">
            <v>PEB 5</v>
          </cell>
          <cell r="G36">
            <v>0</v>
          </cell>
          <cell r="H36">
            <v>0</v>
          </cell>
        </row>
        <row r="37">
          <cell r="E37" t="str">
            <v>PEB 6</v>
          </cell>
          <cell r="G37">
            <v>0</v>
          </cell>
          <cell r="H37">
            <v>0</v>
          </cell>
        </row>
        <row r="38">
          <cell r="E38" t="str">
            <v>PEB 7 / TB</v>
          </cell>
          <cell r="G38">
            <v>142084</v>
          </cell>
          <cell r="H38">
            <v>44473</v>
          </cell>
        </row>
        <row r="39">
          <cell r="E39" t="str">
            <v>MPP</v>
          </cell>
          <cell r="G39">
            <v>0</v>
          </cell>
          <cell r="H39">
            <v>0</v>
          </cell>
        </row>
        <row r="40">
          <cell r="E40" t="str">
            <v>ID</v>
          </cell>
          <cell r="G40">
            <v>0</v>
          </cell>
          <cell r="H40">
            <v>0</v>
          </cell>
        </row>
        <row r="41">
          <cell r="E41" t="str">
            <v>LL</v>
          </cell>
          <cell r="G41">
            <v>711300</v>
          </cell>
          <cell r="H41">
            <v>0</v>
          </cell>
        </row>
        <row r="42">
          <cell r="E42" t="str">
            <v>PMK</v>
          </cell>
          <cell r="G42">
            <v>500056</v>
          </cell>
          <cell r="H42">
            <v>0</v>
          </cell>
        </row>
        <row r="44">
          <cell r="C44" t="str">
            <v>S0001</v>
          </cell>
          <cell r="D44" t="str">
            <v>AI HO</v>
          </cell>
          <cell r="E44" t="str">
            <v>PEB 1</v>
          </cell>
          <cell r="J44">
            <v>7761552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399633</v>
          </cell>
          <cell r="U44">
            <v>57483</v>
          </cell>
          <cell r="V44">
            <v>91440</v>
          </cell>
          <cell r="W44">
            <v>0</v>
          </cell>
          <cell r="X44">
            <v>0</v>
          </cell>
          <cell r="Y44">
            <v>0</v>
          </cell>
          <cell r="Z44">
            <v>2647532</v>
          </cell>
          <cell r="AA44">
            <v>0</v>
          </cell>
          <cell r="AB44">
            <v>153981</v>
          </cell>
          <cell r="AC44">
            <v>0</v>
          </cell>
        </row>
        <row r="45">
          <cell r="E45" t="str">
            <v>PEB 2</v>
          </cell>
          <cell r="G45">
            <v>7761552</v>
          </cell>
          <cell r="H45">
            <v>0</v>
          </cell>
        </row>
        <row r="46">
          <cell r="E46" t="str">
            <v>PEB 3</v>
          </cell>
          <cell r="G46">
            <v>0</v>
          </cell>
          <cell r="H46">
            <v>0</v>
          </cell>
        </row>
        <row r="47">
          <cell r="E47" t="str">
            <v>PEB 4</v>
          </cell>
          <cell r="G47">
            <v>0</v>
          </cell>
          <cell r="H47">
            <v>0</v>
          </cell>
        </row>
        <row r="48">
          <cell r="E48" t="str">
            <v>PEB 5</v>
          </cell>
          <cell r="G48">
            <v>0</v>
          </cell>
          <cell r="H48">
            <v>0</v>
          </cell>
        </row>
        <row r="49">
          <cell r="E49" t="str">
            <v>PEB 6</v>
          </cell>
          <cell r="G49">
            <v>0</v>
          </cell>
          <cell r="H49">
            <v>0</v>
          </cell>
        </row>
        <row r="50">
          <cell r="E50" t="str">
            <v>PEB 7 / TB</v>
          </cell>
          <cell r="G50">
            <v>399633</v>
          </cell>
          <cell r="H50">
            <v>57483</v>
          </cell>
        </row>
        <row r="51">
          <cell r="E51" t="str">
            <v>MPP</v>
          </cell>
          <cell r="G51">
            <v>91440</v>
          </cell>
          <cell r="H51">
            <v>0</v>
          </cell>
        </row>
        <row r="52">
          <cell r="E52" t="str">
            <v>ID</v>
          </cell>
          <cell r="G52">
            <v>0</v>
          </cell>
          <cell r="H52">
            <v>0</v>
          </cell>
        </row>
        <row r="53">
          <cell r="E53" t="str">
            <v>LL</v>
          </cell>
          <cell r="G53">
            <v>2647532</v>
          </cell>
          <cell r="H53">
            <v>0</v>
          </cell>
        </row>
        <row r="54">
          <cell r="E54" t="str">
            <v>PMK</v>
          </cell>
          <cell r="G54">
            <v>153981</v>
          </cell>
          <cell r="H54">
            <v>0</v>
          </cell>
        </row>
        <row r="56">
          <cell r="C56" t="str">
            <v>S0005</v>
          </cell>
          <cell r="D56" t="str">
            <v>AI HSO</v>
          </cell>
          <cell r="E56" t="str">
            <v>PEB 1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662302</v>
          </cell>
          <cell r="U56">
            <v>138221</v>
          </cell>
          <cell r="V56">
            <v>0</v>
          </cell>
          <cell r="W56">
            <v>0</v>
          </cell>
          <cell r="X56">
            <v>343549</v>
          </cell>
          <cell r="Y56">
            <v>256045</v>
          </cell>
          <cell r="Z56">
            <v>975766</v>
          </cell>
          <cell r="AA56">
            <v>0</v>
          </cell>
          <cell r="AB56">
            <v>414981</v>
          </cell>
          <cell r="AC56">
            <v>0</v>
          </cell>
        </row>
        <row r="57">
          <cell r="E57" t="str">
            <v>PEB 2</v>
          </cell>
          <cell r="G57">
            <v>0</v>
          </cell>
          <cell r="H57">
            <v>0</v>
          </cell>
        </row>
        <row r="58">
          <cell r="E58" t="str">
            <v>PEB 3</v>
          </cell>
          <cell r="G58">
            <v>0</v>
          </cell>
          <cell r="H58">
            <v>0</v>
          </cell>
        </row>
        <row r="59">
          <cell r="E59" t="str">
            <v>PEB 4</v>
          </cell>
          <cell r="G59">
            <v>0</v>
          </cell>
          <cell r="H59">
            <v>0</v>
          </cell>
        </row>
        <row r="60">
          <cell r="E60" t="str">
            <v>PEB 5</v>
          </cell>
          <cell r="G60">
            <v>0</v>
          </cell>
          <cell r="H60">
            <v>0</v>
          </cell>
        </row>
        <row r="61">
          <cell r="E61" t="str">
            <v>PEB 6</v>
          </cell>
          <cell r="G61">
            <v>0</v>
          </cell>
          <cell r="H61">
            <v>0</v>
          </cell>
        </row>
        <row r="62">
          <cell r="E62" t="str">
            <v>PEB 7 / TB</v>
          </cell>
          <cell r="G62">
            <v>662302</v>
          </cell>
          <cell r="H62">
            <v>138221</v>
          </cell>
        </row>
        <row r="63">
          <cell r="E63" t="str">
            <v>MPP</v>
          </cell>
          <cell r="G63">
            <v>0</v>
          </cell>
          <cell r="H63">
            <v>0</v>
          </cell>
        </row>
        <row r="64">
          <cell r="E64" t="str">
            <v>ID</v>
          </cell>
          <cell r="G64">
            <v>343549</v>
          </cell>
          <cell r="H64">
            <v>256045</v>
          </cell>
        </row>
        <row r="65">
          <cell r="E65" t="str">
            <v>LL</v>
          </cell>
          <cell r="G65">
            <v>975766</v>
          </cell>
          <cell r="H65">
            <v>0</v>
          </cell>
        </row>
        <row r="66">
          <cell r="E66" t="str">
            <v>PMK</v>
          </cell>
          <cell r="G66">
            <v>414981</v>
          </cell>
          <cell r="H66">
            <v>0</v>
          </cell>
        </row>
        <row r="68">
          <cell r="C68" t="str">
            <v>S0004</v>
          </cell>
          <cell r="D68" t="str">
            <v>AI ISO</v>
          </cell>
          <cell r="E68" t="str">
            <v>PEB 1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194990</v>
          </cell>
          <cell r="U68">
            <v>1610</v>
          </cell>
          <cell r="V68">
            <v>108619</v>
          </cell>
          <cell r="W68">
            <v>0</v>
          </cell>
          <cell r="X68">
            <v>0</v>
          </cell>
          <cell r="Y68">
            <v>0</v>
          </cell>
          <cell r="Z68">
            <v>874757</v>
          </cell>
          <cell r="AA68">
            <v>0</v>
          </cell>
          <cell r="AB68">
            <v>447143</v>
          </cell>
          <cell r="AC68">
            <v>0</v>
          </cell>
        </row>
        <row r="69">
          <cell r="E69" t="str">
            <v>PEB 2</v>
          </cell>
          <cell r="G69">
            <v>0</v>
          </cell>
          <cell r="H69">
            <v>0</v>
          </cell>
        </row>
        <row r="70">
          <cell r="E70" t="str">
            <v>PEB 3</v>
          </cell>
          <cell r="G70">
            <v>0</v>
          </cell>
          <cell r="H70">
            <v>0</v>
          </cell>
        </row>
        <row r="71">
          <cell r="E71" t="str">
            <v>PEB 4</v>
          </cell>
          <cell r="G71">
            <v>0</v>
          </cell>
          <cell r="H71">
            <v>0</v>
          </cell>
        </row>
        <row r="72">
          <cell r="E72" t="str">
            <v>PEB 5</v>
          </cell>
          <cell r="G72">
            <v>0</v>
          </cell>
          <cell r="H72">
            <v>0</v>
          </cell>
        </row>
        <row r="73">
          <cell r="E73" t="str">
            <v>PEB 6</v>
          </cell>
          <cell r="G73">
            <v>0</v>
          </cell>
          <cell r="H73">
            <v>0</v>
          </cell>
        </row>
        <row r="74">
          <cell r="E74" t="str">
            <v>PEB 7 / TB</v>
          </cell>
          <cell r="G74">
            <v>194990</v>
          </cell>
          <cell r="H74">
            <v>1610</v>
          </cell>
        </row>
        <row r="75">
          <cell r="E75" t="str">
            <v>MPP</v>
          </cell>
          <cell r="G75">
            <v>108619</v>
          </cell>
          <cell r="H75">
            <v>0</v>
          </cell>
        </row>
        <row r="76">
          <cell r="E76" t="str">
            <v>ID</v>
          </cell>
          <cell r="G76">
            <v>0</v>
          </cell>
          <cell r="H76">
            <v>0</v>
          </cell>
        </row>
        <row r="77">
          <cell r="E77" t="str">
            <v>LL</v>
          </cell>
          <cell r="G77">
            <v>874757</v>
          </cell>
          <cell r="H77">
            <v>0</v>
          </cell>
        </row>
        <row r="78">
          <cell r="E78" t="str">
            <v>PMK</v>
          </cell>
          <cell r="G78">
            <v>447143</v>
          </cell>
          <cell r="H78">
            <v>0</v>
          </cell>
        </row>
        <row r="80">
          <cell r="C80" t="str">
            <v>S0172</v>
          </cell>
          <cell r="D80" t="str">
            <v>AI NDSO</v>
          </cell>
          <cell r="E80" t="str">
            <v>PEB 1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31691</v>
          </cell>
          <cell r="AC80">
            <v>0</v>
          </cell>
        </row>
        <row r="81">
          <cell r="E81" t="str">
            <v>PEB 2</v>
          </cell>
          <cell r="G81">
            <v>0</v>
          </cell>
        </row>
        <row r="82">
          <cell r="E82" t="str">
            <v>PEB 3</v>
          </cell>
          <cell r="G82">
            <v>0</v>
          </cell>
        </row>
        <row r="83">
          <cell r="E83" t="str">
            <v>PEB 4</v>
          </cell>
          <cell r="G83">
            <v>0</v>
          </cell>
        </row>
        <row r="84">
          <cell r="E84" t="str">
            <v>PEB 5</v>
          </cell>
          <cell r="G84">
            <v>0</v>
          </cell>
        </row>
        <row r="85">
          <cell r="E85" t="str">
            <v>PEB 6</v>
          </cell>
          <cell r="G85">
            <v>0</v>
          </cell>
        </row>
        <row r="86">
          <cell r="E86" t="str">
            <v>PEB 7 / TB</v>
          </cell>
          <cell r="G86">
            <v>0</v>
          </cell>
        </row>
        <row r="87">
          <cell r="E87" t="str">
            <v>MPP</v>
          </cell>
          <cell r="G87">
            <v>0</v>
          </cell>
        </row>
        <row r="88">
          <cell r="E88" t="str">
            <v>ID</v>
          </cell>
          <cell r="G88">
            <v>0</v>
          </cell>
        </row>
        <row r="89">
          <cell r="E89" t="str">
            <v>LL</v>
          </cell>
          <cell r="G89">
            <v>0</v>
          </cell>
        </row>
        <row r="90">
          <cell r="E90" t="str">
            <v>PMK</v>
          </cell>
          <cell r="G90">
            <v>31691</v>
          </cell>
        </row>
        <row r="92">
          <cell r="C92" t="str">
            <v>S0174</v>
          </cell>
          <cell r="D92" t="str">
            <v>AI PSO</v>
          </cell>
          <cell r="E92" t="str">
            <v>PEB 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51819</v>
          </cell>
          <cell r="U92">
            <v>276778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109889</v>
          </cell>
          <cell r="AA92">
            <v>0</v>
          </cell>
          <cell r="AB92">
            <v>64443</v>
          </cell>
          <cell r="AC92">
            <v>0</v>
          </cell>
        </row>
        <row r="93">
          <cell r="E93" t="str">
            <v>PEB 2</v>
          </cell>
          <cell r="G93">
            <v>0</v>
          </cell>
          <cell r="H93">
            <v>0</v>
          </cell>
        </row>
        <row r="94">
          <cell r="E94" t="str">
            <v>PEB 3</v>
          </cell>
          <cell r="G94">
            <v>0</v>
          </cell>
          <cell r="H94">
            <v>0</v>
          </cell>
        </row>
        <row r="95">
          <cell r="E95" t="str">
            <v>PEB 4</v>
          </cell>
          <cell r="G95">
            <v>0</v>
          </cell>
          <cell r="H95">
            <v>0</v>
          </cell>
        </row>
        <row r="96">
          <cell r="E96" t="str">
            <v>PEB 5</v>
          </cell>
          <cell r="G96">
            <v>0</v>
          </cell>
          <cell r="H96">
            <v>0</v>
          </cell>
        </row>
        <row r="97">
          <cell r="E97" t="str">
            <v>PEB 6</v>
          </cell>
          <cell r="G97">
            <v>0</v>
          </cell>
          <cell r="H97">
            <v>0</v>
          </cell>
        </row>
        <row r="98">
          <cell r="E98" t="str">
            <v>PEB 7 / TB</v>
          </cell>
          <cell r="G98">
            <v>51819</v>
          </cell>
          <cell r="H98">
            <v>276778</v>
          </cell>
        </row>
        <row r="99">
          <cell r="E99" t="str">
            <v>MPP</v>
          </cell>
          <cell r="G99">
            <v>0</v>
          </cell>
          <cell r="H99">
            <v>0</v>
          </cell>
        </row>
        <row r="100">
          <cell r="E100" t="str">
            <v>ID</v>
          </cell>
          <cell r="G100">
            <v>0</v>
          </cell>
          <cell r="H100">
            <v>0</v>
          </cell>
        </row>
        <row r="101">
          <cell r="E101" t="str">
            <v>LL</v>
          </cell>
          <cell r="G101">
            <v>109889</v>
          </cell>
          <cell r="H101">
            <v>0</v>
          </cell>
        </row>
        <row r="102">
          <cell r="E102" t="str">
            <v>PMK</v>
          </cell>
          <cell r="G102">
            <v>64443</v>
          </cell>
          <cell r="H102">
            <v>0</v>
          </cell>
        </row>
        <row r="104">
          <cell r="C104" t="str">
            <v>S0015</v>
          </cell>
          <cell r="D104" t="str">
            <v>AI SSC</v>
          </cell>
          <cell r="E104" t="str">
            <v>PEB 1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66852</v>
          </cell>
          <cell r="U104">
            <v>0</v>
          </cell>
          <cell r="V104">
            <v>38703</v>
          </cell>
          <cell r="W104">
            <v>0</v>
          </cell>
          <cell r="X104">
            <v>0</v>
          </cell>
          <cell r="Y104">
            <v>0</v>
          </cell>
          <cell r="Z104">
            <v>137997</v>
          </cell>
          <cell r="AA104">
            <v>0</v>
          </cell>
          <cell r="AB104">
            <v>88844</v>
          </cell>
          <cell r="AC104">
            <v>0</v>
          </cell>
        </row>
        <row r="105">
          <cell r="E105" t="str">
            <v>PEB 2</v>
          </cell>
          <cell r="G105">
            <v>0</v>
          </cell>
        </row>
        <row r="106">
          <cell r="E106" t="str">
            <v>PEB 3</v>
          </cell>
          <cell r="G106">
            <v>0</v>
          </cell>
        </row>
        <row r="107">
          <cell r="E107" t="str">
            <v>PEB 4</v>
          </cell>
          <cell r="G107">
            <v>0</v>
          </cell>
        </row>
        <row r="108">
          <cell r="E108" t="str">
            <v>PEB 5</v>
          </cell>
          <cell r="G108">
            <v>0</v>
          </cell>
        </row>
        <row r="109">
          <cell r="E109" t="str">
            <v>PEB 6</v>
          </cell>
          <cell r="G109">
            <v>0</v>
          </cell>
        </row>
        <row r="110">
          <cell r="E110" t="str">
            <v>PEB 7 / TB</v>
          </cell>
          <cell r="G110">
            <v>66852</v>
          </cell>
        </row>
        <row r="111">
          <cell r="E111" t="str">
            <v>MPP</v>
          </cell>
          <cell r="G111">
            <v>38703</v>
          </cell>
        </row>
        <row r="112">
          <cell r="E112" t="str">
            <v>ID</v>
          </cell>
          <cell r="G112">
            <v>0</v>
          </cell>
        </row>
        <row r="113">
          <cell r="E113" t="str">
            <v>LL</v>
          </cell>
          <cell r="G113">
            <v>137997</v>
          </cell>
        </row>
        <row r="114">
          <cell r="E114" t="str">
            <v>PMK</v>
          </cell>
          <cell r="G114">
            <v>88844</v>
          </cell>
        </row>
        <row r="116">
          <cell r="C116" t="str">
            <v>S0002</v>
          </cell>
          <cell r="D116" t="str">
            <v>AI TSO</v>
          </cell>
          <cell r="E116" t="str">
            <v>PEB 1</v>
          </cell>
          <cell r="J116">
            <v>548391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613941</v>
          </cell>
          <cell r="U116">
            <v>66609</v>
          </cell>
          <cell r="V116">
            <v>0</v>
          </cell>
          <cell r="W116">
            <v>0</v>
          </cell>
          <cell r="X116">
            <v>183876</v>
          </cell>
          <cell r="Y116">
            <v>0</v>
          </cell>
          <cell r="Z116">
            <v>3848202</v>
          </cell>
          <cell r="AA116">
            <v>0</v>
          </cell>
          <cell r="AB116">
            <v>2922655</v>
          </cell>
          <cell r="AC116">
            <v>0</v>
          </cell>
        </row>
        <row r="117">
          <cell r="E117" t="str">
            <v>PEB 2</v>
          </cell>
          <cell r="G117">
            <v>548391</v>
          </cell>
          <cell r="H117">
            <v>0</v>
          </cell>
        </row>
        <row r="118">
          <cell r="E118" t="str">
            <v>PEB 3</v>
          </cell>
          <cell r="G118">
            <v>0</v>
          </cell>
          <cell r="H118">
            <v>0</v>
          </cell>
        </row>
        <row r="119">
          <cell r="E119" t="str">
            <v>PEB 4</v>
          </cell>
          <cell r="G119">
            <v>0</v>
          </cell>
          <cell r="H119">
            <v>0</v>
          </cell>
        </row>
        <row r="120">
          <cell r="E120" t="str">
            <v>PEB 5</v>
          </cell>
          <cell r="G120">
            <v>0</v>
          </cell>
          <cell r="H120">
            <v>0</v>
          </cell>
        </row>
        <row r="121">
          <cell r="E121" t="str">
            <v>PEB 6</v>
          </cell>
          <cell r="G121">
            <v>0</v>
          </cell>
          <cell r="H121">
            <v>0</v>
          </cell>
        </row>
        <row r="122">
          <cell r="E122" t="str">
            <v>PEB 7 / TB</v>
          </cell>
          <cell r="G122">
            <v>613941</v>
          </cell>
          <cell r="H122">
            <v>66609</v>
          </cell>
        </row>
        <row r="123">
          <cell r="E123" t="str">
            <v>MPP</v>
          </cell>
          <cell r="G123">
            <v>0</v>
          </cell>
          <cell r="H123">
            <v>0</v>
          </cell>
        </row>
        <row r="124">
          <cell r="E124" t="str">
            <v>ID</v>
          </cell>
          <cell r="G124">
            <v>183876</v>
          </cell>
          <cell r="H124">
            <v>0</v>
          </cell>
        </row>
        <row r="125">
          <cell r="E125" t="str">
            <v>LL</v>
          </cell>
          <cell r="G125">
            <v>3848202</v>
          </cell>
          <cell r="H125">
            <v>0</v>
          </cell>
        </row>
        <row r="126">
          <cell r="E126" t="str">
            <v>PMK</v>
          </cell>
          <cell r="G126">
            <v>2922655</v>
          </cell>
          <cell r="H126">
            <v>0</v>
          </cell>
        </row>
        <row r="128">
          <cell r="C128" t="str">
            <v>A0253</v>
          </cell>
          <cell r="D128" t="str">
            <v>PT Agro Menara Rahmat</v>
          </cell>
          <cell r="E128" t="str">
            <v>PEB 1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</row>
        <row r="129">
          <cell r="E129" t="str">
            <v>PEB 2</v>
          </cell>
        </row>
        <row r="130">
          <cell r="E130" t="str">
            <v>PEB 3</v>
          </cell>
        </row>
        <row r="131">
          <cell r="E131" t="str">
            <v>PEB 4</v>
          </cell>
        </row>
        <row r="132">
          <cell r="E132" t="str">
            <v>PEB 5</v>
          </cell>
        </row>
        <row r="133">
          <cell r="E133" t="str">
            <v>PEB 6</v>
          </cell>
        </row>
        <row r="134">
          <cell r="E134" t="str">
            <v>PEB 7 / TB</v>
          </cell>
        </row>
        <row r="135">
          <cell r="E135" t="str">
            <v>MPP</v>
          </cell>
        </row>
        <row r="136">
          <cell r="E136" t="str">
            <v>ID</v>
          </cell>
        </row>
        <row r="137">
          <cell r="E137" t="str">
            <v>LL</v>
          </cell>
        </row>
        <row r="138">
          <cell r="E138" t="str">
            <v>PMK</v>
          </cell>
        </row>
        <row r="140">
          <cell r="C140" t="str">
            <v>A0438</v>
          </cell>
          <cell r="D140" t="str">
            <v>PT Agro Nusa Abadi</v>
          </cell>
          <cell r="E140" t="str">
            <v>PEB 1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</row>
        <row r="141">
          <cell r="E141" t="str">
            <v>PEB 2</v>
          </cell>
        </row>
        <row r="142">
          <cell r="E142" t="str">
            <v>PEB 3</v>
          </cell>
        </row>
        <row r="143">
          <cell r="E143" t="str">
            <v>PEB 4</v>
          </cell>
        </row>
        <row r="144">
          <cell r="E144" t="str">
            <v>PEB 5</v>
          </cell>
        </row>
        <row r="145">
          <cell r="E145" t="str">
            <v>PEB 6</v>
          </cell>
        </row>
        <row r="146">
          <cell r="E146" t="str">
            <v>PEB 7 / TB</v>
          </cell>
        </row>
        <row r="147">
          <cell r="E147" t="str">
            <v>MPP</v>
          </cell>
        </row>
        <row r="148">
          <cell r="E148" t="str">
            <v>ID</v>
          </cell>
        </row>
        <row r="149">
          <cell r="E149" t="str">
            <v>LL</v>
          </cell>
        </row>
        <row r="150">
          <cell r="E150" t="str">
            <v>PMK</v>
          </cell>
        </row>
        <row r="152">
          <cell r="C152" t="str">
            <v>A0049</v>
          </cell>
          <cell r="D152" t="str">
            <v>PT Aisin Indonesia</v>
          </cell>
          <cell r="E152" t="str">
            <v>PEB 1</v>
          </cell>
          <cell r="G152">
            <v>0</v>
          </cell>
          <cell r="H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1235613.095</v>
          </cell>
          <cell r="AA152">
            <v>0</v>
          </cell>
          <cell r="AB152">
            <v>366611.25</v>
          </cell>
          <cell r="AC152">
            <v>0</v>
          </cell>
        </row>
        <row r="153">
          <cell r="E153" t="str">
            <v>PEB 2</v>
          </cell>
          <cell r="G153">
            <v>0</v>
          </cell>
          <cell r="H153">
            <v>0</v>
          </cell>
        </row>
        <row r="154">
          <cell r="E154" t="str">
            <v>PEB 3</v>
          </cell>
          <cell r="G154">
            <v>0</v>
          </cell>
          <cell r="H154">
            <v>0</v>
          </cell>
        </row>
        <row r="155">
          <cell r="E155" t="str">
            <v>PEB 4</v>
          </cell>
          <cell r="G155">
            <v>0</v>
          </cell>
          <cell r="H155">
            <v>0</v>
          </cell>
        </row>
        <row r="156">
          <cell r="E156" t="str">
            <v>PEB 5</v>
          </cell>
          <cell r="G156">
            <v>0</v>
          </cell>
          <cell r="H156">
            <v>0</v>
          </cell>
        </row>
        <row r="157">
          <cell r="E157" t="str">
            <v>PEB 6</v>
          </cell>
        </row>
        <row r="158">
          <cell r="E158" t="str">
            <v>PEB 7 / TB</v>
          </cell>
          <cell r="G158">
            <v>0</v>
          </cell>
          <cell r="H158">
            <v>0</v>
          </cell>
        </row>
        <row r="159">
          <cell r="E159" t="str">
            <v>MPP</v>
          </cell>
          <cell r="G159">
            <v>0</v>
          </cell>
          <cell r="H159">
            <v>0</v>
          </cell>
        </row>
        <row r="160">
          <cell r="E160" t="str">
            <v>ID</v>
          </cell>
          <cell r="G160">
            <v>0</v>
          </cell>
          <cell r="H160">
            <v>0</v>
          </cell>
        </row>
        <row r="161">
          <cell r="E161" t="str">
            <v>LL</v>
          </cell>
          <cell r="G161">
            <v>1235613.095</v>
          </cell>
          <cell r="H161">
            <v>0</v>
          </cell>
        </row>
        <row r="162">
          <cell r="E162" t="str">
            <v>PMK</v>
          </cell>
          <cell r="G162">
            <v>366611.25</v>
          </cell>
          <cell r="H162">
            <v>0</v>
          </cell>
        </row>
        <row r="164">
          <cell r="C164" t="str">
            <v>A0161</v>
          </cell>
          <cell r="D164" t="str">
            <v>PT Ardendi Jaya Sentosa</v>
          </cell>
          <cell r="E164" t="str">
            <v>PEB 1</v>
          </cell>
          <cell r="G164">
            <v>0</v>
          </cell>
          <cell r="H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57332</v>
          </cell>
          <cell r="U164">
            <v>0</v>
          </cell>
          <cell r="V164">
            <v>0</v>
          </cell>
          <cell r="W164">
            <v>0</v>
          </cell>
          <cell r="X164">
            <v>7193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</row>
        <row r="165">
          <cell r="E165" t="str">
            <v>PEB 2</v>
          </cell>
          <cell r="G165">
            <v>0</v>
          </cell>
          <cell r="H165">
            <v>0</v>
          </cell>
        </row>
        <row r="166">
          <cell r="E166" t="str">
            <v>PEB 3</v>
          </cell>
          <cell r="G166">
            <v>0</v>
          </cell>
          <cell r="H166">
            <v>0</v>
          </cell>
        </row>
        <row r="167">
          <cell r="E167" t="str">
            <v>PEB 4</v>
          </cell>
          <cell r="G167">
            <v>0</v>
          </cell>
          <cell r="H167">
            <v>0</v>
          </cell>
        </row>
        <row r="168">
          <cell r="E168" t="str">
            <v>PEB 5</v>
          </cell>
          <cell r="G168">
            <v>0</v>
          </cell>
          <cell r="H168">
            <v>0</v>
          </cell>
        </row>
        <row r="169">
          <cell r="E169" t="str">
            <v>PEB 6</v>
          </cell>
        </row>
        <row r="170">
          <cell r="E170" t="str">
            <v>PEB 7 / TB</v>
          </cell>
          <cell r="G170">
            <v>57332</v>
          </cell>
          <cell r="H170">
            <v>0</v>
          </cell>
        </row>
        <row r="171">
          <cell r="E171" t="str">
            <v>MPP</v>
          </cell>
          <cell r="G171">
            <v>0</v>
          </cell>
          <cell r="H171">
            <v>0</v>
          </cell>
        </row>
        <row r="172">
          <cell r="E172" t="str">
            <v>ID</v>
          </cell>
          <cell r="G172">
            <v>7193</v>
          </cell>
          <cell r="H172">
            <v>0</v>
          </cell>
        </row>
        <row r="173">
          <cell r="E173" t="str">
            <v>LL</v>
          </cell>
          <cell r="G173">
            <v>0</v>
          </cell>
          <cell r="H173">
            <v>0</v>
          </cell>
        </row>
        <row r="174">
          <cell r="E174" t="str">
            <v>PMK</v>
          </cell>
          <cell r="G174">
            <v>0</v>
          </cell>
          <cell r="H174">
            <v>0</v>
          </cell>
        </row>
        <row r="176">
          <cell r="C176" t="str">
            <v>A0011</v>
          </cell>
          <cell r="D176" t="str">
            <v>PT Astra Agro Lestari Tbk - Parent</v>
          </cell>
          <cell r="E176" t="str">
            <v>PEB 1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</row>
        <row r="177">
          <cell r="E177" t="str">
            <v>PEB 2</v>
          </cell>
        </row>
        <row r="178">
          <cell r="E178" t="str">
            <v>PEB 3</v>
          </cell>
        </row>
        <row r="179">
          <cell r="E179" t="str">
            <v>PEB 4</v>
          </cell>
        </row>
        <row r="180">
          <cell r="E180" t="str">
            <v>PEB 5</v>
          </cell>
        </row>
        <row r="181">
          <cell r="E181" t="str">
            <v>PEB 6</v>
          </cell>
        </row>
        <row r="182">
          <cell r="E182" t="str">
            <v>PEB 7 / TB</v>
          </cell>
        </row>
        <row r="183">
          <cell r="E183" t="str">
            <v>MPP</v>
          </cell>
        </row>
        <row r="184">
          <cell r="E184" t="str">
            <v>ID</v>
          </cell>
        </row>
        <row r="185">
          <cell r="E185" t="str">
            <v>LL</v>
          </cell>
        </row>
        <row r="186">
          <cell r="E186" t="str">
            <v>PMK</v>
          </cell>
        </row>
        <row r="188">
          <cell r="C188" t="str">
            <v>A0177</v>
          </cell>
          <cell r="D188" t="str">
            <v>PT Astra Auto Finance</v>
          </cell>
          <cell r="E188" t="str">
            <v>PEB 1</v>
          </cell>
          <cell r="G188">
            <v>0</v>
          </cell>
          <cell r="H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10426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14094</v>
          </cell>
          <cell r="AA188">
            <v>0</v>
          </cell>
          <cell r="AB188">
            <v>20100</v>
          </cell>
          <cell r="AC188">
            <v>0</v>
          </cell>
        </row>
        <row r="189">
          <cell r="E189" t="str">
            <v>PEB 2</v>
          </cell>
          <cell r="G189">
            <v>0</v>
          </cell>
          <cell r="H189">
            <v>0</v>
          </cell>
        </row>
        <row r="190">
          <cell r="E190" t="str">
            <v>PEB 3</v>
          </cell>
          <cell r="G190">
            <v>0</v>
          </cell>
          <cell r="H190">
            <v>0</v>
          </cell>
        </row>
        <row r="191">
          <cell r="E191" t="str">
            <v>PEB 4</v>
          </cell>
          <cell r="G191">
            <v>0</v>
          </cell>
          <cell r="H191">
            <v>0</v>
          </cell>
        </row>
        <row r="192">
          <cell r="E192" t="str">
            <v>PEB 5</v>
          </cell>
          <cell r="G192">
            <v>0</v>
          </cell>
          <cell r="H192">
            <v>0</v>
          </cell>
        </row>
        <row r="193">
          <cell r="E193" t="str">
            <v>PEB 6</v>
          </cell>
        </row>
        <row r="194">
          <cell r="E194" t="str">
            <v>PEB 7 / TB</v>
          </cell>
          <cell r="G194">
            <v>10426</v>
          </cell>
          <cell r="H194">
            <v>0</v>
          </cell>
        </row>
        <row r="195">
          <cell r="E195" t="str">
            <v>MPP</v>
          </cell>
        </row>
        <row r="196">
          <cell r="E196" t="str">
            <v>ID</v>
          </cell>
          <cell r="G196">
            <v>0</v>
          </cell>
          <cell r="H196">
            <v>0</v>
          </cell>
        </row>
        <row r="197">
          <cell r="E197" t="str">
            <v>LL</v>
          </cell>
          <cell r="G197">
            <v>14094</v>
          </cell>
          <cell r="H197">
            <v>0</v>
          </cell>
        </row>
        <row r="198">
          <cell r="E198" t="str">
            <v>PMK</v>
          </cell>
          <cell r="G198">
            <v>20100</v>
          </cell>
          <cell r="H198">
            <v>0</v>
          </cell>
        </row>
        <row r="200">
          <cell r="C200" t="str">
            <v>A0045</v>
          </cell>
          <cell r="D200" t="str">
            <v>PT Astra Daihatsu Motor</v>
          </cell>
          <cell r="E200" t="str">
            <v>PEB 1</v>
          </cell>
          <cell r="G200">
            <v>0</v>
          </cell>
          <cell r="H200">
            <v>0</v>
          </cell>
          <cell r="J200">
            <v>819991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162471</v>
          </cell>
          <cell r="U200">
            <v>160376</v>
          </cell>
          <cell r="V200">
            <v>0</v>
          </cell>
          <cell r="W200">
            <v>0</v>
          </cell>
          <cell r="X200">
            <v>462599</v>
          </cell>
          <cell r="Y200">
            <v>2718</v>
          </cell>
          <cell r="Z200">
            <v>3038132.1359999999</v>
          </cell>
          <cell r="AA200">
            <v>0</v>
          </cell>
          <cell r="AB200">
            <v>1256743.1000000001</v>
          </cell>
          <cell r="AC200">
            <v>0</v>
          </cell>
        </row>
        <row r="201">
          <cell r="E201" t="str">
            <v>PEB 2</v>
          </cell>
          <cell r="G201">
            <v>819991</v>
          </cell>
          <cell r="H201">
            <v>0</v>
          </cell>
        </row>
        <row r="202">
          <cell r="E202" t="str">
            <v>PEB 3</v>
          </cell>
          <cell r="G202">
            <v>0</v>
          </cell>
          <cell r="H202">
            <v>0</v>
          </cell>
        </row>
        <row r="203">
          <cell r="E203" t="str">
            <v>PEB 4</v>
          </cell>
          <cell r="G203">
            <v>0</v>
          </cell>
          <cell r="H203">
            <v>0</v>
          </cell>
        </row>
        <row r="204">
          <cell r="E204" t="str">
            <v>PEB 5</v>
          </cell>
          <cell r="G204">
            <v>0</v>
          </cell>
          <cell r="H204">
            <v>0</v>
          </cell>
        </row>
        <row r="205">
          <cell r="E205" t="str">
            <v>PEB 6</v>
          </cell>
        </row>
        <row r="206">
          <cell r="E206" t="str">
            <v>PEB 7 / TB</v>
          </cell>
          <cell r="G206">
            <v>162471</v>
          </cell>
          <cell r="H206">
            <v>160376</v>
          </cell>
        </row>
        <row r="207">
          <cell r="E207" t="str">
            <v>MPP</v>
          </cell>
          <cell r="G207">
            <v>0</v>
          </cell>
          <cell r="H207">
            <v>0</v>
          </cell>
        </row>
        <row r="208">
          <cell r="E208" t="str">
            <v>ID</v>
          </cell>
          <cell r="G208">
            <v>462599</v>
          </cell>
          <cell r="H208">
            <v>2718</v>
          </cell>
        </row>
        <row r="209">
          <cell r="E209" t="str">
            <v>LL</v>
          </cell>
          <cell r="G209">
            <v>3038132.1359999999</v>
          </cell>
          <cell r="H209">
            <v>0</v>
          </cell>
        </row>
        <row r="210">
          <cell r="E210" t="str">
            <v>PMK</v>
          </cell>
          <cell r="G210">
            <v>1256743.1000000001</v>
          </cell>
          <cell r="H210">
            <v>0</v>
          </cell>
        </row>
        <row r="212">
          <cell r="C212" t="str">
            <v>A0371</v>
          </cell>
          <cell r="D212" t="str">
            <v>PT Astra Graphia Information Technology Tbk</v>
          </cell>
          <cell r="E212" t="str">
            <v>PEB 1</v>
          </cell>
          <cell r="G212">
            <v>0</v>
          </cell>
          <cell r="H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242753</v>
          </cell>
          <cell r="U212">
            <v>25490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296755.54499999998</v>
          </cell>
          <cell r="AA212">
            <v>0</v>
          </cell>
          <cell r="AB212">
            <v>0</v>
          </cell>
          <cell r="AC212">
            <v>0</v>
          </cell>
        </row>
        <row r="213">
          <cell r="E213" t="str">
            <v>PEB 2</v>
          </cell>
          <cell r="G213">
            <v>0</v>
          </cell>
          <cell r="H213">
            <v>0</v>
          </cell>
        </row>
        <row r="214">
          <cell r="E214" t="str">
            <v>PEB 3</v>
          </cell>
          <cell r="G214">
            <v>0</v>
          </cell>
          <cell r="H214">
            <v>0</v>
          </cell>
        </row>
        <row r="215">
          <cell r="E215" t="str">
            <v>PEB 4</v>
          </cell>
          <cell r="G215">
            <v>0</v>
          </cell>
          <cell r="H215">
            <v>0</v>
          </cell>
        </row>
        <row r="216">
          <cell r="E216" t="str">
            <v>PEB 5</v>
          </cell>
          <cell r="G216">
            <v>0</v>
          </cell>
          <cell r="H216">
            <v>0</v>
          </cell>
        </row>
        <row r="217">
          <cell r="E217" t="str">
            <v>PEB 6</v>
          </cell>
        </row>
        <row r="218">
          <cell r="E218" t="str">
            <v>PEB 7 / TB</v>
          </cell>
          <cell r="G218">
            <v>242753</v>
          </cell>
          <cell r="H218">
            <v>25490</v>
          </cell>
        </row>
        <row r="219">
          <cell r="E219" t="str">
            <v>MPP</v>
          </cell>
          <cell r="G219">
            <v>0</v>
          </cell>
          <cell r="H219">
            <v>0</v>
          </cell>
        </row>
        <row r="220">
          <cell r="E220" t="str">
            <v>ID</v>
          </cell>
          <cell r="G220">
            <v>0</v>
          </cell>
          <cell r="H220">
            <v>0</v>
          </cell>
        </row>
        <row r="221">
          <cell r="E221" t="str">
            <v>LL</v>
          </cell>
          <cell r="G221">
            <v>296755.54499999998</v>
          </cell>
          <cell r="H221">
            <v>0</v>
          </cell>
        </row>
        <row r="222">
          <cell r="E222" t="str">
            <v>PMK</v>
          </cell>
        </row>
        <row r="224">
          <cell r="C224" t="str">
            <v>A0014</v>
          </cell>
          <cell r="D224" t="str">
            <v>PT Astra Graphia Tbk</v>
          </cell>
          <cell r="E224" t="str">
            <v>PEB 1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593916</v>
          </cell>
          <cell r="U224">
            <v>248810</v>
          </cell>
          <cell r="V224">
            <v>0</v>
          </cell>
          <cell r="W224">
            <v>0</v>
          </cell>
          <cell r="X224">
            <v>101655</v>
          </cell>
          <cell r="Y224">
            <v>5023</v>
          </cell>
          <cell r="Z224">
            <v>669792</v>
          </cell>
          <cell r="AA224">
            <v>0</v>
          </cell>
          <cell r="AB224">
            <v>0</v>
          </cell>
          <cell r="AC224">
            <v>0</v>
          </cell>
        </row>
        <row r="225">
          <cell r="E225" t="str">
            <v>PEB 2</v>
          </cell>
        </row>
        <row r="226">
          <cell r="E226" t="str">
            <v>PEB 3</v>
          </cell>
        </row>
        <row r="227">
          <cell r="E227" t="str">
            <v>PEB 4</v>
          </cell>
        </row>
        <row r="228">
          <cell r="E228" t="str">
            <v>PEB 5</v>
          </cell>
        </row>
        <row r="229">
          <cell r="E229" t="str">
            <v>PEB 6</v>
          </cell>
        </row>
        <row r="230">
          <cell r="E230" t="str">
            <v>PEB 7 / TB</v>
          </cell>
          <cell r="G230">
            <v>593916</v>
          </cell>
          <cell r="H230">
            <v>248810</v>
          </cell>
        </row>
        <row r="231">
          <cell r="E231" t="str">
            <v>MPP</v>
          </cell>
        </row>
        <row r="232">
          <cell r="E232" t="str">
            <v>ID</v>
          </cell>
          <cell r="G232">
            <v>101655</v>
          </cell>
          <cell r="H232">
            <v>5023</v>
          </cell>
        </row>
        <row r="233">
          <cell r="E233" t="str">
            <v>LL</v>
          </cell>
          <cell r="G233">
            <v>669792</v>
          </cell>
        </row>
        <row r="234">
          <cell r="E234" t="str">
            <v>PMK</v>
          </cell>
        </row>
        <row r="236">
          <cell r="C236" t="str">
            <v>A0060</v>
          </cell>
          <cell r="D236" t="str">
            <v>PT Astra Honda Motor</v>
          </cell>
          <cell r="E236" t="str">
            <v>PEB 1</v>
          </cell>
          <cell r="G236">
            <v>0</v>
          </cell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1139848</v>
          </cell>
          <cell r="S236">
            <v>0</v>
          </cell>
          <cell r="T236">
            <v>695255</v>
          </cell>
          <cell r="U236">
            <v>1083087</v>
          </cell>
          <cell r="V236">
            <v>44126.640909090915</v>
          </cell>
          <cell r="W236">
            <v>0</v>
          </cell>
          <cell r="X236">
            <v>480262</v>
          </cell>
          <cell r="Y236">
            <v>44257</v>
          </cell>
          <cell r="Z236">
            <v>7100994.4000000004</v>
          </cell>
          <cell r="AA236">
            <v>0</v>
          </cell>
          <cell r="AB236">
            <v>792339.95</v>
          </cell>
          <cell r="AC236">
            <v>0</v>
          </cell>
        </row>
        <row r="237">
          <cell r="E237" t="str">
            <v>PEB 2</v>
          </cell>
          <cell r="G237">
            <v>0</v>
          </cell>
          <cell r="H237">
            <v>0</v>
          </cell>
        </row>
        <row r="238">
          <cell r="E238" t="str">
            <v>PEB 3</v>
          </cell>
          <cell r="G238">
            <v>0</v>
          </cell>
          <cell r="H238">
            <v>0</v>
          </cell>
        </row>
        <row r="239">
          <cell r="E239" t="str">
            <v>PEB 4</v>
          </cell>
          <cell r="G239">
            <v>0</v>
          </cell>
          <cell r="H239">
            <v>0</v>
          </cell>
        </row>
        <row r="240">
          <cell r="E240" t="str">
            <v>PEB 5</v>
          </cell>
          <cell r="G240">
            <v>0</v>
          </cell>
          <cell r="H240">
            <v>0</v>
          </cell>
        </row>
        <row r="241">
          <cell r="E241" t="str">
            <v>PEB 6</v>
          </cell>
          <cell r="G241">
            <v>1139848</v>
          </cell>
          <cell r="H241">
            <v>0</v>
          </cell>
        </row>
        <row r="242">
          <cell r="E242" t="str">
            <v>PEB 7 / TB</v>
          </cell>
          <cell r="G242">
            <v>695255</v>
          </cell>
          <cell r="H242">
            <v>1083087</v>
          </cell>
        </row>
        <row r="243">
          <cell r="E243" t="str">
            <v>MPP</v>
          </cell>
          <cell r="G243">
            <v>44126.640909090915</v>
          </cell>
          <cell r="H243">
            <v>0</v>
          </cell>
        </row>
        <row r="244">
          <cell r="E244" t="str">
            <v>ID</v>
          </cell>
          <cell r="G244">
            <v>480262</v>
          </cell>
          <cell r="H244">
            <v>44257</v>
          </cell>
        </row>
        <row r="245">
          <cell r="E245" t="str">
            <v>LL</v>
          </cell>
          <cell r="G245">
            <v>7100994.4000000004</v>
          </cell>
          <cell r="H245">
            <v>0</v>
          </cell>
        </row>
        <row r="246">
          <cell r="E246" t="str">
            <v>PMK</v>
          </cell>
          <cell r="G246">
            <v>792339.95</v>
          </cell>
          <cell r="H246">
            <v>0</v>
          </cell>
        </row>
        <row r="248">
          <cell r="C248" t="str">
            <v>A0316</v>
          </cell>
          <cell r="D248" t="str">
            <v>PT Astra Komponen Indonesia</v>
          </cell>
          <cell r="E248" t="str">
            <v>PEB 1</v>
          </cell>
          <cell r="G248">
            <v>0</v>
          </cell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15226</v>
          </cell>
          <cell r="U248">
            <v>11129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</row>
        <row r="249">
          <cell r="E249" t="str">
            <v>PEB 2</v>
          </cell>
          <cell r="G249">
            <v>0</v>
          </cell>
          <cell r="H249">
            <v>0</v>
          </cell>
        </row>
        <row r="250">
          <cell r="E250" t="str">
            <v>PEB 3</v>
          </cell>
          <cell r="G250">
            <v>0</v>
          </cell>
          <cell r="H250">
            <v>0</v>
          </cell>
        </row>
        <row r="251">
          <cell r="E251" t="str">
            <v>PEB 4</v>
          </cell>
          <cell r="G251">
            <v>0</v>
          </cell>
          <cell r="H251">
            <v>0</v>
          </cell>
        </row>
        <row r="252">
          <cell r="E252" t="str">
            <v>PEB 5</v>
          </cell>
          <cell r="G252">
            <v>0</v>
          </cell>
          <cell r="H252">
            <v>0</v>
          </cell>
        </row>
        <row r="253">
          <cell r="E253" t="str">
            <v>PEB 6</v>
          </cell>
        </row>
        <row r="254">
          <cell r="E254" t="str">
            <v>PEB 7 / TB</v>
          </cell>
          <cell r="G254">
            <v>15226</v>
          </cell>
          <cell r="H254">
            <v>11129</v>
          </cell>
        </row>
        <row r="255">
          <cell r="E255" t="str">
            <v>MPP</v>
          </cell>
          <cell r="G255">
            <v>0</v>
          </cell>
          <cell r="H255">
            <v>0</v>
          </cell>
        </row>
        <row r="256">
          <cell r="E256" t="str">
            <v>ID</v>
          </cell>
          <cell r="G256">
            <v>0</v>
          </cell>
          <cell r="H256">
            <v>0</v>
          </cell>
        </row>
        <row r="257">
          <cell r="E257" t="str">
            <v>LL</v>
          </cell>
          <cell r="G257">
            <v>0</v>
          </cell>
          <cell r="H257">
            <v>0</v>
          </cell>
        </row>
        <row r="258">
          <cell r="E258" t="str">
            <v>PMK</v>
          </cell>
          <cell r="G258">
            <v>0</v>
          </cell>
          <cell r="H258">
            <v>0</v>
          </cell>
        </row>
        <row r="260">
          <cell r="C260" t="str">
            <v>A0178</v>
          </cell>
          <cell r="D260" t="str">
            <v>PT Astra Mitra Ventura</v>
          </cell>
          <cell r="E260" t="str">
            <v>PEB 1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</row>
        <row r="261">
          <cell r="E261" t="str">
            <v>PEB 2</v>
          </cell>
        </row>
        <row r="262">
          <cell r="E262" t="str">
            <v>PEB 3</v>
          </cell>
        </row>
        <row r="263">
          <cell r="E263" t="str">
            <v>PEB 4</v>
          </cell>
        </row>
        <row r="264">
          <cell r="E264" t="str">
            <v>PEB 5</v>
          </cell>
        </row>
        <row r="265">
          <cell r="E265" t="str">
            <v>PEB 6</v>
          </cell>
        </row>
        <row r="266">
          <cell r="E266" t="str">
            <v>PEB 7 / TB</v>
          </cell>
        </row>
        <row r="267">
          <cell r="E267" t="str">
            <v>MPP</v>
          </cell>
        </row>
        <row r="268">
          <cell r="E268" t="str">
            <v>ID</v>
          </cell>
        </row>
        <row r="269">
          <cell r="E269" t="str">
            <v>LL</v>
          </cell>
        </row>
        <row r="270">
          <cell r="E270" t="str">
            <v>PMK</v>
          </cell>
        </row>
        <row r="272">
          <cell r="C272" t="str">
            <v>A0020</v>
          </cell>
          <cell r="D272" t="str">
            <v>PT Astra Multi Finance</v>
          </cell>
          <cell r="E272" t="str">
            <v>PEB 1</v>
          </cell>
          <cell r="G272">
            <v>0</v>
          </cell>
          <cell r="H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4382</v>
          </cell>
          <cell r="U272">
            <v>1896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12698.066000000001</v>
          </cell>
          <cell r="AA272">
            <v>0</v>
          </cell>
          <cell r="AB272">
            <v>0</v>
          </cell>
          <cell r="AC272">
            <v>0</v>
          </cell>
        </row>
        <row r="273">
          <cell r="E273" t="str">
            <v>PEB 2</v>
          </cell>
          <cell r="G273">
            <v>0</v>
          </cell>
          <cell r="H273">
            <v>0</v>
          </cell>
        </row>
        <row r="274">
          <cell r="E274" t="str">
            <v>PEB 3</v>
          </cell>
          <cell r="G274">
            <v>0</v>
          </cell>
          <cell r="H274">
            <v>0</v>
          </cell>
        </row>
        <row r="275">
          <cell r="E275" t="str">
            <v>PEB 4</v>
          </cell>
          <cell r="G275">
            <v>0</v>
          </cell>
          <cell r="H275">
            <v>0</v>
          </cell>
        </row>
        <row r="276">
          <cell r="E276" t="str">
            <v>PEB 5</v>
          </cell>
          <cell r="G276">
            <v>0</v>
          </cell>
          <cell r="H276">
            <v>0</v>
          </cell>
        </row>
        <row r="277">
          <cell r="E277" t="str">
            <v>PEB 6</v>
          </cell>
        </row>
        <row r="278">
          <cell r="E278" t="str">
            <v>PEB 7 / TB</v>
          </cell>
          <cell r="G278">
            <v>4382</v>
          </cell>
          <cell r="H278">
            <v>1896</v>
          </cell>
        </row>
        <row r="279">
          <cell r="E279" t="str">
            <v>MPP</v>
          </cell>
          <cell r="G279">
            <v>0</v>
          </cell>
          <cell r="H279">
            <v>0</v>
          </cell>
        </row>
        <row r="280">
          <cell r="E280" t="str">
            <v>ID</v>
          </cell>
          <cell r="G280">
            <v>0</v>
          </cell>
          <cell r="H280">
            <v>0</v>
          </cell>
        </row>
        <row r="281">
          <cell r="E281" t="str">
            <v>LL</v>
          </cell>
          <cell r="G281">
            <v>12698.066000000001</v>
          </cell>
          <cell r="H281">
            <v>0</v>
          </cell>
        </row>
        <row r="282">
          <cell r="E282" t="str">
            <v>PMK</v>
          </cell>
          <cell r="G282">
            <v>0</v>
          </cell>
          <cell r="H282">
            <v>0</v>
          </cell>
        </row>
        <row r="284">
          <cell r="C284" t="str">
            <v>A0306</v>
          </cell>
          <cell r="D284" t="str">
            <v>PT Astra Nippon Gasket Indonesia</v>
          </cell>
          <cell r="E284" t="str">
            <v>PEB 1</v>
          </cell>
          <cell r="G284">
            <v>0</v>
          </cell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9478</v>
          </cell>
          <cell r="U284">
            <v>2957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66575.02</v>
          </cell>
          <cell r="AA284">
            <v>0</v>
          </cell>
          <cell r="AB284">
            <v>38289.5</v>
          </cell>
          <cell r="AC284">
            <v>0</v>
          </cell>
        </row>
        <row r="285">
          <cell r="E285" t="str">
            <v>PEB 2</v>
          </cell>
          <cell r="G285">
            <v>0</v>
          </cell>
          <cell r="H285">
            <v>0</v>
          </cell>
        </row>
        <row r="286">
          <cell r="E286" t="str">
            <v>PEB 3</v>
          </cell>
          <cell r="G286">
            <v>0</v>
          </cell>
          <cell r="H286">
            <v>0</v>
          </cell>
        </row>
        <row r="287">
          <cell r="E287" t="str">
            <v>PEB 4</v>
          </cell>
          <cell r="G287">
            <v>0</v>
          </cell>
          <cell r="H287">
            <v>0</v>
          </cell>
        </row>
        <row r="288">
          <cell r="E288" t="str">
            <v>PEB 5</v>
          </cell>
          <cell r="G288">
            <v>0</v>
          </cell>
          <cell r="H288">
            <v>0</v>
          </cell>
        </row>
        <row r="289">
          <cell r="E289" t="str">
            <v>PEB 6</v>
          </cell>
        </row>
        <row r="290">
          <cell r="E290" t="str">
            <v>PEB 7 / TB</v>
          </cell>
          <cell r="G290">
            <v>9478</v>
          </cell>
          <cell r="H290">
            <v>2957</v>
          </cell>
        </row>
        <row r="291">
          <cell r="E291" t="str">
            <v>MPP</v>
          </cell>
          <cell r="G291">
            <v>0</v>
          </cell>
          <cell r="H291">
            <v>0</v>
          </cell>
        </row>
        <row r="292">
          <cell r="E292" t="str">
            <v>ID</v>
          </cell>
          <cell r="G292">
            <v>0</v>
          </cell>
          <cell r="H292">
            <v>0</v>
          </cell>
        </row>
        <row r="293">
          <cell r="E293" t="str">
            <v>LL</v>
          </cell>
          <cell r="G293">
            <v>66575.02</v>
          </cell>
          <cell r="H293">
            <v>0</v>
          </cell>
        </row>
        <row r="294">
          <cell r="E294" t="str">
            <v>PMK</v>
          </cell>
          <cell r="G294">
            <v>38289.5</v>
          </cell>
          <cell r="H294">
            <v>0</v>
          </cell>
        </row>
        <row r="296">
          <cell r="C296" t="str">
            <v>A0172</v>
          </cell>
          <cell r="D296" t="str">
            <v>PT Astra Nissan Diesel Indonesia</v>
          </cell>
          <cell r="E296" t="str">
            <v>PEB 1</v>
          </cell>
          <cell r="G296">
            <v>0</v>
          </cell>
          <cell r="H296">
            <v>0</v>
          </cell>
          <cell r="J296">
            <v>39130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143360</v>
          </cell>
          <cell r="AA296">
            <v>0</v>
          </cell>
          <cell r="AB296">
            <v>42921</v>
          </cell>
          <cell r="AC296">
            <v>0</v>
          </cell>
        </row>
        <row r="297">
          <cell r="E297" t="str">
            <v>PEB 2</v>
          </cell>
          <cell r="G297">
            <v>39130</v>
          </cell>
          <cell r="H297">
            <v>0</v>
          </cell>
        </row>
        <row r="298">
          <cell r="E298" t="str">
            <v>PEB 3</v>
          </cell>
          <cell r="G298">
            <v>0</v>
          </cell>
          <cell r="H298">
            <v>0</v>
          </cell>
        </row>
        <row r="299">
          <cell r="E299" t="str">
            <v>PEB 4</v>
          </cell>
          <cell r="G299">
            <v>0</v>
          </cell>
          <cell r="H299">
            <v>0</v>
          </cell>
        </row>
        <row r="300">
          <cell r="E300" t="str">
            <v>PEB 5</v>
          </cell>
          <cell r="G300">
            <v>0</v>
          </cell>
          <cell r="H300">
            <v>0</v>
          </cell>
        </row>
        <row r="301">
          <cell r="E301" t="str">
            <v>PEB 6</v>
          </cell>
        </row>
        <row r="302">
          <cell r="E302" t="str">
            <v>PEB 7 / TB</v>
          </cell>
          <cell r="G302">
            <v>0</v>
          </cell>
          <cell r="H302">
            <v>0</v>
          </cell>
        </row>
        <row r="303">
          <cell r="E303" t="str">
            <v>MPP</v>
          </cell>
          <cell r="G303">
            <v>0</v>
          </cell>
          <cell r="H303">
            <v>0</v>
          </cell>
        </row>
        <row r="304">
          <cell r="E304" t="str">
            <v>ID</v>
          </cell>
          <cell r="G304">
            <v>0</v>
          </cell>
          <cell r="H304">
            <v>0</v>
          </cell>
        </row>
        <row r="305">
          <cell r="E305" t="str">
            <v>LL</v>
          </cell>
          <cell r="G305">
            <v>143360</v>
          </cell>
          <cell r="H305">
            <v>0</v>
          </cell>
        </row>
        <row r="306">
          <cell r="E306" t="str">
            <v>PMK</v>
          </cell>
          <cell r="G306">
            <v>42921</v>
          </cell>
          <cell r="H306">
            <v>0</v>
          </cell>
        </row>
        <row r="308">
          <cell r="C308" t="str">
            <v>A0317</v>
          </cell>
          <cell r="D308" t="str">
            <v>PT Astra Otoparts Tbk - HO</v>
          </cell>
          <cell r="E308" t="str">
            <v>PEB 1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</row>
        <row r="309">
          <cell r="E309" t="str">
            <v>PEB 2</v>
          </cell>
        </row>
        <row r="310">
          <cell r="E310" t="str">
            <v>PEB 3</v>
          </cell>
        </row>
        <row r="311">
          <cell r="E311" t="str">
            <v>PEB 4</v>
          </cell>
        </row>
        <row r="312">
          <cell r="E312" t="str">
            <v>PEB 5</v>
          </cell>
        </row>
        <row r="313">
          <cell r="E313" t="str">
            <v>PEB 6</v>
          </cell>
        </row>
        <row r="314">
          <cell r="E314" t="str">
            <v>PEB 7 / TB</v>
          </cell>
        </row>
        <row r="315">
          <cell r="E315" t="str">
            <v>MPP</v>
          </cell>
        </row>
        <row r="316">
          <cell r="E316" t="str">
            <v>ID</v>
          </cell>
        </row>
        <row r="317">
          <cell r="E317" t="str">
            <v>LL</v>
          </cell>
        </row>
        <row r="318">
          <cell r="E318" t="str">
            <v>PMK</v>
          </cell>
        </row>
        <row r="320">
          <cell r="C320" t="str">
            <v>Nm</v>
          </cell>
          <cell r="D320" t="str">
            <v>PT Astra Otoparts Tbk - Div. Nusametal</v>
          </cell>
          <cell r="E320" t="str">
            <v>PEB 1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</row>
        <row r="321">
          <cell r="E321" t="str">
            <v>PEB 2</v>
          </cell>
        </row>
        <row r="322">
          <cell r="E322" t="str">
            <v>PEB 3</v>
          </cell>
        </row>
        <row r="323">
          <cell r="E323" t="str">
            <v>PEB 4</v>
          </cell>
        </row>
        <row r="324">
          <cell r="E324" t="str">
            <v>PEB 5</v>
          </cell>
        </row>
        <row r="325">
          <cell r="E325" t="str">
            <v>PEB 6</v>
          </cell>
        </row>
        <row r="326">
          <cell r="E326" t="str">
            <v>PEB 7 / TB</v>
          </cell>
        </row>
        <row r="327">
          <cell r="E327" t="str">
            <v>MPP</v>
          </cell>
        </row>
        <row r="328">
          <cell r="E328" t="str">
            <v>ID</v>
          </cell>
        </row>
        <row r="329">
          <cell r="E329" t="str">
            <v>LL</v>
          </cell>
        </row>
        <row r="330">
          <cell r="E330" t="str">
            <v>PMK</v>
          </cell>
        </row>
        <row r="332">
          <cell r="C332" t="str">
            <v>Ap</v>
          </cell>
          <cell r="D332" t="str">
            <v>PT Astra Otoparts Tbk - Div. Adiwira</v>
          </cell>
          <cell r="E332" t="str">
            <v>PEB 1</v>
          </cell>
          <cell r="G332">
            <v>0</v>
          </cell>
          <cell r="H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52382</v>
          </cell>
          <cell r="U332">
            <v>159164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336524.96726</v>
          </cell>
          <cell r="AA332">
            <v>0</v>
          </cell>
          <cell r="AB332">
            <v>335802.66425999999</v>
          </cell>
          <cell r="AC332">
            <v>0</v>
          </cell>
        </row>
        <row r="333">
          <cell r="E333" t="str">
            <v>PEB 2</v>
          </cell>
          <cell r="G333">
            <v>0</v>
          </cell>
          <cell r="H333">
            <v>0</v>
          </cell>
        </row>
        <row r="334">
          <cell r="E334" t="str">
            <v>PEB 3</v>
          </cell>
          <cell r="G334">
            <v>0</v>
          </cell>
          <cell r="H334">
            <v>0</v>
          </cell>
        </row>
        <row r="335">
          <cell r="E335" t="str">
            <v>PEB 4</v>
          </cell>
          <cell r="G335">
            <v>0</v>
          </cell>
          <cell r="H335">
            <v>0</v>
          </cell>
        </row>
        <row r="336">
          <cell r="E336" t="str">
            <v>PEB 5</v>
          </cell>
          <cell r="G336">
            <v>0</v>
          </cell>
          <cell r="H336">
            <v>0</v>
          </cell>
        </row>
        <row r="337">
          <cell r="E337" t="str">
            <v>PEB 6</v>
          </cell>
        </row>
        <row r="338">
          <cell r="E338" t="str">
            <v>PEB 7 / TB</v>
          </cell>
          <cell r="G338">
            <v>52382</v>
          </cell>
          <cell r="H338">
            <v>159164</v>
          </cell>
        </row>
        <row r="339">
          <cell r="E339" t="str">
            <v>MPP</v>
          </cell>
          <cell r="G339">
            <v>0</v>
          </cell>
          <cell r="H339">
            <v>0</v>
          </cell>
        </row>
        <row r="340">
          <cell r="E340" t="str">
            <v>ID</v>
          </cell>
          <cell r="G340">
            <v>0</v>
          </cell>
          <cell r="H340">
            <v>0</v>
          </cell>
        </row>
        <row r="341">
          <cell r="E341" t="str">
            <v>LL</v>
          </cell>
          <cell r="G341">
            <v>336524.96726</v>
          </cell>
          <cell r="H341">
            <v>0</v>
          </cell>
        </row>
        <row r="342">
          <cell r="E342" t="str">
            <v>PMK</v>
          </cell>
          <cell r="G342">
            <v>335802.66425999999</v>
          </cell>
          <cell r="H342">
            <v>0</v>
          </cell>
        </row>
        <row r="344">
          <cell r="C344" t="str">
            <v>We</v>
          </cell>
          <cell r="D344" t="str">
            <v>PT Astra Otoparts Tbk - Div. Winteq</v>
          </cell>
          <cell r="E344" t="str">
            <v>PEB 1</v>
          </cell>
          <cell r="G344">
            <v>0</v>
          </cell>
          <cell r="H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25005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55865</v>
          </cell>
          <cell r="AA344">
            <v>0</v>
          </cell>
          <cell r="AB344">
            <v>30295</v>
          </cell>
          <cell r="AC344">
            <v>0</v>
          </cell>
        </row>
        <row r="345">
          <cell r="E345" t="str">
            <v>PEB 2</v>
          </cell>
          <cell r="G345">
            <v>0</v>
          </cell>
          <cell r="H345">
            <v>0</v>
          </cell>
        </row>
        <row r="346">
          <cell r="E346" t="str">
            <v>PEB 3</v>
          </cell>
          <cell r="G346">
            <v>0</v>
          </cell>
          <cell r="H346">
            <v>0</v>
          </cell>
        </row>
        <row r="347">
          <cell r="E347" t="str">
            <v>PEB 4</v>
          </cell>
          <cell r="G347">
            <v>0</v>
          </cell>
          <cell r="H347">
            <v>0</v>
          </cell>
        </row>
        <row r="348">
          <cell r="E348" t="str">
            <v>PEB 5</v>
          </cell>
          <cell r="G348">
            <v>0</v>
          </cell>
          <cell r="H348">
            <v>0</v>
          </cell>
        </row>
        <row r="349">
          <cell r="E349" t="str">
            <v>PEB 6</v>
          </cell>
        </row>
        <row r="350">
          <cell r="E350" t="str">
            <v>PEB 7 / TB</v>
          </cell>
          <cell r="G350">
            <v>25005</v>
          </cell>
          <cell r="H350">
            <v>0</v>
          </cell>
        </row>
        <row r="351">
          <cell r="E351" t="str">
            <v>MPP</v>
          </cell>
          <cell r="G351">
            <v>0</v>
          </cell>
          <cell r="H351">
            <v>0</v>
          </cell>
        </row>
        <row r="352">
          <cell r="E352" t="str">
            <v>ID</v>
          </cell>
          <cell r="G352">
            <v>0</v>
          </cell>
          <cell r="H352">
            <v>0</v>
          </cell>
        </row>
        <row r="353">
          <cell r="E353" t="str">
            <v>LL</v>
          </cell>
          <cell r="G353">
            <v>55865</v>
          </cell>
          <cell r="H353">
            <v>0</v>
          </cell>
        </row>
        <row r="354">
          <cell r="E354" t="str">
            <v>PMK</v>
          </cell>
          <cell r="G354">
            <v>30295</v>
          </cell>
          <cell r="H354">
            <v>0</v>
          </cell>
        </row>
        <row r="356">
          <cell r="C356" t="str">
            <v>A0024</v>
          </cell>
          <cell r="D356" t="str">
            <v>PT Astra Sedaya Finance</v>
          </cell>
          <cell r="E356" t="str">
            <v>PEB 1</v>
          </cell>
          <cell r="G356">
            <v>0</v>
          </cell>
          <cell r="H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624134.30000000005</v>
          </cell>
          <cell r="U356">
            <v>1218099.8370000001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785943.36499999999</v>
          </cell>
          <cell r="AA356">
            <v>0</v>
          </cell>
          <cell r="AB356">
            <v>508000</v>
          </cell>
          <cell r="AC356">
            <v>0</v>
          </cell>
        </row>
        <row r="357">
          <cell r="E357" t="str">
            <v>PEB 2</v>
          </cell>
          <cell r="G357">
            <v>0</v>
          </cell>
          <cell r="H357">
            <v>0</v>
          </cell>
        </row>
        <row r="358">
          <cell r="E358" t="str">
            <v>PEB 3</v>
          </cell>
          <cell r="G358">
            <v>0</v>
          </cell>
          <cell r="H358">
            <v>0</v>
          </cell>
        </row>
        <row r="359">
          <cell r="E359" t="str">
            <v>PEB 4</v>
          </cell>
          <cell r="G359">
            <v>0</v>
          </cell>
          <cell r="H359">
            <v>0</v>
          </cell>
        </row>
        <row r="360">
          <cell r="E360" t="str">
            <v>PEB 5</v>
          </cell>
          <cell r="G360">
            <v>0</v>
          </cell>
          <cell r="H360">
            <v>0</v>
          </cell>
        </row>
        <row r="361">
          <cell r="E361" t="str">
            <v>PEB 6</v>
          </cell>
        </row>
        <row r="362">
          <cell r="E362" t="str">
            <v>PEB 7 / TB</v>
          </cell>
          <cell r="G362">
            <v>624134.30000000005</v>
          </cell>
          <cell r="H362">
            <v>1218099.8370000001</v>
          </cell>
        </row>
        <row r="363">
          <cell r="E363" t="str">
            <v>MPP</v>
          </cell>
        </row>
        <row r="364">
          <cell r="E364" t="str">
            <v>ID</v>
          </cell>
          <cell r="G364">
            <v>0</v>
          </cell>
          <cell r="H364">
            <v>0</v>
          </cell>
        </row>
        <row r="365">
          <cell r="E365" t="str">
            <v>LL</v>
          </cell>
          <cell r="G365">
            <v>785943.36499999999</v>
          </cell>
          <cell r="H365">
            <v>0</v>
          </cell>
        </row>
        <row r="366">
          <cell r="E366" t="str">
            <v>PMK</v>
          </cell>
          <cell r="G366">
            <v>508000</v>
          </cell>
          <cell r="H366">
            <v>0</v>
          </cell>
        </row>
        <row r="368">
          <cell r="C368" t="str">
            <v>A0224</v>
          </cell>
          <cell r="D368" t="str">
            <v>PT Astratel Nusantara</v>
          </cell>
          <cell r="E368" t="str">
            <v>PEB 1</v>
          </cell>
          <cell r="G368">
            <v>0</v>
          </cell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23250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30069.091</v>
          </cell>
          <cell r="AA368">
            <v>0</v>
          </cell>
          <cell r="AB368">
            <v>0</v>
          </cell>
          <cell r="AC368">
            <v>0</v>
          </cell>
        </row>
        <row r="369">
          <cell r="E369" t="str">
            <v>PEB 2</v>
          </cell>
          <cell r="G369">
            <v>0</v>
          </cell>
          <cell r="H369">
            <v>0</v>
          </cell>
        </row>
        <row r="370">
          <cell r="E370" t="str">
            <v>PEB 3</v>
          </cell>
          <cell r="G370">
            <v>0</v>
          </cell>
          <cell r="H370">
            <v>0</v>
          </cell>
        </row>
        <row r="371">
          <cell r="E371" t="str">
            <v>PEB 4</v>
          </cell>
          <cell r="G371">
            <v>0</v>
          </cell>
          <cell r="H371">
            <v>0</v>
          </cell>
        </row>
        <row r="372">
          <cell r="E372" t="str">
            <v>PEB 5</v>
          </cell>
          <cell r="G372">
            <v>0</v>
          </cell>
          <cell r="H372">
            <v>0</v>
          </cell>
        </row>
        <row r="373">
          <cell r="E373" t="str">
            <v>PEB 6</v>
          </cell>
        </row>
        <row r="374">
          <cell r="E374" t="str">
            <v>PEB 7 / TB</v>
          </cell>
          <cell r="G374">
            <v>23250</v>
          </cell>
          <cell r="H374">
            <v>0</v>
          </cell>
        </row>
        <row r="375">
          <cell r="E375" t="str">
            <v>MPP</v>
          </cell>
          <cell r="G375">
            <v>0</v>
          </cell>
          <cell r="H375">
            <v>0</v>
          </cell>
        </row>
        <row r="376">
          <cell r="E376" t="str">
            <v>ID</v>
          </cell>
          <cell r="G376">
            <v>0</v>
          </cell>
          <cell r="H376">
            <v>0</v>
          </cell>
        </row>
        <row r="377">
          <cell r="E377" t="str">
            <v>LL</v>
          </cell>
          <cell r="G377">
            <v>30069.091</v>
          </cell>
          <cell r="H377">
            <v>0</v>
          </cell>
        </row>
        <row r="378">
          <cell r="E378" t="str">
            <v>PMK</v>
          </cell>
          <cell r="G378">
            <v>0</v>
          </cell>
          <cell r="H378">
            <v>0</v>
          </cell>
        </row>
        <row r="380">
          <cell r="C380" t="str">
            <v>A0026</v>
          </cell>
          <cell r="D380" t="str">
            <v>PT Asuransi Astra Buana</v>
          </cell>
          <cell r="E380" t="str">
            <v>PEB 1</v>
          </cell>
          <cell r="G380">
            <v>0</v>
          </cell>
          <cell r="H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246800</v>
          </cell>
          <cell r="AC380">
            <v>0</v>
          </cell>
        </row>
        <row r="381">
          <cell r="E381" t="str">
            <v>PEB 2</v>
          </cell>
          <cell r="G381">
            <v>0</v>
          </cell>
          <cell r="H381">
            <v>0</v>
          </cell>
        </row>
        <row r="382">
          <cell r="E382" t="str">
            <v>PEB 3</v>
          </cell>
          <cell r="G382">
            <v>0</v>
          </cell>
          <cell r="H382">
            <v>0</v>
          </cell>
        </row>
        <row r="383">
          <cell r="E383" t="str">
            <v>PEB 4</v>
          </cell>
          <cell r="G383">
            <v>0</v>
          </cell>
          <cell r="H383">
            <v>0</v>
          </cell>
        </row>
        <row r="384">
          <cell r="E384" t="str">
            <v>PEB 5</v>
          </cell>
          <cell r="G384">
            <v>0</v>
          </cell>
          <cell r="H384">
            <v>0</v>
          </cell>
        </row>
        <row r="385">
          <cell r="E385" t="str">
            <v>PEB 6</v>
          </cell>
        </row>
        <row r="386">
          <cell r="E386" t="str">
            <v>PEB 7 / TB</v>
          </cell>
          <cell r="G386">
            <v>0</v>
          </cell>
          <cell r="H386">
            <v>0</v>
          </cell>
        </row>
        <row r="387">
          <cell r="E387" t="str">
            <v>MPP</v>
          </cell>
          <cell r="G387">
            <v>0</v>
          </cell>
          <cell r="H387">
            <v>0</v>
          </cell>
        </row>
        <row r="388">
          <cell r="E388" t="str">
            <v>ID</v>
          </cell>
          <cell r="G388">
            <v>0</v>
          </cell>
          <cell r="H388">
            <v>0</v>
          </cell>
        </row>
        <row r="389">
          <cell r="E389" t="str">
            <v>LL</v>
          </cell>
          <cell r="G389">
            <v>0</v>
          </cell>
          <cell r="H389">
            <v>0</v>
          </cell>
        </row>
        <row r="390">
          <cell r="E390" t="str">
            <v>PMK</v>
          </cell>
          <cell r="G390">
            <v>246800</v>
          </cell>
          <cell r="H390">
            <v>0</v>
          </cell>
        </row>
        <row r="392">
          <cell r="C392" t="str">
            <v>A0038</v>
          </cell>
          <cell r="D392" t="str">
            <v>PT AT Indonesia</v>
          </cell>
          <cell r="E392" t="str">
            <v>PEB 1</v>
          </cell>
          <cell r="G392">
            <v>0</v>
          </cell>
          <cell r="H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657910.80000000005</v>
          </cell>
          <cell r="AA392">
            <v>0</v>
          </cell>
          <cell r="AB392">
            <v>0</v>
          </cell>
          <cell r="AC392">
            <v>0</v>
          </cell>
        </row>
        <row r="393">
          <cell r="E393" t="str">
            <v>PEB 2</v>
          </cell>
          <cell r="G393">
            <v>0</v>
          </cell>
          <cell r="H393">
            <v>0</v>
          </cell>
        </row>
        <row r="394">
          <cell r="E394" t="str">
            <v>PEB 3</v>
          </cell>
          <cell r="G394">
            <v>0</v>
          </cell>
          <cell r="H394">
            <v>0</v>
          </cell>
        </row>
        <row r="395">
          <cell r="E395" t="str">
            <v>PEB 4</v>
          </cell>
          <cell r="G395">
            <v>0</v>
          </cell>
          <cell r="H395">
            <v>0</v>
          </cell>
        </row>
        <row r="396">
          <cell r="E396" t="str">
            <v>PEB 5</v>
          </cell>
          <cell r="G396">
            <v>0</v>
          </cell>
          <cell r="H396">
            <v>0</v>
          </cell>
        </row>
        <row r="397">
          <cell r="E397" t="str">
            <v>PEB 6</v>
          </cell>
        </row>
        <row r="398">
          <cell r="E398" t="str">
            <v>PEB 7 / TB</v>
          </cell>
          <cell r="G398">
            <v>0</v>
          </cell>
          <cell r="H398">
            <v>0</v>
          </cell>
        </row>
        <row r="399">
          <cell r="E399" t="str">
            <v>MPP</v>
          </cell>
          <cell r="G399">
            <v>0</v>
          </cell>
          <cell r="H399">
            <v>0</v>
          </cell>
        </row>
        <row r="400">
          <cell r="E400" t="str">
            <v>ID</v>
          </cell>
          <cell r="G400">
            <v>0</v>
          </cell>
          <cell r="H400">
            <v>0</v>
          </cell>
        </row>
        <row r="401">
          <cell r="E401" t="str">
            <v>LL</v>
          </cell>
          <cell r="G401">
            <v>657910.80000000005</v>
          </cell>
          <cell r="H401">
            <v>0</v>
          </cell>
        </row>
        <row r="402">
          <cell r="E402" t="str">
            <v>PMK</v>
          </cell>
          <cell r="G402">
            <v>0</v>
          </cell>
          <cell r="H402">
            <v>0</v>
          </cell>
        </row>
        <row r="404">
          <cell r="C404" t="str">
            <v>A0331</v>
          </cell>
          <cell r="D404" t="str">
            <v>PT Bhadra Cemerlang</v>
          </cell>
          <cell r="E404" t="str">
            <v>PEB 1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</row>
        <row r="405">
          <cell r="E405" t="str">
            <v>PEB 2</v>
          </cell>
        </row>
        <row r="406">
          <cell r="E406" t="str">
            <v>PEB 3</v>
          </cell>
        </row>
        <row r="407">
          <cell r="E407" t="str">
            <v>PEB 4</v>
          </cell>
        </row>
        <row r="408">
          <cell r="E408" t="str">
            <v>PEB 5</v>
          </cell>
        </row>
        <row r="409">
          <cell r="E409" t="str">
            <v>PEB 6</v>
          </cell>
        </row>
        <row r="410">
          <cell r="E410" t="str">
            <v>PEB 7 / TB</v>
          </cell>
        </row>
        <row r="411">
          <cell r="E411" t="str">
            <v>MPP</v>
          </cell>
        </row>
        <row r="412">
          <cell r="E412" t="str">
            <v>ID</v>
          </cell>
        </row>
        <row r="413">
          <cell r="E413" t="str">
            <v>LL</v>
          </cell>
        </row>
        <row r="414">
          <cell r="E414" t="str">
            <v>PMK</v>
          </cell>
        </row>
        <row r="416">
          <cell r="C416" t="str">
            <v>A0398</v>
          </cell>
          <cell r="D416" t="str">
            <v>PT Bhadra Sukses</v>
          </cell>
          <cell r="E416" t="str">
            <v>PEB 1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</row>
        <row r="417">
          <cell r="E417" t="str">
            <v>PEB 2</v>
          </cell>
        </row>
        <row r="418">
          <cell r="E418" t="str">
            <v>PEB 3</v>
          </cell>
        </row>
        <row r="419">
          <cell r="E419" t="str">
            <v>PEB 4</v>
          </cell>
        </row>
        <row r="420">
          <cell r="E420" t="str">
            <v>PEB 5</v>
          </cell>
        </row>
        <row r="421">
          <cell r="E421" t="str">
            <v>PEB 6</v>
          </cell>
        </row>
        <row r="422">
          <cell r="E422" t="str">
            <v>PEB 7 / TB</v>
          </cell>
        </row>
        <row r="423">
          <cell r="E423" t="str">
            <v>MPP</v>
          </cell>
        </row>
        <row r="424">
          <cell r="E424" t="str">
            <v>ID</v>
          </cell>
        </row>
        <row r="425">
          <cell r="E425" t="str">
            <v>LL</v>
          </cell>
        </row>
        <row r="426">
          <cell r="E426" t="str">
            <v>PMK</v>
          </cell>
        </row>
        <row r="428">
          <cell r="C428" t="str">
            <v>A0210</v>
          </cell>
          <cell r="D428" t="str">
            <v>PT Bina Pertiwi</v>
          </cell>
          <cell r="E428" t="str">
            <v>PEB 1</v>
          </cell>
          <cell r="G428">
            <v>0</v>
          </cell>
          <cell r="H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8280</v>
          </cell>
          <cell r="U428">
            <v>0</v>
          </cell>
          <cell r="V428">
            <v>17686</v>
          </cell>
          <cell r="W428">
            <v>0</v>
          </cell>
          <cell r="X428">
            <v>85129</v>
          </cell>
          <cell r="Y428">
            <v>0</v>
          </cell>
          <cell r="Z428">
            <v>29283</v>
          </cell>
          <cell r="AA428">
            <v>0</v>
          </cell>
          <cell r="AB428">
            <v>0</v>
          </cell>
          <cell r="AC428">
            <v>0</v>
          </cell>
        </row>
        <row r="429">
          <cell r="E429" t="str">
            <v>PEB 2</v>
          </cell>
          <cell r="G429">
            <v>0</v>
          </cell>
          <cell r="H429">
            <v>0</v>
          </cell>
        </row>
        <row r="430">
          <cell r="E430" t="str">
            <v>PEB 3</v>
          </cell>
          <cell r="G430">
            <v>0</v>
          </cell>
          <cell r="H430">
            <v>0</v>
          </cell>
        </row>
        <row r="431">
          <cell r="E431" t="str">
            <v>PEB 4</v>
          </cell>
          <cell r="G431">
            <v>0</v>
          </cell>
          <cell r="H431">
            <v>0</v>
          </cell>
        </row>
        <row r="432">
          <cell r="E432" t="str">
            <v>PEB 5</v>
          </cell>
          <cell r="G432">
            <v>0</v>
          </cell>
          <cell r="H432">
            <v>0</v>
          </cell>
        </row>
        <row r="433">
          <cell r="E433" t="str">
            <v>PEB 6</v>
          </cell>
        </row>
        <row r="434">
          <cell r="E434" t="str">
            <v>PEB 7 / TB</v>
          </cell>
          <cell r="G434">
            <v>8280</v>
          </cell>
          <cell r="H434">
            <v>0</v>
          </cell>
        </row>
        <row r="435">
          <cell r="E435" t="str">
            <v>MPP</v>
          </cell>
          <cell r="G435">
            <v>17686</v>
          </cell>
          <cell r="H435">
            <v>0</v>
          </cell>
        </row>
        <row r="436">
          <cell r="E436" t="str">
            <v>ID</v>
          </cell>
          <cell r="G436">
            <v>85129</v>
          </cell>
          <cell r="H436">
            <v>0</v>
          </cell>
        </row>
        <row r="437">
          <cell r="E437" t="str">
            <v>LL</v>
          </cell>
          <cell r="G437">
            <v>29283</v>
          </cell>
          <cell r="H437">
            <v>0</v>
          </cell>
        </row>
        <row r="438">
          <cell r="E438" t="str">
            <v>PMK</v>
          </cell>
          <cell r="G438">
            <v>0</v>
          </cell>
          <cell r="H438">
            <v>0</v>
          </cell>
        </row>
        <row r="440">
          <cell r="C440" t="str">
            <v>A0415</v>
          </cell>
          <cell r="D440" t="str">
            <v>PT Borneo Indah Marjaya</v>
          </cell>
          <cell r="E440" t="str">
            <v>PEB 1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</row>
        <row r="441">
          <cell r="E441" t="str">
            <v>PEB 2</v>
          </cell>
        </row>
        <row r="442">
          <cell r="E442" t="str">
            <v>PEB 3</v>
          </cell>
        </row>
        <row r="443">
          <cell r="E443" t="str">
            <v>PEB 4</v>
          </cell>
        </row>
        <row r="444">
          <cell r="E444" t="str">
            <v>PEB 5</v>
          </cell>
        </row>
        <row r="445">
          <cell r="E445" t="str">
            <v>PEB 6</v>
          </cell>
        </row>
        <row r="446">
          <cell r="E446" t="str">
            <v>PEB 7 / TB</v>
          </cell>
        </row>
        <row r="447">
          <cell r="E447" t="str">
            <v>MPP</v>
          </cell>
        </row>
        <row r="448">
          <cell r="E448" t="str">
            <v>ID</v>
          </cell>
        </row>
        <row r="449">
          <cell r="E449" t="str">
            <v>LL</v>
          </cell>
        </row>
        <row r="450">
          <cell r="E450" t="str">
            <v>PMK</v>
          </cell>
        </row>
        <row r="452">
          <cell r="C452" t="str">
            <v>A0232</v>
          </cell>
          <cell r="D452" t="str">
            <v>PT Brahmayasa Bahtera</v>
          </cell>
          <cell r="E452" t="str">
            <v>PEB 1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5700</v>
          </cell>
          <cell r="AA452">
            <v>0</v>
          </cell>
          <cell r="AB452">
            <v>0</v>
          </cell>
          <cell r="AC452">
            <v>0</v>
          </cell>
        </row>
        <row r="453">
          <cell r="E453" t="str">
            <v>PEB 2</v>
          </cell>
        </row>
        <row r="454">
          <cell r="E454" t="str">
            <v>PEB 3</v>
          </cell>
        </row>
        <row r="455">
          <cell r="E455" t="str">
            <v>PEB 4</v>
          </cell>
        </row>
        <row r="456">
          <cell r="E456" t="str">
            <v>PEB 5</v>
          </cell>
        </row>
        <row r="457">
          <cell r="E457" t="str">
            <v>PEB 6</v>
          </cell>
        </row>
        <row r="458">
          <cell r="E458" t="str">
            <v>PEB 7 / TB</v>
          </cell>
        </row>
        <row r="459">
          <cell r="E459" t="str">
            <v>MPP</v>
          </cell>
        </row>
        <row r="460">
          <cell r="E460" t="str">
            <v>ID</v>
          </cell>
        </row>
        <row r="461">
          <cell r="E461" t="str">
            <v>LL</v>
          </cell>
          <cell r="G461">
            <v>5700</v>
          </cell>
        </row>
        <row r="462">
          <cell r="E462" t="str">
            <v>PMK</v>
          </cell>
        </row>
        <row r="464">
          <cell r="C464" t="str">
            <v>A0248</v>
          </cell>
          <cell r="D464" t="str">
            <v>PT Cakradenta Agung Pertiwi</v>
          </cell>
          <cell r="E464" t="str">
            <v>PEB 1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</row>
        <row r="465">
          <cell r="E465" t="str">
            <v>PEB 2</v>
          </cell>
        </row>
        <row r="466">
          <cell r="E466" t="str">
            <v>PEB 3</v>
          </cell>
        </row>
        <row r="467">
          <cell r="E467" t="str">
            <v>PEB 4</v>
          </cell>
        </row>
        <row r="468">
          <cell r="E468" t="str">
            <v>PEB 5</v>
          </cell>
        </row>
        <row r="469">
          <cell r="E469" t="str">
            <v>PEB 6</v>
          </cell>
        </row>
        <row r="470">
          <cell r="E470" t="str">
            <v>PEB 7 / TB</v>
          </cell>
        </row>
        <row r="471">
          <cell r="E471" t="str">
            <v>MPP</v>
          </cell>
        </row>
        <row r="472">
          <cell r="E472" t="str">
            <v>ID</v>
          </cell>
        </row>
        <row r="473">
          <cell r="E473" t="str">
            <v>LL</v>
          </cell>
        </row>
        <row r="474">
          <cell r="E474" t="str">
            <v>PMK</v>
          </cell>
        </row>
        <row r="476">
          <cell r="C476" t="str">
            <v>A0247</v>
          </cell>
          <cell r="D476" t="str">
            <v>PT Cakung Permata Nusa</v>
          </cell>
          <cell r="E476" t="str">
            <v>PEB 1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</row>
        <row r="477">
          <cell r="E477" t="str">
            <v>PEB 2</v>
          </cell>
        </row>
        <row r="478">
          <cell r="E478" t="str">
            <v>PEB 3</v>
          </cell>
        </row>
        <row r="479">
          <cell r="E479" t="str">
            <v>PEB 4</v>
          </cell>
        </row>
        <row r="480">
          <cell r="E480" t="str">
            <v>PEB 5</v>
          </cell>
        </row>
        <row r="481">
          <cell r="E481" t="str">
            <v>PEB 6</v>
          </cell>
        </row>
        <row r="482">
          <cell r="E482" t="str">
            <v>PEB 7 / TB</v>
          </cell>
        </row>
        <row r="483">
          <cell r="E483" t="str">
            <v>MPP</v>
          </cell>
        </row>
        <row r="484">
          <cell r="E484" t="str">
            <v>ID</v>
          </cell>
        </row>
        <row r="485">
          <cell r="E485" t="str">
            <v>LL</v>
          </cell>
        </row>
        <row r="486">
          <cell r="E486" t="str">
            <v>PMK</v>
          </cell>
        </row>
        <row r="488">
          <cell r="C488" t="str">
            <v>A0037</v>
          </cell>
          <cell r="D488" t="str">
            <v>PT Century Batteries Indonesia</v>
          </cell>
          <cell r="E488" t="str">
            <v>PEB 1</v>
          </cell>
          <cell r="G488">
            <v>0</v>
          </cell>
          <cell r="H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73119</v>
          </cell>
          <cell r="U488">
            <v>0</v>
          </cell>
          <cell r="V488">
            <v>0</v>
          </cell>
          <cell r="W488">
            <v>0</v>
          </cell>
          <cell r="X488">
            <v>177368</v>
          </cell>
          <cell r="Y488">
            <v>15806</v>
          </cell>
          <cell r="Z488">
            <v>225915.75</v>
          </cell>
          <cell r="AA488">
            <v>0</v>
          </cell>
          <cell r="AB488">
            <v>289313.16255999991</v>
          </cell>
          <cell r="AC488">
            <v>0</v>
          </cell>
        </row>
        <row r="489">
          <cell r="E489" t="str">
            <v>PEB 2</v>
          </cell>
          <cell r="G489">
            <v>0</v>
          </cell>
          <cell r="H489">
            <v>0</v>
          </cell>
        </row>
        <row r="490">
          <cell r="E490" t="str">
            <v>PEB 3</v>
          </cell>
          <cell r="G490">
            <v>0</v>
          </cell>
          <cell r="H490">
            <v>0</v>
          </cell>
        </row>
        <row r="491">
          <cell r="E491" t="str">
            <v>PEB 4</v>
          </cell>
          <cell r="G491">
            <v>0</v>
          </cell>
          <cell r="H491">
            <v>0</v>
          </cell>
        </row>
        <row r="492">
          <cell r="E492" t="str">
            <v>PEB 5</v>
          </cell>
          <cell r="G492">
            <v>0</v>
          </cell>
          <cell r="H492">
            <v>0</v>
          </cell>
        </row>
        <row r="493">
          <cell r="E493" t="str">
            <v>PEB 6</v>
          </cell>
        </row>
        <row r="494">
          <cell r="E494" t="str">
            <v>PEB 7 / TB</v>
          </cell>
          <cell r="G494">
            <v>73119</v>
          </cell>
          <cell r="H494">
            <v>0</v>
          </cell>
        </row>
        <row r="495">
          <cell r="E495" t="str">
            <v>MPP</v>
          </cell>
          <cell r="G495">
            <v>0</v>
          </cell>
          <cell r="H495">
            <v>0</v>
          </cell>
        </row>
        <row r="496">
          <cell r="E496" t="str">
            <v>ID</v>
          </cell>
          <cell r="G496">
            <v>177368</v>
          </cell>
          <cell r="H496">
            <v>15806</v>
          </cell>
        </row>
        <row r="497">
          <cell r="E497" t="str">
            <v>LL</v>
          </cell>
          <cell r="G497">
            <v>225915.75</v>
          </cell>
          <cell r="H497">
            <v>0</v>
          </cell>
        </row>
        <row r="498">
          <cell r="E498" t="str">
            <v>PMK</v>
          </cell>
          <cell r="G498">
            <v>289313.16255999991</v>
          </cell>
          <cell r="H498">
            <v>0</v>
          </cell>
        </row>
        <row r="500">
          <cell r="C500" t="str">
            <v>A0445</v>
          </cell>
          <cell r="D500" t="str">
            <v>PT Citra Agro Nusantara</v>
          </cell>
          <cell r="E500" t="str">
            <v>PEB 1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</row>
        <row r="501">
          <cell r="E501" t="str">
            <v>PEB 2</v>
          </cell>
        </row>
        <row r="502">
          <cell r="E502" t="str">
            <v>PEB 3</v>
          </cell>
        </row>
        <row r="503">
          <cell r="E503" t="str">
            <v>PEB 4</v>
          </cell>
        </row>
        <row r="504">
          <cell r="E504" t="str">
            <v>PEB 5</v>
          </cell>
        </row>
        <row r="505">
          <cell r="E505" t="str">
            <v>PEB 6</v>
          </cell>
        </row>
        <row r="506">
          <cell r="E506" t="str">
            <v>PEB 7 / TB</v>
          </cell>
        </row>
        <row r="507">
          <cell r="E507" t="str">
            <v>MPP</v>
          </cell>
        </row>
        <row r="508">
          <cell r="E508" t="str">
            <v>ID</v>
          </cell>
        </row>
        <row r="509">
          <cell r="E509" t="str">
            <v>LL</v>
          </cell>
        </row>
        <row r="510">
          <cell r="E510" t="str">
            <v>PMK</v>
          </cell>
        </row>
        <row r="512">
          <cell r="C512" t="str">
            <v>A0008</v>
          </cell>
          <cell r="D512" t="str">
            <v>PT Daya Mitra Serasi</v>
          </cell>
          <cell r="E512" t="str">
            <v>PEB 1</v>
          </cell>
          <cell r="G512">
            <v>0</v>
          </cell>
          <cell r="H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7584</v>
          </cell>
          <cell r="AA512">
            <v>0</v>
          </cell>
          <cell r="AB512">
            <v>0</v>
          </cell>
          <cell r="AC512">
            <v>0</v>
          </cell>
        </row>
        <row r="513">
          <cell r="E513" t="str">
            <v>PEB 2</v>
          </cell>
          <cell r="G513">
            <v>0</v>
          </cell>
          <cell r="H513">
            <v>0</v>
          </cell>
        </row>
        <row r="514">
          <cell r="E514" t="str">
            <v>PEB 3</v>
          </cell>
          <cell r="G514">
            <v>0</v>
          </cell>
          <cell r="H514">
            <v>0</v>
          </cell>
        </row>
        <row r="515">
          <cell r="E515" t="str">
            <v>PEB 4</v>
          </cell>
          <cell r="G515">
            <v>0</v>
          </cell>
          <cell r="H515">
            <v>0</v>
          </cell>
        </row>
        <row r="516">
          <cell r="E516" t="str">
            <v>PEB 5</v>
          </cell>
          <cell r="G516">
            <v>0</v>
          </cell>
          <cell r="H516">
            <v>0</v>
          </cell>
        </row>
        <row r="517">
          <cell r="E517" t="str">
            <v>PEB 6</v>
          </cell>
        </row>
        <row r="518">
          <cell r="E518" t="str">
            <v>PEB 7 / TB</v>
          </cell>
          <cell r="G518">
            <v>0</v>
          </cell>
          <cell r="H518">
            <v>0</v>
          </cell>
        </row>
        <row r="519">
          <cell r="E519" t="str">
            <v>MPP</v>
          </cell>
          <cell r="G519">
            <v>0</v>
          </cell>
          <cell r="H519">
            <v>0</v>
          </cell>
        </row>
        <row r="520">
          <cell r="E520" t="str">
            <v>ID</v>
          </cell>
          <cell r="G520">
            <v>0</v>
          </cell>
          <cell r="H520">
            <v>0</v>
          </cell>
        </row>
        <row r="521">
          <cell r="E521" t="str">
            <v>LL</v>
          </cell>
          <cell r="G521">
            <v>7584</v>
          </cell>
          <cell r="H521">
            <v>0</v>
          </cell>
        </row>
        <row r="522">
          <cell r="E522" t="str">
            <v>PMK</v>
          </cell>
          <cell r="G522">
            <v>0</v>
          </cell>
          <cell r="H522">
            <v>0</v>
          </cell>
        </row>
        <row r="524">
          <cell r="C524" t="str">
            <v>A0051</v>
          </cell>
          <cell r="D524" t="str">
            <v>PT DIC Astra Chemicals</v>
          </cell>
          <cell r="E524" t="str">
            <v>PEB 1</v>
          </cell>
          <cell r="G524">
            <v>0</v>
          </cell>
          <cell r="H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31875</v>
          </cell>
          <cell r="AC524">
            <v>0</v>
          </cell>
        </row>
        <row r="525">
          <cell r="E525" t="str">
            <v>PEB 2</v>
          </cell>
          <cell r="G525">
            <v>0</v>
          </cell>
          <cell r="H525">
            <v>0</v>
          </cell>
        </row>
        <row r="526">
          <cell r="E526" t="str">
            <v>PEB 3</v>
          </cell>
          <cell r="G526">
            <v>0</v>
          </cell>
          <cell r="H526">
            <v>0</v>
          </cell>
        </row>
        <row r="527">
          <cell r="E527" t="str">
            <v>PEB 4</v>
          </cell>
          <cell r="G527">
            <v>0</v>
          </cell>
          <cell r="H527">
            <v>0</v>
          </cell>
        </row>
        <row r="528">
          <cell r="E528" t="str">
            <v>PEB 5</v>
          </cell>
          <cell r="G528">
            <v>0</v>
          </cell>
          <cell r="H528">
            <v>0</v>
          </cell>
        </row>
        <row r="529">
          <cell r="E529" t="str">
            <v>PEB 6</v>
          </cell>
        </row>
        <row r="530">
          <cell r="E530" t="str">
            <v>PEB 7 / TB</v>
          </cell>
          <cell r="G530">
            <v>0</v>
          </cell>
          <cell r="H530">
            <v>0</v>
          </cell>
        </row>
        <row r="531">
          <cell r="E531" t="str">
            <v>MPP</v>
          </cell>
          <cell r="G531">
            <v>0</v>
          </cell>
          <cell r="H531">
            <v>0</v>
          </cell>
        </row>
        <row r="532">
          <cell r="E532" t="str">
            <v>ID</v>
          </cell>
          <cell r="G532">
            <v>0</v>
          </cell>
          <cell r="H532">
            <v>0</v>
          </cell>
        </row>
        <row r="533">
          <cell r="E533" t="str">
            <v>LL</v>
          </cell>
          <cell r="G533">
            <v>0</v>
          </cell>
          <cell r="H533">
            <v>0</v>
          </cell>
        </row>
        <row r="534">
          <cell r="E534" t="str">
            <v>PMK</v>
          </cell>
          <cell r="G534">
            <v>31875</v>
          </cell>
          <cell r="H534">
            <v>0</v>
          </cell>
        </row>
        <row r="536">
          <cell r="C536" t="str">
            <v>A0239</v>
          </cell>
          <cell r="D536" t="str">
            <v>PT Astra Daido Steel Indonesia (d/h PT Dirgamenara Nusadwipa)</v>
          </cell>
          <cell r="E536" t="str">
            <v>PEB 1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</row>
        <row r="537">
          <cell r="E537" t="str">
            <v>PEB 2</v>
          </cell>
        </row>
        <row r="538">
          <cell r="E538" t="str">
            <v>PEB 3</v>
          </cell>
        </row>
        <row r="539">
          <cell r="E539" t="str">
            <v>PEB 4</v>
          </cell>
        </row>
        <row r="540">
          <cell r="E540" t="str">
            <v>PEB 5</v>
          </cell>
        </row>
        <row r="541">
          <cell r="E541" t="str">
            <v>PEB 6</v>
          </cell>
        </row>
        <row r="542">
          <cell r="E542" t="str">
            <v>PEB 7 / TB</v>
          </cell>
        </row>
        <row r="543">
          <cell r="E543" t="str">
            <v>MPP</v>
          </cell>
        </row>
        <row r="544">
          <cell r="E544" t="str">
            <v>ID</v>
          </cell>
        </row>
        <row r="545">
          <cell r="E545" t="str">
            <v>LL</v>
          </cell>
        </row>
        <row r="546">
          <cell r="E546" t="str">
            <v>PMK</v>
          </cell>
        </row>
        <row r="548">
          <cell r="C548" t="str">
            <v xml:space="preserve">A0054 </v>
          </cell>
          <cell r="D548" t="str">
            <v>PT Ekadura Indonesia &amp; Ekadura Dumai</v>
          </cell>
          <cell r="E548" t="str">
            <v>PEB 1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</row>
        <row r="549">
          <cell r="E549" t="str">
            <v>PEB 2</v>
          </cell>
        </row>
        <row r="550">
          <cell r="E550" t="str">
            <v>PEB 3</v>
          </cell>
        </row>
        <row r="551">
          <cell r="E551" t="str">
            <v>PEB 4</v>
          </cell>
        </row>
        <row r="552">
          <cell r="E552" t="str">
            <v>PEB 5</v>
          </cell>
        </row>
        <row r="553">
          <cell r="E553" t="str">
            <v>PEB 6</v>
          </cell>
        </row>
        <row r="554">
          <cell r="E554" t="str">
            <v>PEB 7 / TB</v>
          </cell>
        </row>
        <row r="555">
          <cell r="E555" t="str">
            <v>MPP</v>
          </cell>
        </row>
        <row r="556">
          <cell r="E556" t="str">
            <v>ID</v>
          </cell>
        </row>
        <row r="557">
          <cell r="E557" t="str">
            <v>LL</v>
          </cell>
        </row>
        <row r="558">
          <cell r="E558" t="str">
            <v>PMK</v>
          </cell>
        </row>
        <row r="560">
          <cell r="C560" t="str">
            <v>A0266</v>
          </cell>
          <cell r="D560" t="str">
            <v>PT Ekadura Perdana</v>
          </cell>
          <cell r="E560" t="str">
            <v>PEB 1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</row>
        <row r="561">
          <cell r="E561" t="str">
            <v>PEB 2</v>
          </cell>
        </row>
        <row r="562">
          <cell r="E562" t="str">
            <v>PEB 3</v>
          </cell>
        </row>
        <row r="563">
          <cell r="E563" t="str">
            <v>PEB 4</v>
          </cell>
        </row>
        <row r="564">
          <cell r="E564" t="str">
            <v>PEB 5</v>
          </cell>
        </row>
        <row r="565">
          <cell r="E565" t="str">
            <v>PEB 6</v>
          </cell>
        </row>
        <row r="566">
          <cell r="E566" t="str">
            <v>PEB 7 / TB</v>
          </cell>
        </row>
        <row r="567">
          <cell r="E567" t="str">
            <v>MPP</v>
          </cell>
        </row>
        <row r="568">
          <cell r="E568" t="str">
            <v>ID</v>
          </cell>
        </row>
        <row r="569">
          <cell r="E569" t="str">
            <v>LL</v>
          </cell>
        </row>
        <row r="570">
          <cell r="E570" t="str">
            <v>PMK</v>
          </cell>
        </row>
        <row r="572">
          <cell r="C572" t="str">
            <v>A0062</v>
          </cell>
          <cell r="D572" t="str">
            <v>PT FSCM Manufacturing Indonesia</v>
          </cell>
          <cell r="E572" t="str">
            <v>PEB 1</v>
          </cell>
          <cell r="G572">
            <v>0</v>
          </cell>
          <cell r="H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46684</v>
          </cell>
          <cell r="U572">
            <v>48932</v>
          </cell>
          <cell r="V572">
            <v>110331.17073746937</v>
          </cell>
          <cell r="W572">
            <v>0</v>
          </cell>
          <cell r="X572">
            <v>170216</v>
          </cell>
          <cell r="Y572">
            <v>65882</v>
          </cell>
          <cell r="Z572">
            <v>347828.20623515151</v>
          </cell>
          <cell r="AA572">
            <v>0</v>
          </cell>
          <cell r="AB572">
            <v>306181</v>
          </cell>
          <cell r="AC572">
            <v>0</v>
          </cell>
        </row>
        <row r="573">
          <cell r="E573" t="str">
            <v>PEB 2</v>
          </cell>
          <cell r="G573">
            <v>0</v>
          </cell>
          <cell r="H573">
            <v>0</v>
          </cell>
        </row>
        <row r="574">
          <cell r="E574" t="str">
            <v>PEB 3</v>
          </cell>
          <cell r="G574">
            <v>0</v>
          </cell>
          <cell r="H574">
            <v>0</v>
          </cell>
        </row>
        <row r="575">
          <cell r="E575" t="str">
            <v>PEB 4</v>
          </cell>
          <cell r="G575">
            <v>0</v>
          </cell>
          <cell r="H575">
            <v>0</v>
          </cell>
        </row>
        <row r="576">
          <cell r="E576" t="str">
            <v>PEB 5</v>
          </cell>
          <cell r="G576">
            <v>0</v>
          </cell>
          <cell r="H576">
            <v>0</v>
          </cell>
        </row>
        <row r="577">
          <cell r="E577" t="str">
            <v>PEB 6</v>
          </cell>
        </row>
        <row r="578">
          <cell r="E578" t="str">
            <v>PEB 7 / TB</v>
          </cell>
          <cell r="G578">
            <v>46684</v>
          </cell>
          <cell r="H578">
            <v>48932</v>
          </cell>
        </row>
        <row r="579">
          <cell r="E579" t="str">
            <v>MPP</v>
          </cell>
          <cell r="G579">
            <v>110331.17073746937</v>
          </cell>
          <cell r="H579">
            <v>0</v>
          </cell>
        </row>
        <row r="580">
          <cell r="E580" t="str">
            <v>ID</v>
          </cell>
          <cell r="G580">
            <v>170216</v>
          </cell>
          <cell r="H580">
            <v>65882</v>
          </cell>
        </row>
        <row r="581">
          <cell r="E581" t="str">
            <v>LL</v>
          </cell>
          <cell r="G581">
            <v>347828.20623515151</v>
          </cell>
          <cell r="H581">
            <v>0</v>
          </cell>
        </row>
        <row r="582">
          <cell r="E582" t="str">
            <v>PMK</v>
          </cell>
          <cell r="G582">
            <v>306181</v>
          </cell>
          <cell r="H582">
            <v>0</v>
          </cell>
        </row>
        <row r="584">
          <cell r="C584" t="str">
            <v>A0098</v>
          </cell>
          <cell r="D584" t="str">
            <v>PT Federal International Finance</v>
          </cell>
          <cell r="E584" t="str">
            <v>PEB 1</v>
          </cell>
          <cell r="G584">
            <v>0</v>
          </cell>
          <cell r="H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948515</v>
          </cell>
          <cell r="U584">
            <v>755753</v>
          </cell>
          <cell r="V584">
            <v>0</v>
          </cell>
          <cell r="W584">
            <v>0</v>
          </cell>
          <cell r="X584">
            <v>101726</v>
          </cell>
          <cell r="Y584">
            <v>0</v>
          </cell>
          <cell r="Z584">
            <v>1080435.699</v>
          </cell>
          <cell r="AA584">
            <v>0</v>
          </cell>
          <cell r="AB584">
            <v>170007.38500000001</v>
          </cell>
          <cell r="AC584">
            <v>0</v>
          </cell>
        </row>
        <row r="585">
          <cell r="E585" t="str">
            <v>PEB 2</v>
          </cell>
          <cell r="G585">
            <v>0</v>
          </cell>
          <cell r="H585">
            <v>0</v>
          </cell>
        </row>
        <row r="586">
          <cell r="E586" t="str">
            <v>PEB 3</v>
          </cell>
          <cell r="G586">
            <v>0</v>
          </cell>
          <cell r="H586">
            <v>0</v>
          </cell>
        </row>
        <row r="587">
          <cell r="E587" t="str">
            <v>PEB 4</v>
          </cell>
          <cell r="G587">
            <v>0</v>
          </cell>
          <cell r="H587">
            <v>0</v>
          </cell>
        </row>
        <row r="588">
          <cell r="E588" t="str">
            <v>PEB 5</v>
          </cell>
          <cell r="G588">
            <v>0</v>
          </cell>
          <cell r="H588">
            <v>0</v>
          </cell>
        </row>
        <row r="589">
          <cell r="E589" t="str">
            <v>PEB 6</v>
          </cell>
        </row>
        <row r="590">
          <cell r="E590" t="str">
            <v>PEB 7 / TB</v>
          </cell>
          <cell r="G590">
            <v>948515</v>
          </cell>
          <cell r="H590">
            <v>755753</v>
          </cell>
        </row>
        <row r="591">
          <cell r="E591" t="str">
            <v>MPP</v>
          </cell>
          <cell r="G591">
            <v>0</v>
          </cell>
          <cell r="H591">
            <v>0</v>
          </cell>
        </row>
        <row r="592">
          <cell r="E592" t="str">
            <v>ID</v>
          </cell>
          <cell r="G592">
            <v>101726</v>
          </cell>
          <cell r="H592">
            <v>0</v>
          </cell>
        </row>
        <row r="593">
          <cell r="E593" t="str">
            <v>LL</v>
          </cell>
          <cell r="G593">
            <v>1080435.699</v>
          </cell>
          <cell r="H593">
            <v>0</v>
          </cell>
        </row>
        <row r="594">
          <cell r="E594" t="str">
            <v>PMK</v>
          </cell>
          <cell r="G594">
            <v>170007.38500000001</v>
          </cell>
          <cell r="H594">
            <v>0</v>
          </cell>
        </row>
        <row r="596">
          <cell r="C596" t="str">
            <v>A0059</v>
          </cell>
          <cell r="D596" t="str">
            <v>PT Federal Izumi Manufacturing</v>
          </cell>
          <cell r="E596" t="str">
            <v>PEB 1</v>
          </cell>
          <cell r="G596">
            <v>0</v>
          </cell>
          <cell r="H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42888</v>
          </cell>
          <cell r="U596">
            <v>30317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454920.6</v>
          </cell>
          <cell r="AA596">
            <v>0</v>
          </cell>
          <cell r="AB596">
            <v>324500</v>
          </cell>
          <cell r="AC596">
            <v>0</v>
          </cell>
        </row>
        <row r="597">
          <cell r="E597" t="str">
            <v>PEB 2</v>
          </cell>
          <cell r="G597">
            <v>0</v>
          </cell>
          <cell r="H597">
            <v>0</v>
          </cell>
        </row>
        <row r="598">
          <cell r="E598" t="str">
            <v>PEB 3</v>
          </cell>
          <cell r="G598">
            <v>0</v>
          </cell>
          <cell r="H598">
            <v>0</v>
          </cell>
        </row>
        <row r="599">
          <cell r="E599" t="str">
            <v>PEB 4</v>
          </cell>
          <cell r="G599">
            <v>0</v>
          </cell>
          <cell r="H599">
            <v>0</v>
          </cell>
        </row>
        <row r="600">
          <cell r="E600" t="str">
            <v>PEB 5</v>
          </cell>
          <cell r="G600">
            <v>0</v>
          </cell>
          <cell r="H600">
            <v>0</v>
          </cell>
        </row>
        <row r="601">
          <cell r="E601" t="str">
            <v>PEB 6</v>
          </cell>
        </row>
        <row r="602">
          <cell r="E602" t="str">
            <v>PEB 7 / TB</v>
          </cell>
          <cell r="G602">
            <v>42888</v>
          </cell>
          <cell r="H602">
            <v>30317</v>
          </cell>
        </row>
        <row r="603">
          <cell r="E603" t="str">
            <v>MPP</v>
          </cell>
          <cell r="G603">
            <v>0</v>
          </cell>
          <cell r="H603">
            <v>0</v>
          </cell>
        </row>
        <row r="604">
          <cell r="E604" t="str">
            <v>ID</v>
          </cell>
          <cell r="G604">
            <v>0</v>
          </cell>
          <cell r="H604">
            <v>0</v>
          </cell>
        </row>
        <row r="605">
          <cell r="E605" t="str">
            <v>LL</v>
          </cell>
          <cell r="G605">
            <v>454920.6</v>
          </cell>
          <cell r="H605">
            <v>0</v>
          </cell>
        </row>
        <row r="606">
          <cell r="E606" t="str">
            <v>PMK</v>
          </cell>
          <cell r="G606">
            <v>324500</v>
          </cell>
          <cell r="H606">
            <v>0</v>
          </cell>
        </row>
        <row r="608">
          <cell r="C608" t="str">
            <v>A0274</v>
          </cell>
          <cell r="D608" t="str">
            <v>PT Federal Nittan Industries</v>
          </cell>
          <cell r="E608" t="str">
            <v>PEB 1</v>
          </cell>
          <cell r="G608">
            <v>0</v>
          </cell>
          <cell r="H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56615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184693.723</v>
          </cell>
          <cell r="AA608">
            <v>0</v>
          </cell>
          <cell r="AB608">
            <v>32442.5</v>
          </cell>
          <cell r="AC608">
            <v>0</v>
          </cell>
        </row>
        <row r="609">
          <cell r="E609" t="str">
            <v>PEB 2</v>
          </cell>
          <cell r="G609">
            <v>0</v>
          </cell>
          <cell r="H609">
            <v>0</v>
          </cell>
        </row>
        <row r="610">
          <cell r="E610" t="str">
            <v>PEB 3</v>
          </cell>
          <cell r="G610">
            <v>0</v>
          </cell>
          <cell r="H610">
            <v>0</v>
          </cell>
        </row>
        <row r="611">
          <cell r="E611" t="str">
            <v>PEB 4</v>
          </cell>
          <cell r="G611">
            <v>0</v>
          </cell>
          <cell r="H611">
            <v>0</v>
          </cell>
        </row>
        <row r="612">
          <cell r="E612" t="str">
            <v>PEB 5</v>
          </cell>
          <cell r="G612">
            <v>0</v>
          </cell>
          <cell r="H612">
            <v>0</v>
          </cell>
        </row>
        <row r="613">
          <cell r="E613" t="str">
            <v>PEB 6</v>
          </cell>
        </row>
        <row r="614">
          <cell r="E614" t="str">
            <v>PEB 7 / TB</v>
          </cell>
          <cell r="G614">
            <v>56615</v>
          </cell>
          <cell r="H614">
            <v>0</v>
          </cell>
        </row>
        <row r="615">
          <cell r="E615" t="str">
            <v>MPP</v>
          </cell>
          <cell r="G615">
            <v>0</v>
          </cell>
          <cell r="H615">
            <v>0</v>
          </cell>
        </row>
        <row r="616">
          <cell r="E616" t="str">
            <v>ID</v>
          </cell>
          <cell r="G616">
            <v>0</v>
          </cell>
          <cell r="H616">
            <v>0</v>
          </cell>
        </row>
        <row r="617">
          <cell r="E617" t="str">
            <v>LL</v>
          </cell>
          <cell r="G617">
            <v>184693.723</v>
          </cell>
          <cell r="H617">
            <v>0</v>
          </cell>
        </row>
        <row r="618">
          <cell r="E618" t="str">
            <v>PMK</v>
          </cell>
          <cell r="G618">
            <v>32442.5</v>
          </cell>
          <cell r="H618">
            <v>0</v>
          </cell>
        </row>
        <row r="620">
          <cell r="C620" t="str">
            <v>A0275</v>
          </cell>
          <cell r="D620" t="str">
            <v>PT Fuji Technica Indonesia</v>
          </cell>
          <cell r="E620" t="str">
            <v>PEB 1</v>
          </cell>
          <cell r="G620">
            <v>0</v>
          </cell>
          <cell r="H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6920</v>
          </cell>
          <cell r="U620">
            <v>1478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28458</v>
          </cell>
          <cell r="AA620">
            <v>0</v>
          </cell>
          <cell r="AB620">
            <v>69726</v>
          </cell>
          <cell r="AC620">
            <v>0</v>
          </cell>
        </row>
        <row r="621">
          <cell r="E621" t="str">
            <v>PEB 2</v>
          </cell>
          <cell r="G621">
            <v>0</v>
          </cell>
          <cell r="H621">
            <v>0</v>
          </cell>
        </row>
        <row r="622">
          <cell r="E622" t="str">
            <v>PEB 3</v>
          </cell>
          <cell r="G622">
            <v>0</v>
          </cell>
          <cell r="H622">
            <v>0</v>
          </cell>
        </row>
        <row r="623">
          <cell r="E623" t="str">
            <v>PEB 4</v>
          </cell>
          <cell r="G623">
            <v>0</v>
          </cell>
          <cell r="H623">
            <v>0</v>
          </cell>
        </row>
        <row r="624">
          <cell r="E624" t="str">
            <v>PEB 5</v>
          </cell>
          <cell r="G624">
            <v>0</v>
          </cell>
          <cell r="H624">
            <v>0</v>
          </cell>
        </row>
        <row r="625">
          <cell r="E625" t="str">
            <v>PEB 6</v>
          </cell>
        </row>
        <row r="626">
          <cell r="E626" t="str">
            <v>PEB 7 / TB</v>
          </cell>
          <cell r="G626">
            <v>6920</v>
          </cell>
          <cell r="H626">
            <v>1478</v>
          </cell>
        </row>
        <row r="627">
          <cell r="E627" t="str">
            <v>MPP</v>
          </cell>
          <cell r="G627">
            <v>0</v>
          </cell>
          <cell r="H627">
            <v>0</v>
          </cell>
        </row>
        <row r="628">
          <cell r="E628" t="str">
            <v>ID</v>
          </cell>
          <cell r="G628">
            <v>0</v>
          </cell>
          <cell r="H628">
            <v>0</v>
          </cell>
        </row>
        <row r="629">
          <cell r="E629" t="str">
            <v>LL</v>
          </cell>
          <cell r="G629">
            <v>28458</v>
          </cell>
          <cell r="H629">
            <v>0</v>
          </cell>
        </row>
        <row r="630">
          <cell r="E630" t="str">
            <v>PMK</v>
          </cell>
          <cell r="G630">
            <v>69726</v>
          </cell>
          <cell r="H630">
            <v>0</v>
          </cell>
        </row>
        <row r="632">
          <cell r="C632" t="str">
            <v>A0065</v>
          </cell>
          <cell r="D632" t="str">
            <v>PT Gaya Motor</v>
          </cell>
          <cell r="E632" t="str">
            <v>PEB 1</v>
          </cell>
          <cell r="G632">
            <v>0</v>
          </cell>
          <cell r="H632">
            <v>0</v>
          </cell>
          <cell r="J632">
            <v>94860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108064</v>
          </cell>
          <cell r="U632">
            <v>18636.649333333335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615849.81799999997</v>
          </cell>
          <cell r="AA632">
            <v>0</v>
          </cell>
          <cell r="AB632">
            <v>95309</v>
          </cell>
          <cell r="AC632">
            <v>0</v>
          </cell>
        </row>
        <row r="633">
          <cell r="E633" t="str">
            <v>PEB 2</v>
          </cell>
          <cell r="G633">
            <v>94860</v>
          </cell>
          <cell r="H633">
            <v>0</v>
          </cell>
        </row>
        <row r="634">
          <cell r="E634" t="str">
            <v>PEB 3</v>
          </cell>
          <cell r="G634">
            <v>0</v>
          </cell>
          <cell r="H634">
            <v>0</v>
          </cell>
        </row>
        <row r="635">
          <cell r="E635" t="str">
            <v>PEB 4</v>
          </cell>
          <cell r="G635">
            <v>0</v>
          </cell>
          <cell r="H635">
            <v>0</v>
          </cell>
        </row>
        <row r="636">
          <cell r="E636" t="str">
            <v>PEB 5</v>
          </cell>
          <cell r="G636">
            <v>0</v>
          </cell>
          <cell r="H636">
            <v>0</v>
          </cell>
        </row>
        <row r="637">
          <cell r="E637" t="str">
            <v>PEB 6</v>
          </cell>
        </row>
        <row r="638">
          <cell r="E638" t="str">
            <v>PEB 7 / TB</v>
          </cell>
          <cell r="G638">
            <v>108064</v>
          </cell>
          <cell r="H638">
            <v>18636.649333333335</v>
          </cell>
        </row>
        <row r="639">
          <cell r="E639" t="str">
            <v>MPP</v>
          </cell>
          <cell r="G639">
            <v>0</v>
          </cell>
          <cell r="H639">
            <v>0</v>
          </cell>
        </row>
        <row r="640">
          <cell r="E640" t="str">
            <v>ID</v>
          </cell>
          <cell r="G640">
            <v>0</v>
          </cell>
          <cell r="H640">
            <v>0</v>
          </cell>
        </row>
        <row r="641">
          <cell r="E641" t="str">
            <v>LL</v>
          </cell>
          <cell r="G641">
            <v>615849.81799999997</v>
          </cell>
          <cell r="H641">
            <v>0</v>
          </cell>
        </row>
        <row r="642">
          <cell r="E642" t="str">
            <v>PMK</v>
          </cell>
          <cell r="G642">
            <v>95309</v>
          </cell>
          <cell r="H642">
            <v>0</v>
          </cell>
        </row>
        <row r="644">
          <cell r="C644" t="str">
            <v>A0070</v>
          </cell>
          <cell r="D644" t="str">
            <v>PT GS Battery</v>
          </cell>
          <cell r="E644" t="str">
            <v>PEB 1</v>
          </cell>
          <cell r="G644">
            <v>0</v>
          </cell>
          <cell r="H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1933519</v>
          </cell>
          <cell r="O644">
            <v>1389556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42095</v>
          </cell>
          <cell r="U644">
            <v>36194</v>
          </cell>
          <cell r="V644">
            <v>0</v>
          </cell>
          <cell r="W644">
            <v>0</v>
          </cell>
          <cell r="X644">
            <v>59002</v>
          </cell>
          <cell r="Y644">
            <v>0</v>
          </cell>
          <cell r="Z644">
            <v>453993.7</v>
          </cell>
          <cell r="AA644">
            <v>0</v>
          </cell>
          <cell r="AB644">
            <v>306102.63750000001</v>
          </cell>
          <cell r="AC644">
            <v>0</v>
          </cell>
        </row>
        <row r="645">
          <cell r="E645" t="str">
            <v>PEB 2</v>
          </cell>
          <cell r="G645">
            <v>0</v>
          </cell>
          <cell r="H645">
            <v>0</v>
          </cell>
        </row>
        <row r="646">
          <cell r="E646" t="str">
            <v>PEB 3</v>
          </cell>
          <cell r="G646">
            <v>0</v>
          </cell>
          <cell r="H646">
            <v>0</v>
          </cell>
        </row>
        <row r="647">
          <cell r="E647" t="str">
            <v>PEB 4</v>
          </cell>
          <cell r="G647">
            <v>1933519</v>
          </cell>
          <cell r="H647">
            <v>1389556</v>
          </cell>
        </row>
        <row r="648">
          <cell r="E648" t="str">
            <v>PEB 5</v>
          </cell>
          <cell r="G648">
            <v>0</v>
          </cell>
          <cell r="H648">
            <v>0</v>
          </cell>
        </row>
        <row r="649">
          <cell r="E649" t="str">
            <v>PEB 6</v>
          </cell>
        </row>
        <row r="650">
          <cell r="E650" t="str">
            <v>PEB 7 / TB</v>
          </cell>
          <cell r="G650">
            <v>42095</v>
          </cell>
          <cell r="H650">
            <v>36194</v>
          </cell>
        </row>
        <row r="651">
          <cell r="E651" t="str">
            <v>MPP</v>
          </cell>
          <cell r="G651">
            <v>0</v>
          </cell>
          <cell r="H651">
            <v>0</v>
          </cell>
        </row>
        <row r="652">
          <cell r="E652" t="str">
            <v>ID</v>
          </cell>
          <cell r="G652">
            <v>59002</v>
          </cell>
          <cell r="H652">
            <v>0</v>
          </cell>
        </row>
        <row r="653">
          <cell r="E653" t="str">
            <v>LL</v>
          </cell>
          <cell r="G653">
            <v>453993.7</v>
          </cell>
          <cell r="H653">
            <v>0</v>
          </cell>
        </row>
        <row r="654">
          <cell r="E654" t="str">
            <v>PMK</v>
          </cell>
          <cell r="G654">
            <v>306102.63750000001</v>
          </cell>
          <cell r="H654">
            <v>0</v>
          </cell>
        </row>
        <row r="656">
          <cell r="C656" t="str">
            <v>A0254</v>
          </cell>
          <cell r="D656" t="str">
            <v>PT Gunung Sejahtera Dua Indah</v>
          </cell>
          <cell r="E656" t="str">
            <v>PEB 1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</row>
        <row r="657">
          <cell r="E657" t="str">
            <v>PEB 2</v>
          </cell>
        </row>
        <row r="658">
          <cell r="E658" t="str">
            <v>PEB 3</v>
          </cell>
        </row>
        <row r="659">
          <cell r="E659" t="str">
            <v>PEB 4</v>
          </cell>
        </row>
        <row r="660">
          <cell r="E660" t="str">
            <v>PEB 5</v>
          </cell>
        </row>
        <row r="661">
          <cell r="E661" t="str">
            <v>PEB 6</v>
          </cell>
        </row>
        <row r="662">
          <cell r="E662" t="str">
            <v>PEB 7 / TB</v>
          </cell>
        </row>
        <row r="663">
          <cell r="E663" t="str">
            <v>MPP</v>
          </cell>
        </row>
        <row r="664">
          <cell r="E664" t="str">
            <v>ID</v>
          </cell>
        </row>
        <row r="665">
          <cell r="E665" t="str">
            <v>LL</v>
          </cell>
        </row>
        <row r="666">
          <cell r="E666" t="str">
            <v>PMK</v>
          </cell>
        </row>
        <row r="668">
          <cell r="C668" t="str">
            <v>A0256</v>
          </cell>
          <cell r="D668" t="str">
            <v>PT Gunung Sejahtera Ibu Pertiwi</v>
          </cell>
          <cell r="E668" t="str">
            <v>PEB 1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</row>
        <row r="669">
          <cell r="E669" t="str">
            <v>PEB 2</v>
          </cell>
        </row>
        <row r="670">
          <cell r="E670" t="str">
            <v>PEB 3</v>
          </cell>
        </row>
        <row r="671">
          <cell r="E671" t="str">
            <v>PEB 4</v>
          </cell>
        </row>
        <row r="672">
          <cell r="E672" t="str">
            <v>PEB 5</v>
          </cell>
        </row>
        <row r="673">
          <cell r="E673" t="str">
            <v>PEB 6</v>
          </cell>
        </row>
        <row r="674">
          <cell r="E674" t="str">
            <v>PEB 7 / TB</v>
          </cell>
        </row>
        <row r="675">
          <cell r="E675" t="str">
            <v>MPP</v>
          </cell>
        </row>
        <row r="676">
          <cell r="E676" t="str">
            <v>ID</v>
          </cell>
        </row>
        <row r="677">
          <cell r="E677" t="str">
            <v>LL</v>
          </cell>
        </row>
        <row r="678">
          <cell r="E678" t="str">
            <v>PMK</v>
          </cell>
        </row>
        <row r="680">
          <cell r="C680" t="str">
            <v>A0250</v>
          </cell>
          <cell r="D680" t="str">
            <v>PT Gunung Sejahtera Puti Pesona</v>
          </cell>
          <cell r="E680" t="str">
            <v>PEB 1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</row>
        <row r="681">
          <cell r="E681" t="str">
            <v>PEB 2</v>
          </cell>
        </row>
        <row r="682">
          <cell r="E682" t="str">
            <v>PEB 3</v>
          </cell>
        </row>
        <row r="683">
          <cell r="E683" t="str">
            <v>PEB 4</v>
          </cell>
        </row>
        <row r="684">
          <cell r="E684" t="str">
            <v>PEB 5</v>
          </cell>
        </row>
        <row r="685">
          <cell r="E685" t="str">
            <v>PEB 6</v>
          </cell>
        </row>
        <row r="686">
          <cell r="E686" t="str">
            <v>PEB 7 / TB</v>
          </cell>
        </row>
        <row r="687">
          <cell r="E687" t="str">
            <v>MPP</v>
          </cell>
        </row>
        <row r="688">
          <cell r="E688" t="str">
            <v>ID</v>
          </cell>
        </row>
        <row r="689">
          <cell r="E689" t="str">
            <v>LL</v>
          </cell>
        </row>
        <row r="690">
          <cell r="E690" t="str">
            <v>PMK</v>
          </cell>
        </row>
        <row r="692">
          <cell r="C692" t="str">
            <v>A0252</v>
          </cell>
          <cell r="D692" t="str">
            <v>PT Gunung Sejahtera Yoli Makmur</v>
          </cell>
          <cell r="E692" t="str">
            <v>PEB 1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</row>
        <row r="693">
          <cell r="E693" t="str">
            <v>PEB 2</v>
          </cell>
        </row>
        <row r="694">
          <cell r="E694" t="str">
            <v>PEB 3</v>
          </cell>
        </row>
        <row r="695">
          <cell r="E695" t="str">
            <v>PEB 4</v>
          </cell>
        </row>
        <row r="696">
          <cell r="E696" t="str">
            <v>PEB 5</v>
          </cell>
        </row>
        <row r="697">
          <cell r="E697" t="str">
            <v>PEB 6</v>
          </cell>
        </row>
        <row r="698">
          <cell r="E698" t="str">
            <v>PEB 7 / TB</v>
          </cell>
        </row>
        <row r="699">
          <cell r="E699" t="str">
            <v>MPP</v>
          </cell>
        </row>
        <row r="700">
          <cell r="E700" t="str">
            <v>ID</v>
          </cell>
        </row>
        <row r="701">
          <cell r="E701" t="str">
            <v>LL</v>
          </cell>
        </row>
        <row r="702">
          <cell r="E702" t="str">
            <v>PMK</v>
          </cell>
        </row>
        <row r="704">
          <cell r="C704" t="str">
            <v>A0077</v>
          </cell>
          <cell r="D704" t="str">
            <v>PT Indokarlo Perkasa</v>
          </cell>
          <cell r="E704" t="str">
            <v>PEB 1</v>
          </cell>
          <cell r="G704">
            <v>0</v>
          </cell>
          <cell r="H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1045302.8</v>
          </cell>
          <cell r="AA704">
            <v>0</v>
          </cell>
          <cell r="AB704">
            <v>96916.3</v>
          </cell>
          <cell r="AC704">
            <v>0</v>
          </cell>
        </row>
        <row r="705">
          <cell r="E705" t="str">
            <v>PEB 2</v>
          </cell>
          <cell r="G705">
            <v>0</v>
          </cell>
          <cell r="H705">
            <v>0</v>
          </cell>
        </row>
        <row r="706">
          <cell r="E706" t="str">
            <v>PEB 3</v>
          </cell>
          <cell r="G706">
            <v>0</v>
          </cell>
          <cell r="H706">
            <v>0</v>
          </cell>
        </row>
        <row r="707">
          <cell r="E707" t="str">
            <v>PEB 4</v>
          </cell>
          <cell r="G707">
            <v>0</v>
          </cell>
          <cell r="H707">
            <v>0</v>
          </cell>
        </row>
        <row r="708">
          <cell r="E708" t="str">
            <v>PEB 5</v>
          </cell>
          <cell r="G708">
            <v>0</v>
          </cell>
          <cell r="H708">
            <v>0</v>
          </cell>
        </row>
        <row r="709">
          <cell r="E709" t="str">
            <v>PEB 6</v>
          </cell>
        </row>
        <row r="710">
          <cell r="E710" t="str">
            <v>PEB 7 / TB</v>
          </cell>
          <cell r="G710">
            <v>0</v>
          </cell>
          <cell r="H710">
            <v>0</v>
          </cell>
        </row>
        <row r="711">
          <cell r="E711" t="str">
            <v>MPP</v>
          </cell>
          <cell r="G711">
            <v>0</v>
          </cell>
          <cell r="H711">
            <v>0</v>
          </cell>
        </row>
        <row r="712">
          <cell r="E712" t="str">
            <v>ID</v>
          </cell>
          <cell r="G712">
            <v>0</v>
          </cell>
          <cell r="H712">
            <v>0</v>
          </cell>
        </row>
        <row r="713">
          <cell r="E713" t="str">
            <v>LL</v>
          </cell>
          <cell r="G713">
            <v>1045302.8</v>
          </cell>
          <cell r="H713">
            <v>0</v>
          </cell>
        </row>
        <row r="714">
          <cell r="E714" t="str">
            <v>PMK</v>
          </cell>
          <cell r="G714">
            <v>96916.3</v>
          </cell>
          <cell r="H714">
            <v>0</v>
          </cell>
        </row>
        <row r="716">
          <cell r="C716" t="str">
            <v>A0079</v>
          </cell>
          <cell r="D716" t="str">
            <v>PT Intertel Nusaperdana</v>
          </cell>
          <cell r="E716" t="str">
            <v>PEB 1</v>
          </cell>
          <cell r="G716">
            <v>0</v>
          </cell>
          <cell r="H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</row>
        <row r="717">
          <cell r="E717" t="str">
            <v>PEB 2</v>
          </cell>
          <cell r="G717">
            <v>0</v>
          </cell>
          <cell r="H717">
            <v>0</v>
          </cell>
        </row>
        <row r="718">
          <cell r="E718" t="str">
            <v>PEB 3</v>
          </cell>
          <cell r="G718">
            <v>0</v>
          </cell>
          <cell r="H718">
            <v>0</v>
          </cell>
        </row>
        <row r="719">
          <cell r="E719" t="str">
            <v>PEB 4</v>
          </cell>
          <cell r="G719">
            <v>0</v>
          </cell>
          <cell r="H719">
            <v>0</v>
          </cell>
        </row>
        <row r="720">
          <cell r="E720" t="str">
            <v>PEB 5</v>
          </cell>
          <cell r="G720">
            <v>0</v>
          </cell>
          <cell r="H720">
            <v>0</v>
          </cell>
        </row>
        <row r="721">
          <cell r="E721" t="str">
            <v>PEB 6</v>
          </cell>
          <cell r="G721">
            <v>0</v>
          </cell>
          <cell r="H721">
            <v>0</v>
          </cell>
        </row>
        <row r="722">
          <cell r="E722" t="str">
            <v>PEB 7 / TB</v>
          </cell>
          <cell r="G722">
            <v>0</v>
          </cell>
          <cell r="H722">
            <v>0</v>
          </cell>
        </row>
        <row r="723">
          <cell r="E723" t="str">
            <v>MPP</v>
          </cell>
          <cell r="G723">
            <v>0</v>
          </cell>
          <cell r="H723">
            <v>0</v>
          </cell>
        </row>
        <row r="724">
          <cell r="E724" t="str">
            <v>ID</v>
          </cell>
          <cell r="G724">
            <v>0</v>
          </cell>
          <cell r="H724">
            <v>0</v>
          </cell>
        </row>
        <row r="725">
          <cell r="E725" t="str">
            <v>LL</v>
          </cell>
          <cell r="G725">
            <v>0</v>
          </cell>
          <cell r="H725">
            <v>0</v>
          </cell>
        </row>
        <row r="726">
          <cell r="E726" t="str">
            <v>PMK</v>
          </cell>
          <cell r="G726">
            <v>0</v>
          </cell>
          <cell r="H726">
            <v>0</v>
          </cell>
        </row>
        <row r="728">
          <cell r="C728" t="str">
            <v>A0081</v>
          </cell>
          <cell r="D728" t="str">
            <v>PT Inti Pantja Press Industry</v>
          </cell>
          <cell r="E728" t="str">
            <v>PEB 1</v>
          </cell>
          <cell r="G728">
            <v>0</v>
          </cell>
          <cell r="H728">
            <v>0</v>
          </cell>
          <cell r="J728">
            <v>16850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15640.627</v>
          </cell>
          <cell r="W728">
            <v>0</v>
          </cell>
          <cell r="X728">
            <v>0</v>
          </cell>
          <cell r="Y728">
            <v>0</v>
          </cell>
          <cell r="Z728">
            <v>176767.62727272729</v>
          </cell>
          <cell r="AA728">
            <v>0</v>
          </cell>
          <cell r="AB728">
            <v>96740</v>
          </cell>
          <cell r="AC728">
            <v>0</v>
          </cell>
        </row>
        <row r="729">
          <cell r="E729" t="str">
            <v>PEB 2</v>
          </cell>
          <cell r="G729">
            <v>16850</v>
          </cell>
          <cell r="H729">
            <v>0</v>
          </cell>
        </row>
        <row r="730">
          <cell r="E730" t="str">
            <v>PEB 3</v>
          </cell>
          <cell r="G730">
            <v>0</v>
          </cell>
          <cell r="H730">
            <v>0</v>
          </cell>
        </row>
        <row r="731">
          <cell r="E731" t="str">
            <v>PEB 4</v>
          </cell>
          <cell r="G731">
            <v>0</v>
          </cell>
          <cell r="H731">
            <v>0</v>
          </cell>
        </row>
        <row r="732">
          <cell r="E732" t="str">
            <v>PEB 5</v>
          </cell>
          <cell r="G732">
            <v>0</v>
          </cell>
          <cell r="H732">
            <v>0</v>
          </cell>
        </row>
        <row r="733">
          <cell r="E733" t="str">
            <v>PEB 6</v>
          </cell>
        </row>
        <row r="734">
          <cell r="E734" t="str">
            <v>PEB 7 / TB</v>
          </cell>
          <cell r="G734">
            <v>0</v>
          </cell>
          <cell r="H734">
            <v>0</v>
          </cell>
        </row>
        <row r="735">
          <cell r="E735" t="str">
            <v>MPP</v>
          </cell>
          <cell r="G735">
            <v>15640.627</v>
          </cell>
          <cell r="H735">
            <v>0</v>
          </cell>
        </row>
        <row r="736">
          <cell r="E736" t="str">
            <v>ID</v>
          </cell>
          <cell r="G736">
            <v>0</v>
          </cell>
          <cell r="H736">
            <v>0</v>
          </cell>
        </row>
        <row r="737">
          <cell r="E737" t="str">
            <v>LL</v>
          </cell>
          <cell r="G737">
            <v>176767.62727272729</v>
          </cell>
          <cell r="H737">
            <v>0</v>
          </cell>
        </row>
        <row r="738">
          <cell r="E738" t="str">
            <v>PMK</v>
          </cell>
          <cell r="G738">
            <v>96740</v>
          </cell>
          <cell r="H738">
            <v>0</v>
          </cell>
        </row>
        <row r="740">
          <cell r="C740" t="str">
            <v>A0115</v>
          </cell>
          <cell r="D740" t="str">
            <v>PT Isuzu Astra Motor Indonesia (d/h Pantja Motor)</v>
          </cell>
          <cell r="E740" t="str">
            <v>PEB 1</v>
          </cell>
          <cell r="G740">
            <v>0</v>
          </cell>
          <cell r="H740">
            <v>0</v>
          </cell>
          <cell r="J740">
            <v>486917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85022</v>
          </cell>
          <cell r="U740">
            <v>77881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491371.21600000001</v>
          </cell>
          <cell r="AA740">
            <v>0</v>
          </cell>
          <cell r="AB740">
            <v>139894.66699999999</v>
          </cell>
          <cell r="AC740">
            <v>0</v>
          </cell>
        </row>
        <row r="741">
          <cell r="E741" t="str">
            <v>PEB 2</v>
          </cell>
          <cell r="G741">
            <v>486917</v>
          </cell>
          <cell r="H741">
            <v>0</v>
          </cell>
        </row>
        <row r="742">
          <cell r="E742" t="str">
            <v>PEB 3</v>
          </cell>
          <cell r="G742">
            <v>0</v>
          </cell>
          <cell r="H742">
            <v>0</v>
          </cell>
        </row>
        <row r="743">
          <cell r="E743" t="str">
            <v>PEB 4</v>
          </cell>
          <cell r="G743">
            <v>0</v>
          </cell>
          <cell r="H743">
            <v>0</v>
          </cell>
        </row>
        <row r="744">
          <cell r="E744" t="str">
            <v>PEB 5</v>
          </cell>
          <cell r="G744">
            <v>0</v>
          </cell>
          <cell r="H744">
            <v>0</v>
          </cell>
        </row>
        <row r="745">
          <cell r="E745" t="str">
            <v>PEB 6</v>
          </cell>
        </row>
        <row r="746">
          <cell r="E746" t="str">
            <v>PEB 7 / TB</v>
          </cell>
          <cell r="G746">
            <v>85022</v>
          </cell>
          <cell r="H746">
            <v>77881</v>
          </cell>
        </row>
        <row r="747">
          <cell r="E747" t="str">
            <v>MPP</v>
          </cell>
          <cell r="G747">
            <v>0</v>
          </cell>
          <cell r="H747">
            <v>0</v>
          </cell>
        </row>
        <row r="748">
          <cell r="E748" t="str">
            <v>ID</v>
          </cell>
          <cell r="G748">
            <v>0</v>
          </cell>
          <cell r="H748">
            <v>0</v>
          </cell>
        </row>
        <row r="749">
          <cell r="E749" t="str">
            <v>LL</v>
          </cell>
          <cell r="G749">
            <v>491371.21600000001</v>
          </cell>
          <cell r="H749">
            <v>0</v>
          </cell>
        </row>
        <row r="750">
          <cell r="E750" t="str">
            <v>PMK</v>
          </cell>
          <cell r="G750">
            <v>139894.66699999999</v>
          </cell>
          <cell r="H750">
            <v>0</v>
          </cell>
        </row>
        <row r="752">
          <cell r="C752" t="str">
            <v>A0360</v>
          </cell>
          <cell r="D752" t="str">
            <v>PT Kalimantan Prima Persada</v>
          </cell>
          <cell r="E752" t="str">
            <v>PEB 1</v>
          </cell>
          <cell r="G752">
            <v>0</v>
          </cell>
          <cell r="H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16274</v>
          </cell>
          <cell r="U752">
            <v>3525</v>
          </cell>
          <cell r="V752">
            <v>36685</v>
          </cell>
          <cell r="W752">
            <v>0</v>
          </cell>
          <cell r="X752">
            <v>0</v>
          </cell>
          <cell r="Y752">
            <v>0</v>
          </cell>
          <cell r="Z752">
            <v>196068</v>
          </cell>
          <cell r="AA752">
            <v>0</v>
          </cell>
          <cell r="AB752">
            <v>0</v>
          </cell>
          <cell r="AC752">
            <v>0</v>
          </cell>
        </row>
        <row r="753">
          <cell r="E753" t="str">
            <v>PEB 2</v>
          </cell>
          <cell r="G753">
            <v>0</v>
          </cell>
          <cell r="H753">
            <v>0</v>
          </cell>
        </row>
        <row r="754">
          <cell r="E754" t="str">
            <v>PEB 3</v>
          </cell>
          <cell r="G754">
            <v>0</v>
          </cell>
          <cell r="H754">
            <v>0</v>
          </cell>
        </row>
        <row r="755">
          <cell r="E755" t="str">
            <v>PEB 4</v>
          </cell>
          <cell r="G755">
            <v>0</v>
          </cell>
          <cell r="H755">
            <v>0</v>
          </cell>
        </row>
        <row r="756">
          <cell r="E756" t="str">
            <v>PEB 5</v>
          </cell>
          <cell r="G756">
            <v>0</v>
          </cell>
          <cell r="H756">
            <v>0</v>
          </cell>
        </row>
        <row r="757">
          <cell r="E757" t="str">
            <v>PEB 6</v>
          </cell>
        </row>
        <row r="758">
          <cell r="E758" t="str">
            <v>PEB 7 / TB</v>
          </cell>
          <cell r="G758">
            <v>16274</v>
          </cell>
          <cell r="H758">
            <v>3525</v>
          </cell>
        </row>
        <row r="759">
          <cell r="E759" t="str">
            <v>MPP</v>
          </cell>
          <cell r="G759">
            <v>36685</v>
          </cell>
          <cell r="H759">
            <v>0</v>
          </cell>
        </row>
        <row r="760">
          <cell r="E760" t="str">
            <v>ID</v>
          </cell>
          <cell r="G760">
            <v>0</v>
          </cell>
          <cell r="H760">
            <v>0</v>
          </cell>
        </row>
        <row r="761">
          <cell r="E761" t="str">
            <v>LL</v>
          </cell>
          <cell r="G761">
            <v>196068</v>
          </cell>
          <cell r="H761">
            <v>0</v>
          </cell>
        </row>
        <row r="762">
          <cell r="E762" t="str">
            <v>PMK</v>
          </cell>
          <cell r="G762">
            <v>0</v>
          </cell>
          <cell r="H762">
            <v>0</v>
          </cell>
        </row>
        <row r="764">
          <cell r="C764" t="str">
            <v>A0350</v>
          </cell>
          <cell r="D764" t="str">
            <v>PT Karya Nusa Eka Daya</v>
          </cell>
          <cell r="E764" t="str">
            <v>PEB 1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</row>
        <row r="765">
          <cell r="E765" t="str">
            <v>PEB 2</v>
          </cell>
        </row>
        <row r="766">
          <cell r="E766" t="str">
            <v>PEB 3</v>
          </cell>
        </row>
        <row r="767">
          <cell r="E767" t="str">
            <v>PEB 4</v>
          </cell>
        </row>
        <row r="768">
          <cell r="E768" t="str">
            <v>PEB 5</v>
          </cell>
        </row>
        <row r="769">
          <cell r="E769" t="str">
            <v>PEB 6</v>
          </cell>
        </row>
        <row r="770">
          <cell r="E770" t="str">
            <v>PEB 7 / TB</v>
          </cell>
        </row>
        <row r="771">
          <cell r="E771" t="str">
            <v>MPP</v>
          </cell>
        </row>
        <row r="772">
          <cell r="E772" t="str">
            <v>ID</v>
          </cell>
        </row>
        <row r="773">
          <cell r="E773" t="str">
            <v>LL</v>
          </cell>
        </row>
        <row r="774">
          <cell r="E774" t="str">
            <v>PMK</v>
          </cell>
        </row>
        <row r="776">
          <cell r="C776" t="str">
            <v>A0083</v>
          </cell>
          <cell r="D776" t="str">
            <v>PT Karya Tanah Subur</v>
          </cell>
          <cell r="E776" t="str">
            <v>PEB 1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</row>
        <row r="777">
          <cell r="E777" t="str">
            <v>PEB 2</v>
          </cell>
        </row>
        <row r="778">
          <cell r="E778" t="str">
            <v>PEB 3</v>
          </cell>
        </row>
        <row r="779">
          <cell r="E779" t="str">
            <v>PEB 4</v>
          </cell>
        </row>
        <row r="780">
          <cell r="E780" t="str">
            <v>PEB 5</v>
          </cell>
        </row>
        <row r="781">
          <cell r="E781" t="str">
            <v>PEB 6</v>
          </cell>
        </row>
        <row r="782">
          <cell r="E782" t="str">
            <v>PEB 7 / TB</v>
          </cell>
        </row>
        <row r="783">
          <cell r="E783" t="str">
            <v>MPP</v>
          </cell>
        </row>
        <row r="784">
          <cell r="E784" t="str">
            <v>ID</v>
          </cell>
        </row>
        <row r="785">
          <cell r="E785" t="str">
            <v>LL</v>
          </cell>
        </row>
        <row r="786">
          <cell r="E786" t="str">
            <v>PMK</v>
          </cell>
        </row>
        <row r="788">
          <cell r="C788" t="str">
            <v>A0084</v>
          </cell>
          <cell r="D788" t="str">
            <v>PT Kayaba Indonesia</v>
          </cell>
          <cell r="E788" t="str">
            <v>PEB 1</v>
          </cell>
          <cell r="G788">
            <v>0</v>
          </cell>
          <cell r="H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62571</v>
          </cell>
          <cell r="U788">
            <v>343315</v>
          </cell>
          <cell r="V788">
            <v>320000</v>
          </cell>
          <cell r="W788">
            <v>0</v>
          </cell>
          <cell r="X788">
            <v>0</v>
          </cell>
          <cell r="Y788">
            <v>0</v>
          </cell>
          <cell r="Z788">
            <v>284814.90000000002</v>
          </cell>
          <cell r="AA788">
            <v>0</v>
          </cell>
          <cell r="AB788">
            <v>19400</v>
          </cell>
          <cell r="AC788">
            <v>0</v>
          </cell>
        </row>
        <row r="789">
          <cell r="E789" t="str">
            <v>PEB 2</v>
          </cell>
          <cell r="G789">
            <v>0</v>
          </cell>
          <cell r="H789">
            <v>0</v>
          </cell>
        </row>
        <row r="790">
          <cell r="E790" t="str">
            <v>PEB 3</v>
          </cell>
          <cell r="G790">
            <v>0</v>
          </cell>
          <cell r="H790">
            <v>0</v>
          </cell>
        </row>
        <row r="791">
          <cell r="E791" t="str">
            <v>PEB 4</v>
          </cell>
          <cell r="G791">
            <v>0</v>
          </cell>
          <cell r="H791">
            <v>0</v>
          </cell>
        </row>
        <row r="792">
          <cell r="E792" t="str">
            <v>PEB 5</v>
          </cell>
          <cell r="G792">
            <v>0</v>
          </cell>
          <cell r="H792">
            <v>0</v>
          </cell>
        </row>
        <row r="793">
          <cell r="E793" t="str">
            <v>PEB 6</v>
          </cell>
        </row>
        <row r="794">
          <cell r="E794" t="str">
            <v>PEB 7 / TB</v>
          </cell>
          <cell r="G794">
            <v>62571</v>
          </cell>
          <cell r="H794">
            <v>343315</v>
          </cell>
        </row>
        <row r="795">
          <cell r="E795" t="str">
            <v>MPP</v>
          </cell>
          <cell r="G795">
            <v>320000</v>
          </cell>
          <cell r="H795">
            <v>0</v>
          </cell>
        </row>
        <row r="796">
          <cell r="E796" t="str">
            <v>ID</v>
          </cell>
          <cell r="G796">
            <v>0</v>
          </cell>
          <cell r="H796">
            <v>0</v>
          </cell>
        </row>
        <row r="797">
          <cell r="E797" t="str">
            <v>LL</v>
          </cell>
          <cell r="G797">
            <v>284814.90000000002</v>
          </cell>
          <cell r="H797">
            <v>0</v>
          </cell>
        </row>
        <row r="798">
          <cell r="E798" t="str">
            <v>PMK</v>
          </cell>
          <cell r="G798">
            <v>19400</v>
          </cell>
          <cell r="H798">
            <v>0</v>
          </cell>
        </row>
        <row r="800">
          <cell r="C800" t="str">
            <v>A0086</v>
          </cell>
          <cell r="D800" t="str">
            <v>PT Kimia Tirta Utama</v>
          </cell>
          <cell r="E800" t="str">
            <v>PEB 1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</row>
        <row r="801">
          <cell r="E801" t="str">
            <v>PEB 2</v>
          </cell>
        </row>
        <row r="802">
          <cell r="E802" t="str">
            <v>PEB 3</v>
          </cell>
        </row>
        <row r="803">
          <cell r="E803" t="str">
            <v>PEB 4</v>
          </cell>
        </row>
        <row r="804">
          <cell r="E804" t="str">
            <v>PEB 5</v>
          </cell>
        </row>
        <row r="805">
          <cell r="E805" t="str">
            <v>PEB 6</v>
          </cell>
        </row>
        <row r="806">
          <cell r="E806" t="str">
            <v>PEB 7 / TB</v>
          </cell>
        </row>
        <row r="807">
          <cell r="E807" t="str">
            <v>MPP</v>
          </cell>
        </row>
        <row r="808">
          <cell r="E808" t="str">
            <v>ID</v>
          </cell>
        </row>
        <row r="809">
          <cell r="E809" t="str">
            <v>LL</v>
          </cell>
        </row>
        <row r="810">
          <cell r="E810" t="str">
            <v>PMK</v>
          </cell>
        </row>
        <row r="812">
          <cell r="C812" t="str">
            <v>A0378</v>
          </cell>
          <cell r="D812" t="str">
            <v>PT Komatsu Astra Finance</v>
          </cell>
          <cell r="E812" t="str">
            <v>PEB 1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</row>
        <row r="813">
          <cell r="E813" t="str">
            <v>PEB 2</v>
          </cell>
        </row>
        <row r="814">
          <cell r="E814" t="str">
            <v>PEB 3</v>
          </cell>
        </row>
        <row r="815">
          <cell r="E815" t="str">
            <v>PEB 4</v>
          </cell>
        </row>
        <row r="816">
          <cell r="E816" t="str">
            <v>PEB 5</v>
          </cell>
        </row>
        <row r="817">
          <cell r="E817" t="str">
            <v>PEB 6</v>
          </cell>
        </row>
        <row r="818">
          <cell r="E818" t="str">
            <v>PEB 7 / TB</v>
          </cell>
        </row>
        <row r="819">
          <cell r="E819" t="str">
            <v>MPP</v>
          </cell>
        </row>
        <row r="820">
          <cell r="E820" t="str">
            <v>ID</v>
          </cell>
        </row>
        <row r="821">
          <cell r="E821" t="str">
            <v>LL</v>
          </cell>
        </row>
        <row r="822">
          <cell r="E822" t="str">
            <v>PMK</v>
          </cell>
        </row>
        <row r="824">
          <cell r="C824" t="str">
            <v>A0328</v>
          </cell>
          <cell r="D824" t="str">
            <v>PT Komatsu Remanufacturing Asia</v>
          </cell>
          <cell r="E824" t="str">
            <v>PEB 1</v>
          </cell>
          <cell r="G824">
            <v>0</v>
          </cell>
          <cell r="H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47897</v>
          </cell>
          <cell r="U824">
            <v>1798</v>
          </cell>
          <cell r="V824">
            <v>0</v>
          </cell>
          <cell r="W824">
            <v>0</v>
          </cell>
          <cell r="X824">
            <v>43116</v>
          </cell>
          <cell r="Y824">
            <v>0</v>
          </cell>
          <cell r="Z824">
            <v>179231.91800000001</v>
          </cell>
          <cell r="AA824">
            <v>0</v>
          </cell>
          <cell r="AB824">
            <v>62550</v>
          </cell>
          <cell r="AC824">
            <v>0</v>
          </cell>
        </row>
        <row r="825">
          <cell r="E825" t="str">
            <v>PEB 2</v>
          </cell>
          <cell r="G825">
            <v>0</v>
          </cell>
          <cell r="H825">
            <v>0</v>
          </cell>
        </row>
        <row r="826">
          <cell r="E826" t="str">
            <v>PEB 3</v>
          </cell>
          <cell r="G826">
            <v>0</v>
          </cell>
          <cell r="H826">
            <v>0</v>
          </cell>
        </row>
        <row r="827">
          <cell r="E827" t="str">
            <v>PEB 4</v>
          </cell>
          <cell r="G827">
            <v>0</v>
          </cell>
          <cell r="H827">
            <v>0</v>
          </cell>
        </row>
        <row r="828">
          <cell r="E828" t="str">
            <v>PEB 5</v>
          </cell>
          <cell r="G828">
            <v>0</v>
          </cell>
          <cell r="H828">
            <v>0</v>
          </cell>
        </row>
        <row r="829">
          <cell r="E829" t="str">
            <v>PEB 6</v>
          </cell>
        </row>
        <row r="830">
          <cell r="E830" t="str">
            <v>PEB 7 / TB</v>
          </cell>
          <cell r="G830">
            <v>47897</v>
          </cell>
          <cell r="H830">
            <v>1798</v>
          </cell>
        </row>
        <row r="831">
          <cell r="E831" t="str">
            <v>MPP</v>
          </cell>
          <cell r="G831">
            <v>0</v>
          </cell>
          <cell r="H831">
            <v>0</v>
          </cell>
        </row>
        <row r="832">
          <cell r="E832" t="str">
            <v>ID</v>
          </cell>
          <cell r="G832">
            <v>43116</v>
          </cell>
          <cell r="H832">
            <v>0</v>
          </cell>
        </row>
        <row r="833">
          <cell r="E833" t="str">
            <v>LL</v>
          </cell>
          <cell r="G833">
            <v>179231.91800000001</v>
          </cell>
          <cell r="H833">
            <v>0</v>
          </cell>
        </row>
        <row r="834">
          <cell r="E834" t="str">
            <v>PMK</v>
          </cell>
          <cell r="G834">
            <v>62550</v>
          </cell>
          <cell r="H834">
            <v>0</v>
          </cell>
        </row>
        <row r="836">
          <cell r="C836" t="str">
            <v>A0262</v>
          </cell>
          <cell r="D836" t="str">
            <v>PT Lestari Tani Teladan</v>
          </cell>
          <cell r="E836" t="str">
            <v>PEB 1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</row>
        <row r="837">
          <cell r="E837" t="str">
            <v>PEB 2</v>
          </cell>
        </row>
        <row r="838">
          <cell r="E838" t="str">
            <v>PEB 3</v>
          </cell>
        </row>
        <row r="839">
          <cell r="E839" t="str">
            <v>PEB 4</v>
          </cell>
        </row>
        <row r="840">
          <cell r="E840" t="str">
            <v>PEB 5</v>
          </cell>
        </row>
        <row r="841">
          <cell r="E841" t="str">
            <v>PEB 6</v>
          </cell>
        </row>
        <row r="842">
          <cell r="E842" t="str">
            <v>PEB 7 / TB</v>
          </cell>
        </row>
        <row r="843">
          <cell r="E843" t="str">
            <v>MPP</v>
          </cell>
        </row>
        <row r="844">
          <cell r="E844" t="str">
            <v>ID</v>
          </cell>
        </row>
        <row r="845">
          <cell r="E845" t="str">
            <v>LL</v>
          </cell>
        </row>
        <row r="846">
          <cell r="E846" t="str">
            <v>PMK</v>
          </cell>
        </row>
        <row r="848">
          <cell r="C848" t="str">
            <v>A0261</v>
          </cell>
          <cell r="D848" t="str">
            <v>PT LETAWA</v>
          </cell>
          <cell r="E848" t="str">
            <v>PEB 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</row>
        <row r="849">
          <cell r="E849" t="str">
            <v>PEB 2</v>
          </cell>
        </row>
        <row r="850">
          <cell r="E850" t="str">
            <v>PEB 3</v>
          </cell>
        </row>
        <row r="851">
          <cell r="E851" t="str">
            <v>PEB 4</v>
          </cell>
        </row>
        <row r="852">
          <cell r="E852" t="str">
            <v>PEB 5</v>
          </cell>
        </row>
        <row r="853">
          <cell r="E853" t="str">
            <v>PEB 6</v>
          </cell>
        </row>
        <row r="854">
          <cell r="E854" t="str">
            <v>PEB 7 / TB</v>
          </cell>
        </row>
        <row r="855">
          <cell r="E855" t="str">
            <v>MPP</v>
          </cell>
        </row>
        <row r="856">
          <cell r="E856" t="str">
            <v>ID</v>
          </cell>
        </row>
        <row r="857">
          <cell r="E857" t="str">
            <v>LL</v>
          </cell>
        </row>
        <row r="858">
          <cell r="E858" t="str">
            <v>PMK</v>
          </cell>
        </row>
        <row r="860">
          <cell r="C860" t="str">
            <v>A0263</v>
          </cell>
          <cell r="D860" t="str">
            <v>PT Mamuang</v>
          </cell>
          <cell r="E860" t="str">
            <v>PEB 1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</row>
        <row r="861">
          <cell r="E861" t="str">
            <v>PEB 2</v>
          </cell>
        </row>
        <row r="862">
          <cell r="E862" t="str">
            <v>PEB 3</v>
          </cell>
        </row>
        <row r="863">
          <cell r="E863" t="str">
            <v>PEB 4</v>
          </cell>
        </row>
        <row r="864">
          <cell r="E864" t="str">
            <v>PEB 5</v>
          </cell>
        </row>
        <row r="865">
          <cell r="E865" t="str">
            <v>PEB 6</v>
          </cell>
        </row>
        <row r="866">
          <cell r="E866" t="str">
            <v>PEB 7 / TB</v>
          </cell>
        </row>
        <row r="867">
          <cell r="E867" t="str">
            <v>MPP</v>
          </cell>
        </row>
        <row r="868">
          <cell r="E868" t="str">
            <v>ID</v>
          </cell>
        </row>
        <row r="869">
          <cell r="E869" t="str">
            <v>LL</v>
          </cell>
        </row>
        <row r="870">
          <cell r="E870" t="str">
            <v>PMK</v>
          </cell>
        </row>
        <row r="872">
          <cell r="C872" t="str">
            <v>A0096</v>
          </cell>
          <cell r="D872" t="str">
            <v>PT Menara Terus Makmur</v>
          </cell>
          <cell r="E872" t="str">
            <v>PEB 1</v>
          </cell>
          <cell r="G872">
            <v>0</v>
          </cell>
          <cell r="H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2705</v>
          </cell>
          <cell r="U872">
            <v>2134</v>
          </cell>
          <cell r="V872">
            <v>0</v>
          </cell>
          <cell r="W872">
            <v>0</v>
          </cell>
          <cell r="X872">
            <v>42227</v>
          </cell>
          <cell r="Y872">
            <v>0</v>
          </cell>
          <cell r="Z872">
            <v>437129.65</v>
          </cell>
          <cell r="AA872">
            <v>0</v>
          </cell>
          <cell r="AB872">
            <v>221231.25</v>
          </cell>
          <cell r="AC872">
            <v>0</v>
          </cell>
        </row>
        <row r="873">
          <cell r="E873" t="str">
            <v>PEB 2</v>
          </cell>
          <cell r="G873">
            <v>0</v>
          </cell>
          <cell r="H873">
            <v>0</v>
          </cell>
        </row>
        <row r="874">
          <cell r="E874" t="str">
            <v>PEB 3</v>
          </cell>
          <cell r="G874">
            <v>0</v>
          </cell>
          <cell r="H874">
            <v>0</v>
          </cell>
        </row>
        <row r="875">
          <cell r="E875" t="str">
            <v>PEB 4</v>
          </cell>
          <cell r="G875">
            <v>0</v>
          </cell>
          <cell r="H875">
            <v>0</v>
          </cell>
        </row>
        <row r="876">
          <cell r="E876" t="str">
            <v>PEB 5</v>
          </cell>
          <cell r="G876">
            <v>0</v>
          </cell>
          <cell r="H876">
            <v>0</v>
          </cell>
        </row>
        <row r="877">
          <cell r="E877" t="str">
            <v>PEB 6</v>
          </cell>
        </row>
        <row r="878">
          <cell r="E878" t="str">
            <v>PEB 7 / TB</v>
          </cell>
          <cell r="G878">
            <v>2705</v>
          </cell>
          <cell r="H878">
            <v>2134</v>
          </cell>
        </row>
        <row r="879">
          <cell r="E879" t="str">
            <v>MPP</v>
          </cell>
          <cell r="G879">
            <v>0</v>
          </cell>
          <cell r="H879">
            <v>0</v>
          </cell>
        </row>
        <row r="880">
          <cell r="E880" t="str">
            <v>ID</v>
          </cell>
          <cell r="G880">
            <v>42227</v>
          </cell>
          <cell r="H880">
            <v>0</v>
          </cell>
        </row>
        <row r="881">
          <cell r="E881" t="str">
            <v>LL</v>
          </cell>
          <cell r="G881">
            <v>437129.65</v>
          </cell>
          <cell r="H881">
            <v>0</v>
          </cell>
        </row>
        <row r="882">
          <cell r="E882" t="str">
            <v>PMK</v>
          </cell>
          <cell r="G882">
            <v>221231.25</v>
          </cell>
          <cell r="H882">
            <v>0</v>
          </cell>
        </row>
        <row r="884">
          <cell r="C884" t="str">
            <v>A0097</v>
          </cell>
          <cell r="D884" t="str">
            <v>PT Mesin Isuzu Indonesia</v>
          </cell>
          <cell r="E884" t="str">
            <v>PEB 1</v>
          </cell>
          <cell r="G884">
            <v>0</v>
          </cell>
          <cell r="H884">
            <v>0</v>
          </cell>
          <cell r="J884">
            <v>36275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32807.292000000001</v>
          </cell>
          <cell r="W884">
            <v>0</v>
          </cell>
          <cell r="X884">
            <v>0</v>
          </cell>
          <cell r="Y884">
            <v>0</v>
          </cell>
          <cell r="Z884">
            <v>100593.33100000001</v>
          </cell>
          <cell r="AA884">
            <v>0</v>
          </cell>
          <cell r="AB884">
            <v>32213</v>
          </cell>
          <cell r="AC884">
            <v>0</v>
          </cell>
        </row>
        <row r="885">
          <cell r="E885" t="str">
            <v>PEB 2</v>
          </cell>
          <cell r="G885">
            <v>36275</v>
          </cell>
          <cell r="H885">
            <v>0</v>
          </cell>
        </row>
        <row r="886">
          <cell r="E886" t="str">
            <v>PEB 3</v>
          </cell>
          <cell r="G886">
            <v>0</v>
          </cell>
          <cell r="H886">
            <v>0</v>
          </cell>
        </row>
        <row r="887">
          <cell r="E887" t="str">
            <v>PEB 4</v>
          </cell>
          <cell r="G887">
            <v>0</v>
          </cell>
          <cell r="H887">
            <v>0</v>
          </cell>
        </row>
        <row r="888">
          <cell r="E888" t="str">
            <v>PEB 5</v>
          </cell>
          <cell r="G888">
            <v>0</v>
          </cell>
          <cell r="H888">
            <v>0</v>
          </cell>
        </row>
        <row r="889">
          <cell r="E889" t="str">
            <v>PEB 6</v>
          </cell>
        </row>
        <row r="890">
          <cell r="E890" t="str">
            <v>PEB 7 / TB</v>
          </cell>
          <cell r="G890">
            <v>0</v>
          </cell>
          <cell r="H890">
            <v>0</v>
          </cell>
        </row>
        <row r="891">
          <cell r="E891" t="str">
            <v>MPP</v>
          </cell>
          <cell r="G891">
            <v>32807.292000000001</v>
          </cell>
          <cell r="H891">
            <v>0</v>
          </cell>
        </row>
        <row r="892">
          <cell r="E892" t="str">
            <v>ID</v>
          </cell>
          <cell r="G892">
            <v>0</v>
          </cell>
          <cell r="H892">
            <v>0</v>
          </cell>
        </row>
        <row r="893">
          <cell r="E893" t="str">
            <v>LL</v>
          </cell>
          <cell r="G893">
            <v>100593.33100000001</v>
          </cell>
          <cell r="H893">
            <v>0</v>
          </cell>
        </row>
        <row r="894">
          <cell r="E894" t="str">
            <v>PMK</v>
          </cell>
          <cell r="G894">
            <v>32213</v>
          </cell>
          <cell r="H894">
            <v>0</v>
          </cell>
        </row>
        <row r="896">
          <cell r="C896" t="str">
            <v>A0451</v>
          </cell>
          <cell r="D896" t="str">
            <v>PT Multi Prima Universal</v>
          </cell>
          <cell r="E896" t="str">
            <v>PEB 1</v>
          </cell>
          <cell r="G896">
            <v>0</v>
          </cell>
          <cell r="H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39169.5</v>
          </cell>
          <cell r="AA896">
            <v>0</v>
          </cell>
          <cell r="AB896">
            <v>0</v>
          </cell>
          <cell r="AC896">
            <v>0</v>
          </cell>
        </row>
        <row r="897">
          <cell r="E897" t="str">
            <v>PEB 2</v>
          </cell>
          <cell r="G897">
            <v>0</v>
          </cell>
          <cell r="H897">
            <v>0</v>
          </cell>
        </row>
        <row r="898">
          <cell r="E898" t="str">
            <v>PEB 3</v>
          </cell>
          <cell r="G898">
            <v>0</v>
          </cell>
          <cell r="H898">
            <v>0</v>
          </cell>
        </row>
        <row r="899">
          <cell r="E899" t="str">
            <v>PEB 4</v>
          </cell>
          <cell r="G899">
            <v>0</v>
          </cell>
          <cell r="H899">
            <v>0</v>
          </cell>
        </row>
        <row r="900">
          <cell r="E900" t="str">
            <v>PEB 5</v>
          </cell>
          <cell r="G900">
            <v>0</v>
          </cell>
          <cell r="H900">
            <v>0</v>
          </cell>
        </row>
        <row r="901">
          <cell r="E901" t="str">
            <v>PEB 6</v>
          </cell>
        </row>
        <row r="902">
          <cell r="E902" t="str">
            <v>PEB 7 / TB</v>
          </cell>
          <cell r="G902">
            <v>0</v>
          </cell>
          <cell r="H902">
            <v>0</v>
          </cell>
        </row>
        <row r="903">
          <cell r="E903" t="str">
            <v>MPP</v>
          </cell>
          <cell r="G903">
            <v>0</v>
          </cell>
          <cell r="H903">
            <v>0</v>
          </cell>
        </row>
        <row r="904">
          <cell r="E904" t="str">
            <v>ID</v>
          </cell>
          <cell r="G904">
            <v>0</v>
          </cell>
          <cell r="H904">
            <v>0</v>
          </cell>
        </row>
        <row r="905">
          <cell r="E905" t="str">
            <v>LL</v>
          </cell>
          <cell r="G905">
            <v>39169.5</v>
          </cell>
          <cell r="H905">
            <v>0</v>
          </cell>
        </row>
        <row r="906">
          <cell r="E906" t="str">
            <v>PMK</v>
          </cell>
          <cell r="G906">
            <v>0</v>
          </cell>
          <cell r="H906">
            <v>0</v>
          </cell>
        </row>
        <row r="908">
          <cell r="C908" t="str">
            <v>A0329</v>
          </cell>
          <cell r="D908" t="str">
            <v>PT Nirmala Agro Lestari</v>
          </cell>
          <cell r="E908" t="str">
            <v>PEB 1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</row>
        <row r="909">
          <cell r="E909" t="str">
            <v>PEB 2</v>
          </cell>
        </row>
        <row r="910">
          <cell r="E910" t="str">
            <v>PEB 3</v>
          </cell>
        </row>
        <row r="911">
          <cell r="E911" t="str">
            <v>PEB 4</v>
          </cell>
        </row>
        <row r="912">
          <cell r="E912" t="str">
            <v>PEB 5</v>
          </cell>
        </row>
        <row r="913">
          <cell r="E913" t="str">
            <v>PEB 6</v>
          </cell>
        </row>
        <row r="914">
          <cell r="E914" t="str">
            <v>PEB 7 / TB</v>
          </cell>
        </row>
        <row r="915">
          <cell r="E915" t="str">
            <v>MPP</v>
          </cell>
        </row>
        <row r="916">
          <cell r="E916" t="str">
            <v>ID</v>
          </cell>
        </row>
        <row r="917">
          <cell r="E917" t="str">
            <v>LL</v>
          </cell>
        </row>
        <row r="918">
          <cell r="E918" t="str">
            <v>PMK</v>
          </cell>
        </row>
        <row r="920">
          <cell r="C920" t="str">
            <v>A0345</v>
          </cell>
          <cell r="D920" t="str">
            <v>PT Nusa Keihin Indonesia</v>
          </cell>
          <cell r="E920" t="str">
            <v>PEB 1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</row>
        <row r="921">
          <cell r="E921" t="str">
            <v>PEB 2</v>
          </cell>
        </row>
        <row r="922">
          <cell r="E922" t="str">
            <v>PEB 3</v>
          </cell>
        </row>
        <row r="923">
          <cell r="E923" t="str">
            <v>PEB 4</v>
          </cell>
        </row>
        <row r="924">
          <cell r="E924" t="str">
            <v>PEB 5</v>
          </cell>
        </row>
        <row r="925">
          <cell r="E925" t="str">
            <v>PEB 6</v>
          </cell>
        </row>
        <row r="926">
          <cell r="E926" t="str">
            <v>PEB 7 / TB</v>
          </cell>
        </row>
        <row r="927">
          <cell r="E927" t="str">
            <v>MPP</v>
          </cell>
        </row>
        <row r="928">
          <cell r="E928" t="str">
            <v>ID</v>
          </cell>
        </row>
        <row r="929">
          <cell r="E929" t="str">
            <v>LL</v>
          </cell>
        </row>
        <row r="930">
          <cell r="E930" t="str">
            <v>PMK</v>
          </cell>
        </row>
        <row r="932">
          <cell r="C932" t="str">
            <v>A0231</v>
          </cell>
          <cell r="D932" t="str">
            <v>PT Pama Indo Mining</v>
          </cell>
          <cell r="E932" t="str">
            <v>PEB 1</v>
          </cell>
          <cell r="G932">
            <v>0</v>
          </cell>
          <cell r="H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29327.5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</row>
        <row r="933">
          <cell r="E933" t="str">
            <v>PEB 2</v>
          </cell>
          <cell r="G933">
            <v>0</v>
          </cell>
          <cell r="H933">
            <v>0</v>
          </cell>
        </row>
        <row r="934">
          <cell r="E934" t="str">
            <v>PEB 3</v>
          </cell>
          <cell r="G934">
            <v>0</v>
          </cell>
          <cell r="H934">
            <v>0</v>
          </cell>
        </row>
        <row r="935">
          <cell r="E935" t="str">
            <v>PEB 4</v>
          </cell>
          <cell r="G935">
            <v>0</v>
          </cell>
          <cell r="H935">
            <v>0</v>
          </cell>
        </row>
        <row r="936">
          <cell r="E936" t="str">
            <v>PEB 5</v>
          </cell>
          <cell r="G936">
            <v>0</v>
          </cell>
          <cell r="H936">
            <v>0</v>
          </cell>
        </row>
        <row r="937">
          <cell r="E937" t="str">
            <v>PEB 6</v>
          </cell>
        </row>
        <row r="938">
          <cell r="E938" t="str">
            <v>PEB 7 / TB</v>
          </cell>
          <cell r="G938">
            <v>0</v>
          </cell>
          <cell r="H938">
            <v>0</v>
          </cell>
        </row>
        <row r="939">
          <cell r="E939" t="str">
            <v>MPP</v>
          </cell>
          <cell r="G939">
            <v>0</v>
          </cell>
          <cell r="H939">
            <v>0</v>
          </cell>
        </row>
        <row r="940">
          <cell r="E940" t="str">
            <v>ID</v>
          </cell>
          <cell r="G940">
            <v>29327.5</v>
          </cell>
          <cell r="H940">
            <v>0</v>
          </cell>
        </row>
        <row r="941">
          <cell r="E941" t="str">
            <v>LL</v>
          </cell>
          <cell r="G941">
            <v>0</v>
          </cell>
          <cell r="H941">
            <v>0</v>
          </cell>
        </row>
        <row r="942">
          <cell r="E942" t="str">
            <v>PMK</v>
          </cell>
          <cell r="G942">
            <v>0</v>
          </cell>
          <cell r="H942">
            <v>0</v>
          </cell>
        </row>
        <row r="944">
          <cell r="C944" t="str">
            <v>A0112</v>
          </cell>
          <cell r="D944" t="str">
            <v>PT Pama Persada Nusantara</v>
          </cell>
          <cell r="E944" t="str">
            <v>PEB 1</v>
          </cell>
          <cell r="G944">
            <v>0</v>
          </cell>
          <cell r="H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3072243</v>
          </cell>
          <cell r="S944">
            <v>0</v>
          </cell>
          <cell r="T944">
            <v>728129</v>
          </cell>
          <cell r="U944">
            <v>303406</v>
          </cell>
          <cell r="V944">
            <v>289671.5</v>
          </cell>
          <cell r="W944">
            <v>0</v>
          </cell>
          <cell r="X944">
            <v>638050</v>
          </cell>
          <cell r="Y944">
            <v>184485</v>
          </cell>
          <cell r="Z944">
            <v>2616772.1149999998</v>
          </cell>
          <cell r="AA944">
            <v>0</v>
          </cell>
          <cell r="AB944">
            <v>1549867</v>
          </cell>
          <cell r="AC944">
            <v>0</v>
          </cell>
        </row>
        <row r="945">
          <cell r="E945" t="str">
            <v>PEB 2</v>
          </cell>
          <cell r="G945">
            <v>0</v>
          </cell>
          <cell r="H945">
            <v>0</v>
          </cell>
        </row>
        <row r="946">
          <cell r="E946" t="str">
            <v>PEB 3</v>
          </cell>
          <cell r="G946">
            <v>0</v>
          </cell>
          <cell r="H946">
            <v>0</v>
          </cell>
        </row>
        <row r="947">
          <cell r="E947" t="str">
            <v>PEB 4</v>
          </cell>
          <cell r="G947">
            <v>0</v>
          </cell>
          <cell r="H947">
            <v>0</v>
          </cell>
        </row>
        <row r="948">
          <cell r="E948" t="str">
            <v>PEB 5</v>
          </cell>
          <cell r="G948">
            <v>0</v>
          </cell>
          <cell r="H948">
            <v>0</v>
          </cell>
        </row>
        <row r="949">
          <cell r="E949" t="str">
            <v>PEB 6</v>
          </cell>
          <cell r="G949">
            <v>3072243</v>
          </cell>
          <cell r="H949">
            <v>0</v>
          </cell>
        </row>
        <row r="950">
          <cell r="E950" t="str">
            <v>PEB 7 / TB</v>
          </cell>
          <cell r="G950">
            <v>728129</v>
          </cell>
          <cell r="H950">
            <v>303406</v>
          </cell>
        </row>
        <row r="951">
          <cell r="E951" t="str">
            <v>MPP</v>
          </cell>
          <cell r="G951">
            <v>289671.5</v>
          </cell>
          <cell r="H951">
            <v>0</v>
          </cell>
        </row>
        <row r="952">
          <cell r="E952" t="str">
            <v>ID</v>
          </cell>
          <cell r="G952">
            <v>638050</v>
          </cell>
          <cell r="H952">
            <v>184485</v>
          </cell>
        </row>
        <row r="953">
          <cell r="E953" t="str">
            <v>LL</v>
          </cell>
          <cell r="G953">
            <v>2616772.1149999998</v>
          </cell>
          <cell r="H953">
            <v>0</v>
          </cell>
        </row>
        <row r="954">
          <cell r="E954" t="str">
            <v>PMK</v>
          </cell>
          <cell r="G954">
            <v>1549867</v>
          </cell>
          <cell r="H954">
            <v>0</v>
          </cell>
        </row>
        <row r="956">
          <cell r="C956" t="str">
            <v>A0258</v>
          </cell>
          <cell r="D956" t="str">
            <v>PT Pandji Waringin</v>
          </cell>
          <cell r="E956" t="str">
            <v>PEB 1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</row>
        <row r="957">
          <cell r="E957" t="str">
            <v>PEB 2</v>
          </cell>
        </row>
        <row r="958">
          <cell r="E958" t="str">
            <v>PEB 3</v>
          </cell>
        </row>
        <row r="959">
          <cell r="E959" t="str">
            <v>PEB 4</v>
          </cell>
        </row>
        <row r="960">
          <cell r="E960" t="str">
            <v>PEB 5</v>
          </cell>
        </row>
        <row r="961">
          <cell r="E961" t="str">
            <v>PEB 6</v>
          </cell>
        </row>
        <row r="962">
          <cell r="E962" t="str">
            <v>PEB 7 / TB</v>
          </cell>
        </row>
        <row r="963">
          <cell r="E963" t="str">
            <v>MPP</v>
          </cell>
        </row>
        <row r="964">
          <cell r="E964" t="str">
            <v>ID</v>
          </cell>
        </row>
        <row r="965">
          <cell r="E965" t="str">
            <v>LL</v>
          </cell>
        </row>
        <row r="966">
          <cell r="E966" t="str">
            <v>PMK</v>
          </cell>
        </row>
        <row r="968">
          <cell r="C968" t="str">
            <v>A0267</v>
          </cell>
          <cell r="D968" t="str">
            <v>PT Pasang Kayu</v>
          </cell>
          <cell r="E968" t="str">
            <v>PEB 1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</row>
        <row r="969">
          <cell r="E969" t="str">
            <v>PEB 2</v>
          </cell>
        </row>
        <row r="970">
          <cell r="E970" t="str">
            <v>PEB 3</v>
          </cell>
        </row>
        <row r="971">
          <cell r="E971" t="str">
            <v>PEB 4</v>
          </cell>
        </row>
        <row r="972">
          <cell r="E972" t="str">
            <v>PEB 5</v>
          </cell>
        </row>
        <row r="973">
          <cell r="E973" t="str">
            <v>PEB 6</v>
          </cell>
        </row>
        <row r="974">
          <cell r="E974" t="str">
            <v>PEB 7 / TB</v>
          </cell>
        </row>
        <row r="975">
          <cell r="E975" t="str">
            <v>MPP</v>
          </cell>
        </row>
        <row r="976">
          <cell r="E976" t="str">
            <v>ID</v>
          </cell>
        </row>
        <row r="977">
          <cell r="E977" t="str">
            <v>LL</v>
          </cell>
        </row>
        <row r="978">
          <cell r="E978" t="str">
            <v>PMK</v>
          </cell>
        </row>
        <row r="980">
          <cell r="C980" t="str">
            <v>A0117</v>
          </cell>
          <cell r="D980" t="str">
            <v>PT Perkebunan Lembah Bhakti</v>
          </cell>
          <cell r="E980" t="str">
            <v>PEB 1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</row>
        <row r="981">
          <cell r="E981" t="str">
            <v>PEB 2</v>
          </cell>
        </row>
        <row r="982">
          <cell r="E982" t="str">
            <v>PEB 3</v>
          </cell>
        </row>
        <row r="983">
          <cell r="E983" t="str">
            <v>PEB 4</v>
          </cell>
        </row>
        <row r="984">
          <cell r="E984" t="str">
            <v>PEB 5</v>
          </cell>
        </row>
        <row r="985">
          <cell r="E985" t="str">
            <v>PEB 6</v>
          </cell>
        </row>
        <row r="986">
          <cell r="E986" t="str">
            <v>PEB 7 / TB</v>
          </cell>
        </row>
        <row r="987">
          <cell r="E987" t="str">
            <v>MPP</v>
          </cell>
        </row>
        <row r="988">
          <cell r="E988" t="str">
            <v>ID</v>
          </cell>
        </row>
        <row r="989">
          <cell r="E989" t="str">
            <v>LL</v>
          </cell>
        </row>
        <row r="990">
          <cell r="E990" t="str">
            <v>PMK</v>
          </cell>
        </row>
        <row r="992">
          <cell r="C992" t="str">
            <v>A0249</v>
          </cell>
          <cell r="D992" t="str">
            <v>PT Persada Bina Nusantara Abadi</v>
          </cell>
          <cell r="E992" t="str">
            <v>PEB 1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</row>
        <row r="993">
          <cell r="E993" t="str">
            <v>PEB 2</v>
          </cell>
        </row>
        <row r="994">
          <cell r="E994" t="str">
            <v>PEB 3</v>
          </cell>
        </row>
        <row r="995">
          <cell r="E995" t="str">
            <v>PEB 4</v>
          </cell>
        </row>
        <row r="996">
          <cell r="E996" t="str">
            <v>PEB 5</v>
          </cell>
        </row>
        <row r="997">
          <cell r="E997" t="str">
            <v>PEB 6</v>
          </cell>
        </row>
        <row r="998">
          <cell r="E998" t="str">
            <v>PEB 7 / TB</v>
          </cell>
        </row>
        <row r="999">
          <cell r="E999" t="str">
            <v>MPP</v>
          </cell>
        </row>
        <row r="1000">
          <cell r="E1000" t="str">
            <v>ID</v>
          </cell>
        </row>
        <row r="1001">
          <cell r="E1001" t="str">
            <v>LL</v>
          </cell>
        </row>
        <row r="1002">
          <cell r="E1002" t="str">
            <v>PMK</v>
          </cell>
        </row>
        <row r="1004">
          <cell r="C1004" t="str">
            <v>A0057</v>
          </cell>
          <cell r="D1004" t="str">
            <v>PT Pratama Sedaya Finance</v>
          </cell>
          <cell r="E1004" t="str">
            <v>PEB 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</row>
        <row r="1005">
          <cell r="E1005" t="str">
            <v>PEB 2</v>
          </cell>
        </row>
        <row r="1006">
          <cell r="E1006" t="str">
            <v>PEB 3</v>
          </cell>
        </row>
        <row r="1007">
          <cell r="E1007" t="str">
            <v>PEB 4</v>
          </cell>
        </row>
        <row r="1008">
          <cell r="E1008" t="str">
            <v>PEB 5</v>
          </cell>
        </row>
        <row r="1009">
          <cell r="E1009" t="str">
            <v>PEB 6</v>
          </cell>
        </row>
        <row r="1010">
          <cell r="E1010" t="str">
            <v>PEB 7 / TB</v>
          </cell>
        </row>
        <row r="1011">
          <cell r="E1011" t="str">
            <v>MPP</v>
          </cell>
        </row>
        <row r="1012">
          <cell r="E1012" t="str">
            <v>ID</v>
          </cell>
        </row>
        <row r="1013">
          <cell r="E1013" t="str">
            <v>LL</v>
          </cell>
        </row>
        <row r="1014">
          <cell r="E1014" t="str">
            <v>PMK</v>
          </cell>
        </row>
        <row r="1016">
          <cell r="C1016" t="str">
            <v>A0424</v>
          </cell>
          <cell r="D1016" t="str">
            <v>PT Prima Multi Mineral</v>
          </cell>
          <cell r="E1016" t="str">
            <v>PEB 1</v>
          </cell>
          <cell r="G1016">
            <v>0</v>
          </cell>
          <cell r="H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1801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</row>
        <row r="1017">
          <cell r="E1017" t="str">
            <v>PEB 2</v>
          </cell>
          <cell r="G1017">
            <v>0</v>
          </cell>
          <cell r="H1017">
            <v>0</v>
          </cell>
        </row>
        <row r="1018">
          <cell r="E1018" t="str">
            <v>PEB 3</v>
          </cell>
          <cell r="G1018">
            <v>0</v>
          </cell>
          <cell r="H1018">
            <v>0</v>
          </cell>
        </row>
        <row r="1019">
          <cell r="E1019" t="str">
            <v>PEB 4</v>
          </cell>
          <cell r="G1019">
            <v>0</v>
          </cell>
          <cell r="H1019">
            <v>0</v>
          </cell>
        </row>
        <row r="1020">
          <cell r="E1020" t="str">
            <v>PEB 5</v>
          </cell>
          <cell r="G1020">
            <v>0</v>
          </cell>
          <cell r="H1020">
            <v>0</v>
          </cell>
        </row>
        <row r="1021">
          <cell r="E1021" t="str">
            <v>PEB 6</v>
          </cell>
        </row>
        <row r="1022">
          <cell r="E1022" t="str">
            <v>PEB 7 / TB</v>
          </cell>
          <cell r="G1022">
            <v>0</v>
          </cell>
          <cell r="H1022">
            <v>1801</v>
          </cell>
        </row>
        <row r="1023">
          <cell r="E1023" t="str">
            <v>MPP</v>
          </cell>
          <cell r="G1023">
            <v>0</v>
          </cell>
          <cell r="H1023">
            <v>0</v>
          </cell>
        </row>
        <row r="1024">
          <cell r="E1024" t="str">
            <v>ID</v>
          </cell>
          <cell r="G1024">
            <v>0</v>
          </cell>
          <cell r="H1024">
            <v>0</v>
          </cell>
        </row>
        <row r="1025">
          <cell r="E1025" t="str">
            <v>LL</v>
          </cell>
          <cell r="G1025">
            <v>0</v>
          </cell>
          <cell r="H1025">
            <v>0</v>
          </cell>
        </row>
        <row r="1026">
          <cell r="E1026" t="str">
            <v>PMK</v>
          </cell>
          <cell r="G1026">
            <v>0</v>
          </cell>
          <cell r="H1026">
            <v>0</v>
          </cell>
        </row>
        <row r="1028">
          <cell r="C1028" t="str">
            <v>A0439</v>
          </cell>
          <cell r="D1028" t="str">
            <v>PT Rimbunan Alam Sentosa</v>
          </cell>
          <cell r="E1028" t="str">
            <v>PEB 1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</row>
        <row r="1029">
          <cell r="E1029" t="str">
            <v>PEB 2</v>
          </cell>
        </row>
        <row r="1030">
          <cell r="E1030" t="str">
            <v>PEB 3</v>
          </cell>
        </row>
        <row r="1031">
          <cell r="E1031" t="str">
            <v>PEB 4</v>
          </cell>
        </row>
        <row r="1032">
          <cell r="E1032" t="str">
            <v>PEB 5</v>
          </cell>
        </row>
        <row r="1033">
          <cell r="E1033" t="str">
            <v>PEB 6</v>
          </cell>
        </row>
        <row r="1034">
          <cell r="E1034" t="str">
            <v>PEB 7 / TB</v>
          </cell>
        </row>
        <row r="1035">
          <cell r="E1035" t="str">
            <v>MPP</v>
          </cell>
        </row>
        <row r="1036">
          <cell r="E1036" t="str">
            <v>ID</v>
          </cell>
        </row>
        <row r="1037">
          <cell r="E1037" t="str">
            <v>LL</v>
          </cell>
        </row>
        <row r="1038">
          <cell r="E1038" t="str">
            <v>PMK</v>
          </cell>
        </row>
        <row r="1040">
          <cell r="C1040" t="str">
            <v>A0126</v>
          </cell>
          <cell r="D1040" t="str">
            <v>PT Sari Aditya Loka</v>
          </cell>
          <cell r="E1040" t="str">
            <v>PEB 1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</row>
        <row r="1041">
          <cell r="E1041" t="str">
            <v>PEB 2</v>
          </cell>
        </row>
        <row r="1042">
          <cell r="E1042" t="str">
            <v>PEB 3</v>
          </cell>
        </row>
        <row r="1043">
          <cell r="E1043" t="str">
            <v>PEB 4</v>
          </cell>
        </row>
        <row r="1044">
          <cell r="E1044" t="str">
            <v>PEB 5</v>
          </cell>
        </row>
        <row r="1045">
          <cell r="E1045" t="str">
            <v>PEB 6</v>
          </cell>
        </row>
        <row r="1046">
          <cell r="E1046" t="str">
            <v>PEB 7 / TB</v>
          </cell>
        </row>
        <row r="1047">
          <cell r="E1047" t="str">
            <v>MPP</v>
          </cell>
        </row>
        <row r="1048">
          <cell r="E1048" t="str">
            <v>ID</v>
          </cell>
        </row>
        <row r="1049">
          <cell r="E1049" t="str">
            <v>LL</v>
          </cell>
        </row>
        <row r="1050">
          <cell r="E1050" t="str">
            <v>PMK</v>
          </cell>
        </row>
        <row r="1052">
          <cell r="C1052" t="str">
            <v>A0127</v>
          </cell>
          <cell r="D1052" t="str">
            <v>PT Sari Lembah Subur</v>
          </cell>
          <cell r="E1052" t="str">
            <v>PEB 1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</row>
        <row r="1053">
          <cell r="E1053" t="str">
            <v>PEB 2</v>
          </cell>
        </row>
        <row r="1054">
          <cell r="E1054" t="str">
            <v>PEB 3</v>
          </cell>
        </row>
        <row r="1055">
          <cell r="E1055" t="str">
            <v>PEB 4</v>
          </cell>
        </row>
        <row r="1056">
          <cell r="E1056" t="str">
            <v>PEB 5</v>
          </cell>
        </row>
        <row r="1057">
          <cell r="E1057" t="str">
            <v>PEB 6</v>
          </cell>
        </row>
        <row r="1058">
          <cell r="E1058" t="str">
            <v>PEB 7 / TB</v>
          </cell>
        </row>
        <row r="1059">
          <cell r="E1059" t="str">
            <v>MPP</v>
          </cell>
        </row>
        <row r="1060">
          <cell r="E1060" t="str">
            <v>ID</v>
          </cell>
        </row>
        <row r="1061">
          <cell r="E1061" t="str">
            <v>LL</v>
          </cell>
        </row>
        <row r="1062">
          <cell r="E1062" t="str">
            <v>PMK</v>
          </cell>
        </row>
        <row r="1064">
          <cell r="C1064" t="str">
            <v>A0278</v>
          </cell>
          <cell r="D1064" t="str">
            <v>PT Sawit Asahan Indah</v>
          </cell>
          <cell r="E1064" t="str">
            <v>PEB 1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</row>
        <row r="1065">
          <cell r="E1065" t="str">
            <v>PEB 2</v>
          </cell>
        </row>
        <row r="1066">
          <cell r="E1066" t="str">
            <v>PEB 3</v>
          </cell>
        </row>
        <row r="1067">
          <cell r="E1067" t="str">
            <v>PEB 4</v>
          </cell>
        </row>
        <row r="1068">
          <cell r="E1068" t="str">
            <v>PEB 5</v>
          </cell>
        </row>
        <row r="1069">
          <cell r="E1069" t="str">
            <v>PEB 6</v>
          </cell>
        </row>
        <row r="1070">
          <cell r="E1070" t="str">
            <v>PEB 7 / TB</v>
          </cell>
        </row>
        <row r="1071">
          <cell r="E1071" t="str">
            <v>MPP</v>
          </cell>
        </row>
        <row r="1072">
          <cell r="E1072" t="str">
            <v>ID</v>
          </cell>
        </row>
        <row r="1073">
          <cell r="E1073" t="str">
            <v>LL</v>
          </cell>
        </row>
        <row r="1074">
          <cell r="E1074" t="str">
            <v>PMK</v>
          </cell>
        </row>
        <row r="1076">
          <cell r="C1076" t="str">
            <v>A0436</v>
          </cell>
          <cell r="D1076" t="str">
            <v>PT Sawit Jaya Abadi</v>
          </cell>
          <cell r="E1076" t="str">
            <v>PEB 1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</row>
        <row r="1077">
          <cell r="E1077" t="str">
            <v>PEB 2</v>
          </cell>
        </row>
        <row r="1078">
          <cell r="E1078" t="str">
            <v>PEB 3</v>
          </cell>
        </row>
        <row r="1079">
          <cell r="E1079" t="str">
            <v>PEB 4</v>
          </cell>
        </row>
        <row r="1080">
          <cell r="E1080" t="str">
            <v>PEB 5</v>
          </cell>
        </row>
        <row r="1081">
          <cell r="E1081" t="str">
            <v>PEB 6</v>
          </cell>
        </row>
        <row r="1082">
          <cell r="E1082" t="str">
            <v>PEB 7 / TB</v>
          </cell>
        </row>
        <row r="1083">
          <cell r="E1083" t="str">
            <v>MPP</v>
          </cell>
        </row>
        <row r="1084">
          <cell r="E1084" t="str">
            <v>ID</v>
          </cell>
        </row>
        <row r="1085">
          <cell r="E1085" t="str">
            <v>LL</v>
          </cell>
        </row>
        <row r="1086">
          <cell r="E1086" t="str">
            <v>PMK</v>
          </cell>
        </row>
        <row r="1088">
          <cell r="C1088" t="str">
            <v>A0128</v>
          </cell>
          <cell r="D1088" t="str">
            <v>PT Sedaya Multi Investama</v>
          </cell>
          <cell r="E1088" t="str">
            <v>PEB 1</v>
          </cell>
          <cell r="G1088">
            <v>0</v>
          </cell>
          <cell r="H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3159</v>
          </cell>
          <cell r="AA1088">
            <v>0</v>
          </cell>
          <cell r="AB1088">
            <v>0</v>
          </cell>
          <cell r="AC1088">
            <v>0</v>
          </cell>
        </row>
        <row r="1089">
          <cell r="E1089" t="str">
            <v>PEB 2</v>
          </cell>
          <cell r="G1089">
            <v>0</v>
          </cell>
          <cell r="H1089">
            <v>0</v>
          </cell>
        </row>
        <row r="1090">
          <cell r="E1090" t="str">
            <v>PEB 3</v>
          </cell>
          <cell r="G1090">
            <v>0</v>
          </cell>
          <cell r="H1090">
            <v>0</v>
          </cell>
        </row>
        <row r="1091">
          <cell r="E1091" t="str">
            <v>PEB 4</v>
          </cell>
          <cell r="G1091">
            <v>0</v>
          </cell>
          <cell r="H1091">
            <v>0</v>
          </cell>
        </row>
        <row r="1092">
          <cell r="E1092" t="str">
            <v>PEB 5</v>
          </cell>
          <cell r="G1092">
            <v>0</v>
          </cell>
          <cell r="H1092">
            <v>0</v>
          </cell>
        </row>
        <row r="1093">
          <cell r="E1093" t="str">
            <v>PEB 6</v>
          </cell>
        </row>
        <row r="1094">
          <cell r="E1094" t="str">
            <v>PEB 7 / TB</v>
          </cell>
          <cell r="G1094">
            <v>0</v>
          </cell>
          <cell r="H1094">
            <v>0</v>
          </cell>
        </row>
        <row r="1095">
          <cell r="E1095" t="str">
            <v>MPP</v>
          </cell>
          <cell r="G1095">
            <v>0</v>
          </cell>
          <cell r="H1095">
            <v>0</v>
          </cell>
        </row>
        <row r="1096">
          <cell r="E1096" t="str">
            <v>ID</v>
          </cell>
          <cell r="G1096">
            <v>0</v>
          </cell>
          <cell r="H1096">
            <v>0</v>
          </cell>
        </row>
        <row r="1097">
          <cell r="E1097" t="str">
            <v>LL</v>
          </cell>
          <cell r="G1097">
            <v>3159</v>
          </cell>
          <cell r="H1097">
            <v>0</v>
          </cell>
        </row>
        <row r="1098">
          <cell r="E1098" t="str">
            <v>PMK</v>
          </cell>
          <cell r="G1098">
            <v>0</v>
          </cell>
          <cell r="H1098">
            <v>0</v>
          </cell>
        </row>
        <row r="1100">
          <cell r="C1100" t="str">
            <v>A0240</v>
          </cell>
          <cell r="D1100" t="str">
            <v>PT Sedaya Pratama</v>
          </cell>
          <cell r="E1100" t="str">
            <v>PEB 1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</row>
        <row r="1101">
          <cell r="E1101" t="str">
            <v>PEB 2</v>
          </cell>
        </row>
        <row r="1102">
          <cell r="E1102" t="str">
            <v>PEB 3</v>
          </cell>
        </row>
        <row r="1103">
          <cell r="E1103" t="str">
            <v>PEB 4</v>
          </cell>
        </row>
        <row r="1104">
          <cell r="E1104" t="str">
            <v>PEB 5</v>
          </cell>
        </row>
        <row r="1105">
          <cell r="E1105" t="str">
            <v>PEB 6</v>
          </cell>
        </row>
        <row r="1106">
          <cell r="E1106" t="str">
            <v>PEB 7 / TB</v>
          </cell>
        </row>
        <row r="1107">
          <cell r="E1107" t="str">
            <v>MPP</v>
          </cell>
        </row>
        <row r="1108">
          <cell r="E1108" t="str">
            <v>ID</v>
          </cell>
        </row>
        <row r="1109">
          <cell r="E1109" t="str">
            <v>LL</v>
          </cell>
        </row>
        <row r="1110">
          <cell r="E1110" t="str">
            <v>PMK</v>
          </cell>
        </row>
        <row r="1112">
          <cell r="C1112" t="str">
            <v>A0209</v>
          </cell>
          <cell r="D1112" t="str">
            <v>PT Serasi Auto Raya</v>
          </cell>
          <cell r="E1112" t="str">
            <v>PEB 1</v>
          </cell>
          <cell r="G1112">
            <v>0</v>
          </cell>
          <cell r="H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216525</v>
          </cell>
          <cell r="U1112">
            <v>95079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619453</v>
          </cell>
          <cell r="AA1112">
            <v>0</v>
          </cell>
          <cell r="AB1112">
            <v>527759.32799999998</v>
          </cell>
          <cell r="AC1112">
            <v>0</v>
          </cell>
        </row>
        <row r="1113">
          <cell r="E1113" t="str">
            <v>PEB 2</v>
          </cell>
          <cell r="G1113">
            <v>0</v>
          </cell>
          <cell r="H1113">
            <v>0</v>
          </cell>
        </row>
        <row r="1114">
          <cell r="E1114" t="str">
            <v>PEB 3</v>
          </cell>
          <cell r="G1114">
            <v>0</v>
          </cell>
          <cell r="H1114">
            <v>0</v>
          </cell>
        </row>
        <row r="1115">
          <cell r="E1115" t="str">
            <v>PEB 4</v>
          </cell>
          <cell r="G1115">
            <v>0</v>
          </cell>
          <cell r="H1115">
            <v>0</v>
          </cell>
        </row>
        <row r="1116">
          <cell r="E1116" t="str">
            <v>PEB 5</v>
          </cell>
          <cell r="G1116">
            <v>0</v>
          </cell>
          <cell r="H1116">
            <v>0</v>
          </cell>
        </row>
        <row r="1117">
          <cell r="E1117" t="str">
            <v>PEB 6</v>
          </cell>
        </row>
        <row r="1118">
          <cell r="E1118" t="str">
            <v>PEB 7 / TB</v>
          </cell>
          <cell r="G1118">
            <v>216525</v>
          </cell>
          <cell r="H1118">
            <v>95079</v>
          </cell>
        </row>
        <row r="1119">
          <cell r="E1119" t="str">
            <v>MPP</v>
          </cell>
          <cell r="G1119">
            <v>0</v>
          </cell>
          <cell r="H1119">
            <v>0</v>
          </cell>
        </row>
        <row r="1120">
          <cell r="E1120" t="str">
            <v>ID</v>
          </cell>
          <cell r="G1120">
            <v>0</v>
          </cell>
          <cell r="H1120">
            <v>0</v>
          </cell>
        </row>
        <row r="1121">
          <cell r="E1121" t="str">
            <v>LL</v>
          </cell>
          <cell r="G1121">
            <v>619453</v>
          </cell>
          <cell r="H1121">
            <v>0</v>
          </cell>
        </row>
        <row r="1122">
          <cell r="E1122" t="str">
            <v>PMK</v>
          </cell>
          <cell r="G1122">
            <v>527759.32799999998</v>
          </cell>
          <cell r="H1122">
            <v>0</v>
          </cell>
        </row>
        <row r="1124">
          <cell r="C1124" t="str">
            <v>A0373</v>
          </cell>
          <cell r="D1124" t="str">
            <v>PT Serasi Transportasi Nusantara</v>
          </cell>
          <cell r="E1124" t="str">
            <v>PEB 1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</row>
        <row r="1125">
          <cell r="E1125" t="str">
            <v>PEB 2</v>
          </cell>
        </row>
        <row r="1126">
          <cell r="E1126" t="str">
            <v>PEB 3</v>
          </cell>
        </row>
        <row r="1127">
          <cell r="E1127" t="str">
            <v>PEB 4</v>
          </cell>
        </row>
        <row r="1128">
          <cell r="E1128" t="str">
            <v>PEB 5</v>
          </cell>
        </row>
        <row r="1129">
          <cell r="E1129" t="str">
            <v>PEB 6</v>
          </cell>
        </row>
        <row r="1130">
          <cell r="E1130" t="str">
            <v>PEB 7 / TB</v>
          </cell>
        </row>
        <row r="1131">
          <cell r="E1131" t="str">
            <v>MPP</v>
          </cell>
        </row>
        <row r="1132">
          <cell r="E1132" t="str">
            <v>ID</v>
          </cell>
        </row>
        <row r="1133">
          <cell r="E1133" t="str">
            <v>LL</v>
          </cell>
        </row>
        <row r="1134">
          <cell r="E1134" t="str">
            <v>PMK</v>
          </cell>
        </row>
        <row r="1136">
          <cell r="C1136" t="str">
            <v>A0132</v>
          </cell>
          <cell r="D1136" t="str">
            <v>PT Showa Indonesia</v>
          </cell>
          <cell r="E1136" t="str">
            <v>PEB 1</v>
          </cell>
          <cell r="G1136">
            <v>0</v>
          </cell>
          <cell r="H1136">
            <v>0</v>
          </cell>
          <cell r="J1136">
            <v>132127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38322</v>
          </cell>
          <cell r="U1136">
            <v>106778</v>
          </cell>
          <cell r="V1136">
            <v>12506.335164079999</v>
          </cell>
          <cell r="W1136">
            <v>0</v>
          </cell>
          <cell r="X1136">
            <v>0</v>
          </cell>
          <cell r="Y1136">
            <v>0</v>
          </cell>
          <cell r="Z1136">
            <v>1404916.34139698</v>
          </cell>
          <cell r="AA1136">
            <v>0</v>
          </cell>
          <cell r="AB1136">
            <v>433340</v>
          </cell>
          <cell r="AC1136">
            <v>0</v>
          </cell>
        </row>
        <row r="1137">
          <cell r="E1137" t="str">
            <v>PEB 2</v>
          </cell>
          <cell r="G1137">
            <v>132127</v>
          </cell>
          <cell r="H1137">
            <v>0</v>
          </cell>
        </row>
        <row r="1138">
          <cell r="E1138" t="str">
            <v>PEB 3</v>
          </cell>
          <cell r="G1138">
            <v>0</v>
          </cell>
          <cell r="H1138">
            <v>0</v>
          </cell>
        </row>
        <row r="1139">
          <cell r="E1139" t="str">
            <v>PEB 4</v>
          </cell>
          <cell r="G1139">
            <v>0</v>
          </cell>
          <cell r="H1139">
            <v>0</v>
          </cell>
        </row>
        <row r="1140">
          <cell r="E1140" t="str">
            <v>PEB 5</v>
          </cell>
          <cell r="G1140">
            <v>0</v>
          </cell>
          <cell r="H1140">
            <v>0</v>
          </cell>
        </row>
        <row r="1141">
          <cell r="E1141" t="str">
            <v>PEB 6</v>
          </cell>
        </row>
        <row r="1142">
          <cell r="E1142" t="str">
            <v>PEB 7 / TB</v>
          </cell>
          <cell r="G1142">
            <v>38322</v>
          </cell>
          <cell r="H1142">
            <v>106778</v>
          </cell>
        </row>
        <row r="1143">
          <cell r="E1143" t="str">
            <v>MPP</v>
          </cell>
          <cell r="G1143">
            <v>12506.335164079999</v>
          </cell>
          <cell r="H1143">
            <v>0</v>
          </cell>
        </row>
        <row r="1144">
          <cell r="E1144" t="str">
            <v>ID</v>
          </cell>
          <cell r="G1144">
            <v>0</v>
          </cell>
          <cell r="H1144">
            <v>0</v>
          </cell>
        </row>
        <row r="1145">
          <cell r="E1145" t="str">
            <v>LL</v>
          </cell>
          <cell r="G1145">
            <v>1404916.34139698</v>
          </cell>
          <cell r="H1145">
            <v>0</v>
          </cell>
        </row>
        <row r="1146">
          <cell r="E1146" t="str">
            <v>PMK</v>
          </cell>
          <cell r="G1146">
            <v>433340</v>
          </cell>
          <cell r="H1146">
            <v>0</v>
          </cell>
        </row>
        <row r="1148">
          <cell r="C1148" t="str">
            <v>A0135</v>
          </cell>
          <cell r="D1148" t="str">
            <v>PT Staco Estika Sedaya Finance</v>
          </cell>
          <cell r="E1148" t="str">
            <v>PEB 1</v>
          </cell>
          <cell r="G1148">
            <v>0</v>
          </cell>
          <cell r="H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20703.7</v>
          </cell>
          <cell r="U1148">
            <v>38873.050000000003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3268</v>
          </cell>
          <cell r="AA1148">
            <v>0</v>
          </cell>
          <cell r="AB1148">
            <v>10050</v>
          </cell>
          <cell r="AC1148">
            <v>0</v>
          </cell>
        </row>
        <row r="1149">
          <cell r="E1149" t="str">
            <v>PEB 2</v>
          </cell>
          <cell r="G1149">
            <v>0</v>
          </cell>
          <cell r="H1149">
            <v>0</v>
          </cell>
        </row>
        <row r="1150">
          <cell r="E1150" t="str">
            <v>PEB 3</v>
          </cell>
          <cell r="G1150">
            <v>0</v>
          </cell>
          <cell r="H1150">
            <v>0</v>
          </cell>
        </row>
        <row r="1151">
          <cell r="E1151" t="str">
            <v>PEB 4</v>
          </cell>
          <cell r="G1151">
            <v>0</v>
          </cell>
          <cell r="H1151">
            <v>0</v>
          </cell>
        </row>
        <row r="1152">
          <cell r="E1152" t="str">
            <v>PEB 5</v>
          </cell>
          <cell r="G1152">
            <v>0</v>
          </cell>
          <cell r="H1152">
            <v>0</v>
          </cell>
        </row>
        <row r="1153">
          <cell r="E1153" t="str">
            <v>PEB 6</v>
          </cell>
        </row>
        <row r="1154">
          <cell r="E1154" t="str">
            <v>PEB 7 / TB</v>
          </cell>
          <cell r="G1154">
            <v>20703.7</v>
          </cell>
          <cell r="H1154">
            <v>38873.050000000003</v>
          </cell>
        </row>
        <row r="1155">
          <cell r="E1155" t="str">
            <v>MPP</v>
          </cell>
        </row>
        <row r="1156">
          <cell r="E1156" t="str">
            <v>ID</v>
          </cell>
          <cell r="G1156">
            <v>0</v>
          </cell>
          <cell r="H1156">
            <v>0</v>
          </cell>
        </row>
        <row r="1157">
          <cell r="E1157" t="str">
            <v>LL</v>
          </cell>
          <cell r="G1157">
            <v>3268</v>
          </cell>
          <cell r="H1157">
            <v>0</v>
          </cell>
        </row>
        <row r="1158">
          <cell r="E1158" t="str">
            <v>PMK</v>
          </cell>
          <cell r="G1158">
            <v>10050</v>
          </cell>
          <cell r="H1158">
            <v>0</v>
          </cell>
        </row>
        <row r="1160">
          <cell r="C1160" t="str">
            <v>A0273</v>
          </cell>
          <cell r="D1160" t="str">
            <v>PT Stacomitra Graha</v>
          </cell>
          <cell r="E1160" t="str">
            <v>PEB 1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</row>
        <row r="1161">
          <cell r="E1161" t="str">
            <v>PEB 2</v>
          </cell>
        </row>
        <row r="1162">
          <cell r="E1162" t="str">
            <v>PEB 3</v>
          </cell>
        </row>
        <row r="1163">
          <cell r="E1163" t="str">
            <v>PEB 4</v>
          </cell>
        </row>
        <row r="1164">
          <cell r="E1164" t="str">
            <v>PEB 5</v>
          </cell>
        </row>
        <row r="1165">
          <cell r="E1165" t="str">
            <v>PEB 6</v>
          </cell>
        </row>
        <row r="1166">
          <cell r="E1166" t="str">
            <v>PEB 7 / TB</v>
          </cell>
        </row>
        <row r="1167">
          <cell r="E1167" t="str">
            <v>MPP</v>
          </cell>
        </row>
        <row r="1168">
          <cell r="E1168" t="str">
            <v>ID</v>
          </cell>
        </row>
        <row r="1169">
          <cell r="E1169" t="str">
            <v>LL</v>
          </cell>
        </row>
        <row r="1170">
          <cell r="E1170" t="str">
            <v>PMK</v>
          </cell>
        </row>
        <row r="1172">
          <cell r="C1172" t="str">
            <v>A0435</v>
          </cell>
          <cell r="D1172" t="str">
            <v>PT Subur Abadi Plantation</v>
          </cell>
          <cell r="E1172" t="str">
            <v>PEB 1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</row>
        <row r="1173">
          <cell r="E1173" t="str">
            <v>PEB 2</v>
          </cell>
        </row>
        <row r="1174">
          <cell r="E1174" t="str">
            <v>PEB 3</v>
          </cell>
        </row>
        <row r="1175">
          <cell r="E1175" t="str">
            <v>PEB 4</v>
          </cell>
        </row>
        <row r="1176">
          <cell r="E1176" t="str">
            <v>PEB 5</v>
          </cell>
        </row>
        <row r="1177">
          <cell r="E1177" t="str">
            <v>PEB 6</v>
          </cell>
        </row>
        <row r="1178">
          <cell r="E1178" t="str">
            <v>PEB 7 / TB</v>
          </cell>
        </row>
        <row r="1179">
          <cell r="E1179" t="str">
            <v>MPP</v>
          </cell>
        </row>
        <row r="1180">
          <cell r="E1180" t="str">
            <v>ID</v>
          </cell>
        </row>
        <row r="1181">
          <cell r="E1181" t="str">
            <v>LL</v>
          </cell>
        </row>
        <row r="1182">
          <cell r="E1182" t="str">
            <v>PMK</v>
          </cell>
        </row>
        <row r="1184">
          <cell r="C1184" t="str">
            <v>A0169</v>
          </cell>
          <cell r="D1184" t="str">
            <v>PT Sukses Tani Nusa Subur</v>
          </cell>
          <cell r="E1184" t="str">
            <v>PEB 1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</row>
        <row r="1185">
          <cell r="E1185" t="str">
            <v>PEB 2</v>
          </cell>
        </row>
        <row r="1186">
          <cell r="E1186" t="str">
            <v>PEB 3</v>
          </cell>
        </row>
        <row r="1187">
          <cell r="E1187" t="str">
            <v>PEB 4</v>
          </cell>
        </row>
        <row r="1188">
          <cell r="E1188" t="str">
            <v>PEB 5</v>
          </cell>
        </row>
        <row r="1189">
          <cell r="E1189" t="str">
            <v>PEB 6</v>
          </cell>
        </row>
        <row r="1190">
          <cell r="E1190" t="str">
            <v>PEB 7 / TB</v>
          </cell>
        </row>
        <row r="1191">
          <cell r="E1191" t="str">
            <v>MPP</v>
          </cell>
        </row>
        <row r="1192">
          <cell r="E1192" t="str">
            <v>ID</v>
          </cell>
        </row>
        <row r="1193">
          <cell r="E1193" t="str">
            <v>LL</v>
          </cell>
        </row>
        <row r="1194">
          <cell r="E1194" t="str">
            <v>PMK</v>
          </cell>
        </row>
        <row r="1196">
          <cell r="C1196" t="str">
            <v>A0377</v>
          </cell>
          <cell r="D1196" t="str">
            <v>PT Sumber Kharisma Persada</v>
          </cell>
          <cell r="E1196" t="str">
            <v>PEB 1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</row>
        <row r="1197">
          <cell r="E1197" t="str">
            <v>PEB 2</v>
          </cell>
        </row>
        <row r="1198">
          <cell r="E1198" t="str">
            <v>PEB 3</v>
          </cell>
        </row>
        <row r="1199">
          <cell r="E1199" t="str">
            <v>PEB 4</v>
          </cell>
        </row>
        <row r="1200">
          <cell r="E1200" t="str">
            <v>PEB 5</v>
          </cell>
        </row>
        <row r="1201">
          <cell r="E1201" t="str">
            <v>PEB 6</v>
          </cell>
        </row>
        <row r="1202">
          <cell r="E1202" t="str">
            <v>PEB 7 / TB</v>
          </cell>
        </row>
        <row r="1203">
          <cell r="E1203" t="str">
            <v>MPP</v>
          </cell>
        </row>
        <row r="1204">
          <cell r="E1204" t="str">
            <v>ID</v>
          </cell>
        </row>
        <row r="1205">
          <cell r="E1205" t="str">
            <v>LL</v>
          </cell>
        </row>
        <row r="1206">
          <cell r="E1206" t="str">
            <v>PMK</v>
          </cell>
        </row>
        <row r="1208">
          <cell r="C1208" t="str">
            <v>A0421</v>
          </cell>
          <cell r="D1208" t="str">
            <v>PT Sumber Utama Makmur</v>
          </cell>
          <cell r="E1208" t="str">
            <v>PEB 1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</row>
        <row r="1209">
          <cell r="E1209" t="str">
            <v>PEB 2</v>
          </cell>
        </row>
        <row r="1210">
          <cell r="E1210" t="str">
            <v>PEB 3</v>
          </cell>
        </row>
        <row r="1211">
          <cell r="E1211" t="str">
            <v>PEB 4</v>
          </cell>
        </row>
        <row r="1212">
          <cell r="E1212" t="str">
            <v>PEB 5</v>
          </cell>
        </row>
        <row r="1213">
          <cell r="E1213" t="str">
            <v>PEB 6</v>
          </cell>
        </row>
        <row r="1214">
          <cell r="E1214" t="str">
            <v>PEB 7 / TB</v>
          </cell>
        </row>
        <row r="1215">
          <cell r="E1215" t="str">
            <v>MPP</v>
          </cell>
        </row>
        <row r="1216">
          <cell r="E1216" t="str">
            <v>ID</v>
          </cell>
        </row>
        <row r="1217">
          <cell r="E1217" t="str">
            <v>LL</v>
          </cell>
        </row>
        <row r="1218">
          <cell r="E1218" t="str">
            <v>PMK</v>
          </cell>
        </row>
        <row r="1220">
          <cell r="C1220" t="str">
            <v>A0142</v>
          </cell>
          <cell r="D1220" t="str">
            <v>PT Surya Artha Nusantara Finance</v>
          </cell>
          <cell r="E1220" t="str">
            <v>PEB 1</v>
          </cell>
          <cell r="G1220">
            <v>0</v>
          </cell>
          <cell r="H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6594</v>
          </cell>
          <cell r="U1220">
            <v>1799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62429</v>
          </cell>
          <cell r="AA1220">
            <v>0</v>
          </cell>
          <cell r="AB1220">
            <v>20000</v>
          </cell>
          <cell r="AC1220">
            <v>0</v>
          </cell>
        </row>
        <row r="1221">
          <cell r="E1221" t="str">
            <v>PEB 2</v>
          </cell>
          <cell r="G1221">
            <v>0</v>
          </cell>
          <cell r="H1221">
            <v>0</v>
          </cell>
        </row>
        <row r="1222">
          <cell r="E1222" t="str">
            <v>PEB 3</v>
          </cell>
          <cell r="G1222">
            <v>0</v>
          </cell>
          <cell r="H1222">
            <v>0</v>
          </cell>
        </row>
        <row r="1223">
          <cell r="E1223" t="str">
            <v>PEB 4</v>
          </cell>
          <cell r="G1223">
            <v>0</v>
          </cell>
          <cell r="H1223">
            <v>0</v>
          </cell>
        </row>
        <row r="1224">
          <cell r="E1224" t="str">
            <v>PEB 5</v>
          </cell>
          <cell r="G1224">
            <v>0</v>
          </cell>
          <cell r="H1224">
            <v>0</v>
          </cell>
        </row>
        <row r="1225">
          <cell r="E1225" t="str">
            <v>PEB 6</v>
          </cell>
        </row>
        <row r="1226">
          <cell r="E1226" t="str">
            <v>PEB 7 / TB</v>
          </cell>
          <cell r="G1226">
            <v>6594</v>
          </cell>
          <cell r="H1226">
            <v>1799</v>
          </cell>
        </row>
        <row r="1227">
          <cell r="E1227" t="str">
            <v>MPP</v>
          </cell>
          <cell r="G1227">
            <v>0</v>
          </cell>
          <cell r="H1227">
            <v>0</v>
          </cell>
        </row>
        <row r="1228">
          <cell r="E1228" t="str">
            <v>ID</v>
          </cell>
          <cell r="G1228">
            <v>0</v>
          </cell>
          <cell r="H1228">
            <v>0</v>
          </cell>
        </row>
        <row r="1229">
          <cell r="E1229" t="str">
            <v>LL</v>
          </cell>
          <cell r="G1229">
            <v>62429</v>
          </cell>
          <cell r="H1229">
            <v>0</v>
          </cell>
        </row>
        <row r="1230">
          <cell r="E1230" t="str">
            <v>PMK</v>
          </cell>
          <cell r="G1230">
            <v>20000</v>
          </cell>
          <cell r="H1230">
            <v>0</v>
          </cell>
        </row>
        <row r="1232">
          <cell r="C1232" t="str">
            <v>A0251</v>
          </cell>
          <cell r="D1232" t="str">
            <v>PT Surya Indah Nusantara Pagi</v>
          </cell>
          <cell r="E1232" t="str">
            <v>PEB 1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</row>
        <row r="1233">
          <cell r="E1233" t="str">
            <v>PEB 2</v>
          </cell>
        </row>
        <row r="1234">
          <cell r="E1234" t="str">
            <v>PEB 3</v>
          </cell>
        </row>
        <row r="1235">
          <cell r="E1235" t="str">
            <v>PEB 4</v>
          </cell>
        </row>
        <row r="1236">
          <cell r="E1236" t="str">
            <v>PEB 5</v>
          </cell>
        </row>
        <row r="1237">
          <cell r="E1237" t="str">
            <v>PEB 6</v>
          </cell>
        </row>
        <row r="1238">
          <cell r="E1238" t="str">
            <v>PEB 7 / TB</v>
          </cell>
        </row>
        <row r="1239">
          <cell r="E1239" t="str">
            <v>MPP</v>
          </cell>
        </row>
        <row r="1240">
          <cell r="E1240" t="str">
            <v>ID</v>
          </cell>
        </row>
        <row r="1241">
          <cell r="E1241" t="str">
            <v>LL</v>
          </cell>
        </row>
        <row r="1242">
          <cell r="E1242" t="str">
            <v>PMK</v>
          </cell>
        </row>
        <row r="1244">
          <cell r="C1244" t="str">
            <v>A0259</v>
          </cell>
          <cell r="D1244" t="str">
            <v>PT Surya Panen Subur</v>
          </cell>
          <cell r="E1244" t="str">
            <v>PEB 1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</row>
        <row r="1245">
          <cell r="E1245" t="str">
            <v>PEB 2</v>
          </cell>
        </row>
        <row r="1246">
          <cell r="E1246" t="str">
            <v>PEB 3</v>
          </cell>
        </row>
        <row r="1247">
          <cell r="E1247" t="str">
            <v>PEB 4</v>
          </cell>
        </row>
        <row r="1248">
          <cell r="E1248" t="str">
            <v>PEB 5</v>
          </cell>
        </row>
        <row r="1249">
          <cell r="E1249" t="str">
            <v>PEB 6</v>
          </cell>
        </row>
        <row r="1250">
          <cell r="E1250" t="str">
            <v>PEB 7 / TB</v>
          </cell>
        </row>
        <row r="1251">
          <cell r="E1251" t="str">
            <v>MPP</v>
          </cell>
        </row>
        <row r="1252">
          <cell r="E1252" t="str">
            <v>ID</v>
          </cell>
        </row>
        <row r="1253">
          <cell r="E1253" t="str">
            <v>LL</v>
          </cell>
        </row>
        <row r="1254">
          <cell r="E1254" t="str">
            <v>PMK</v>
          </cell>
        </row>
        <row r="1256">
          <cell r="C1256" t="str">
            <v>A0170</v>
          </cell>
          <cell r="D1256" t="str">
            <v>PT Suryaraya Lestari</v>
          </cell>
          <cell r="E1256" t="str">
            <v>PEB 1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</row>
        <row r="1257">
          <cell r="E1257" t="str">
            <v>PEB 2</v>
          </cell>
        </row>
        <row r="1258">
          <cell r="E1258" t="str">
            <v>PEB 3</v>
          </cell>
        </row>
        <row r="1259">
          <cell r="E1259" t="str">
            <v>PEB 4</v>
          </cell>
        </row>
        <row r="1260">
          <cell r="E1260" t="str">
            <v>PEB 5</v>
          </cell>
        </row>
        <row r="1261">
          <cell r="E1261" t="str">
            <v>PEB 6</v>
          </cell>
        </row>
        <row r="1262">
          <cell r="E1262" t="str">
            <v>PEB 7 / TB</v>
          </cell>
        </row>
        <row r="1263">
          <cell r="E1263" t="str">
            <v>MPP</v>
          </cell>
        </row>
        <row r="1264">
          <cell r="E1264" t="str">
            <v>ID</v>
          </cell>
        </row>
        <row r="1265">
          <cell r="E1265" t="str">
            <v>LL</v>
          </cell>
        </row>
        <row r="1266">
          <cell r="E1266" t="str">
            <v>PMK</v>
          </cell>
        </row>
        <row r="1268">
          <cell r="C1268" t="str">
            <v>A0140</v>
          </cell>
          <cell r="D1268" t="str">
            <v>PT Suryaraya Prawira</v>
          </cell>
          <cell r="E1268" t="str">
            <v>PEB 1</v>
          </cell>
          <cell r="G1268">
            <v>0</v>
          </cell>
          <cell r="H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9612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25050</v>
          </cell>
          <cell r="AA1268">
            <v>0</v>
          </cell>
          <cell r="AB1268">
            <v>0</v>
          </cell>
          <cell r="AC1268">
            <v>0</v>
          </cell>
        </row>
        <row r="1269">
          <cell r="E1269" t="str">
            <v>PEB 2</v>
          </cell>
          <cell r="G1269">
            <v>0</v>
          </cell>
          <cell r="H1269">
            <v>0</v>
          </cell>
        </row>
        <row r="1270">
          <cell r="E1270" t="str">
            <v>PEB 3</v>
          </cell>
          <cell r="G1270">
            <v>0</v>
          </cell>
          <cell r="H1270">
            <v>0</v>
          </cell>
        </row>
        <row r="1271">
          <cell r="E1271" t="str">
            <v>PEB 4</v>
          </cell>
          <cell r="G1271">
            <v>0</v>
          </cell>
          <cell r="H1271">
            <v>0</v>
          </cell>
        </row>
        <row r="1272">
          <cell r="E1272" t="str">
            <v>PEB 5</v>
          </cell>
          <cell r="G1272">
            <v>0</v>
          </cell>
          <cell r="H1272">
            <v>0</v>
          </cell>
        </row>
        <row r="1273">
          <cell r="E1273" t="str">
            <v>PEB 6</v>
          </cell>
        </row>
        <row r="1274">
          <cell r="E1274" t="str">
            <v>PEB 7 / TB</v>
          </cell>
          <cell r="G1274">
            <v>9612</v>
          </cell>
          <cell r="H1274">
            <v>0</v>
          </cell>
        </row>
        <row r="1275">
          <cell r="E1275" t="str">
            <v>MPP</v>
          </cell>
          <cell r="G1275">
            <v>0</v>
          </cell>
          <cell r="H1275">
            <v>0</v>
          </cell>
        </row>
        <row r="1276">
          <cell r="E1276" t="str">
            <v>ID</v>
          </cell>
          <cell r="G1276">
            <v>0</v>
          </cell>
          <cell r="H1276">
            <v>0</v>
          </cell>
        </row>
        <row r="1277">
          <cell r="E1277" t="str">
            <v>LL</v>
          </cell>
          <cell r="G1277">
            <v>25050</v>
          </cell>
          <cell r="H1277">
            <v>0</v>
          </cell>
        </row>
        <row r="1278">
          <cell r="E1278" t="str">
            <v>PMK</v>
          </cell>
          <cell r="G1278">
            <v>0</v>
          </cell>
          <cell r="H1278">
            <v>0</v>
          </cell>
        </row>
        <row r="1280">
          <cell r="C1280" t="str">
            <v>A0199</v>
          </cell>
          <cell r="D1280" t="str">
            <v>PT Suryaraya Rubberindo Industries</v>
          </cell>
          <cell r="E1280" t="str">
            <v>PEB 1</v>
          </cell>
          <cell r="G1280">
            <v>0</v>
          </cell>
          <cell r="H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3630</v>
          </cell>
          <cell r="U1280">
            <v>19970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746295.40293333353</v>
          </cell>
          <cell r="AA1280">
            <v>0</v>
          </cell>
          <cell r="AB1280">
            <v>381250</v>
          </cell>
          <cell r="AC1280">
            <v>0</v>
          </cell>
        </row>
        <row r="1281">
          <cell r="E1281" t="str">
            <v>PEB 2</v>
          </cell>
          <cell r="G1281">
            <v>0</v>
          </cell>
          <cell r="H1281">
            <v>0</v>
          </cell>
        </row>
        <row r="1282">
          <cell r="E1282" t="str">
            <v>PEB 3</v>
          </cell>
          <cell r="G1282">
            <v>0</v>
          </cell>
          <cell r="H1282">
            <v>0</v>
          </cell>
        </row>
        <row r="1283">
          <cell r="E1283" t="str">
            <v>PEB 4</v>
          </cell>
          <cell r="G1283">
            <v>0</v>
          </cell>
          <cell r="H1283">
            <v>0</v>
          </cell>
        </row>
        <row r="1284">
          <cell r="E1284" t="str">
            <v>PEB 5</v>
          </cell>
          <cell r="G1284">
            <v>0</v>
          </cell>
          <cell r="H1284">
            <v>0</v>
          </cell>
        </row>
        <row r="1285">
          <cell r="E1285" t="str">
            <v>PEB 6</v>
          </cell>
        </row>
        <row r="1286">
          <cell r="E1286" t="str">
            <v>PEB 7 / TB</v>
          </cell>
          <cell r="G1286">
            <v>3630</v>
          </cell>
          <cell r="H1286">
            <v>19970</v>
          </cell>
        </row>
        <row r="1287">
          <cell r="E1287" t="str">
            <v>MPP</v>
          </cell>
          <cell r="G1287">
            <v>0</v>
          </cell>
          <cell r="H1287">
            <v>0</v>
          </cell>
        </row>
        <row r="1288">
          <cell r="E1288" t="str">
            <v>ID</v>
          </cell>
          <cell r="G1288">
            <v>0</v>
          </cell>
          <cell r="H1288">
            <v>0</v>
          </cell>
        </row>
        <row r="1289">
          <cell r="E1289" t="str">
            <v>LL</v>
          </cell>
          <cell r="G1289">
            <v>746295.40293333353</v>
          </cell>
          <cell r="H1289">
            <v>0</v>
          </cell>
        </row>
        <row r="1290">
          <cell r="E1290" t="str">
            <v>PMK</v>
          </cell>
          <cell r="G1290">
            <v>381250</v>
          </cell>
          <cell r="H1290">
            <v>0</v>
          </cell>
        </row>
        <row r="1292">
          <cell r="C1292" t="str">
            <v>A0221</v>
          </cell>
          <cell r="D1292" t="str">
            <v>PT Swadaya Harapan Nusantara</v>
          </cell>
          <cell r="E1292" t="str">
            <v>PEB 1</v>
          </cell>
          <cell r="G1292">
            <v>0</v>
          </cell>
          <cell r="H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51880</v>
          </cell>
          <cell r="AA1292">
            <v>0</v>
          </cell>
          <cell r="AB1292">
            <v>43666.25</v>
          </cell>
          <cell r="AC1292">
            <v>0</v>
          </cell>
        </row>
        <row r="1293">
          <cell r="E1293" t="str">
            <v>PEB 2</v>
          </cell>
          <cell r="G1293">
            <v>0</v>
          </cell>
          <cell r="H1293">
            <v>0</v>
          </cell>
        </row>
        <row r="1294">
          <cell r="E1294" t="str">
            <v>PEB 3</v>
          </cell>
          <cell r="G1294">
            <v>0</v>
          </cell>
          <cell r="H1294">
            <v>0</v>
          </cell>
        </row>
        <row r="1295">
          <cell r="E1295" t="str">
            <v>PEB 4</v>
          </cell>
          <cell r="G1295">
            <v>0</v>
          </cell>
          <cell r="H1295">
            <v>0</v>
          </cell>
        </row>
        <row r="1296">
          <cell r="E1296" t="str">
            <v>PEB 5</v>
          </cell>
          <cell r="G1296">
            <v>0</v>
          </cell>
          <cell r="H1296">
            <v>0</v>
          </cell>
        </row>
        <row r="1297">
          <cell r="E1297" t="str">
            <v>PEB 6</v>
          </cell>
        </row>
        <row r="1298">
          <cell r="E1298" t="str">
            <v>PEB 7 / TB</v>
          </cell>
          <cell r="G1298">
            <v>0</v>
          </cell>
          <cell r="H1298">
            <v>0</v>
          </cell>
        </row>
        <row r="1299">
          <cell r="E1299" t="str">
            <v>MPP</v>
          </cell>
          <cell r="G1299">
            <v>0</v>
          </cell>
          <cell r="H1299">
            <v>0</v>
          </cell>
        </row>
        <row r="1300">
          <cell r="E1300" t="str">
            <v>ID</v>
          </cell>
          <cell r="G1300">
            <v>0</v>
          </cell>
          <cell r="H1300">
            <v>0</v>
          </cell>
        </row>
        <row r="1301">
          <cell r="E1301" t="str">
            <v>LL</v>
          </cell>
          <cell r="G1301">
            <v>51880</v>
          </cell>
          <cell r="H1301">
            <v>0</v>
          </cell>
        </row>
        <row r="1302">
          <cell r="E1302" t="str">
            <v>PMK</v>
          </cell>
          <cell r="G1302">
            <v>43666.25</v>
          </cell>
          <cell r="H1302">
            <v>0</v>
          </cell>
        </row>
        <row r="1304">
          <cell r="C1304" t="str">
            <v>A0143</v>
          </cell>
          <cell r="D1304" t="str">
            <v>PT Swadharma Bhakti Sedaya Finance</v>
          </cell>
          <cell r="E1304" t="str">
            <v>PEB 1</v>
          </cell>
          <cell r="G1304">
            <v>0</v>
          </cell>
          <cell r="H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74184.600000000006</v>
          </cell>
          <cell r="U1304">
            <v>98210.25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44442</v>
          </cell>
          <cell r="AA1304">
            <v>0</v>
          </cell>
          <cell r="AB1304">
            <v>100400</v>
          </cell>
          <cell r="AC1304">
            <v>0</v>
          </cell>
        </row>
        <row r="1305">
          <cell r="E1305" t="str">
            <v>PEB 2</v>
          </cell>
          <cell r="G1305">
            <v>0</v>
          </cell>
          <cell r="H1305">
            <v>0</v>
          </cell>
        </row>
        <row r="1306">
          <cell r="E1306" t="str">
            <v>PEB 3</v>
          </cell>
          <cell r="G1306">
            <v>0</v>
          </cell>
          <cell r="H1306">
            <v>0</v>
          </cell>
        </row>
        <row r="1307">
          <cell r="E1307" t="str">
            <v>PEB 4</v>
          </cell>
          <cell r="G1307">
            <v>0</v>
          </cell>
          <cell r="H1307">
            <v>0</v>
          </cell>
        </row>
        <row r="1308">
          <cell r="E1308" t="str">
            <v>PEB 5</v>
          </cell>
          <cell r="G1308">
            <v>0</v>
          </cell>
          <cell r="H1308">
            <v>0</v>
          </cell>
        </row>
        <row r="1309">
          <cell r="E1309" t="str">
            <v>PEB 6</v>
          </cell>
        </row>
        <row r="1310">
          <cell r="E1310" t="str">
            <v>PEB 7 / TB</v>
          </cell>
          <cell r="G1310">
            <v>74184.600000000006</v>
          </cell>
          <cell r="H1310">
            <v>98210.25</v>
          </cell>
        </row>
        <row r="1311">
          <cell r="E1311" t="str">
            <v>MPP</v>
          </cell>
        </row>
        <row r="1312">
          <cell r="E1312" t="str">
            <v>ID</v>
          </cell>
          <cell r="G1312">
            <v>0</v>
          </cell>
          <cell r="H1312">
            <v>0</v>
          </cell>
        </row>
        <row r="1313">
          <cell r="E1313" t="str">
            <v>LL</v>
          </cell>
          <cell r="G1313">
            <v>44442</v>
          </cell>
          <cell r="H1313">
            <v>0</v>
          </cell>
        </row>
        <row r="1314">
          <cell r="E1314" t="str">
            <v>PMK</v>
          </cell>
          <cell r="G1314">
            <v>100400</v>
          </cell>
          <cell r="H1314">
            <v>0</v>
          </cell>
        </row>
        <row r="1316">
          <cell r="C1316" t="str">
            <v>A0452</v>
          </cell>
          <cell r="D1316" t="str">
            <v>PT Telen Orbit Prima</v>
          </cell>
          <cell r="E1316" t="str">
            <v>PEB 1</v>
          </cell>
          <cell r="G1316">
            <v>0</v>
          </cell>
          <cell r="H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35878.800000000003</v>
          </cell>
          <cell r="AA1316">
            <v>0</v>
          </cell>
          <cell r="AB1316">
            <v>0</v>
          </cell>
          <cell r="AC1316">
            <v>0</v>
          </cell>
        </row>
        <row r="1317">
          <cell r="E1317" t="str">
            <v>PEB 2</v>
          </cell>
          <cell r="G1317">
            <v>0</v>
          </cell>
          <cell r="H1317">
            <v>0</v>
          </cell>
        </row>
        <row r="1318">
          <cell r="E1318" t="str">
            <v>PEB 3</v>
          </cell>
          <cell r="G1318">
            <v>0</v>
          </cell>
          <cell r="H1318">
            <v>0</v>
          </cell>
        </row>
        <row r="1319">
          <cell r="E1319" t="str">
            <v>PEB 4</v>
          </cell>
          <cell r="G1319">
            <v>0</v>
          </cell>
          <cell r="H1319">
            <v>0</v>
          </cell>
        </row>
        <row r="1320">
          <cell r="E1320" t="str">
            <v>PEB 5</v>
          </cell>
          <cell r="G1320">
            <v>0</v>
          </cell>
          <cell r="H1320">
            <v>0</v>
          </cell>
        </row>
        <row r="1321">
          <cell r="E1321" t="str">
            <v>PEB 6</v>
          </cell>
        </row>
        <row r="1322">
          <cell r="E1322" t="str">
            <v>PEB 7 / TB</v>
          </cell>
          <cell r="G1322">
            <v>0</v>
          </cell>
          <cell r="H1322">
            <v>0</v>
          </cell>
        </row>
        <row r="1323">
          <cell r="E1323" t="str">
            <v>MPP</v>
          </cell>
          <cell r="G1323">
            <v>0</v>
          </cell>
          <cell r="H1323">
            <v>0</v>
          </cell>
        </row>
        <row r="1324">
          <cell r="E1324" t="str">
            <v>ID</v>
          </cell>
          <cell r="G1324">
            <v>0</v>
          </cell>
          <cell r="H1324">
            <v>0</v>
          </cell>
        </row>
        <row r="1325">
          <cell r="E1325" t="str">
            <v>LL</v>
          </cell>
          <cell r="G1325">
            <v>35878.800000000003</v>
          </cell>
          <cell r="H1325">
            <v>0</v>
          </cell>
        </row>
        <row r="1326">
          <cell r="E1326" t="str">
            <v>PMK</v>
          </cell>
          <cell r="G1326">
            <v>0</v>
          </cell>
          <cell r="H1326">
            <v>0</v>
          </cell>
        </row>
        <row r="1328">
          <cell r="C1328" t="str">
            <v>A0146</v>
          </cell>
          <cell r="D1328" t="str">
            <v>PT Tjahja Sakti Motor</v>
          </cell>
          <cell r="E1328" t="str">
            <v>PEB 1</v>
          </cell>
          <cell r="G1328">
            <v>0</v>
          </cell>
          <cell r="H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38376</v>
          </cell>
          <cell r="U1328">
            <v>0</v>
          </cell>
          <cell r="V1328">
            <v>34326</v>
          </cell>
          <cell r="W1328">
            <v>0</v>
          </cell>
          <cell r="X1328">
            <v>869428.75</v>
          </cell>
          <cell r="Y1328">
            <v>64973.89500000012</v>
          </cell>
          <cell r="Z1328">
            <v>94513.600000000006</v>
          </cell>
          <cell r="AA1328">
            <v>0</v>
          </cell>
          <cell r="AB1328">
            <v>66670</v>
          </cell>
          <cell r="AC1328">
            <v>0</v>
          </cell>
        </row>
        <row r="1329">
          <cell r="E1329" t="str">
            <v>PEB 2</v>
          </cell>
          <cell r="G1329">
            <v>0</v>
          </cell>
          <cell r="H1329">
            <v>0</v>
          </cell>
        </row>
        <row r="1330">
          <cell r="E1330" t="str">
            <v>PEB 3</v>
          </cell>
          <cell r="G1330">
            <v>0</v>
          </cell>
          <cell r="H1330">
            <v>0</v>
          </cell>
        </row>
        <row r="1331">
          <cell r="E1331" t="str">
            <v>PEB 4</v>
          </cell>
          <cell r="G1331">
            <v>0</v>
          </cell>
          <cell r="H1331">
            <v>0</v>
          </cell>
        </row>
        <row r="1332">
          <cell r="E1332" t="str">
            <v>PEB 5</v>
          </cell>
          <cell r="G1332">
            <v>0</v>
          </cell>
          <cell r="H1332">
            <v>0</v>
          </cell>
        </row>
        <row r="1333">
          <cell r="E1333" t="str">
            <v>PEB 6</v>
          </cell>
        </row>
        <row r="1334">
          <cell r="E1334" t="str">
            <v>PEB 7 / TB</v>
          </cell>
          <cell r="G1334">
            <v>38376</v>
          </cell>
          <cell r="H1334">
            <v>0</v>
          </cell>
        </row>
        <row r="1335">
          <cell r="E1335" t="str">
            <v>MPP</v>
          </cell>
          <cell r="G1335">
            <v>34326</v>
          </cell>
          <cell r="H1335">
            <v>0</v>
          </cell>
        </row>
        <row r="1336">
          <cell r="E1336" t="str">
            <v>ID</v>
          </cell>
          <cell r="G1336">
            <v>869428.75</v>
          </cell>
          <cell r="H1336">
            <v>64973.89500000012</v>
          </cell>
        </row>
        <row r="1337">
          <cell r="E1337" t="str">
            <v>LL</v>
          </cell>
          <cell r="G1337">
            <v>94513.600000000006</v>
          </cell>
          <cell r="H1337">
            <v>0</v>
          </cell>
        </row>
        <row r="1338">
          <cell r="E1338" t="str">
            <v>PMK</v>
          </cell>
          <cell r="G1338">
            <v>66670</v>
          </cell>
          <cell r="H1338">
            <v>0</v>
          </cell>
        </row>
        <row r="1340">
          <cell r="C1340" t="str">
            <v>A0364</v>
          </cell>
          <cell r="D1340" t="str">
            <v>PT Toyoda Gosei Safety System Indonesia</v>
          </cell>
          <cell r="E1340" t="str">
            <v>PEB 1</v>
          </cell>
          <cell r="G1340">
            <v>0</v>
          </cell>
          <cell r="H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11053</v>
          </cell>
          <cell r="U1340">
            <v>13586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1157.575</v>
          </cell>
          <cell r="AA1340">
            <v>0</v>
          </cell>
          <cell r="AB1340">
            <v>0</v>
          </cell>
          <cell r="AC1340">
            <v>0</v>
          </cell>
        </row>
        <row r="1341">
          <cell r="E1341" t="str">
            <v>PEB 2</v>
          </cell>
          <cell r="G1341">
            <v>0</v>
          </cell>
          <cell r="H1341">
            <v>0</v>
          </cell>
        </row>
        <row r="1342">
          <cell r="E1342" t="str">
            <v>PEB 3</v>
          </cell>
          <cell r="G1342">
            <v>0</v>
          </cell>
          <cell r="H1342">
            <v>0</v>
          </cell>
        </row>
        <row r="1343">
          <cell r="E1343" t="str">
            <v>PEB 4</v>
          </cell>
          <cell r="G1343">
            <v>0</v>
          </cell>
          <cell r="H1343">
            <v>0</v>
          </cell>
        </row>
        <row r="1344">
          <cell r="E1344" t="str">
            <v>PEB 5</v>
          </cell>
          <cell r="G1344">
            <v>0</v>
          </cell>
          <cell r="H1344">
            <v>0</v>
          </cell>
        </row>
        <row r="1345">
          <cell r="E1345" t="str">
            <v>PEB 6</v>
          </cell>
        </row>
        <row r="1346">
          <cell r="E1346" t="str">
            <v>PEB 7 / TB</v>
          </cell>
          <cell r="G1346">
            <v>11053</v>
          </cell>
          <cell r="H1346">
            <v>13586</v>
          </cell>
        </row>
        <row r="1347">
          <cell r="E1347" t="str">
            <v>MPP</v>
          </cell>
          <cell r="G1347">
            <v>0</v>
          </cell>
          <cell r="H1347">
            <v>0</v>
          </cell>
        </row>
        <row r="1348">
          <cell r="E1348" t="str">
            <v>ID</v>
          </cell>
          <cell r="G1348">
            <v>0</v>
          </cell>
          <cell r="H1348">
            <v>0</v>
          </cell>
        </row>
        <row r="1349">
          <cell r="E1349" t="str">
            <v>LL</v>
          </cell>
          <cell r="G1349">
            <v>1157.575</v>
          </cell>
          <cell r="H1349">
            <v>0</v>
          </cell>
        </row>
        <row r="1350">
          <cell r="E1350" t="str">
            <v>PMK</v>
          </cell>
          <cell r="G1350">
            <v>0</v>
          </cell>
          <cell r="H1350">
            <v>0</v>
          </cell>
        </row>
        <row r="1352">
          <cell r="C1352" t="str">
            <v>A0411</v>
          </cell>
          <cell r="D1352" t="str">
            <v>PT Toyota Astra Financial Services</v>
          </cell>
          <cell r="E1352" t="str">
            <v>PEB 1</v>
          </cell>
          <cell r="G1352">
            <v>0</v>
          </cell>
          <cell r="H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73678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141773.42000000001</v>
          </cell>
          <cell r="AA1352">
            <v>0</v>
          </cell>
          <cell r="AB1352">
            <v>0</v>
          </cell>
          <cell r="AC1352">
            <v>0</v>
          </cell>
        </row>
        <row r="1353">
          <cell r="E1353" t="str">
            <v>PEB 2</v>
          </cell>
          <cell r="G1353">
            <v>0</v>
          </cell>
          <cell r="H1353">
            <v>0</v>
          </cell>
        </row>
        <row r="1354">
          <cell r="E1354" t="str">
            <v>PEB 3</v>
          </cell>
          <cell r="G1354">
            <v>0</v>
          </cell>
          <cell r="H1354">
            <v>0</v>
          </cell>
        </row>
        <row r="1355">
          <cell r="E1355" t="str">
            <v>PEB 4</v>
          </cell>
          <cell r="G1355">
            <v>0</v>
          </cell>
          <cell r="H1355">
            <v>0</v>
          </cell>
        </row>
        <row r="1356">
          <cell r="E1356" t="str">
            <v>PEB 5</v>
          </cell>
          <cell r="G1356">
            <v>0</v>
          </cell>
          <cell r="H1356">
            <v>0</v>
          </cell>
        </row>
        <row r="1357">
          <cell r="E1357" t="str">
            <v>PEB 6</v>
          </cell>
        </row>
        <row r="1358">
          <cell r="E1358" t="str">
            <v>PEB 7 / TB</v>
          </cell>
          <cell r="G1358">
            <v>73678</v>
          </cell>
          <cell r="H1358">
            <v>0</v>
          </cell>
        </row>
        <row r="1359">
          <cell r="E1359" t="str">
            <v>MPP</v>
          </cell>
          <cell r="G1359">
            <v>0</v>
          </cell>
          <cell r="H1359">
            <v>0</v>
          </cell>
        </row>
        <row r="1360">
          <cell r="E1360" t="str">
            <v>ID</v>
          </cell>
          <cell r="G1360">
            <v>0</v>
          </cell>
          <cell r="H1360">
            <v>0</v>
          </cell>
        </row>
        <row r="1361">
          <cell r="E1361" t="str">
            <v>LL</v>
          </cell>
          <cell r="G1361">
            <v>141773.42000000001</v>
          </cell>
          <cell r="H1361">
            <v>0</v>
          </cell>
        </row>
        <row r="1362">
          <cell r="E1362" t="str">
            <v>PMK</v>
          </cell>
          <cell r="G1362">
            <v>0</v>
          </cell>
          <cell r="H1362">
            <v>0</v>
          </cell>
        </row>
        <row r="1364">
          <cell r="C1364" t="str">
            <v>A0150</v>
          </cell>
          <cell r="D1364" t="str">
            <v>PT Traktor Nusantara</v>
          </cell>
          <cell r="E1364" t="str">
            <v>PEB 1</v>
          </cell>
          <cell r="G1364">
            <v>0</v>
          </cell>
          <cell r="H1364">
            <v>0</v>
          </cell>
          <cell r="J1364">
            <v>285764</v>
          </cell>
          <cell r="K1364">
            <v>46096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111767</v>
          </cell>
          <cell r="U1364">
            <v>5109</v>
          </cell>
          <cell r="V1364">
            <v>19704</v>
          </cell>
          <cell r="W1364">
            <v>0</v>
          </cell>
          <cell r="X1364">
            <v>0</v>
          </cell>
          <cell r="Y1364">
            <v>0</v>
          </cell>
          <cell r="Z1364">
            <v>397262.77100000001</v>
          </cell>
          <cell r="AA1364">
            <v>0</v>
          </cell>
          <cell r="AB1364">
            <v>195740</v>
          </cell>
          <cell r="AC1364">
            <v>0</v>
          </cell>
        </row>
        <row r="1365">
          <cell r="E1365" t="str">
            <v>PEB 2</v>
          </cell>
          <cell r="G1365">
            <v>285764</v>
          </cell>
          <cell r="H1365">
            <v>46096</v>
          </cell>
        </row>
        <row r="1366">
          <cell r="E1366" t="str">
            <v>PEB 3</v>
          </cell>
          <cell r="G1366">
            <v>0</v>
          </cell>
          <cell r="H1366">
            <v>0</v>
          </cell>
        </row>
        <row r="1367">
          <cell r="E1367" t="str">
            <v>PEB 4</v>
          </cell>
          <cell r="G1367">
            <v>0</v>
          </cell>
          <cell r="H1367">
            <v>0</v>
          </cell>
        </row>
        <row r="1368">
          <cell r="E1368" t="str">
            <v>PEB 5</v>
          </cell>
          <cell r="G1368">
            <v>0</v>
          </cell>
          <cell r="H1368">
            <v>0</v>
          </cell>
        </row>
        <row r="1369">
          <cell r="E1369" t="str">
            <v>PEB 6</v>
          </cell>
        </row>
        <row r="1370">
          <cell r="E1370" t="str">
            <v>PEB 7 / TB</v>
          </cell>
          <cell r="G1370">
            <v>111767</v>
          </cell>
          <cell r="H1370">
            <v>5109</v>
          </cell>
        </row>
        <row r="1371">
          <cell r="E1371" t="str">
            <v>MPP</v>
          </cell>
          <cell r="G1371">
            <v>19704</v>
          </cell>
          <cell r="H1371">
            <v>0</v>
          </cell>
        </row>
        <row r="1372">
          <cell r="E1372" t="str">
            <v>ID</v>
          </cell>
          <cell r="G1372">
            <v>0</v>
          </cell>
          <cell r="H1372">
            <v>0</v>
          </cell>
        </row>
        <row r="1373">
          <cell r="E1373" t="str">
            <v>LL</v>
          </cell>
          <cell r="G1373">
            <v>397262.77100000001</v>
          </cell>
          <cell r="H1373">
            <v>0</v>
          </cell>
        </row>
        <row r="1374">
          <cell r="E1374" t="str">
            <v>PMK</v>
          </cell>
          <cell r="G1374">
            <v>195740</v>
          </cell>
          <cell r="H1374">
            <v>0</v>
          </cell>
        </row>
        <row r="1376">
          <cell r="C1376" t="str">
            <v>A0151</v>
          </cell>
          <cell r="D1376" t="str">
            <v>Dana Pensiun Astra</v>
          </cell>
          <cell r="E1376" t="str">
            <v>PEB 1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</row>
        <row r="1377">
          <cell r="E1377" t="str">
            <v>PEB 2</v>
          </cell>
        </row>
        <row r="1378">
          <cell r="E1378" t="str">
            <v>PEB 3</v>
          </cell>
        </row>
        <row r="1379">
          <cell r="E1379" t="str">
            <v>PEB 4</v>
          </cell>
        </row>
        <row r="1380">
          <cell r="E1380" t="str">
            <v>PEB 5</v>
          </cell>
        </row>
        <row r="1381">
          <cell r="E1381" t="str">
            <v>PEB 6</v>
          </cell>
        </row>
        <row r="1382">
          <cell r="E1382" t="str">
            <v>PEB 7 / TB</v>
          </cell>
        </row>
        <row r="1383">
          <cell r="E1383" t="str">
            <v>MPP</v>
          </cell>
        </row>
        <row r="1384">
          <cell r="E1384" t="str">
            <v>ID</v>
          </cell>
        </row>
        <row r="1385">
          <cell r="E1385" t="str">
            <v>LL</v>
          </cell>
        </row>
        <row r="1386">
          <cell r="E1386" t="str">
            <v>PMK</v>
          </cell>
        </row>
        <row r="1388">
          <cell r="C1388" t="str">
            <v>A0153</v>
          </cell>
          <cell r="D1388" t="str">
            <v>PT Tunggal Perkasa Plantation</v>
          </cell>
          <cell r="E1388" t="str">
            <v>PEB 1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</row>
        <row r="1389">
          <cell r="E1389" t="str">
            <v>PEB 2</v>
          </cell>
        </row>
        <row r="1390">
          <cell r="E1390" t="str">
            <v>PEB 3</v>
          </cell>
        </row>
        <row r="1391">
          <cell r="E1391" t="str">
            <v>PEB 4</v>
          </cell>
        </row>
        <row r="1392">
          <cell r="E1392" t="str">
            <v>PEB 5</v>
          </cell>
        </row>
        <row r="1393">
          <cell r="E1393" t="str">
            <v>PEB 6</v>
          </cell>
        </row>
        <row r="1394">
          <cell r="E1394" t="str">
            <v>PEB 7 / TB</v>
          </cell>
        </row>
        <row r="1395">
          <cell r="E1395" t="str">
            <v>MPP</v>
          </cell>
        </row>
        <row r="1396">
          <cell r="E1396" t="str">
            <v>ID</v>
          </cell>
        </row>
        <row r="1397">
          <cell r="E1397" t="str">
            <v>LL</v>
          </cell>
        </row>
        <row r="1398">
          <cell r="E1398" t="str">
            <v>PMK</v>
          </cell>
        </row>
        <row r="1400">
          <cell r="C1400" t="str">
            <v>A0156</v>
          </cell>
          <cell r="D1400" t="str">
            <v>PT United Tractors Pandu Eng.</v>
          </cell>
          <cell r="E1400" t="str">
            <v>PEB 1</v>
          </cell>
          <cell r="G1400">
            <v>0</v>
          </cell>
          <cell r="H1400">
            <v>0</v>
          </cell>
          <cell r="J1400">
            <v>450306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80911</v>
          </cell>
          <cell r="U1400">
            <v>2255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335904.86499999999</v>
          </cell>
          <cell r="AA1400">
            <v>0</v>
          </cell>
          <cell r="AB1400">
            <v>118100</v>
          </cell>
          <cell r="AC1400">
            <v>0</v>
          </cell>
        </row>
        <row r="1401">
          <cell r="E1401" t="str">
            <v>PEB 2</v>
          </cell>
          <cell r="G1401">
            <v>450306</v>
          </cell>
          <cell r="H1401">
            <v>0</v>
          </cell>
        </row>
        <row r="1402">
          <cell r="E1402" t="str">
            <v>PEB 3</v>
          </cell>
          <cell r="G1402">
            <v>0</v>
          </cell>
          <cell r="H1402">
            <v>0</v>
          </cell>
        </row>
        <row r="1403">
          <cell r="E1403" t="str">
            <v>PEB 4</v>
          </cell>
          <cell r="G1403">
            <v>0</v>
          </cell>
          <cell r="H1403">
            <v>0</v>
          </cell>
        </row>
        <row r="1404">
          <cell r="E1404" t="str">
            <v>PEB 5</v>
          </cell>
          <cell r="G1404">
            <v>0</v>
          </cell>
          <cell r="H1404">
            <v>0</v>
          </cell>
        </row>
        <row r="1405">
          <cell r="E1405" t="str">
            <v>PEB 6</v>
          </cell>
        </row>
        <row r="1406">
          <cell r="E1406" t="str">
            <v>PEB 7 / TB</v>
          </cell>
          <cell r="G1406">
            <v>80911</v>
          </cell>
          <cell r="H1406">
            <v>2255</v>
          </cell>
        </row>
        <row r="1407">
          <cell r="E1407" t="str">
            <v>MPP</v>
          </cell>
          <cell r="G1407">
            <v>0</v>
          </cell>
          <cell r="H1407">
            <v>0</v>
          </cell>
        </row>
        <row r="1408">
          <cell r="E1408" t="str">
            <v>ID</v>
          </cell>
          <cell r="G1408">
            <v>0</v>
          </cell>
          <cell r="H1408">
            <v>0</v>
          </cell>
        </row>
        <row r="1409">
          <cell r="E1409" t="str">
            <v>LL</v>
          </cell>
          <cell r="G1409">
            <v>335904.86499999999</v>
          </cell>
          <cell r="H1409">
            <v>0</v>
          </cell>
        </row>
        <row r="1410">
          <cell r="E1410" t="str">
            <v>PMK</v>
          </cell>
          <cell r="G1410">
            <v>118100</v>
          </cell>
          <cell r="H1410">
            <v>0</v>
          </cell>
        </row>
        <row r="1412">
          <cell r="C1412" t="str">
            <v>A0155</v>
          </cell>
          <cell r="D1412" t="str">
            <v>PT United Tractors TBK (Parent)</v>
          </cell>
          <cell r="E1412" t="str">
            <v>PEB 1</v>
          </cell>
          <cell r="G1412">
            <v>0</v>
          </cell>
          <cell r="H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2239803</v>
          </cell>
          <cell r="S1412">
            <v>0</v>
          </cell>
          <cell r="T1412">
            <v>344418</v>
          </cell>
          <cell r="U1412">
            <v>222102</v>
          </cell>
          <cell r="V1412">
            <v>52904.805999999997</v>
          </cell>
          <cell r="W1412">
            <v>0</v>
          </cell>
          <cell r="X1412">
            <v>321050</v>
          </cell>
          <cell r="Y1412">
            <v>7245</v>
          </cell>
          <cell r="Z1412">
            <v>1606724.331</v>
          </cell>
          <cell r="AA1412">
            <v>0</v>
          </cell>
          <cell r="AB1412">
            <v>692533.25</v>
          </cell>
          <cell r="AC1412">
            <v>0</v>
          </cell>
        </row>
        <row r="1413">
          <cell r="E1413" t="str">
            <v>PEB 2</v>
          </cell>
          <cell r="G1413">
            <v>0</v>
          </cell>
          <cell r="H1413">
            <v>0</v>
          </cell>
        </row>
        <row r="1414">
          <cell r="E1414" t="str">
            <v>PEB 3</v>
          </cell>
          <cell r="G1414">
            <v>0</v>
          </cell>
          <cell r="H1414">
            <v>0</v>
          </cell>
        </row>
        <row r="1415">
          <cell r="E1415" t="str">
            <v>PEB 4</v>
          </cell>
          <cell r="G1415">
            <v>0</v>
          </cell>
          <cell r="H1415">
            <v>0</v>
          </cell>
        </row>
        <row r="1416">
          <cell r="E1416" t="str">
            <v>PEB 5</v>
          </cell>
          <cell r="G1416">
            <v>0</v>
          </cell>
          <cell r="H1416">
            <v>0</v>
          </cell>
        </row>
        <row r="1417">
          <cell r="E1417" t="str">
            <v>PEB 6</v>
          </cell>
          <cell r="G1417">
            <v>2239803</v>
          </cell>
          <cell r="H1417">
            <v>0</v>
          </cell>
        </row>
        <row r="1418">
          <cell r="E1418" t="str">
            <v>PEB 7 / TB</v>
          </cell>
          <cell r="G1418">
            <v>344418</v>
          </cell>
          <cell r="H1418">
            <v>222102</v>
          </cell>
        </row>
        <row r="1419">
          <cell r="E1419" t="str">
            <v>MPP</v>
          </cell>
          <cell r="G1419">
            <v>52904.805999999997</v>
          </cell>
          <cell r="H1419">
            <v>0</v>
          </cell>
        </row>
        <row r="1420">
          <cell r="E1420" t="str">
            <v>ID</v>
          </cell>
          <cell r="G1420">
            <v>321050</v>
          </cell>
          <cell r="H1420">
            <v>7245</v>
          </cell>
        </row>
        <row r="1421">
          <cell r="E1421" t="str">
            <v>LL</v>
          </cell>
          <cell r="G1421">
            <v>1606724.331</v>
          </cell>
          <cell r="H1421">
            <v>0</v>
          </cell>
        </row>
        <row r="1422">
          <cell r="E1422" t="str">
            <v>PMK</v>
          </cell>
          <cell r="G1422">
            <v>692533.25</v>
          </cell>
          <cell r="H1422">
            <v>0</v>
          </cell>
        </row>
        <row r="1424">
          <cell r="C1424" t="str">
            <v>A0099</v>
          </cell>
          <cell r="D1424" t="str">
            <v>PT Waru Kalimantan Plantation</v>
          </cell>
          <cell r="E1424" t="str">
            <v>PEB 1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</row>
        <row r="1425">
          <cell r="E1425" t="str">
            <v>PEB 2</v>
          </cell>
        </row>
        <row r="1426">
          <cell r="E1426" t="str">
            <v>PEB 3</v>
          </cell>
        </row>
        <row r="1427">
          <cell r="E1427" t="str">
            <v>PEB 4</v>
          </cell>
        </row>
        <row r="1428">
          <cell r="E1428" t="str">
            <v>PEB 5</v>
          </cell>
        </row>
        <row r="1429">
          <cell r="E1429" t="str">
            <v>PEB 6</v>
          </cell>
        </row>
        <row r="1430">
          <cell r="E1430" t="str">
            <v>PEB 7 / TB</v>
          </cell>
        </row>
        <row r="1431">
          <cell r="E1431" t="str">
            <v>MPP</v>
          </cell>
        </row>
        <row r="1432">
          <cell r="E1432" t="str">
            <v>ID</v>
          </cell>
        </row>
        <row r="1433">
          <cell r="E1433" t="str">
            <v>LL</v>
          </cell>
        </row>
        <row r="1434">
          <cell r="E1434" t="str">
            <v>PMK</v>
          </cell>
        </row>
        <row r="1436">
          <cell r="C1436" t="str">
            <v>A0326</v>
          </cell>
          <cell r="D1436" t="str">
            <v>PT Yutaka Manufacturing Indonesia</v>
          </cell>
          <cell r="E1436" t="str">
            <v>PEB 1</v>
          </cell>
          <cell r="G1436">
            <v>0</v>
          </cell>
          <cell r="H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18716</v>
          </cell>
          <cell r="U1436">
            <v>5848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50988.346666666665</v>
          </cell>
          <cell r="AA1436">
            <v>0</v>
          </cell>
          <cell r="AB1436">
            <v>20727.5</v>
          </cell>
          <cell r="AC1436">
            <v>0</v>
          </cell>
        </row>
        <row r="1437">
          <cell r="E1437" t="str">
            <v>PEB 2</v>
          </cell>
          <cell r="G1437">
            <v>0</v>
          </cell>
          <cell r="H1437">
            <v>0</v>
          </cell>
        </row>
        <row r="1438">
          <cell r="E1438" t="str">
            <v>PEB 3</v>
          </cell>
          <cell r="G1438">
            <v>0</v>
          </cell>
          <cell r="H1438">
            <v>0</v>
          </cell>
        </row>
        <row r="1439">
          <cell r="E1439" t="str">
            <v>PEB 4</v>
          </cell>
          <cell r="G1439">
            <v>0</v>
          </cell>
          <cell r="H1439">
            <v>0</v>
          </cell>
        </row>
        <row r="1440">
          <cell r="E1440" t="str">
            <v>PEB 5</v>
          </cell>
          <cell r="G1440">
            <v>0</v>
          </cell>
          <cell r="H1440">
            <v>0</v>
          </cell>
        </row>
        <row r="1441">
          <cell r="E1441" t="str">
            <v>PEB 6</v>
          </cell>
        </row>
        <row r="1442">
          <cell r="E1442" t="str">
            <v>PEB 7 / TB</v>
          </cell>
          <cell r="G1442">
            <v>18716</v>
          </cell>
          <cell r="H1442">
            <v>5848</v>
          </cell>
        </row>
        <row r="1443">
          <cell r="E1443" t="str">
            <v>MPP</v>
          </cell>
          <cell r="G1443">
            <v>0</v>
          </cell>
          <cell r="H1443">
            <v>0</v>
          </cell>
        </row>
        <row r="1444">
          <cell r="E1444" t="str">
            <v>ID</v>
          </cell>
          <cell r="G1444">
            <v>0</v>
          </cell>
          <cell r="H1444">
            <v>0</v>
          </cell>
        </row>
        <row r="1445">
          <cell r="E1445" t="str">
            <v>LL</v>
          </cell>
          <cell r="G1445">
            <v>50988.346666666665</v>
          </cell>
          <cell r="H1445">
            <v>0</v>
          </cell>
        </row>
        <row r="1446">
          <cell r="E1446" t="str">
            <v>PMK</v>
          </cell>
          <cell r="G1446">
            <v>20727.5</v>
          </cell>
          <cell r="H1446">
            <v>0</v>
          </cell>
        </row>
        <row r="1448">
          <cell r="C1448" t="str">
            <v>R0406</v>
          </cell>
          <cell r="D1448" t="str">
            <v>Yayasan Astra Bina Ilmu</v>
          </cell>
          <cell r="E1448" t="str">
            <v>PEB 1</v>
          </cell>
          <cell r="G1448">
            <v>0</v>
          </cell>
          <cell r="H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73803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42420.317999999999</v>
          </cell>
          <cell r="AA1448">
            <v>0</v>
          </cell>
          <cell r="AB1448">
            <v>20446.25</v>
          </cell>
          <cell r="AC1448">
            <v>0</v>
          </cell>
        </row>
        <row r="1449">
          <cell r="E1449" t="str">
            <v>PEB 2</v>
          </cell>
          <cell r="G1449">
            <v>0</v>
          </cell>
          <cell r="H1449">
            <v>0</v>
          </cell>
        </row>
        <row r="1450">
          <cell r="E1450" t="str">
            <v>PEB 3</v>
          </cell>
          <cell r="G1450">
            <v>0</v>
          </cell>
          <cell r="H1450">
            <v>0</v>
          </cell>
        </row>
        <row r="1451">
          <cell r="E1451" t="str">
            <v>PEB 4</v>
          </cell>
          <cell r="G1451">
            <v>0</v>
          </cell>
          <cell r="H1451">
            <v>0</v>
          </cell>
        </row>
        <row r="1452">
          <cell r="E1452" t="str">
            <v>PEB 5</v>
          </cell>
          <cell r="G1452">
            <v>0</v>
          </cell>
          <cell r="H1452">
            <v>0</v>
          </cell>
        </row>
        <row r="1453">
          <cell r="E1453" t="str">
            <v>PEB 6</v>
          </cell>
        </row>
        <row r="1454">
          <cell r="E1454" t="str">
            <v>PEB 7 / TB</v>
          </cell>
          <cell r="G1454">
            <v>73803</v>
          </cell>
          <cell r="H1454">
            <v>0</v>
          </cell>
        </row>
        <row r="1455">
          <cell r="E1455" t="str">
            <v>MPP</v>
          </cell>
          <cell r="G1455">
            <v>0</v>
          </cell>
          <cell r="H1455">
            <v>0</v>
          </cell>
        </row>
        <row r="1456">
          <cell r="E1456" t="str">
            <v>ID</v>
          </cell>
          <cell r="G1456">
            <v>0</v>
          </cell>
          <cell r="H1456">
            <v>0</v>
          </cell>
        </row>
        <row r="1457">
          <cell r="E1457" t="str">
            <v>LL</v>
          </cell>
          <cell r="G1457">
            <v>42420.317999999999</v>
          </cell>
          <cell r="H1457">
            <v>0</v>
          </cell>
        </row>
        <row r="1458">
          <cell r="E1458" t="str">
            <v>PMK</v>
          </cell>
          <cell r="G1458">
            <v>20446.25</v>
          </cell>
          <cell r="H1458">
            <v>0</v>
          </cell>
        </row>
        <row r="1460">
          <cell r="C1460" t="str">
            <v>R0411</v>
          </cell>
          <cell r="D1460" t="str">
            <v>Yayasan Astra Bina Pendidikan</v>
          </cell>
          <cell r="E1460" t="str">
            <v>PEB 1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</row>
        <row r="1461">
          <cell r="E1461" t="str">
            <v>PEB 2</v>
          </cell>
        </row>
        <row r="1462">
          <cell r="E1462" t="str">
            <v>PEB 3</v>
          </cell>
        </row>
        <row r="1463">
          <cell r="E1463" t="str">
            <v>PEB 4</v>
          </cell>
        </row>
        <row r="1464">
          <cell r="E1464" t="str">
            <v>PEB 5</v>
          </cell>
        </row>
        <row r="1465">
          <cell r="E1465" t="str">
            <v>PEB 6</v>
          </cell>
        </row>
        <row r="1466">
          <cell r="E1466" t="str">
            <v>PEB 7 / TB</v>
          </cell>
        </row>
        <row r="1467">
          <cell r="E1467" t="str">
            <v>MPP</v>
          </cell>
        </row>
        <row r="1468">
          <cell r="E1468" t="str">
            <v>ID</v>
          </cell>
        </row>
        <row r="1469">
          <cell r="E1469" t="str">
            <v>LL</v>
          </cell>
        </row>
        <row r="1470">
          <cell r="E1470" t="str">
            <v>PMK</v>
          </cell>
        </row>
        <row r="1472">
          <cell r="C1472" t="str">
            <v>R0410</v>
          </cell>
          <cell r="D1472" t="str">
            <v>Yayasan Dharma Bhakti Astra</v>
          </cell>
          <cell r="E1472" t="str">
            <v>PEB 1</v>
          </cell>
          <cell r="G1472">
            <v>0</v>
          </cell>
          <cell r="H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11892</v>
          </cell>
          <cell r="AA1472">
            <v>0</v>
          </cell>
          <cell r="AB1472">
            <v>9444.25</v>
          </cell>
          <cell r="AC1472">
            <v>0</v>
          </cell>
        </row>
        <row r="1473">
          <cell r="E1473" t="str">
            <v>PEB 2</v>
          </cell>
          <cell r="G1473">
            <v>0</v>
          </cell>
          <cell r="H1473">
            <v>0</v>
          </cell>
        </row>
        <row r="1474">
          <cell r="E1474" t="str">
            <v>PEB 3</v>
          </cell>
          <cell r="G1474">
            <v>0</v>
          </cell>
          <cell r="H1474">
            <v>0</v>
          </cell>
        </row>
        <row r="1475">
          <cell r="E1475" t="str">
            <v>PEB 4</v>
          </cell>
          <cell r="G1475">
            <v>0</v>
          </cell>
          <cell r="H1475">
            <v>0</v>
          </cell>
        </row>
        <row r="1476">
          <cell r="E1476" t="str">
            <v>PEB 5</v>
          </cell>
          <cell r="G1476">
            <v>0</v>
          </cell>
          <cell r="H1476">
            <v>0</v>
          </cell>
        </row>
        <row r="1477">
          <cell r="E1477" t="str">
            <v>PEB 6</v>
          </cell>
        </row>
        <row r="1478">
          <cell r="E1478" t="str">
            <v>PEB 7 / TB</v>
          </cell>
          <cell r="G1478">
            <v>0</v>
          </cell>
          <cell r="H1478">
            <v>0</v>
          </cell>
        </row>
        <row r="1479">
          <cell r="E1479" t="str">
            <v>MPP</v>
          </cell>
          <cell r="G1479">
            <v>0</v>
          </cell>
          <cell r="H1479">
            <v>0</v>
          </cell>
        </row>
        <row r="1480">
          <cell r="E1480" t="str">
            <v>ID</v>
          </cell>
          <cell r="G1480">
            <v>0</v>
          </cell>
          <cell r="H1480">
            <v>0</v>
          </cell>
        </row>
        <row r="1481">
          <cell r="E1481" t="str">
            <v>LL</v>
          </cell>
          <cell r="G1481">
            <v>11892</v>
          </cell>
          <cell r="H1481">
            <v>0</v>
          </cell>
        </row>
        <row r="1482">
          <cell r="E1482" t="str">
            <v>PMK</v>
          </cell>
          <cell r="G1482">
            <v>9444.25</v>
          </cell>
          <cell r="H1482">
            <v>0</v>
          </cell>
        </row>
      </sheetData>
      <sheetData sheetId="6">
        <row r="8">
          <cell r="C8" t="str">
            <v>S0363</v>
          </cell>
          <cell r="D8" t="str">
            <v>AI AWSO</v>
          </cell>
          <cell r="F8">
            <v>13</v>
          </cell>
          <cell r="G8">
            <v>45.816037487495393</v>
          </cell>
          <cell r="H8">
            <v>22.404254198915392</v>
          </cell>
          <cell r="I8">
            <v>129254</v>
          </cell>
          <cell r="J8">
            <v>124712</v>
          </cell>
          <cell r="K8">
            <v>203</v>
          </cell>
          <cell r="L8">
            <v>31.3013220582434</v>
          </cell>
          <cell r="M8">
            <v>8.475307080985754</v>
          </cell>
          <cell r="N8">
            <v>612969</v>
          </cell>
          <cell r="P8">
            <v>216</v>
          </cell>
          <cell r="Q8">
            <v>32.174892894263202</v>
          </cell>
          <cell r="R8">
            <v>9.3136233427130009</v>
          </cell>
          <cell r="S8">
            <v>742223</v>
          </cell>
        </row>
        <row r="9">
          <cell r="C9" t="str">
            <v>S0173</v>
          </cell>
          <cell r="D9" t="str">
            <v>AI BSO</v>
          </cell>
          <cell r="F9">
            <v>28</v>
          </cell>
          <cell r="G9">
            <v>45.938398357289529</v>
          </cell>
          <cell r="H9">
            <v>22.70881001271146</v>
          </cell>
          <cell r="I9">
            <v>172178</v>
          </cell>
          <cell r="J9">
            <v>162988</v>
          </cell>
          <cell r="K9">
            <v>162</v>
          </cell>
          <cell r="L9">
            <v>35.229649910005833</v>
          </cell>
          <cell r="M9">
            <v>10.315934460584247</v>
          </cell>
          <cell r="N9">
            <v>404747</v>
          </cell>
          <cell r="P9">
            <v>190</v>
          </cell>
          <cell r="Q9">
            <v>36.807781260131854</v>
          </cell>
          <cell r="R9">
            <v>12.14225296300299</v>
          </cell>
          <cell r="S9">
            <v>576925</v>
          </cell>
        </row>
        <row r="10">
          <cell r="C10" t="str">
            <v>S0003</v>
          </cell>
          <cell r="D10" t="str">
            <v>AI DSO</v>
          </cell>
          <cell r="F10">
            <v>199</v>
          </cell>
          <cell r="G10">
            <v>47.372289235362317</v>
          </cell>
          <cell r="H10">
            <v>23.132472767671359</v>
          </cell>
          <cell r="I10">
            <v>1155647</v>
          </cell>
          <cell r="J10">
            <v>1090272.75</v>
          </cell>
          <cell r="K10">
            <v>1763</v>
          </cell>
          <cell r="L10">
            <v>31.880789348937412</v>
          </cell>
          <cell r="M10">
            <v>6.493380744895707</v>
          </cell>
          <cell r="N10">
            <v>3138457.5</v>
          </cell>
          <cell r="P10">
            <v>1962</v>
          </cell>
          <cell r="Q10">
            <v>33.45204749236175</v>
          </cell>
          <cell r="R10">
            <v>8.1810358481231962</v>
          </cell>
          <cell r="S10">
            <v>4294104.5</v>
          </cell>
        </row>
        <row r="11">
          <cell r="C11" t="str">
            <v>S0001</v>
          </cell>
          <cell r="D11" t="str">
            <v>AI HO</v>
          </cell>
          <cell r="F11">
            <v>66</v>
          </cell>
          <cell r="G11">
            <v>46.561093481011348</v>
          </cell>
          <cell r="H11">
            <v>21.729409080538446</v>
          </cell>
          <cell r="I11">
            <v>1600702</v>
          </cell>
          <cell r="J11">
            <v>1550927.9416666701</v>
          </cell>
          <cell r="K11">
            <v>424</v>
          </cell>
          <cell r="L11">
            <v>32.336865419136558</v>
          </cell>
          <cell r="M11">
            <v>6.9958673950382826</v>
          </cell>
          <cell r="N11">
            <v>3544758.75</v>
          </cell>
          <cell r="P11">
            <v>490</v>
          </cell>
          <cell r="Q11">
            <v>34.252781851960499</v>
          </cell>
          <cell r="R11">
            <v>8.9803852547179002</v>
          </cell>
          <cell r="S11">
            <v>5145460.75</v>
          </cell>
        </row>
        <row r="12">
          <cell r="C12" t="str">
            <v>S0005</v>
          </cell>
          <cell r="D12" t="str">
            <v>AI HSO</v>
          </cell>
          <cell r="F12">
            <v>138</v>
          </cell>
          <cell r="G12">
            <v>46.340723546508734</v>
          </cell>
          <cell r="H12">
            <v>22.127448938090829</v>
          </cell>
          <cell r="I12">
            <v>1008778.5</v>
          </cell>
          <cell r="J12">
            <v>959739.54166666698</v>
          </cell>
          <cell r="K12">
            <v>2027</v>
          </cell>
          <cell r="L12">
            <v>30.247189296313611</v>
          </cell>
          <cell r="M12">
            <v>5.1979225020740918</v>
          </cell>
          <cell r="N12">
            <v>3618668.85</v>
          </cell>
          <cell r="P12">
            <v>2165</v>
          </cell>
          <cell r="Q12">
            <v>31.273012726580113</v>
          </cell>
          <cell r="R12">
            <v>6.2770331940696131</v>
          </cell>
          <cell r="S12">
            <v>4627447.3499999996</v>
          </cell>
        </row>
        <row r="13">
          <cell r="C13" t="str">
            <v>S0004</v>
          </cell>
          <cell r="D13" t="str">
            <v>AI ISO</v>
          </cell>
          <cell r="F13">
            <v>84</v>
          </cell>
          <cell r="G13">
            <v>44.901176623969235</v>
          </cell>
          <cell r="H13">
            <v>20.180404810794954</v>
          </cell>
          <cell r="I13">
            <v>653371</v>
          </cell>
          <cell r="J13">
            <v>621183.16666666698</v>
          </cell>
          <cell r="K13">
            <v>1057</v>
          </cell>
          <cell r="L13">
            <v>34.62616098018681</v>
          </cell>
          <cell r="M13">
            <v>9.9813336596996276</v>
          </cell>
          <cell r="N13">
            <v>2431366</v>
          </cell>
          <cell r="P13">
            <v>1141</v>
          </cell>
          <cell r="Q13">
            <v>35.38260384966776</v>
          </cell>
          <cell r="R13">
            <v>10.732185523583949</v>
          </cell>
          <cell r="S13">
            <v>3084737</v>
          </cell>
        </row>
        <row r="14">
          <cell r="C14" t="str">
            <v>S0172</v>
          </cell>
          <cell r="D14" t="str">
            <v>AI NDSO</v>
          </cell>
          <cell r="F14">
            <v>14</v>
          </cell>
          <cell r="G14">
            <v>46.296470128092302</v>
          </cell>
          <cell r="H14">
            <v>21.929207001075582</v>
          </cell>
          <cell r="I14">
            <v>103532</v>
          </cell>
          <cell r="J14">
            <v>97224.25</v>
          </cell>
          <cell r="K14">
            <v>106</v>
          </cell>
          <cell r="L14">
            <v>34.506424909276404</v>
          </cell>
          <cell r="M14">
            <v>9.0766985652112133</v>
          </cell>
          <cell r="N14">
            <v>371889</v>
          </cell>
          <cell r="P14">
            <v>120</v>
          </cell>
          <cell r="Q14">
            <v>35.881930184804915</v>
          </cell>
          <cell r="R14">
            <v>10.576157882728726</v>
          </cell>
          <cell r="S14">
            <v>475421</v>
          </cell>
        </row>
        <row r="15">
          <cell r="C15" t="str">
            <v>S0174</v>
          </cell>
          <cell r="D15" t="str">
            <v>AI PSO</v>
          </cell>
          <cell r="F15">
            <v>25</v>
          </cell>
          <cell r="G15">
            <v>47.071211498973305</v>
          </cell>
          <cell r="H15">
            <v>24.24213552361396</v>
          </cell>
          <cell r="I15">
            <v>125516</v>
          </cell>
          <cell r="J15">
            <v>117723.66666666701</v>
          </cell>
          <cell r="K15">
            <v>120</v>
          </cell>
          <cell r="L15">
            <v>34.591056354095365</v>
          </cell>
          <cell r="M15">
            <v>11.000593201003872</v>
          </cell>
          <cell r="N15">
            <v>288591</v>
          </cell>
          <cell r="P15">
            <v>145</v>
          </cell>
          <cell r="Q15">
            <v>36.742807241143289</v>
          </cell>
          <cell r="R15">
            <v>13.283617739384924</v>
          </cell>
          <cell r="S15">
            <v>414107</v>
          </cell>
        </row>
        <row r="16">
          <cell r="C16" t="str">
            <v>S0015</v>
          </cell>
          <cell r="D16" t="str">
            <v>AI SSC</v>
          </cell>
          <cell r="F16">
            <v>32</v>
          </cell>
          <cell r="G16">
            <v>45.440965092402465</v>
          </cell>
          <cell r="H16">
            <v>21.528148528405204</v>
          </cell>
          <cell r="I16">
            <v>129400</v>
          </cell>
          <cell r="J16">
            <v>121236.5</v>
          </cell>
          <cell r="K16">
            <v>184</v>
          </cell>
          <cell r="L16">
            <v>34.172201886736303</v>
          </cell>
          <cell r="M16">
            <v>8.6988215337916213</v>
          </cell>
          <cell r="N16">
            <v>436052</v>
          </cell>
          <cell r="P16">
            <v>216</v>
          </cell>
          <cell r="Q16">
            <v>35.841648287575737</v>
          </cell>
          <cell r="R16">
            <v>10.599462570030669</v>
          </cell>
          <cell r="S16">
            <v>565452</v>
          </cell>
        </row>
        <row r="17">
          <cell r="C17" t="str">
            <v>S0002</v>
          </cell>
          <cell r="D17" t="str">
            <v>AI TSO</v>
          </cell>
          <cell r="F17">
            <v>735</v>
          </cell>
          <cell r="G17">
            <v>45.125692494657017</v>
          </cell>
          <cell r="H17">
            <v>22.057362630199176</v>
          </cell>
          <cell r="I17">
            <v>3423305</v>
          </cell>
          <cell r="J17">
            <v>3214530.2291666698</v>
          </cell>
          <cell r="K17">
            <v>3607</v>
          </cell>
          <cell r="L17">
            <v>31.640517231400558</v>
          </cell>
          <cell r="M17">
            <v>8.5267558119080356</v>
          </cell>
          <cell r="N17">
            <v>7802757</v>
          </cell>
          <cell r="P17">
            <v>4342</v>
          </cell>
          <cell r="Q17">
            <v>33.923244964816824</v>
          </cell>
          <cell r="R17">
            <v>10.817174054985896</v>
          </cell>
          <cell r="S17">
            <v>11226062</v>
          </cell>
        </row>
        <row r="18">
          <cell r="C18" t="str">
            <v>A0253</v>
          </cell>
          <cell r="D18" t="str">
            <v>PT Agro Menara Rahmat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596</v>
          </cell>
          <cell r="L18">
            <v>32.958776052074242</v>
          </cell>
          <cell r="M18">
            <v>4.4561369660387031</v>
          </cell>
          <cell r="N18">
            <v>667294.82700000121</v>
          </cell>
          <cell r="P18">
            <v>596</v>
          </cell>
          <cell r="Q18">
            <v>32.958776052074242</v>
          </cell>
          <cell r="R18">
            <v>4.4561369660387031</v>
          </cell>
          <cell r="S18">
            <v>667294.82700000121</v>
          </cell>
        </row>
        <row r="19">
          <cell r="C19" t="str">
            <v>A0438</v>
          </cell>
          <cell r="D19" t="str">
            <v>PT Agro Nusa Abadi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196</v>
          </cell>
          <cell r="L19">
            <v>29.616631046669177</v>
          </cell>
          <cell r="M19">
            <v>2.454203858134631</v>
          </cell>
          <cell r="N19">
            <v>299420.16700000002</v>
          </cell>
          <cell r="P19">
            <v>196</v>
          </cell>
          <cell r="Q19">
            <v>29.616631046669177</v>
          </cell>
          <cell r="R19">
            <v>2.454203858134631</v>
          </cell>
          <cell r="S19">
            <v>299420.16700000002</v>
          </cell>
        </row>
        <row r="20">
          <cell r="C20" t="str">
            <v>A0049</v>
          </cell>
          <cell r="D20" t="str">
            <v>PT Aisin Indonesia</v>
          </cell>
          <cell r="F20">
            <v>54</v>
          </cell>
          <cell r="G20">
            <v>43.198671635358842</v>
          </cell>
          <cell r="H20">
            <v>19.53618779628362</v>
          </cell>
          <cell r="I20">
            <v>374094.32799999998</v>
          </cell>
          <cell r="J20">
            <v>359058.22658333299</v>
          </cell>
          <cell r="K20">
            <v>788</v>
          </cell>
          <cell r="L20">
            <v>30.019025978312577</v>
          </cell>
          <cell r="M20">
            <v>7.8784540176570452</v>
          </cell>
          <cell r="N20">
            <v>1764436.548000003</v>
          </cell>
          <cell r="P20">
            <v>842</v>
          </cell>
          <cell r="Q20">
            <v>30.864276412374938</v>
          </cell>
          <cell r="R20">
            <v>8.6260996519157587</v>
          </cell>
          <cell r="S20">
            <v>2138530.8760000034</v>
          </cell>
        </row>
        <row r="21">
          <cell r="C21" t="str">
            <v>A0161</v>
          </cell>
          <cell r="D21" t="str">
            <v>PT Ardendi Jaya Sentosa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P21">
            <v>478</v>
          </cell>
          <cell r="Q21">
            <v>31.533488554580867</v>
          </cell>
          <cell r="R21">
            <v>3.4365468713754175</v>
          </cell>
          <cell r="S21">
            <v>485481.77</v>
          </cell>
        </row>
        <row r="22">
          <cell r="C22" t="str">
            <v>A0011</v>
          </cell>
          <cell r="D22" t="str">
            <v>PT Astra Agro Lestari Tbk - Parent</v>
          </cell>
          <cell r="F22">
            <v>5</v>
          </cell>
          <cell r="G22">
            <v>47.483641341546885</v>
          </cell>
          <cell r="H22">
            <v>18.817248459958932</v>
          </cell>
          <cell r="I22">
            <v>215656</v>
          </cell>
          <cell r="J22">
            <v>210538</v>
          </cell>
          <cell r="K22">
            <v>956</v>
          </cell>
          <cell r="L22">
            <v>37.184369621311703</v>
          </cell>
          <cell r="M22">
            <v>9.9524685046924279</v>
          </cell>
          <cell r="N22">
            <v>3494033.1450000005</v>
          </cell>
          <cell r="P22">
            <v>961</v>
          </cell>
          <cell r="Q22">
            <v>37.237955842540821</v>
          </cell>
          <cell r="R22">
            <v>9.9985911891631218</v>
          </cell>
          <cell r="S22">
            <v>3709689.1449999982</v>
          </cell>
        </row>
        <row r="23">
          <cell r="C23" t="str">
            <v>A0177</v>
          </cell>
          <cell r="D23" t="str">
            <v>PT Astra Auto Finance</v>
          </cell>
          <cell r="F23">
            <v>14</v>
          </cell>
          <cell r="G23">
            <v>43.128385645839444</v>
          </cell>
          <cell r="H23">
            <v>19.846484795150097</v>
          </cell>
          <cell r="I23">
            <v>58222</v>
          </cell>
          <cell r="J23">
            <v>46530.791666666701</v>
          </cell>
          <cell r="K23">
            <v>14</v>
          </cell>
          <cell r="L23">
            <v>36.14667057788207</v>
          </cell>
          <cell r="M23">
            <v>11.821061894983865</v>
          </cell>
          <cell r="N23">
            <v>67003</v>
          </cell>
          <cell r="P23">
            <v>28</v>
          </cell>
          <cell r="Q23">
            <v>39.637528111860767</v>
          </cell>
          <cell r="R23">
            <v>15.833773345066982</v>
          </cell>
          <cell r="S23">
            <v>125225</v>
          </cell>
        </row>
        <row r="24">
          <cell r="C24" t="str">
            <v>A0045</v>
          </cell>
          <cell r="D24" t="str">
            <v>PT Astra Daihatsu Motor</v>
          </cell>
          <cell r="F24">
            <v>345</v>
          </cell>
          <cell r="G24">
            <v>47.356525707030151</v>
          </cell>
          <cell r="H24">
            <v>24.192966897796818</v>
          </cell>
          <cell r="I24">
            <v>1925671</v>
          </cell>
          <cell r="J24">
            <v>1789263.625</v>
          </cell>
          <cell r="K24">
            <v>3911</v>
          </cell>
          <cell r="L24">
            <v>27.613566817192464</v>
          </cell>
          <cell r="M24">
            <v>6.134229942714069</v>
          </cell>
          <cell r="N24">
            <v>7409521</v>
          </cell>
          <cell r="P24">
            <v>4256</v>
          </cell>
          <cell r="Q24">
            <v>29.213971144493673</v>
          </cell>
          <cell r="R24">
            <v>7.5981078208869244</v>
          </cell>
          <cell r="S24">
            <v>9335192</v>
          </cell>
        </row>
        <row r="25">
          <cell r="C25" t="str">
            <v>A0371</v>
          </cell>
          <cell r="D25" t="str">
            <v>PT Astra Graphia Information Technology Tbk</v>
          </cell>
          <cell r="F25">
            <v>29</v>
          </cell>
          <cell r="G25">
            <v>44.710425074936865</v>
          </cell>
          <cell r="H25">
            <v>19.829497982015152</v>
          </cell>
          <cell r="I25">
            <v>399500</v>
          </cell>
          <cell r="J25">
            <v>381831.5</v>
          </cell>
          <cell r="K25">
            <v>251</v>
          </cell>
          <cell r="L25">
            <v>33.452980685062634</v>
          </cell>
          <cell r="M25">
            <v>5.9499824112175519</v>
          </cell>
          <cell r="N25">
            <v>1804037</v>
          </cell>
          <cell r="P25">
            <v>280</v>
          </cell>
          <cell r="Q25">
            <v>34.618930282585318</v>
          </cell>
          <cell r="R25">
            <v>7.3875036667644443</v>
          </cell>
          <cell r="S25">
            <v>2203537</v>
          </cell>
        </row>
        <row r="26">
          <cell r="C26" t="str">
            <v>A0014</v>
          </cell>
          <cell r="D26" t="str">
            <v>PT Astra Graphia Tbk</v>
          </cell>
          <cell r="F26">
            <v>376</v>
          </cell>
          <cell r="G26">
            <v>45.589293255857903</v>
          </cell>
          <cell r="H26">
            <v>23.266882199600964</v>
          </cell>
          <cell r="I26">
            <v>2001712</v>
          </cell>
          <cell r="J26">
            <v>2010799.54166667</v>
          </cell>
          <cell r="K26">
            <v>582</v>
          </cell>
          <cell r="L26">
            <v>33.668978786360626</v>
          </cell>
          <cell r="M26">
            <v>9.9795460906830709</v>
          </cell>
          <cell r="N26">
            <v>2033356</v>
          </cell>
          <cell r="P26">
            <v>958</v>
          </cell>
          <cell r="Q26">
            <v>38.347515571883584</v>
          </cell>
          <cell r="R26">
            <v>15.194617465373172</v>
          </cell>
          <cell r="S26">
            <v>4035068</v>
          </cell>
        </row>
        <row r="27">
          <cell r="C27" t="str">
            <v>A0060</v>
          </cell>
          <cell r="D27" t="str">
            <v>PT Astra Honda Motor</v>
          </cell>
          <cell r="F27">
            <v>1321</v>
          </cell>
          <cell r="G27">
            <v>47.655588319263309</v>
          </cell>
          <cell r="H27">
            <v>25.302240799261689</v>
          </cell>
          <cell r="I27">
            <v>8742252.3000000007</v>
          </cell>
          <cell r="J27">
            <v>7408404.4874999905</v>
          </cell>
          <cell r="K27">
            <v>8849</v>
          </cell>
          <cell r="L27">
            <v>30.051709304229625</v>
          </cell>
          <cell r="M27">
            <v>8.674730316359943</v>
          </cell>
          <cell r="N27">
            <v>22548728.28199951</v>
          </cell>
          <cell r="P27">
            <v>10170</v>
          </cell>
          <cell r="Q27">
            <v>32.338309518473402</v>
          </cell>
          <cell r="R27">
            <v>10.834508226675936</v>
          </cell>
          <cell r="S27">
            <v>31290980.581999499</v>
          </cell>
        </row>
        <row r="28">
          <cell r="C28" t="str">
            <v>A0316</v>
          </cell>
          <cell r="D28" t="str">
            <v>PT Astra Komponen Indonesia</v>
          </cell>
          <cell r="F28">
            <v>12</v>
          </cell>
          <cell r="G28">
            <v>46.698380104950957</v>
          </cell>
          <cell r="H28">
            <v>22.417750399269909</v>
          </cell>
          <cell r="I28">
            <v>208304</v>
          </cell>
          <cell r="J28">
            <v>202212.58333333299</v>
          </cell>
          <cell r="K28">
            <v>76</v>
          </cell>
          <cell r="L28">
            <v>34.451132965884938</v>
          </cell>
          <cell r="M28">
            <v>8.4477466767534892</v>
          </cell>
          <cell r="N28">
            <v>296613</v>
          </cell>
          <cell r="P28">
            <v>111</v>
          </cell>
          <cell r="Q28">
            <v>33.970611268352542</v>
          </cell>
          <cell r="R28">
            <v>8.4888173594539147</v>
          </cell>
          <cell r="S28">
            <v>597279</v>
          </cell>
        </row>
        <row r="29">
          <cell r="C29" t="str">
            <v>A0178</v>
          </cell>
          <cell r="D29" t="str">
            <v>PT Astra Mitra Ventura</v>
          </cell>
          <cell r="F29">
            <v>4</v>
          </cell>
          <cell r="G29">
            <v>47.150581793292261</v>
          </cell>
          <cell r="H29">
            <v>21.716632443531825</v>
          </cell>
          <cell r="I29">
            <v>59664.741999999998</v>
          </cell>
          <cell r="J29">
            <v>57245.8576666667</v>
          </cell>
          <cell r="K29">
            <v>12</v>
          </cell>
          <cell r="L29">
            <v>34.592516541181837</v>
          </cell>
          <cell r="M29">
            <v>8.4312114989733047</v>
          </cell>
          <cell r="N29">
            <v>53162.152000000002</v>
          </cell>
          <cell r="P29">
            <v>16</v>
          </cell>
          <cell r="Q29">
            <v>37.732032854209436</v>
          </cell>
          <cell r="R29">
            <v>11.752566735112936</v>
          </cell>
          <cell r="S29">
            <v>112826.894</v>
          </cell>
        </row>
        <row r="30">
          <cell r="C30" t="str">
            <v>A0020</v>
          </cell>
          <cell r="D30" t="str">
            <v>PT Astra Multi Finance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82</v>
          </cell>
          <cell r="L30">
            <v>33.832223168227571</v>
          </cell>
          <cell r="M30">
            <v>8.3244019298509198</v>
          </cell>
          <cell r="N30">
            <v>192131.76700000005</v>
          </cell>
          <cell r="P30">
            <v>82</v>
          </cell>
          <cell r="Q30">
            <v>33.832223168227571</v>
          </cell>
          <cell r="R30">
            <v>8.3244019298509198</v>
          </cell>
          <cell r="S30">
            <v>192131.76700000005</v>
          </cell>
        </row>
        <row r="31">
          <cell r="C31" t="str">
            <v>A0306</v>
          </cell>
          <cell r="D31" t="str">
            <v>PT Astra Nippon Gasket Indonesia</v>
          </cell>
          <cell r="F31">
            <v>22</v>
          </cell>
          <cell r="G31">
            <v>43.797274593989172</v>
          </cell>
          <cell r="H31">
            <v>20.660693174040194</v>
          </cell>
          <cell r="I31">
            <v>67818.78</v>
          </cell>
          <cell r="J31">
            <v>62412.093333333301</v>
          </cell>
          <cell r="K31">
            <v>111</v>
          </cell>
          <cell r="L31">
            <v>32.616337076296027</v>
          </cell>
          <cell r="M31">
            <v>9.3544468493133746</v>
          </cell>
          <cell r="N31">
            <v>297034.73</v>
          </cell>
          <cell r="P31">
            <v>133</v>
          </cell>
          <cell r="Q31">
            <v>34.465815462681363</v>
          </cell>
          <cell r="R31">
            <v>11.224653008290744</v>
          </cell>
          <cell r="S31">
            <v>364853.51</v>
          </cell>
        </row>
        <row r="32">
          <cell r="C32" t="str">
            <v>A0172</v>
          </cell>
          <cell r="D32" t="str">
            <v>PT Astra Nissan Diesel Indonesia</v>
          </cell>
          <cell r="F32">
            <v>16</v>
          </cell>
          <cell r="G32">
            <v>47.291581108829568</v>
          </cell>
          <cell r="H32">
            <v>22.328542094455848</v>
          </cell>
          <cell r="I32">
            <v>183115</v>
          </cell>
          <cell r="J32">
            <v>176340.41666666701</v>
          </cell>
          <cell r="K32">
            <v>52</v>
          </cell>
          <cell r="L32">
            <v>35.853524982888445</v>
          </cell>
          <cell r="M32">
            <v>10.48149318169852</v>
          </cell>
          <cell r="N32">
            <v>214511</v>
          </cell>
          <cell r="P32">
            <v>68</v>
          </cell>
          <cell r="Q32">
            <v>38.544832306639286</v>
          </cell>
          <cell r="R32">
            <v>13.2690341023473</v>
          </cell>
          <cell r="S32">
            <v>397626</v>
          </cell>
        </row>
        <row r="33">
          <cell r="C33" t="str">
            <v>A0317</v>
          </cell>
          <cell r="D33" t="str">
            <v>PT Astra Otoparts Tbk - HO</v>
          </cell>
          <cell r="F33">
            <v>53</v>
          </cell>
          <cell r="G33">
            <v>47.061588728319954</v>
          </cell>
          <cell r="H33">
            <v>22.71563803546292</v>
          </cell>
          <cell r="I33">
            <v>801035</v>
          </cell>
          <cell r="J33">
            <v>746972.61666666646</v>
          </cell>
          <cell r="K33">
            <v>466</v>
          </cell>
          <cell r="L33">
            <v>32.549162341038674</v>
          </cell>
          <cell r="M33">
            <v>8.0089420791802919</v>
          </cell>
          <cell r="N33">
            <v>1752068</v>
          </cell>
          <cell r="P33">
            <v>519</v>
          </cell>
          <cell r="Q33">
            <v>34.031163494267801</v>
          </cell>
          <cell r="R33">
            <v>9.5107819359875858</v>
          </cell>
          <cell r="S33">
            <v>2553103</v>
          </cell>
        </row>
        <row r="34">
          <cell r="C34" t="str">
            <v>Nm</v>
          </cell>
          <cell r="D34" t="str">
            <v>PT Astra Otoparts Tbk - Div. Nusametal</v>
          </cell>
          <cell r="F34">
            <v>27</v>
          </cell>
          <cell r="G34">
            <v>43.318275154004112</v>
          </cell>
          <cell r="H34">
            <v>20.433594443176926</v>
          </cell>
          <cell r="I34">
            <v>185931</v>
          </cell>
          <cell r="J34">
            <v>175228.64666666702</v>
          </cell>
          <cell r="K34">
            <v>465</v>
          </cell>
          <cell r="L34">
            <v>33.944221442081954</v>
          </cell>
          <cell r="M34">
            <v>12.188346470601244</v>
          </cell>
          <cell r="N34">
            <v>1140295.5</v>
          </cell>
          <cell r="P34">
            <v>496</v>
          </cell>
          <cell r="Q34">
            <v>34.477506568633927</v>
          </cell>
          <cell r="R34">
            <v>12.566094809123266</v>
          </cell>
          <cell r="S34">
            <v>1335776</v>
          </cell>
        </row>
        <row r="35">
          <cell r="C35" t="str">
            <v>Ap</v>
          </cell>
          <cell r="D35" t="str">
            <v>PT Astra Otoparts Tbk - Div. Adiwira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777</v>
          </cell>
          <cell r="L35">
            <v>32.123252616065798</v>
          </cell>
          <cell r="M35">
            <v>9.61396127720562</v>
          </cell>
          <cell r="N35">
            <v>1542670.2184799979</v>
          </cell>
          <cell r="P35">
            <v>777</v>
          </cell>
          <cell r="Q35">
            <v>32.123252616065798</v>
          </cell>
          <cell r="R35">
            <v>9.61396127720562</v>
          </cell>
          <cell r="S35">
            <v>1542670.2184799979</v>
          </cell>
        </row>
        <row r="36">
          <cell r="C36" t="str">
            <v>We</v>
          </cell>
          <cell r="D36" t="str">
            <v>PT Astra Otoparts Tbk - Div. Winteq</v>
          </cell>
          <cell r="F36">
            <v>2</v>
          </cell>
          <cell r="G36">
            <v>42.249144421629019</v>
          </cell>
          <cell r="H36">
            <v>18.6652977412731</v>
          </cell>
          <cell r="I36">
            <v>17048</v>
          </cell>
          <cell r="J36">
            <v>14710.791666666701</v>
          </cell>
          <cell r="K36">
            <v>61</v>
          </cell>
          <cell r="L36">
            <v>30.108324637290874</v>
          </cell>
          <cell r="M36">
            <v>7.1548568799721739</v>
          </cell>
          <cell r="N36">
            <v>210653</v>
          </cell>
          <cell r="P36">
            <v>63</v>
          </cell>
          <cell r="Q36">
            <v>30.493747487587328</v>
          </cell>
          <cell r="R36">
            <v>7.5202677009658538</v>
          </cell>
          <cell r="S36">
            <v>227701</v>
          </cell>
        </row>
        <row r="37">
          <cell r="C37" t="str">
            <v>A0024</v>
          </cell>
          <cell r="D37" t="str">
            <v>PT Astra Sedaya Finance</v>
          </cell>
          <cell r="F37">
            <v>224</v>
          </cell>
          <cell r="G37">
            <v>44.1309157133079</v>
          </cell>
          <cell r="H37">
            <v>20.006563508360212</v>
          </cell>
          <cell r="I37">
            <v>1376608.16</v>
          </cell>
          <cell r="J37">
            <v>1109283.8125</v>
          </cell>
          <cell r="K37">
            <v>1315</v>
          </cell>
          <cell r="L37">
            <v>33.282267731617694</v>
          </cell>
          <cell r="M37">
            <v>7.2592187756185735</v>
          </cell>
          <cell r="N37">
            <v>4150763.5</v>
          </cell>
          <cell r="P37">
            <v>1540</v>
          </cell>
          <cell r="Q37">
            <v>34.873975306008084</v>
          </cell>
          <cell r="R37">
            <v>9.1170840111291991</v>
          </cell>
          <cell r="S37">
            <v>5528686.6600000001</v>
          </cell>
        </row>
        <row r="38">
          <cell r="C38" t="str">
            <v>A0224</v>
          </cell>
          <cell r="D38" t="str">
            <v>PT Astratel Nusantara</v>
          </cell>
          <cell r="F38">
            <v>8</v>
          </cell>
          <cell r="G38">
            <v>49.388774811772763</v>
          </cell>
          <cell r="H38">
            <v>22.996577686516087</v>
          </cell>
          <cell r="I38">
            <v>247739.8</v>
          </cell>
          <cell r="J38">
            <v>219710.6</v>
          </cell>
          <cell r="K38">
            <v>24</v>
          </cell>
          <cell r="L38">
            <v>39.105863563769098</v>
          </cell>
          <cell r="M38">
            <v>10.346338124572211</v>
          </cell>
          <cell r="N38">
            <v>295897.09999999998</v>
          </cell>
          <cell r="P38">
            <v>32</v>
          </cell>
          <cell r="Q38">
            <v>41.67659137577003</v>
          </cell>
          <cell r="R38">
            <v>13.508898015058177</v>
          </cell>
          <cell r="S38">
            <v>543636.9</v>
          </cell>
        </row>
        <row r="39">
          <cell r="C39" t="str">
            <v>A0026</v>
          </cell>
          <cell r="D39" t="str">
            <v>PT Asuransi Astra Buana</v>
          </cell>
          <cell r="F39">
            <v>64</v>
          </cell>
          <cell r="G39">
            <v>47.877652292950046</v>
          </cell>
          <cell r="H39">
            <v>21.749315537303229</v>
          </cell>
          <cell r="I39">
            <v>705442</v>
          </cell>
          <cell r="J39">
            <v>676150.91666666698</v>
          </cell>
          <cell r="K39">
            <v>577</v>
          </cell>
          <cell r="L39">
            <v>36.320655945394812</v>
          </cell>
          <cell r="M39">
            <v>10.182375500743197</v>
          </cell>
          <cell r="N39">
            <v>2877806.8059999999</v>
          </cell>
          <cell r="P39">
            <v>643</v>
          </cell>
          <cell r="Q39">
            <v>37.433313853290791</v>
          </cell>
          <cell r="R39">
            <v>11.303559738264886</v>
          </cell>
          <cell r="S39">
            <v>3589498.8059999999</v>
          </cell>
        </row>
        <row r="40">
          <cell r="C40" t="str">
            <v>A0038</v>
          </cell>
          <cell r="D40" t="str">
            <v>PT AT Indonesia</v>
          </cell>
          <cell r="F40">
            <v>49</v>
          </cell>
          <cell r="G40">
            <v>43.664976462864409</v>
          </cell>
          <cell r="H40">
            <v>21.591361801394076</v>
          </cell>
          <cell r="I40">
            <v>181367.5</v>
          </cell>
          <cell r="J40">
            <v>150014.53750000001</v>
          </cell>
          <cell r="K40">
            <v>405</v>
          </cell>
          <cell r="L40">
            <v>31.293627736794537</v>
          </cell>
          <cell r="M40">
            <v>9.0182100877971294</v>
          </cell>
          <cell r="N40">
            <v>985532</v>
          </cell>
          <cell r="P40">
            <v>454</v>
          </cell>
          <cell r="Q40">
            <v>32.62886140987257</v>
          </cell>
          <cell r="R40">
            <v>10.375224259528975</v>
          </cell>
          <cell r="S40">
            <v>1166899.4999999932</v>
          </cell>
        </row>
        <row r="41">
          <cell r="C41" t="str">
            <v>A0331</v>
          </cell>
          <cell r="D41" t="str">
            <v>PT Bhadra Cemerlang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217</v>
          </cell>
          <cell r="L41">
            <v>33.865485731949292</v>
          </cell>
          <cell r="M41">
            <v>3.2291877604191326</v>
          </cell>
          <cell r="N41">
            <v>268595.3699999993</v>
          </cell>
          <cell r="P41">
            <v>217</v>
          </cell>
          <cell r="Q41">
            <v>33.865485731949292</v>
          </cell>
          <cell r="R41">
            <v>3.2291877604191326</v>
          </cell>
          <cell r="S41">
            <v>268595.3699999993</v>
          </cell>
        </row>
        <row r="42">
          <cell r="C42" t="str">
            <v>A0398</v>
          </cell>
          <cell r="D42" t="str">
            <v>PT Bhadra Sukses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92</v>
          </cell>
          <cell r="L42">
            <v>37.921197512126909</v>
          </cell>
          <cell r="M42">
            <v>10.910841293932089</v>
          </cell>
          <cell r="N42">
            <v>127940.17399999998</v>
          </cell>
          <cell r="P42">
            <v>92</v>
          </cell>
          <cell r="Q42">
            <v>37.921197512126909</v>
          </cell>
          <cell r="R42">
            <v>10.910841293932089</v>
          </cell>
          <cell r="S42">
            <v>127940.17399999998</v>
          </cell>
        </row>
        <row r="43">
          <cell r="C43" t="str">
            <v>A0210</v>
          </cell>
          <cell r="D43" t="str">
            <v>PT Bina Pertiwi</v>
          </cell>
          <cell r="F43">
            <v>23</v>
          </cell>
          <cell r="G43">
            <v>47.931434693330957</v>
          </cell>
          <cell r="H43">
            <v>23.267089247983812</v>
          </cell>
          <cell r="I43">
            <v>148584</v>
          </cell>
          <cell r="J43">
            <v>117017.95833333299</v>
          </cell>
          <cell r="K43">
            <v>56</v>
          </cell>
          <cell r="L43">
            <v>32.394250513347025</v>
          </cell>
          <cell r="M43">
            <v>8.5340275740686398</v>
          </cell>
          <cell r="N43">
            <v>177854.4</v>
          </cell>
          <cell r="P43">
            <v>102</v>
          </cell>
          <cell r="Q43">
            <v>34.881749003502847</v>
          </cell>
          <cell r="R43">
            <v>10.328461569432701</v>
          </cell>
          <cell r="S43">
            <v>417219.4</v>
          </cell>
        </row>
        <row r="44">
          <cell r="C44" t="str">
            <v>A0415</v>
          </cell>
          <cell r="D44" t="str">
            <v>PT Borneo Indah Marjaya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72</v>
          </cell>
          <cell r="L44">
            <v>30.800250969655476</v>
          </cell>
          <cell r="M44">
            <v>2.8931097421857173</v>
          </cell>
          <cell r="N44">
            <v>150655.46600000001</v>
          </cell>
          <cell r="P44">
            <v>72</v>
          </cell>
          <cell r="Q44">
            <v>30.800250969655476</v>
          </cell>
          <cell r="R44">
            <v>2.8931097421857173</v>
          </cell>
          <cell r="S44">
            <v>150655.46600000001</v>
          </cell>
        </row>
        <row r="45">
          <cell r="C45" t="str">
            <v>A0232</v>
          </cell>
          <cell r="D45" t="str">
            <v>PT Brahmayasa Bahtera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2</v>
          </cell>
          <cell r="Q45">
            <v>37.937029431895965</v>
          </cell>
          <cell r="R45">
            <v>14.451745379876797</v>
          </cell>
          <cell r="S45">
            <v>6977</v>
          </cell>
        </row>
        <row r="46">
          <cell r="C46" t="str">
            <v>A0248</v>
          </cell>
          <cell r="D46" t="str">
            <v>PT Cakradenta Agung Pertiwi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164</v>
          </cell>
          <cell r="L46">
            <v>35.572127343450056</v>
          </cell>
          <cell r="M46">
            <v>7.384567870319354</v>
          </cell>
          <cell r="N46">
            <v>196753.47699999998</v>
          </cell>
          <cell r="P46">
            <v>164</v>
          </cell>
          <cell r="Q46">
            <v>35.572127343450056</v>
          </cell>
          <cell r="R46">
            <v>7.384567870319354</v>
          </cell>
          <cell r="S46">
            <v>196753.47699999998</v>
          </cell>
        </row>
        <row r="47">
          <cell r="C47" t="str">
            <v>A0247</v>
          </cell>
          <cell r="D47" t="str">
            <v>PT Cakung Permata Nusa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504</v>
          </cell>
          <cell r="L47">
            <v>34.428310680877409</v>
          </cell>
          <cell r="M47">
            <v>7.1459535217235466</v>
          </cell>
          <cell r="N47">
            <v>720968.53700000036</v>
          </cell>
          <cell r="P47">
            <v>504</v>
          </cell>
          <cell r="Q47">
            <v>34.428310680877409</v>
          </cell>
          <cell r="R47">
            <v>7.1459535217235466</v>
          </cell>
          <cell r="S47">
            <v>720968.53700000036</v>
          </cell>
        </row>
        <row r="48">
          <cell r="C48" t="str">
            <v>A0037</v>
          </cell>
          <cell r="D48" t="str">
            <v>PT Century Batteries Indonesia</v>
          </cell>
          <cell r="F48">
            <v>73</v>
          </cell>
          <cell r="G48">
            <v>49.946461890429724</v>
          </cell>
          <cell r="H48">
            <v>27.475682821861557</v>
          </cell>
          <cell r="I48">
            <v>334572.875</v>
          </cell>
          <cell r="J48">
            <v>262402.203125</v>
          </cell>
          <cell r="K48">
            <v>259</v>
          </cell>
          <cell r="L48">
            <v>34.819352059598472</v>
          </cell>
          <cell r="M48">
            <v>12.52588933903103</v>
          </cell>
          <cell r="N48">
            <v>764999.25</v>
          </cell>
          <cell r="P48">
            <v>332</v>
          </cell>
          <cell r="Q48">
            <v>38.145493679028242</v>
          </cell>
          <cell r="R48">
            <v>15.813042725316027</v>
          </cell>
          <cell r="S48">
            <v>1099572.125</v>
          </cell>
        </row>
        <row r="49">
          <cell r="C49" t="str">
            <v>A0445</v>
          </cell>
          <cell r="D49" t="str">
            <v>PT Citra Agro Nusantara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140</v>
          </cell>
          <cell r="L49">
            <v>30.674958443336273</v>
          </cell>
          <cell r="M49">
            <v>2.8801212476777152</v>
          </cell>
          <cell r="N49">
            <v>192217.86500000005</v>
          </cell>
          <cell r="P49">
            <v>140</v>
          </cell>
          <cell r="Q49">
            <v>30.674958443336273</v>
          </cell>
          <cell r="R49">
            <v>2.8801212476777152</v>
          </cell>
          <cell r="S49">
            <v>192217.86500000005</v>
          </cell>
        </row>
        <row r="50">
          <cell r="C50" t="str">
            <v>A0008</v>
          </cell>
          <cell r="D50" t="str">
            <v>PT Daya Mitra Serasi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K50">
            <v>63</v>
          </cell>
          <cell r="L50">
            <v>38.033180144063095</v>
          </cell>
          <cell r="M50">
            <v>8.5365752963288895</v>
          </cell>
          <cell r="N50">
            <v>159915</v>
          </cell>
          <cell r="P50">
            <v>63</v>
          </cell>
          <cell r="Q50">
            <v>38.033180144063095</v>
          </cell>
          <cell r="R50">
            <v>8.5365752963288895</v>
          </cell>
          <cell r="S50">
            <v>159915</v>
          </cell>
        </row>
        <row r="51">
          <cell r="C51" t="str">
            <v>A0051</v>
          </cell>
          <cell r="D51" t="str">
            <v>PT DIC Astra Chemicals</v>
          </cell>
          <cell r="F51">
            <v>35</v>
          </cell>
          <cell r="G51">
            <v>42.914324826439831</v>
          </cell>
          <cell r="H51">
            <v>19.501085362276321</v>
          </cell>
          <cell r="I51">
            <v>188551.19700000007</v>
          </cell>
          <cell r="J51">
            <v>170260.0916666667</v>
          </cell>
          <cell r="K51">
            <v>162</v>
          </cell>
          <cell r="L51">
            <v>35.234263695591572</v>
          </cell>
          <cell r="M51">
            <v>12.336417640547227</v>
          </cell>
          <cell r="N51">
            <v>345843.8</v>
          </cell>
          <cell r="P51">
            <v>197</v>
          </cell>
          <cell r="Q51">
            <v>36.594655631877202</v>
          </cell>
          <cell r="R51">
            <v>13.692214149963347</v>
          </cell>
          <cell r="S51">
            <v>534394.99699999997</v>
          </cell>
        </row>
        <row r="52">
          <cell r="C52" t="str">
            <v>A0239</v>
          </cell>
          <cell r="D52" t="str">
            <v>PT Astra Daido Steel Indonesia (d/h PT Dirgamenara Nusadwipa)</v>
          </cell>
          <cell r="F52">
            <v>1</v>
          </cell>
          <cell r="G52">
            <v>54.176591375770023</v>
          </cell>
          <cell r="H52">
            <v>2.9979466119096507</v>
          </cell>
          <cell r="I52">
            <v>26910.444</v>
          </cell>
          <cell r="J52">
            <v>20597.458333333299</v>
          </cell>
          <cell r="K52">
            <v>77</v>
          </cell>
          <cell r="L52">
            <v>32.889659279803027</v>
          </cell>
          <cell r="M52">
            <v>9.0730952825408657</v>
          </cell>
          <cell r="N52">
            <v>209028.78199999998</v>
          </cell>
          <cell r="P52">
            <v>80</v>
          </cell>
          <cell r="Q52">
            <v>32.916495550992479</v>
          </cell>
          <cell r="R52">
            <v>8.794147843942504</v>
          </cell>
          <cell r="S52">
            <v>240204</v>
          </cell>
        </row>
        <row r="53">
          <cell r="C53" t="str">
            <v xml:space="preserve">A0054 </v>
          </cell>
          <cell r="D53" t="str">
            <v>PT Ekadura Indonesia &amp; Ekadura Dumai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1481</v>
          </cell>
          <cell r="L53">
            <v>33.574487889262151</v>
          </cell>
          <cell r="M53">
            <v>6.3569660139545423</v>
          </cell>
          <cell r="N53">
            <v>2010813.7946900018</v>
          </cell>
          <cell r="P53">
            <v>1481</v>
          </cell>
          <cell r="Q53">
            <v>33.574487889262151</v>
          </cell>
          <cell r="R53">
            <v>6.3569660139545423</v>
          </cell>
          <cell r="S53">
            <v>2010813.7946900018</v>
          </cell>
        </row>
        <row r="54">
          <cell r="C54" t="str">
            <v>A0266</v>
          </cell>
          <cell r="D54" t="str">
            <v>PT Ekadura Perdana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5</v>
          </cell>
          <cell r="L54">
            <v>36.753456536618749</v>
          </cell>
          <cell r="M54">
            <v>7.4266940451745374</v>
          </cell>
          <cell r="N54">
            <v>28940.147000000001</v>
          </cell>
          <cell r="P54">
            <v>5</v>
          </cell>
          <cell r="Q54">
            <v>36.753456536618749</v>
          </cell>
          <cell r="R54">
            <v>7.4266940451745374</v>
          </cell>
          <cell r="S54">
            <v>28940.147000000001</v>
          </cell>
        </row>
        <row r="55">
          <cell r="C55" t="str">
            <v>A0062</v>
          </cell>
          <cell r="D55" t="str">
            <v>PT FCSM Manufacturing Indonesia</v>
          </cell>
          <cell r="F55">
            <v>95</v>
          </cell>
          <cell r="G55">
            <v>44.928823084405053</v>
          </cell>
          <cell r="H55">
            <v>21.313130876472503</v>
          </cell>
          <cell r="I55">
            <v>352132.02800000017</v>
          </cell>
          <cell r="J55">
            <v>314914.57687500003</v>
          </cell>
          <cell r="K55">
            <v>478</v>
          </cell>
          <cell r="L55">
            <v>32.648567067320776</v>
          </cell>
          <cell r="M55">
            <v>9.6060931499317253</v>
          </cell>
          <cell r="N55">
            <v>1081538.7070000002</v>
          </cell>
          <cell r="P55">
            <v>573</v>
          </cell>
          <cell r="Q55">
            <v>34.684560647814656</v>
          </cell>
          <cell r="R55">
            <v>11.547050539148817</v>
          </cell>
          <cell r="S55">
            <v>1433670.7350000022</v>
          </cell>
        </row>
        <row r="56">
          <cell r="C56" t="str">
            <v>A0098</v>
          </cell>
          <cell r="D56" t="str">
            <v>PT Federal International Finance</v>
          </cell>
          <cell r="F56">
            <v>48</v>
          </cell>
          <cell r="G56">
            <v>45.59531143052704</v>
          </cell>
          <cell r="H56">
            <v>20.746577686516087</v>
          </cell>
          <cell r="I56">
            <v>730308.61499999999</v>
          </cell>
          <cell r="J56">
            <v>691027.85</v>
          </cell>
          <cell r="K56">
            <v>10809</v>
          </cell>
          <cell r="L56">
            <v>29.753808095505079</v>
          </cell>
          <cell r="M56">
            <v>4.9018798123017957</v>
          </cell>
          <cell r="N56">
            <v>14592442.366000185</v>
          </cell>
          <cell r="P56">
            <v>10857</v>
          </cell>
          <cell r="Q56">
            <v>29.823845137052569</v>
          </cell>
          <cell r="R56">
            <v>4.9719309772610201</v>
          </cell>
          <cell r="S56">
            <v>15322750.981000185</v>
          </cell>
        </row>
        <row r="57">
          <cell r="C57" t="str">
            <v>A0059</v>
          </cell>
          <cell r="D57" t="str">
            <v>PT Federal Izumi Manufacturing</v>
          </cell>
          <cell r="F57">
            <v>31</v>
          </cell>
          <cell r="G57">
            <v>44.155174317193264</v>
          </cell>
          <cell r="H57">
            <v>20.489015477688721</v>
          </cell>
          <cell r="I57">
            <v>141149</v>
          </cell>
          <cell r="J57">
            <v>130530.085083333</v>
          </cell>
          <cell r="K57">
            <v>380</v>
          </cell>
          <cell r="L57">
            <v>35.58410605569366</v>
          </cell>
          <cell r="M57">
            <v>13.227623473468086</v>
          </cell>
          <cell r="N57">
            <v>891779.8</v>
          </cell>
          <cell r="P57">
            <v>411</v>
          </cell>
          <cell r="Q57">
            <v>36.230585656925982</v>
          </cell>
          <cell r="R57">
            <v>13.775319707363071</v>
          </cell>
          <cell r="S57">
            <v>1032928.8</v>
          </cell>
        </row>
        <row r="58">
          <cell r="C58" t="str">
            <v>A0274</v>
          </cell>
          <cell r="D58" t="str">
            <v>PT Federal Nittan Industries</v>
          </cell>
          <cell r="F58">
            <v>10</v>
          </cell>
          <cell r="G58">
            <v>44.24</v>
          </cell>
          <cell r="H58">
            <v>20.76</v>
          </cell>
          <cell r="I58">
            <v>122199</v>
          </cell>
          <cell r="J58">
            <v>96856.062999999995</v>
          </cell>
          <cell r="K58">
            <v>348</v>
          </cell>
          <cell r="L58">
            <v>28.79</v>
          </cell>
          <cell r="M58">
            <v>7.03</v>
          </cell>
          <cell r="N58">
            <v>658012</v>
          </cell>
          <cell r="P58">
            <v>358</v>
          </cell>
          <cell r="Q58">
            <v>29.220867317479772</v>
          </cell>
          <cell r="R58">
            <v>7.413006320764465</v>
          </cell>
          <cell r="S58">
            <v>780210</v>
          </cell>
        </row>
        <row r="59">
          <cell r="C59" t="str">
            <v>A0275</v>
          </cell>
          <cell r="D59" t="str">
            <v>PT Fuji Technica Indonesia</v>
          </cell>
          <cell r="F59">
            <v>22</v>
          </cell>
          <cell r="G59">
            <v>47.549374649990661</v>
          </cell>
          <cell r="H59">
            <v>22.123576628710101</v>
          </cell>
          <cell r="I59">
            <v>165853</v>
          </cell>
          <cell r="J59">
            <v>156560.16666666701</v>
          </cell>
          <cell r="K59">
            <v>154</v>
          </cell>
          <cell r="L59">
            <v>36.135665839977925</v>
          </cell>
          <cell r="M59">
            <v>12.128270087202319</v>
          </cell>
          <cell r="N59">
            <v>366653</v>
          </cell>
          <cell r="P59">
            <v>176</v>
          </cell>
          <cell r="Q59">
            <v>37.562379441229503</v>
          </cell>
          <cell r="R59">
            <v>13.377683404890792</v>
          </cell>
          <cell r="S59">
            <v>532506</v>
          </cell>
        </row>
        <row r="60">
          <cell r="C60" t="str">
            <v>A0065</v>
          </cell>
          <cell r="D60" t="str">
            <v>PT Gaya Motor</v>
          </cell>
          <cell r="F60">
            <v>149</v>
          </cell>
          <cell r="G60">
            <v>48.399046345933854</v>
          </cell>
          <cell r="H60">
            <v>25.725084868780701</v>
          </cell>
          <cell r="I60">
            <v>578010</v>
          </cell>
          <cell r="J60">
            <v>535450.41666666698</v>
          </cell>
          <cell r="K60">
            <v>544</v>
          </cell>
          <cell r="L60">
            <v>36.651744373314017</v>
          </cell>
          <cell r="M60">
            <v>12.699822844949065</v>
          </cell>
          <cell r="N60">
            <v>1113745</v>
          </cell>
          <cell r="P60">
            <v>693</v>
          </cell>
          <cell r="Q60">
            <v>39.177499054295794</v>
          </cell>
          <cell r="R60">
            <v>15.500348157432311</v>
          </cell>
          <cell r="S60">
            <v>1691755</v>
          </cell>
        </row>
        <row r="61">
          <cell r="C61" t="str">
            <v>A0070</v>
          </cell>
          <cell r="D61" t="str">
            <v>PT GS Battery</v>
          </cell>
          <cell r="F61">
            <v>304</v>
          </cell>
          <cell r="G61">
            <v>47.638675744803493</v>
          </cell>
          <cell r="H61">
            <v>26.234005187506728</v>
          </cell>
          <cell r="I61">
            <v>1332691.0999999901</v>
          </cell>
          <cell r="J61">
            <v>1011413.49916667</v>
          </cell>
          <cell r="K61">
            <v>1053</v>
          </cell>
          <cell r="L61">
            <v>32.888855088261899</v>
          </cell>
          <cell r="M61">
            <v>10.966647231306284</v>
          </cell>
          <cell r="N61">
            <v>2780352.6999999387</v>
          </cell>
          <cell r="P61">
            <v>1357</v>
          </cell>
          <cell r="Q61">
            <v>36.193162737184927</v>
          </cell>
          <cell r="R61">
            <v>14.386895439622114</v>
          </cell>
          <cell r="S61">
            <v>4113043.7999998638</v>
          </cell>
        </row>
        <row r="62">
          <cell r="C62" t="str">
            <v>A0254</v>
          </cell>
          <cell r="D62" t="str">
            <v>PT Gunung Sejahtera Dua Indah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1018</v>
          </cell>
          <cell r="L62">
            <v>31.375417703782283</v>
          </cell>
          <cell r="M62">
            <v>4.030912433150589</v>
          </cell>
          <cell r="N62">
            <v>1405988.5679999937</v>
          </cell>
          <cell r="P62">
            <v>1018</v>
          </cell>
          <cell r="Q62">
            <v>31.375417703782283</v>
          </cell>
          <cell r="R62">
            <v>4.030912433150589</v>
          </cell>
          <cell r="S62">
            <v>1405988.5679999937</v>
          </cell>
        </row>
        <row r="63">
          <cell r="C63" t="str">
            <v>A0256</v>
          </cell>
          <cell r="D63" t="str">
            <v>PT Gunung Sejahtera Ibu Pertiwi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904</v>
          </cell>
          <cell r="L63">
            <v>32.891545977115911</v>
          </cell>
          <cell r="M63">
            <v>5.5788797829102448</v>
          </cell>
          <cell r="N63">
            <v>1323278.5509999949</v>
          </cell>
          <cell r="P63">
            <v>904</v>
          </cell>
          <cell r="Q63">
            <v>32.891545977115911</v>
          </cell>
          <cell r="R63">
            <v>5.5788797829102448</v>
          </cell>
          <cell r="S63">
            <v>1323278.5509999949</v>
          </cell>
        </row>
        <row r="64">
          <cell r="C64" t="str">
            <v>A0250</v>
          </cell>
          <cell r="D64" t="str">
            <v>PT Gunung Sejahtera Puti Pesona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1002</v>
          </cell>
          <cell r="L64">
            <v>32.534779858489721</v>
          </cell>
          <cell r="M64">
            <v>4.728825716124212</v>
          </cell>
          <cell r="N64">
            <v>1370419.9122399983</v>
          </cell>
          <cell r="P64">
            <v>1002</v>
          </cell>
          <cell r="Q64">
            <v>32.534779858489721</v>
          </cell>
          <cell r="R64">
            <v>4.728825716124212</v>
          </cell>
          <cell r="S64">
            <v>1370419.9122399983</v>
          </cell>
        </row>
        <row r="65">
          <cell r="C65" t="str">
            <v>A0252</v>
          </cell>
          <cell r="D65" t="str">
            <v>PT Gunung Sejahtera Yoli Makmur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414</v>
          </cell>
          <cell r="L65">
            <v>31.657027976999402</v>
          </cell>
          <cell r="M65">
            <v>3.768883069302674</v>
          </cell>
          <cell r="N65">
            <v>489592.94700000045</v>
          </cell>
          <cell r="P65">
            <v>414</v>
          </cell>
          <cell r="Q65">
            <v>31.657027976999402</v>
          </cell>
          <cell r="R65">
            <v>3.768883069302674</v>
          </cell>
          <cell r="S65">
            <v>489592.94700000045</v>
          </cell>
        </row>
        <row r="66">
          <cell r="C66" t="str">
            <v>A0077</v>
          </cell>
          <cell r="D66" t="str">
            <v>PT Indokarlo Perkasa</v>
          </cell>
          <cell r="F66">
            <v>1</v>
          </cell>
          <cell r="G66">
            <v>42.543463381245722</v>
          </cell>
          <cell r="H66">
            <v>2.9979466119096543</v>
          </cell>
          <cell r="I66">
            <v>17966</v>
          </cell>
          <cell r="J66">
            <v>16882.166666666701</v>
          </cell>
          <cell r="K66">
            <v>453</v>
          </cell>
          <cell r="L66">
            <v>33.198374816607839</v>
          </cell>
          <cell r="M66">
            <v>10.542550764316685</v>
          </cell>
          <cell r="N66">
            <v>919869.80000000098</v>
          </cell>
          <cell r="P66">
            <v>454</v>
          </cell>
          <cell r="Q66">
            <v>33.21895871212466</v>
          </cell>
          <cell r="R66">
            <v>10.525932693496404</v>
          </cell>
          <cell r="S66">
            <v>937835.80000000098</v>
          </cell>
        </row>
        <row r="67">
          <cell r="C67" t="str">
            <v>A0079</v>
          </cell>
          <cell r="D67" t="str">
            <v>PT Intertel Nusaperdana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4</v>
          </cell>
          <cell r="L67">
            <v>38.946611909650926</v>
          </cell>
          <cell r="M67">
            <v>14.93634496919918</v>
          </cell>
          <cell r="N67">
            <v>22887</v>
          </cell>
          <cell r="P67">
            <v>4</v>
          </cell>
          <cell r="Q67">
            <v>38.946611909650926</v>
          </cell>
          <cell r="R67">
            <v>14.93634496919918</v>
          </cell>
          <cell r="S67">
            <v>22887</v>
          </cell>
        </row>
        <row r="68">
          <cell r="C68" t="str">
            <v>A0081</v>
          </cell>
          <cell r="D68" t="str">
            <v>PT Inti Pantja Press Industry</v>
          </cell>
          <cell r="F68">
            <v>66</v>
          </cell>
          <cell r="G68">
            <v>45.280069690747304</v>
          </cell>
          <cell r="H68">
            <v>19.23576628710099</v>
          </cell>
          <cell r="I68">
            <v>248668</v>
          </cell>
          <cell r="J68">
            <v>229894.16666666701</v>
          </cell>
          <cell r="K68">
            <v>118</v>
          </cell>
          <cell r="L68">
            <v>37.345630459750119</v>
          </cell>
          <cell r="M68">
            <v>12.642095615958421</v>
          </cell>
          <cell r="N68">
            <v>340448</v>
          </cell>
          <cell r="P68">
            <v>184</v>
          </cell>
          <cell r="Q68">
            <v>40.191679314346949</v>
          </cell>
          <cell r="R68">
            <v>15.007216617563888</v>
          </cell>
          <cell r="S68">
            <v>589116</v>
          </cell>
        </row>
        <row r="69">
          <cell r="C69" t="str">
            <v>A0115</v>
          </cell>
          <cell r="D69" t="str">
            <v>PT Isuzu Astra Motor Indonesia (d/h Pantja Motor)</v>
          </cell>
          <cell r="F69">
            <v>101</v>
          </cell>
          <cell r="G69">
            <v>46.348832008457514</v>
          </cell>
          <cell r="H69">
            <v>20.304064081972868</v>
          </cell>
          <cell r="I69">
            <v>572414</v>
          </cell>
          <cell r="J69">
            <v>546992.75</v>
          </cell>
          <cell r="K69">
            <v>278</v>
          </cell>
          <cell r="L69">
            <v>37.485490868085833</v>
          </cell>
          <cell r="M69">
            <v>11.035882587564444</v>
          </cell>
          <cell r="N69">
            <v>1135972</v>
          </cell>
          <cell r="P69">
            <v>379</v>
          </cell>
          <cell r="Q69">
            <v>39.847489430559563</v>
          </cell>
          <cell r="R69">
            <v>13.505767365757734</v>
          </cell>
          <cell r="S69">
            <v>1708386</v>
          </cell>
        </row>
        <row r="70">
          <cell r="C70" t="str">
            <v>A0360</v>
          </cell>
          <cell r="D70" t="str">
            <v>PT Kalimantan Prima Persada</v>
          </cell>
          <cell r="F70">
            <v>23</v>
          </cell>
          <cell r="G70">
            <v>47.032229265244169</v>
          </cell>
          <cell r="H70">
            <v>23.79930363360414</v>
          </cell>
          <cell r="I70">
            <v>322386</v>
          </cell>
          <cell r="J70">
            <v>220120.24995833298</v>
          </cell>
          <cell r="K70">
            <v>994</v>
          </cell>
          <cell r="L70">
            <v>27.204398189272549</v>
          </cell>
          <cell r="M70">
            <v>3.1313851624462692</v>
          </cell>
          <cell r="N70">
            <v>2037403</v>
          </cell>
          <cell r="P70">
            <v>1017</v>
          </cell>
          <cell r="Q70">
            <v>27.652815214589502</v>
          </cell>
          <cell r="R70">
            <v>3.5988012143996966</v>
          </cell>
          <cell r="S70">
            <v>2359789</v>
          </cell>
        </row>
        <row r="71">
          <cell r="C71" t="str">
            <v>A0350</v>
          </cell>
          <cell r="D71" t="str">
            <v>PT Karya Nusa Eka Daya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751</v>
          </cell>
          <cell r="L71">
            <v>33.232262527444632</v>
          </cell>
          <cell r="M71">
            <v>2.5536382701230624</v>
          </cell>
          <cell r="N71">
            <v>906049.06499999994</v>
          </cell>
          <cell r="P71">
            <v>751</v>
          </cell>
          <cell r="Q71">
            <v>33.232262527444632</v>
          </cell>
          <cell r="R71">
            <v>2.5536382701230624</v>
          </cell>
          <cell r="S71">
            <v>906049.06499999994</v>
          </cell>
        </row>
        <row r="72">
          <cell r="C72" t="str">
            <v>A0083</v>
          </cell>
          <cell r="D72" t="str">
            <v>PT Karya Tanah Subur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683</v>
          </cell>
          <cell r="L72">
            <v>33.565754016332875</v>
          </cell>
          <cell r="M72">
            <v>5.2398214985423799</v>
          </cell>
          <cell r="N72">
            <v>994130.67800000031</v>
          </cell>
          <cell r="P72">
            <v>683</v>
          </cell>
          <cell r="Q72">
            <v>33.565754016332875</v>
          </cell>
          <cell r="R72">
            <v>5.2398214985423799</v>
          </cell>
          <cell r="S72">
            <v>994130.67800000031</v>
          </cell>
        </row>
        <row r="73">
          <cell r="C73" t="str">
            <v>A0084</v>
          </cell>
          <cell r="D73" t="str">
            <v>PT Kayaba Indonesia</v>
          </cell>
          <cell r="F73">
            <v>152</v>
          </cell>
          <cell r="G73">
            <v>48.893908281998613</v>
          </cell>
          <cell r="H73">
            <v>25.94045174537986</v>
          </cell>
          <cell r="I73">
            <v>766860.89199999999</v>
          </cell>
          <cell r="J73">
            <v>597341.18075000006</v>
          </cell>
          <cell r="K73">
            <v>985</v>
          </cell>
          <cell r="L73">
            <v>31.522082434324602</v>
          </cell>
          <cell r="M73">
            <v>8.1566189627437051</v>
          </cell>
          <cell r="N73">
            <v>2641513.5929999803</v>
          </cell>
          <cell r="P73">
            <v>1137</v>
          </cell>
          <cell r="Q73">
            <v>33.844437340961775</v>
          </cell>
          <cell r="R73">
            <v>10.534053072647565</v>
          </cell>
          <cell r="S73">
            <v>3408374.484999991</v>
          </cell>
        </row>
        <row r="74">
          <cell r="C74" t="str">
            <v>A0086</v>
          </cell>
          <cell r="D74" t="str">
            <v>PT Kimia Tirta Utama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771</v>
          </cell>
          <cell r="L74">
            <v>32.966578512132536</v>
          </cell>
          <cell r="M74">
            <v>5.9227134196413251</v>
          </cell>
          <cell r="N74">
            <v>1073593.2969999984</v>
          </cell>
          <cell r="P74">
            <v>771</v>
          </cell>
          <cell r="Q74">
            <v>32.966578512132536</v>
          </cell>
          <cell r="R74">
            <v>5.9227134196413251</v>
          </cell>
          <cell r="S74">
            <v>1073593.2969999984</v>
          </cell>
        </row>
        <row r="75">
          <cell r="C75" t="str">
            <v>A0378</v>
          </cell>
          <cell r="D75" t="str">
            <v>PT Komatsu Astra Finance</v>
          </cell>
          <cell r="F75">
            <v>1</v>
          </cell>
          <cell r="G75">
            <v>44.188911704312112</v>
          </cell>
          <cell r="H75">
            <v>4.9938398357289531</v>
          </cell>
          <cell r="I75">
            <v>36060</v>
          </cell>
          <cell r="J75">
            <v>35405</v>
          </cell>
          <cell r="K75">
            <v>6</v>
          </cell>
          <cell r="L75">
            <v>35.752680812229066</v>
          </cell>
          <cell r="M75">
            <v>6.151950718685832</v>
          </cell>
          <cell r="N75">
            <v>58875</v>
          </cell>
          <cell r="P75">
            <v>7</v>
          </cell>
          <cell r="Q75">
            <v>36.957856653955218</v>
          </cell>
          <cell r="R75">
            <v>5.9865063068348494</v>
          </cell>
          <cell r="S75">
            <v>94935</v>
          </cell>
        </row>
        <row r="76">
          <cell r="C76" t="str">
            <v>A0328</v>
          </cell>
          <cell r="D76" t="str">
            <v>PT Komatsu Remanufacturing Asia</v>
          </cell>
          <cell r="F76">
            <v>17</v>
          </cell>
          <cell r="G76">
            <v>43.720256069573622</v>
          </cell>
          <cell r="H76">
            <v>22.033256834561342</v>
          </cell>
          <cell r="I76">
            <v>218051</v>
          </cell>
          <cell r="J76">
            <v>163530.9</v>
          </cell>
          <cell r="K76">
            <v>78</v>
          </cell>
          <cell r="L76">
            <v>31.682339107390444</v>
          </cell>
          <cell r="M76">
            <v>7.2352972147633343</v>
          </cell>
          <cell r="N76">
            <v>275089</v>
          </cell>
          <cell r="P76">
            <v>189</v>
          </cell>
          <cell r="Q76">
            <v>30.58382132988568</v>
          </cell>
          <cell r="R76">
            <v>5.65</v>
          </cell>
          <cell r="S76">
            <v>700194</v>
          </cell>
        </row>
        <row r="77">
          <cell r="C77" t="str">
            <v>A0262</v>
          </cell>
          <cell r="D77" t="str">
            <v>PT Lestari Tani Teladan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633</v>
          </cell>
          <cell r="L77">
            <v>33.07477295409992</v>
          </cell>
          <cell r="M77">
            <v>4.8916613412657499</v>
          </cell>
          <cell r="N77">
            <v>881275.08100000012</v>
          </cell>
          <cell r="P77">
            <v>633</v>
          </cell>
          <cell r="Q77">
            <v>33.07477295409992</v>
          </cell>
          <cell r="R77">
            <v>4.8916613412657499</v>
          </cell>
          <cell r="S77">
            <v>881275.08100000012</v>
          </cell>
        </row>
        <row r="78">
          <cell r="C78" t="str">
            <v>A0261</v>
          </cell>
          <cell r="D78" t="str">
            <v>PT LETAWA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965</v>
          </cell>
          <cell r="L78">
            <v>33.237017728647821</v>
          </cell>
          <cell r="M78">
            <v>6.9908650828270886</v>
          </cell>
          <cell r="N78">
            <v>1430864.8136000016</v>
          </cell>
          <cell r="P78">
            <v>965</v>
          </cell>
          <cell r="Q78">
            <v>33.237017728647821</v>
          </cell>
          <cell r="R78">
            <v>6.9908650828270886</v>
          </cell>
          <cell r="S78">
            <v>1430864.8136000016</v>
          </cell>
        </row>
        <row r="79">
          <cell r="C79" t="str">
            <v>A0263</v>
          </cell>
          <cell r="D79" t="str">
            <v>PT Mamuang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842</v>
          </cell>
          <cell r="L79">
            <v>33.371331580718639</v>
          </cell>
          <cell r="M79">
            <v>5.0587418567635742</v>
          </cell>
          <cell r="N79">
            <v>1108522.8670000017</v>
          </cell>
          <cell r="P79">
            <v>842</v>
          </cell>
          <cell r="Q79">
            <v>33.371331580718639</v>
          </cell>
          <cell r="R79">
            <v>5.0587418567635742</v>
          </cell>
          <cell r="S79">
            <v>1108522.8670000017</v>
          </cell>
        </row>
        <row r="80">
          <cell r="C80" t="str">
            <v>A0096</v>
          </cell>
          <cell r="D80" t="str">
            <v>PT Menara Terus Makmur</v>
          </cell>
          <cell r="F80">
            <v>71</v>
          </cell>
          <cell r="G80">
            <v>42.60107393161158</v>
          </cell>
          <cell r="H80">
            <v>19.559668758616052</v>
          </cell>
          <cell r="I80">
            <v>264430.7</v>
          </cell>
          <cell r="J80">
            <v>231987.85833333299</v>
          </cell>
          <cell r="K80">
            <v>422</v>
          </cell>
          <cell r="L80">
            <v>31.532644977957723</v>
          </cell>
          <cell r="M80">
            <v>9.4189722679071277</v>
          </cell>
          <cell r="N80">
            <v>922979.7</v>
          </cell>
          <cell r="P80">
            <v>493</v>
          </cell>
          <cell r="Q80">
            <v>33.126678356678653</v>
          </cell>
          <cell r="R80">
            <v>10.879397117481828</v>
          </cell>
          <cell r="S80">
            <v>1187410.3999999999</v>
          </cell>
        </row>
        <row r="81">
          <cell r="C81" t="str">
            <v>A0097</v>
          </cell>
          <cell r="D81" t="str">
            <v>PT Mesin Isuzu Indonesia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163</v>
          </cell>
          <cell r="L81">
            <v>37.22</v>
          </cell>
          <cell r="M81">
            <v>15.1</v>
          </cell>
          <cell r="N81">
            <v>594570</v>
          </cell>
          <cell r="P81">
            <v>164</v>
          </cell>
          <cell r="Q81">
            <v>37.258409709353792</v>
          </cell>
          <cell r="R81">
            <v>15.11732692275587</v>
          </cell>
          <cell r="S81">
            <v>597436.18200000003</v>
          </cell>
        </row>
        <row r="82">
          <cell r="C82" t="str">
            <v>A0451</v>
          </cell>
          <cell r="D82" t="str">
            <v>PT Multi Prima Universal</v>
          </cell>
          <cell r="F82">
            <v>11</v>
          </cell>
          <cell r="G82">
            <v>42.490448634185803</v>
          </cell>
          <cell r="H82">
            <v>19.920000000000002</v>
          </cell>
          <cell r="I82">
            <v>103445.39999999997</v>
          </cell>
          <cell r="J82">
            <v>74719.875</v>
          </cell>
          <cell r="K82">
            <v>9</v>
          </cell>
          <cell r="L82">
            <v>29.556011864020078</v>
          </cell>
          <cell r="M82">
            <v>6.98</v>
          </cell>
          <cell r="N82">
            <v>23254.600000000002</v>
          </cell>
          <cell r="P82">
            <v>20</v>
          </cell>
          <cell r="Q82">
            <v>36.669952087611222</v>
          </cell>
          <cell r="R82">
            <v>14.1</v>
          </cell>
          <cell r="S82">
            <v>126699.99999999991</v>
          </cell>
        </row>
        <row r="83">
          <cell r="C83" t="str">
            <v>A0329</v>
          </cell>
          <cell r="D83" t="str">
            <v>PT Nirmala Agro Lestari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232</v>
          </cell>
          <cell r="L83">
            <v>31.869550850857941</v>
          </cell>
          <cell r="M83">
            <v>3.4703084802567927</v>
          </cell>
          <cell r="N83">
            <v>307017.60299999954</v>
          </cell>
          <cell r="P83">
            <v>232</v>
          </cell>
          <cell r="Q83">
            <v>31.869550850857941</v>
          </cell>
          <cell r="R83">
            <v>3.4703084802567927</v>
          </cell>
          <cell r="S83">
            <v>307017.60299999954</v>
          </cell>
        </row>
        <row r="84">
          <cell r="C84" t="str">
            <v>A0345</v>
          </cell>
          <cell r="D84" t="str">
            <v>PT Nusa Keihin Indonesia</v>
          </cell>
          <cell r="F84">
            <v>3</v>
          </cell>
          <cell r="G84">
            <v>40.433493041295911</v>
          </cell>
          <cell r="H84">
            <v>18.209445585215605</v>
          </cell>
          <cell r="I84">
            <v>11251.5</v>
          </cell>
          <cell r="J84">
            <v>10607.5</v>
          </cell>
          <cell r="K84">
            <v>32</v>
          </cell>
          <cell r="L84">
            <v>28.96603353867215</v>
          </cell>
          <cell r="M84">
            <v>8.102926078028748</v>
          </cell>
          <cell r="N84">
            <v>69678.5</v>
          </cell>
          <cell r="P84">
            <v>35</v>
          </cell>
          <cell r="Q84">
            <v>29.948958638897043</v>
          </cell>
          <cell r="R84">
            <v>8.9691991786447627</v>
          </cell>
          <cell r="S84">
            <v>80930</v>
          </cell>
        </row>
        <row r="85">
          <cell r="C85" t="str">
            <v>A0231</v>
          </cell>
          <cell r="D85" t="str">
            <v>PT Pama Indo Mining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87</v>
          </cell>
          <cell r="L85">
            <v>37.06766739833369</v>
          </cell>
          <cell r="M85">
            <v>10.17</v>
          </cell>
          <cell r="N85">
            <v>176717.69999999998</v>
          </cell>
          <cell r="P85">
            <v>87</v>
          </cell>
          <cell r="Q85">
            <v>37.06766739833369</v>
          </cell>
          <cell r="R85">
            <v>10.17</v>
          </cell>
          <cell r="S85">
            <v>176717.69999999998</v>
          </cell>
        </row>
        <row r="86">
          <cell r="C86" t="str">
            <v>A0112</v>
          </cell>
          <cell r="D86" t="str">
            <v>PT Pama Persada Nusantara</v>
          </cell>
          <cell r="F86">
            <v>315</v>
          </cell>
          <cell r="G86">
            <v>44.994865443325423</v>
          </cell>
          <cell r="H86">
            <v>22.437964864248251</v>
          </cell>
          <cell r="I86">
            <v>2206614.5</v>
          </cell>
          <cell r="J86">
            <v>1731771.5832916701</v>
          </cell>
          <cell r="K86">
            <v>6625</v>
          </cell>
          <cell r="L86">
            <v>27.831101674996539</v>
          </cell>
          <cell r="M86">
            <v>4.6170644557230096</v>
          </cell>
          <cell r="N86">
            <v>14909724.257999999</v>
          </cell>
          <cell r="P86">
            <v>10547</v>
          </cell>
          <cell r="Q86">
            <v>29.680958613791404</v>
          </cell>
          <cell r="R86">
            <v>5.76291787868887</v>
          </cell>
          <cell r="S86">
            <v>22777842.696999867</v>
          </cell>
        </row>
        <row r="87">
          <cell r="C87" t="str">
            <v>A0258</v>
          </cell>
          <cell r="D87" t="str">
            <v>PT Pandji Waringin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21</v>
          </cell>
          <cell r="L87">
            <v>41.031517877513771</v>
          </cell>
          <cell r="M87">
            <v>14.608128809360844</v>
          </cell>
          <cell r="N87">
            <v>36812.633999999998</v>
          </cell>
          <cell r="P87">
            <v>21</v>
          </cell>
          <cell r="Q87">
            <v>41.031517877513771</v>
          </cell>
          <cell r="R87">
            <v>14.608128809360844</v>
          </cell>
          <cell r="S87">
            <v>36812.633999999998</v>
          </cell>
        </row>
        <row r="88">
          <cell r="C88" t="str">
            <v>A0267</v>
          </cell>
          <cell r="D88" t="str">
            <v>PT Pasang Kayu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907</v>
          </cell>
          <cell r="L88">
            <v>32.803391674911197</v>
          </cell>
          <cell r="M88">
            <v>4.9681819176577022</v>
          </cell>
          <cell r="N88">
            <v>1227194.72</v>
          </cell>
          <cell r="P88">
            <v>907</v>
          </cell>
          <cell r="Q88">
            <v>32.803391674911197</v>
          </cell>
          <cell r="R88">
            <v>4.9681819176577022</v>
          </cell>
          <cell r="S88">
            <v>1227194.72</v>
          </cell>
        </row>
        <row r="89">
          <cell r="C89" t="str">
            <v>A0117</v>
          </cell>
          <cell r="D89" t="str">
            <v>PT Perkebunan Lembah Bhakti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834</v>
          </cell>
          <cell r="L89">
            <v>34.276302982254862</v>
          </cell>
          <cell r="M89">
            <v>7.5474733149825015</v>
          </cell>
          <cell r="N89">
            <v>1231746.0010000002</v>
          </cell>
          <cell r="P89">
            <v>834</v>
          </cell>
          <cell r="Q89">
            <v>34.276302982254862</v>
          </cell>
          <cell r="R89">
            <v>7.5474733149825015</v>
          </cell>
          <cell r="S89">
            <v>1231746.0010000002</v>
          </cell>
        </row>
        <row r="90">
          <cell r="C90" t="str">
            <v>A0249</v>
          </cell>
          <cell r="D90" t="str">
            <v>PT Persada Bina Nusantara Abadi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195</v>
          </cell>
          <cell r="L90">
            <v>33.743659944891959</v>
          </cell>
          <cell r="M90">
            <v>4.4543568683199082</v>
          </cell>
          <cell r="N90">
            <v>229375.42</v>
          </cell>
          <cell r="P90">
            <v>195</v>
          </cell>
          <cell r="Q90">
            <v>33.743659944891959</v>
          </cell>
          <cell r="R90">
            <v>4.4543568683199082</v>
          </cell>
          <cell r="S90">
            <v>229375.42</v>
          </cell>
        </row>
        <row r="91">
          <cell r="C91" t="str">
            <v>A0057</v>
          </cell>
          <cell r="D91" t="str">
            <v>PT Pratama Sedaya Finance</v>
          </cell>
          <cell r="F91">
            <v>2</v>
          </cell>
          <cell r="G91">
            <v>47.09924709103354</v>
          </cell>
          <cell r="H91">
            <v>21.582477754962355</v>
          </cell>
          <cell r="I91">
            <v>9936</v>
          </cell>
          <cell r="J91">
            <v>9936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2</v>
          </cell>
          <cell r="Q91">
            <v>47.09924709103354</v>
          </cell>
          <cell r="R91">
            <v>21.582477754962355</v>
          </cell>
          <cell r="S91">
            <v>9936</v>
          </cell>
        </row>
        <row r="92">
          <cell r="C92" t="str">
            <v>A0424</v>
          </cell>
          <cell r="D92" t="str">
            <v>PT Prima Multi Mineral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43</v>
          </cell>
          <cell r="Q92">
            <v>30.973751651465221</v>
          </cell>
          <cell r="R92">
            <v>2.4882520052788895</v>
          </cell>
          <cell r="S92">
            <v>127197.47999999998</v>
          </cell>
        </row>
        <row r="93">
          <cell r="C93" t="str">
            <v>A0439</v>
          </cell>
          <cell r="D93" t="str">
            <v>PT Rimbunan Alam Sentosa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114</v>
          </cell>
          <cell r="L93">
            <v>30.80255052415432</v>
          </cell>
          <cell r="M93">
            <v>3.2544400014409707</v>
          </cell>
          <cell r="N93">
            <v>168580.56099999999</v>
          </cell>
          <cell r="P93">
            <v>114</v>
          </cell>
          <cell r="Q93">
            <v>30.80255052415432</v>
          </cell>
          <cell r="R93">
            <v>3.2544400014409707</v>
          </cell>
          <cell r="S93">
            <v>168580.56099999999</v>
          </cell>
        </row>
        <row r="94">
          <cell r="C94" t="str">
            <v>A0126</v>
          </cell>
          <cell r="D94" t="str">
            <v>PT Sari Aditya Loka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1301</v>
          </cell>
          <cell r="L94">
            <v>33.810178133915834</v>
          </cell>
          <cell r="M94">
            <v>6.8007455961059833</v>
          </cell>
          <cell r="N94">
            <v>2035144.1538499985</v>
          </cell>
          <cell r="P94">
            <v>1301</v>
          </cell>
          <cell r="Q94">
            <v>33.810178133915834</v>
          </cell>
          <cell r="R94">
            <v>6.8007455961059833</v>
          </cell>
          <cell r="S94">
            <v>2035144.1538499985</v>
          </cell>
        </row>
        <row r="95">
          <cell r="C95" t="str">
            <v>A0127</v>
          </cell>
          <cell r="D95" t="str">
            <v>PT Sari Lembah Subur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1312</v>
          </cell>
          <cell r="L95">
            <v>31.91338625398577</v>
          </cell>
          <cell r="M95">
            <v>5.6949758768634959</v>
          </cell>
          <cell r="N95">
            <v>1913248.4450000005</v>
          </cell>
          <cell r="P95">
            <v>1312</v>
          </cell>
          <cell r="Q95">
            <v>31.91338625398577</v>
          </cell>
          <cell r="R95">
            <v>5.6949758768634959</v>
          </cell>
          <cell r="S95">
            <v>1913248.4450000005</v>
          </cell>
        </row>
        <row r="96">
          <cell r="C96" t="str">
            <v>A0278</v>
          </cell>
          <cell r="D96" t="str">
            <v>PT Sawit Asahan Indah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734</v>
          </cell>
          <cell r="L96">
            <v>33.325768808270261</v>
          </cell>
          <cell r="M96">
            <v>6.1999041379220463</v>
          </cell>
          <cell r="N96">
            <v>1110513.9444390002</v>
          </cell>
          <cell r="P96">
            <v>734</v>
          </cell>
          <cell r="Q96">
            <v>33.325768808270261</v>
          </cell>
          <cell r="R96">
            <v>6.1999041379220463</v>
          </cell>
          <cell r="S96">
            <v>1110513.9444390002</v>
          </cell>
        </row>
        <row r="97">
          <cell r="C97" t="str">
            <v>A0436</v>
          </cell>
          <cell r="D97" t="str">
            <v>PT Sawit Jaya Abadi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107</v>
          </cell>
          <cell r="L97">
            <v>31.038835261982907</v>
          </cell>
          <cell r="M97">
            <v>3.520364364441201</v>
          </cell>
          <cell r="N97">
            <v>174559.55400000003</v>
          </cell>
          <cell r="P97">
            <v>107</v>
          </cell>
          <cell r="Q97">
            <v>31.038835261982907</v>
          </cell>
          <cell r="R97">
            <v>3.520364364441201</v>
          </cell>
          <cell r="S97">
            <v>174559.55400000003</v>
          </cell>
        </row>
        <row r="98">
          <cell r="C98" t="str">
            <v>A0128</v>
          </cell>
          <cell r="D98" t="str">
            <v>PT Sedaya Multi Investama</v>
          </cell>
          <cell r="F98">
            <v>3</v>
          </cell>
          <cell r="G98">
            <v>46.796258270590918</v>
          </cell>
          <cell r="H98">
            <v>21.113392653433721</v>
          </cell>
          <cell r="I98">
            <v>29604</v>
          </cell>
          <cell r="J98">
            <v>28494.166666666701</v>
          </cell>
          <cell r="K98">
            <v>5</v>
          </cell>
          <cell r="L98">
            <v>44.21355236139631</v>
          </cell>
          <cell r="M98">
            <v>10.23353867214237</v>
          </cell>
          <cell r="N98">
            <v>10082.25</v>
          </cell>
          <cell r="P98">
            <v>8</v>
          </cell>
          <cell r="Q98">
            <v>45.182067077344286</v>
          </cell>
          <cell r="R98">
            <v>14.313483915126628</v>
          </cell>
          <cell r="S98">
            <v>39686.25</v>
          </cell>
        </row>
        <row r="99">
          <cell r="C99" t="str">
            <v>A0240</v>
          </cell>
          <cell r="D99" t="str">
            <v>PT Sedaya Pratama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14</v>
          </cell>
          <cell r="L99">
            <v>45.313581695511871</v>
          </cell>
          <cell r="M99">
            <v>15.929989244157621</v>
          </cell>
          <cell r="N99">
            <v>25105</v>
          </cell>
          <cell r="P99">
            <v>14</v>
          </cell>
          <cell r="Q99">
            <v>45.313581695511871</v>
          </cell>
          <cell r="R99">
            <v>15.929989244157621</v>
          </cell>
          <cell r="S99">
            <v>25105</v>
          </cell>
        </row>
        <row r="100">
          <cell r="C100" t="str">
            <v>A0209</v>
          </cell>
          <cell r="D100" t="str">
            <v>PT Serasi Auto Raya</v>
          </cell>
          <cell r="F100">
            <v>63</v>
          </cell>
          <cell r="G100">
            <v>44.824353834620794</v>
          </cell>
          <cell r="H100">
            <v>20.890844496593981</v>
          </cell>
          <cell r="I100">
            <v>451942</v>
          </cell>
          <cell r="J100">
            <v>420759.58333333302</v>
          </cell>
          <cell r="K100">
            <v>1002</v>
          </cell>
          <cell r="L100">
            <v>31.768637946557266</v>
          </cell>
          <cell r="M100">
            <v>6.7377059706733116</v>
          </cell>
          <cell r="N100">
            <v>2732254</v>
          </cell>
          <cell r="P100">
            <v>1065</v>
          </cell>
          <cell r="Q100">
            <v>32.540947900499077</v>
          </cell>
          <cell r="R100">
            <v>7.5749338834742526</v>
          </cell>
          <cell r="S100">
            <v>3184196</v>
          </cell>
        </row>
        <row r="101">
          <cell r="C101" t="str">
            <v>A0373</v>
          </cell>
          <cell r="D101" t="str">
            <v>PT Serasi Transportasi Nusantara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56</v>
          </cell>
          <cell r="L101">
            <v>31.915371076562042</v>
          </cell>
          <cell r="M101">
            <v>3.7742250904468562</v>
          </cell>
          <cell r="N101">
            <v>109740</v>
          </cell>
          <cell r="P101">
            <v>56</v>
          </cell>
          <cell r="Q101">
            <v>31.915371076562</v>
          </cell>
          <cell r="R101">
            <v>3.7742250904468602</v>
          </cell>
          <cell r="S101">
            <v>109740</v>
          </cell>
        </row>
        <row r="102">
          <cell r="C102" t="str">
            <v>A0132</v>
          </cell>
          <cell r="D102" t="str">
            <v>PT Showa Indonesia</v>
          </cell>
          <cell r="F102">
            <v>167</v>
          </cell>
          <cell r="G102">
            <v>45.47740658313765</v>
          </cell>
          <cell r="H102">
            <v>22.8211503071885</v>
          </cell>
          <cell r="I102">
            <v>891831.8075484765</v>
          </cell>
          <cell r="J102">
            <v>697616.06595833297</v>
          </cell>
          <cell r="K102">
            <v>1422</v>
          </cell>
          <cell r="L102">
            <v>30.12575245169533</v>
          </cell>
          <cell r="M102">
            <v>8.3339715875780076</v>
          </cell>
          <cell r="N102">
            <v>3195347.8117422028</v>
          </cell>
          <cell r="P102">
            <v>1589</v>
          </cell>
          <cell r="Q102">
            <v>31.739173622211894</v>
          </cell>
          <cell r="R102">
            <v>9.8565385140568988</v>
          </cell>
          <cell r="S102">
            <v>4087179.6192906788</v>
          </cell>
        </row>
        <row r="103">
          <cell r="C103" t="str">
            <v>A0135</v>
          </cell>
          <cell r="D103" t="str">
            <v>PT Staco Estika Sedaya Finance</v>
          </cell>
          <cell r="F103">
            <v>11</v>
          </cell>
          <cell r="G103">
            <v>43.619687636114747</v>
          </cell>
          <cell r="H103">
            <v>19.175409122021033</v>
          </cell>
          <cell r="I103">
            <v>57569</v>
          </cell>
          <cell r="J103">
            <v>44436.375</v>
          </cell>
          <cell r="K103">
            <v>31</v>
          </cell>
          <cell r="L103">
            <v>38.257225497339427</v>
          </cell>
          <cell r="M103">
            <v>12.766863173698964</v>
          </cell>
          <cell r="N103">
            <v>78075</v>
          </cell>
          <cell r="P103">
            <v>42</v>
          </cell>
          <cell r="Q103">
            <v>39.661679867018677</v>
          </cell>
          <cell r="R103">
            <v>14.445291874449982</v>
          </cell>
          <cell r="S103">
            <v>135644</v>
          </cell>
        </row>
        <row r="104">
          <cell r="C104" t="str">
            <v>A0273</v>
          </cell>
          <cell r="D104" t="str">
            <v>PT Stacomitra Graha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2</v>
          </cell>
          <cell r="L104">
            <v>42.92950034223135</v>
          </cell>
          <cell r="M104">
            <v>15.626283367556468</v>
          </cell>
          <cell r="N104">
            <v>3349</v>
          </cell>
          <cell r="P104">
            <v>2</v>
          </cell>
          <cell r="Q104">
            <v>42.92950034223135</v>
          </cell>
          <cell r="R104">
            <v>15.626283367556468</v>
          </cell>
          <cell r="S104">
            <v>3349</v>
          </cell>
        </row>
        <row r="105">
          <cell r="C105" t="str">
            <v>A0435</v>
          </cell>
          <cell r="D105" t="str">
            <v>PT Subur Abadi Plantation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23</v>
          </cell>
          <cell r="L105">
            <v>35.201023718120403</v>
          </cell>
          <cell r="M105">
            <v>7.3681516531262083</v>
          </cell>
          <cell r="N105">
            <v>72796.861000000004</v>
          </cell>
          <cell r="P105">
            <v>23</v>
          </cell>
          <cell r="Q105">
            <v>35.201023718120403</v>
          </cell>
          <cell r="R105">
            <v>7.3681516531262083</v>
          </cell>
          <cell r="S105">
            <v>72796.861000000004</v>
          </cell>
        </row>
        <row r="106">
          <cell r="C106" t="str">
            <v>A0169</v>
          </cell>
          <cell r="D106" t="str">
            <v>PT Sukses Tani Nusa Subur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517</v>
          </cell>
          <cell r="L106">
            <v>32.765454360106773</v>
          </cell>
          <cell r="M106">
            <v>6.5806441363259065</v>
          </cell>
          <cell r="N106">
            <v>748848.55359999905</v>
          </cell>
          <cell r="P106">
            <v>517</v>
          </cell>
          <cell r="Q106">
            <v>32.765454360106773</v>
          </cell>
          <cell r="R106">
            <v>6.5806441363259065</v>
          </cell>
          <cell r="S106">
            <v>748848.55359999905</v>
          </cell>
        </row>
        <row r="107">
          <cell r="C107" t="str">
            <v>A0377</v>
          </cell>
          <cell r="D107" t="str">
            <v>PT Sumber Kharisma Persada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260</v>
          </cell>
          <cell r="L107">
            <v>33.16435528879061</v>
          </cell>
          <cell r="M107">
            <v>4.1606486600326402</v>
          </cell>
          <cell r="N107">
            <v>340706.70599999995</v>
          </cell>
          <cell r="P107">
            <v>260</v>
          </cell>
          <cell r="Q107">
            <v>33.16435528879061</v>
          </cell>
          <cell r="R107">
            <v>4.1606486600326402</v>
          </cell>
          <cell r="S107">
            <v>340706.70599999995</v>
          </cell>
        </row>
        <row r="108">
          <cell r="C108" t="str">
            <v>A0421</v>
          </cell>
          <cell r="D108" t="str">
            <v>PT Sumber Utama Makmur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29</v>
          </cell>
          <cell r="L108">
            <v>33.073237508555785</v>
          </cell>
          <cell r="M108">
            <v>5.5710543085746647</v>
          </cell>
          <cell r="N108">
            <v>66130.462</v>
          </cell>
          <cell r="P108">
            <v>29</v>
          </cell>
          <cell r="Q108">
            <v>33.073237508555785</v>
          </cell>
          <cell r="R108">
            <v>5.5710543085746647</v>
          </cell>
          <cell r="S108">
            <v>66130.462</v>
          </cell>
        </row>
        <row r="109">
          <cell r="C109" t="str">
            <v>A0142</v>
          </cell>
          <cell r="D109" t="str">
            <v>PT Surya Artha Nusantara Finance</v>
          </cell>
          <cell r="F109">
            <v>7</v>
          </cell>
          <cell r="G109">
            <v>45.803852547179041</v>
          </cell>
          <cell r="H109">
            <v>19.938593918060036</v>
          </cell>
          <cell r="I109">
            <v>91763</v>
          </cell>
          <cell r="J109">
            <v>87742.666666666672</v>
          </cell>
          <cell r="K109">
            <v>58</v>
          </cell>
          <cell r="L109">
            <v>31.07927966201704</v>
          </cell>
          <cell r="M109">
            <v>3.7859755953645329</v>
          </cell>
          <cell r="N109">
            <v>321034</v>
          </cell>
          <cell r="P109">
            <v>65</v>
          </cell>
          <cell r="Q109">
            <v>32.665002895803717</v>
          </cell>
          <cell r="R109">
            <v>5.5254883378086692</v>
          </cell>
          <cell r="S109">
            <v>412797</v>
          </cell>
        </row>
        <row r="110">
          <cell r="C110" t="str">
            <v>A0251</v>
          </cell>
          <cell r="D110" t="str">
            <v>PT Surya Indah Nusantara Pagi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679</v>
          </cell>
          <cell r="L110">
            <v>31.86946620982058</v>
          </cell>
          <cell r="M110">
            <v>3.9195942819643568</v>
          </cell>
          <cell r="N110">
            <v>848197.72299999709</v>
          </cell>
          <cell r="P110">
            <v>679</v>
          </cell>
          <cell r="Q110">
            <v>31.86946620982058</v>
          </cell>
          <cell r="R110">
            <v>3.9195942819643568</v>
          </cell>
          <cell r="S110">
            <v>848197.72299999709</v>
          </cell>
        </row>
        <row r="111">
          <cell r="C111" t="str">
            <v>A0259</v>
          </cell>
          <cell r="D111" t="str">
            <v>PT Surya Panen Subur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27</v>
          </cell>
          <cell r="L111">
            <v>35.916343448170956</v>
          </cell>
          <cell r="M111">
            <v>7.3537658123558192</v>
          </cell>
          <cell r="N111">
            <v>136670.91600000003</v>
          </cell>
          <cell r="P111">
            <v>27</v>
          </cell>
          <cell r="Q111">
            <v>35.916343448170956</v>
          </cell>
          <cell r="R111">
            <v>7.3537658123558192</v>
          </cell>
          <cell r="S111">
            <v>136670.91600000003</v>
          </cell>
        </row>
        <row r="112">
          <cell r="C112" t="str">
            <v>A0170</v>
          </cell>
          <cell r="D112" t="str">
            <v>PT Suryaraya Lestari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400</v>
          </cell>
          <cell r="L112">
            <v>33.631478439425017</v>
          </cell>
          <cell r="M112">
            <v>7.8522861054072495</v>
          </cell>
          <cell r="N112">
            <v>679611.58405600034</v>
          </cell>
          <cell r="P112">
            <v>400</v>
          </cell>
          <cell r="Q112">
            <v>33.631478439425017</v>
          </cell>
          <cell r="R112">
            <v>7.8522861054072495</v>
          </cell>
          <cell r="S112">
            <v>679611.58405600034</v>
          </cell>
        </row>
        <row r="113">
          <cell r="C113" t="str">
            <v>A0140</v>
          </cell>
          <cell r="D113" t="str">
            <v>PT Suryaraya Prawira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17</v>
          </cell>
          <cell r="L113">
            <v>39.74</v>
          </cell>
          <cell r="M113">
            <v>10.47</v>
          </cell>
          <cell r="N113">
            <v>70306</v>
          </cell>
          <cell r="P113">
            <v>18</v>
          </cell>
          <cell r="Q113">
            <v>39.277207392197127</v>
          </cell>
          <cell r="R113">
            <v>9.9356605065023942</v>
          </cell>
          <cell r="S113">
            <v>71506</v>
          </cell>
        </row>
        <row r="114">
          <cell r="C114" t="str">
            <v>A0199</v>
          </cell>
          <cell r="D114" t="str">
            <v>PT Suryaraya Rubberindo Industries</v>
          </cell>
          <cell r="F114">
            <v>32</v>
          </cell>
          <cell r="G114">
            <v>46.591632443531822</v>
          </cell>
          <cell r="H114">
            <v>24.101214921286797</v>
          </cell>
          <cell r="I114">
            <v>306933.70060000004</v>
          </cell>
          <cell r="J114">
            <v>193452.43799999999</v>
          </cell>
          <cell r="K114">
            <v>730</v>
          </cell>
          <cell r="L114">
            <v>33.919578445988414</v>
          </cell>
          <cell r="M114">
            <v>10.030735187945963</v>
          </cell>
          <cell r="N114">
            <v>2308101.3512666663</v>
          </cell>
          <cell r="P114">
            <v>762</v>
          </cell>
          <cell r="Q114">
            <v>34.451738193916754</v>
          </cell>
          <cell r="R114">
            <v>10.621621475960275</v>
          </cell>
          <cell r="S114">
            <v>2615035.0518666673</v>
          </cell>
        </row>
        <row r="115">
          <cell r="C115" t="str">
            <v>A0221</v>
          </cell>
          <cell r="D115" t="str">
            <v>PT Swadaya Harapan Nusantara</v>
          </cell>
          <cell r="F115">
            <v>28</v>
          </cell>
          <cell r="G115">
            <v>45.07</v>
          </cell>
          <cell r="H115">
            <v>20.83</v>
          </cell>
          <cell r="I115">
            <v>135550</v>
          </cell>
          <cell r="J115">
            <v>99717</v>
          </cell>
          <cell r="K115">
            <v>35</v>
          </cell>
          <cell r="L115">
            <v>36.71</v>
          </cell>
          <cell r="M115">
            <v>11.17</v>
          </cell>
          <cell r="N115">
            <v>157028</v>
          </cell>
          <cell r="P115">
            <v>63</v>
          </cell>
          <cell r="Q115">
            <v>40.425714068424554</v>
          </cell>
          <cell r="R115">
            <v>15.460208815444956</v>
          </cell>
          <cell r="S115">
            <v>292578</v>
          </cell>
        </row>
        <row r="116">
          <cell r="C116" t="str">
            <v>A0143</v>
          </cell>
          <cell r="D116" t="str">
            <v>PT Swadharma Bhakti Sedaya Finance</v>
          </cell>
          <cell r="F116">
            <v>37</v>
          </cell>
          <cell r="G116">
            <v>45.922045248533948</v>
          </cell>
          <cell r="H116">
            <v>22.204561851379097</v>
          </cell>
          <cell r="I116">
            <v>167221</v>
          </cell>
          <cell r="J116">
            <v>129811.875</v>
          </cell>
          <cell r="K116">
            <v>49</v>
          </cell>
          <cell r="L116">
            <v>37.327298886700468</v>
          </cell>
          <cell r="M116">
            <v>11.565128720892876</v>
          </cell>
          <cell r="N116">
            <v>101733</v>
          </cell>
          <cell r="P116">
            <v>86</v>
          </cell>
          <cell r="Q116">
            <v>41.025038600512545</v>
          </cell>
          <cell r="R116">
            <v>16.142559253776483</v>
          </cell>
          <cell r="S116">
            <v>268954</v>
          </cell>
        </row>
        <row r="117">
          <cell r="C117" t="str">
            <v>A0452</v>
          </cell>
          <cell r="D117" t="str">
            <v>PT Telen Orbit Prima</v>
          </cell>
          <cell r="F117">
            <v>5</v>
          </cell>
          <cell r="G117">
            <v>47.43052703627653</v>
          </cell>
          <cell r="H117">
            <v>23.892676249144422</v>
          </cell>
          <cell r="I117">
            <v>114087</v>
          </cell>
          <cell r="J117">
            <v>89931.25</v>
          </cell>
          <cell r="K117">
            <v>10</v>
          </cell>
          <cell r="L117">
            <v>36.147570157426415</v>
          </cell>
          <cell r="M117">
            <v>6.3972621492128674</v>
          </cell>
          <cell r="N117">
            <v>131534.99999999997</v>
          </cell>
          <cell r="P117">
            <v>15</v>
          </cell>
          <cell r="Q117">
            <v>39.908555783709794</v>
          </cell>
          <cell r="R117">
            <v>12.229066849190049</v>
          </cell>
          <cell r="S117">
            <v>245621.99999999994</v>
          </cell>
        </row>
        <row r="118">
          <cell r="C118" t="str">
            <v>A0146</v>
          </cell>
          <cell r="D118" t="str">
            <v>PT Tjahja Sakti Motor</v>
          </cell>
          <cell r="F118">
            <v>19</v>
          </cell>
          <cell r="G118">
            <v>48.411542202528906</v>
          </cell>
          <cell r="H118">
            <v>22.983104578695201</v>
          </cell>
          <cell r="I118">
            <v>204001</v>
          </cell>
          <cell r="J118">
            <v>196486.5</v>
          </cell>
          <cell r="K118">
            <v>45</v>
          </cell>
          <cell r="L118">
            <v>35.815225492432887</v>
          </cell>
          <cell r="M118">
            <v>10.075716784546353</v>
          </cell>
          <cell r="N118">
            <v>117616</v>
          </cell>
          <cell r="P118">
            <v>64</v>
          </cell>
          <cell r="Q118">
            <v>39.554757015742638</v>
          </cell>
          <cell r="R118">
            <v>13.907597535934288</v>
          </cell>
          <cell r="S118">
            <v>321617</v>
          </cell>
        </row>
        <row r="119">
          <cell r="C119" t="str">
            <v>A0364</v>
          </cell>
          <cell r="D119" t="str">
            <v>PT Toyoda Gosei Safety System Indonesia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56</v>
          </cell>
          <cell r="L119">
            <v>33.109318470714769</v>
          </cell>
          <cell r="M119">
            <v>5.6614843062481635</v>
          </cell>
          <cell r="N119">
            <v>110278.45</v>
          </cell>
          <cell r="P119">
            <v>56</v>
          </cell>
          <cell r="Q119">
            <v>33.109318470714769</v>
          </cell>
          <cell r="R119">
            <v>5.6614843062481635</v>
          </cell>
          <cell r="S119">
            <v>110278.45</v>
          </cell>
        </row>
        <row r="120">
          <cell r="C120" t="str">
            <v>A0411</v>
          </cell>
          <cell r="D120" t="str">
            <v>PT Toyota Astra Financial Services</v>
          </cell>
          <cell r="F120">
            <v>4</v>
          </cell>
          <cell r="G120">
            <v>48.682409308692677</v>
          </cell>
          <cell r="H120">
            <v>23.899383983572896</v>
          </cell>
          <cell r="I120">
            <v>206040</v>
          </cell>
          <cell r="J120">
            <v>202059.16666666701</v>
          </cell>
          <cell r="K120">
            <v>340</v>
          </cell>
          <cell r="L120">
            <v>30.848121753834995</v>
          </cell>
          <cell r="M120">
            <v>3.240713451705119</v>
          </cell>
          <cell r="N120">
            <v>1424558.64347</v>
          </cell>
          <cell r="P120">
            <v>344</v>
          </cell>
          <cell r="Q120">
            <v>31.055497190519393</v>
          </cell>
          <cell r="R120">
            <v>3.4809305509128845</v>
          </cell>
          <cell r="S120">
            <v>1630598.64347</v>
          </cell>
        </row>
        <row r="121">
          <cell r="C121" t="str">
            <v>A0150</v>
          </cell>
          <cell r="D121" t="str">
            <v>PT Traktor Nusantara</v>
          </cell>
          <cell r="F121">
            <v>100</v>
          </cell>
          <cell r="G121">
            <v>45.626776180698144</v>
          </cell>
          <cell r="H121">
            <v>21.66973305954825</v>
          </cell>
          <cell r="I121">
            <v>766539</v>
          </cell>
          <cell r="J121">
            <v>569667.625</v>
          </cell>
          <cell r="K121">
            <v>330</v>
          </cell>
          <cell r="L121">
            <v>31.26</v>
          </cell>
          <cell r="M121">
            <v>7.6</v>
          </cell>
          <cell r="N121">
            <v>1092133</v>
          </cell>
          <cell r="P121">
            <v>430</v>
          </cell>
          <cell r="Q121">
            <v>34.598500549161933</v>
          </cell>
          <cell r="R121">
            <v>10.873106983111279</v>
          </cell>
          <cell r="S121">
            <v>1858672</v>
          </cell>
        </row>
        <row r="122">
          <cell r="C122" t="str">
            <v>A0151</v>
          </cell>
          <cell r="D122" t="str">
            <v>Dana Pensiun Astra</v>
          </cell>
        </row>
        <row r="123">
          <cell r="C123" t="str">
            <v>A0153</v>
          </cell>
          <cell r="D123" t="str">
            <v>PT Tunggal Perkasa Plantation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2037</v>
          </cell>
          <cell r="L123">
            <v>35.969606764924251</v>
          </cell>
          <cell r="M123">
            <v>9.0401064226928121</v>
          </cell>
          <cell r="N123">
            <v>2932496.9439999959</v>
          </cell>
          <cell r="P123">
            <v>2037</v>
          </cell>
          <cell r="Q123">
            <v>35.969606764924251</v>
          </cell>
          <cell r="R123">
            <v>9.0401064226928121</v>
          </cell>
          <cell r="S123">
            <v>2932496.9439999959</v>
          </cell>
        </row>
        <row r="124">
          <cell r="C124" t="str">
            <v>A0156</v>
          </cell>
          <cell r="D124" t="str">
            <v>PT United Tractors Pandu Eng.</v>
          </cell>
          <cell r="F124">
            <v>81</v>
          </cell>
          <cell r="G124">
            <v>45.447613253225846</v>
          </cell>
          <cell r="H124">
            <v>22.131636541857862</v>
          </cell>
          <cell r="I124">
            <v>642159</v>
          </cell>
          <cell r="J124">
            <v>491614.74999999971</v>
          </cell>
          <cell r="K124">
            <v>260</v>
          </cell>
          <cell r="L124">
            <v>36.4009055967988</v>
          </cell>
          <cell r="M124">
            <v>12.680471752751025</v>
          </cell>
          <cell r="N124">
            <v>927369</v>
          </cell>
          <cell r="P124">
            <v>341</v>
          </cell>
          <cell r="Q124">
            <v>38.549830289381198</v>
          </cell>
          <cell r="R124">
            <v>14.925469840486073</v>
          </cell>
          <cell r="S124">
            <v>1569528</v>
          </cell>
        </row>
        <row r="125">
          <cell r="C125" t="str">
            <v>A0155</v>
          </cell>
          <cell r="D125" t="str">
            <v>PT United Tractors TBK (Parent)</v>
          </cell>
          <cell r="F125">
            <v>570</v>
          </cell>
          <cell r="G125">
            <v>45.032784562364171</v>
          </cell>
          <cell r="H125">
            <v>22.633884505925991</v>
          </cell>
          <cell r="I125">
            <v>3988514.4</v>
          </cell>
          <cell r="J125">
            <v>3009299</v>
          </cell>
          <cell r="K125">
            <v>1583</v>
          </cell>
          <cell r="L125">
            <v>30.31174919349716</v>
          </cell>
          <cell r="M125">
            <v>7.6237349006361486</v>
          </cell>
          <cell r="N125">
            <v>6000597.0999999996</v>
          </cell>
          <cell r="P125">
            <v>2153</v>
          </cell>
          <cell r="Q125">
            <v>34.209097154599881</v>
          </cell>
          <cell r="R125">
            <v>11.597624949412443</v>
          </cell>
          <cell r="S125">
            <v>9989111.5</v>
          </cell>
        </row>
        <row r="126">
          <cell r="C126" t="str">
            <v>A0099</v>
          </cell>
          <cell r="D126" t="str">
            <v>PT Waru Kalimantan Plantation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972</v>
          </cell>
          <cell r="L126">
            <v>35.015582089047747</v>
          </cell>
          <cell r="M126">
            <v>8.2497133988502078</v>
          </cell>
          <cell r="N126">
            <v>1131413.1100000001</v>
          </cell>
          <cell r="P126">
            <v>972</v>
          </cell>
          <cell r="Q126">
            <v>35.015582089047747</v>
          </cell>
          <cell r="R126">
            <v>8.2497133988502078</v>
          </cell>
          <cell r="S126">
            <v>1131413.1100000001</v>
          </cell>
        </row>
        <row r="127">
          <cell r="C127" t="str">
            <v>A0326</v>
          </cell>
          <cell r="D127" t="str">
            <v>PT Yutaka Manufacturing Indonesia</v>
          </cell>
          <cell r="F127">
            <v>6</v>
          </cell>
          <cell r="G127">
            <v>50.180698151950729</v>
          </cell>
          <cell r="H127">
            <v>27.987223362993387</v>
          </cell>
          <cell r="I127">
            <v>124735.43666666666</v>
          </cell>
          <cell r="J127">
            <v>98534.058333333305</v>
          </cell>
          <cell r="K127">
            <v>415</v>
          </cell>
          <cell r="L127">
            <v>31.055355714438853</v>
          </cell>
          <cell r="M127">
            <v>8.5092072602525022</v>
          </cell>
          <cell r="N127">
            <v>798720.46666666749</v>
          </cell>
          <cell r="P127">
            <v>421</v>
          </cell>
          <cell r="Q127">
            <v>31.327925915448528</v>
          </cell>
          <cell r="R127">
            <v>8.7868036892701866</v>
          </cell>
          <cell r="S127">
            <v>923455.90333333425</v>
          </cell>
        </row>
        <row r="128">
          <cell r="C128" t="str">
            <v>R0406</v>
          </cell>
          <cell r="D128" t="str">
            <v>Yayasan Astra Bina Ilmu</v>
          </cell>
          <cell r="F128">
            <v>1</v>
          </cell>
          <cell r="G128">
            <v>46.488706365503077</v>
          </cell>
          <cell r="H128">
            <v>19.912388774811774</v>
          </cell>
          <cell r="I128">
            <v>11284</v>
          </cell>
          <cell r="J128">
            <v>10726.5</v>
          </cell>
          <cell r="K128">
            <v>70</v>
          </cell>
          <cell r="L128">
            <v>33.344558521560565</v>
          </cell>
          <cell r="M128">
            <v>9.7699814217268024</v>
          </cell>
          <cell r="N128">
            <v>300956</v>
          </cell>
          <cell r="P128">
            <v>71</v>
          </cell>
          <cell r="Q128">
            <v>33.529687364433002</v>
          </cell>
          <cell r="R128">
            <v>9.9128322295167308</v>
          </cell>
          <cell r="S128">
            <v>312240</v>
          </cell>
        </row>
        <row r="129">
          <cell r="C129" t="str">
            <v>R0411</v>
          </cell>
          <cell r="D129" t="str">
            <v>Yayasan Astra Bina Pendidikan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6</v>
          </cell>
          <cell r="L129">
            <v>35.706137348847825</v>
          </cell>
          <cell r="M129">
            <v>4.6151038101756789</v>
          </cell>
          <cell r="N129">
            <v>42677</v>
          </cell>
          <cell r="P129">
            <v>6</v>
          </cell>
          <cell r="Q129">
            <v>35.706137348847825</v>
          </cell>
          <cell r="R129">
            <v>4.6151038101756789</v>
          </cell>
          <cell r="S129">
            <v>42677</v>
          </cell>
        </row>
        <row r="130">
          <cell r="C130" t="str">
            <v>R0410</v>
          </cell>
          <cell r="D130" t="str">
            <v>Yayasan Dharma Bhakti Astra</v>
          </cell>
          <cell r="F130">
            <v>3</v>
          </cell>
          <cell r="G130">
            <v>47.972621492128674</v>
          </cell>
          <cell r="H130">
            <v>23.164042892995667</v>
          </cell>
          <cell r="I130">
            <v>14439</v>
          </cell>
          <cell r="J130">
            <v>13419</v>
          </cell>
          <cell r="K130">
            <v>5</v>
          </cell>
          <cell r="L130">
            <v>40.153867214236826</v>
          </cell>
          <cell r="M130">
            <v>17.164681724845998</v>
          </cell>
          <cell r="N130">
            <v>31870</v>
          </cell>
          <cell r="P130">
            <v>8</v>
          </cell>
          <cell r="Q130">
            <v>43.085900068446271</v>
          </cell>
          <cell r="R130">
            <v>19.414442162902123</v>
          </cell>
          <cell r="S130">
            <v>46309</v>
          </cell>
        </row>
      </sheetData>
      <sheetData sheetId="7">
        <row r="2">
          <cell r="B2" t="str">
            <v>S0001</v>
          </cell>
          <cell r="C2" t="str">
            <v>PT ASTRA INTERNATIONAL - HO</v>
          </cell>
          <cell r="D2">
            <v>36508604383.74733</v>
          </cell>
          <cell r="E2">
            <v>1000449040</v>
          </cell>
          <cell r="F2">
            <v>458392192</v>
          </cell>
          <cell r="G2">
            <v>3931744432</v>
          </cell>
          <cell r="H2">
            <v>-36579554421</v>
          </cell>
        </row>
        <row r="3">
          <cell r="B3" t="str">
            <v>S0005</v>
          </cell>
          <cell r="C3" t="str">
            <v>PT AI-HONDA SALES OPS.</v>
          </cell>
          <cell r="D3">
            <v>29475830559.03421</v>
          </cell>
          <cell r="E3">
            <v>579868907.60000002</v>
          </cell>
          <cell r="F3">
            <v>265540256</v>
          </cell>
          <cell r="G3">
            <v>1010863928</v>
          </cell>
          <cell r="H3">
            <v>-47741000</v>
          </cell>
        </row>
        <row r="4">
          <cell r="B4" t="str">
            <v>S0002</v>
          </cell>
          <cell r="C4" t="str">
            <v>PT AI-TOYOTA SALES OPS.</v>
          </cell>
          <cell r="D4">
            <v>103064532384.79892</v>
          </cell>
          <cell r="E4">
            <v>1943355492.8</v>
          </cell>
          <cell r="F4">
            <v>889757536</v>
          </cell>
          <cell r="G4">
            <v>4220836224</v>
          </cell>
          <cell r="H4">
            <v>-4991088837</v>
          </cell>
        </row>
        <row r="5">
          <cell r="B5" t="str">
            <v>S0173</v>
          </cell>
          <cell r="C5" t="str">
            <v>PT AI-BMW SALES OPS.</v>
          </cell>
          <cell r="D5">
            <v>5161236228.5754337</v>
          </cell>
          <cell r="E5">
            <v>96281937.599999994</v>
          </cell>
          <cell r="F5">
            <v>44077568</v>
          </cell>
          <cell r="G5">
            <v>226804984</v>
          </cell>
          <cell r="H5">
            <v>0</v>
          </cell>
        </row>
        <row r="6">
          <cell r="B6" t="str">
            <v>S0004</v>
          </cell>
          <cell r="C6" t="str">
            <v>PT AI-ISUZU SALE SOPS.</v>
          </cell>
          <cell r="D6">
            <v>18799229898.125767</v>
          </cell>
          <cell r="E6">
            <v>368229975.59999996</v>
          </cell>
          <cell r="F6">
            <v>168581440</v>
          </cell>
          <cell r="G6">
            <v>781481768</v>
          </cell>
          <cell r="H6">
            <v>-207197000</v>
          </cell>
        </row>
        <row r="7">
          <cell r="B7" t="str">
            <v>S0003</v>
          </cell>
          <cell r="C7" t="str">
            <v>PT AI-DAIHATSU SALES OPS.</v>
          </cell>
          <cell r="D7">
            <v>35707328411.589958</v>
          </cell>
          <cell r="E7">
            <v>655974166.20000005</v>
          </cell>
          <cell r="F7">
            <v>300323296</v>
          </cell>
          <cell r="G7">
            <v>1608764576</v>
          </cell>
          <cell r="H7">
            <v>-450532230</v>
          </cell>
        </row>
        <row r="8">
          <cell r="B8" t="str">
            <v>S0172</v>
          </cell>
          <cell r="C8" t="str">
            <v>PT AI-NISSAN SALES OPS.</v>
          </cell>
          <cell r="D8">
            <v>3036028488.2032232</v>
          </cell>
          <cell r="E8">
            <v>56890072.199999996</v>
          </cell>
          <cell r="F8">
            <v>26043392</v>
          </cell>
          <cell r="G8">
            <v>138098184</v>
          </cell>
          <cell r="H8">
            <v>0</v>
          </cell>
        </row>
        <row r="9">
          <cell r="B9" t="str">
            <v>S0174</v>
          </cell>
          <cell r="C9" t="str">
            <v>PT AI-PEUGEOT SALES OPS.</v>
          </cell>
          <cell r="D9">
            <v>3554730961.1086245</v>
          </cell>
          <cell r="E9">
            <v>70188547.200000003</v>
          </cell>
          <cell r="F9">
            <v>32132096</v>
          </cell>
          <cell r="G9">
            <v>190115328</v>
          </cell>
          <cell r="H9">
            <v>-39164000</v>
          </cell>
        </row>
        <row r="10">
          <cell r="B10" t="str">
            <v>S0363</v>
          </cell>
          <cell r="C10" t="str">
            <v>PT AI-ASTRA WORLD SALES OPS.</v>
          </cell>
          <cell r="D10">
            <v>4003536333.0675082</v>
          </cell>
          <cell r="E10">
            <v>72278836.799999997</v>
          </cell>
          <cell r="F10">
            <v>33089024</v>
          </cell>
          <cell r="G10">
            <v>257720632</v>
          </cell>
          <cell r="H10">
            <v>0</v>
          </cell>
        </row>
        <row r="11">
          <cell r="B11" t="str">
            <v>S0015</v>
          </cell>
          <cell r="C11" t="str">
            <v>PT AI-SHARE SERVICE CENTRE OPS</v>
          </cell>
          <cell r="D11">
            <v>9088923018.4008789</v>
          </cell>
          <cell r="E11">
            <v>72022902</v>
          </cell>
          <cell r="F11">
            <v>32972640</v>
          </cell>
          <cell r="G11">
            <v>0</v>
          </cell>
          <cell r="H11">
            <v>-157317000</v>
          </cell>
        </row>
        <row r="12">
          <cell r="B12" t="str">
            <v>R0410</v>
          </cell>
          <cell r="C12" t="str">
            <v>YAYASAN DHARMA BAKTI ASTRA</v>
          </cell>
          <cell r="D12">
            <v>257907257.58772582</v>
          </cell>
          <cell r="E12">
            <v>8034237.5999999996</v>
          </cell>
          <cell r="F12">
            <v>3677952</v>
          </cell>
          <cell r="G12">
            <v>51199952</v>
          </cell>
          <cell r="H12">
            <v>0</v>
          </cell>
        </row>
        <row r="13">
          <cell r="B13" t="str">
            <v>R0406</v>
          </cell>
          <cell r="C13" t="str">
            <v>YAYASAN ASTRA BINA ILMU - POLMAN ASTRA</v>
          </cell>
          <cell r="D13">
            <v>200220032.16816142</v>
          </cell>
          <cell r="E13">
            <v>6310012.7999999998</v>
          </cell>
          <cell r="F13">
            <v>2888704</v>
          </cell>
          <cell r="G13">
            <v>27366888</v>
          </cell>
          <cell r="H13">
            <v>0</v>
          </cell>
        </row>
        <row r="14">
          <cell r="B14" t="str">
            <v>R0411</v>
          </cell>
          <cell r="C14" t="str">
            <v>YAYASAN ASTRA BINA ILMU - BERNAS</v>
          </cell>
        </row>
        <row r="15">
          <cell r="B15" t="str">
            <v>A0411</v>
          </cell>
          <cell r="C15" t="str">
            <v>PT TOYOTA ASTRA FINANCE</v>
          </cell>
          <cell r="D15">
            <v>5655771551.316678</v>
          </cell>
          <cell r="E15">
            <v>115217568</v>
          </cell>
          <cell r="F15">
            <v>52746240</v>
          </cell>
          <cell r="G15">
            <v>661127976</v>
          </cell>
          <cell r="H15">
            <v>0</v>
          </cell>
        </row>
        <row r="16">
          <cell r="B16" t="str">
            <v>A0049</v>
          </cell>
          <cell r="C16" t="str">
            <v>PT AISIN INDONESIA</v>
          </cell>
          <cell r="D16">
            <v>8698132838.02178</v>
          </cell>
          <cell r="E16">
            <v>223606103.95739996</v>
          </cell>
          <cell r="F16">
            <v>96611539.455999985</v>
          </cell>
          <cell r="G16">
            <v>872748040</v>
          </cell>
          <cell r="H16">
            <v>-269184000</v>
          </cell>
        </row>
        <row r="17">
          <cell r="B17" t="str">
            <v>A0038</v>
          </cell>
          <cell r="C17" t="str">
            <v>PT AT INDONESIA</v>
          </cell>
          <cell r="D17">
            <v>4077659153.6051455</v>
          </cell>
          <cell r="E17">
            <v>96341339.150000006</v>
          </cell>
          <cell r="F17">
            <v>41969081.600000001</v>
          </cell>
          <cell r="G17">
            <v>284032208</v>
          </cell>
          <cell r="H17">
            <v>-230278000</v>
          </cell>
        </row>
        <row r="18">
          <cell r="B18" t="str">
            <v>A0096</v>
          </cell>
          <cell r="C18" t="str">
            <v>PT MENARA TERUS MAKMUR</v>
          </cell>
          <cell r="D18">
            <v>5360114472.5393229</v>
          </cell>
          <cell r="E18">
            <v>147981399.77000001</v>
          </cell>
          <cell r="F18">
            <v>64949292.800000004</v>
          </cell>
          <cell r="G18">
            <v>354508968</v>
          </cell>
          <cell r="H18">
            <v>0</v>
          </cell>
        </row>
        <row r="19">
          <cell r="B19" t="str">
            <v>A0209</v>
          </cell>
          <cell r="C19" t="str">
            <v>PT SERASI AUTO RAYA</v>
          </cell>
          <cell r="D19">
            <v>10612465107.40102</v>
          </cell>
          <cell r="E19">
            <v>221769916.50000003</v>
          </cell>
          <cell r="F19">
            <v>97839552</v>
          </cell>
          <cell r="G19">
            <v>486668512</v>
          </cell>
          <cell r="H19">
            <v>-32747000</v>
          </cell>
        </row>
        <row r="20">
          <cell r="B20" t="str">
            <v>A0306</v>
          </cell>
          <cell r="C20" t="str">
            <v>PT ASTRA NIPPON GASKET INDONESIA</v>
          </cell>
          <cell r="D20">
            <v>989940731.97370112</v>
          </cell>
          <cell r="E20">
            <v>39272513.094000004</v>
          </cell>
          <cell r="F20">
            <v>17265607.680000003</v>
          </cell>
          <cell r="G20">
            <v>263013512</v>
          </cell>
          <cell r="H20">
            <v>0</v>
          </cell>
        </row>
        <row r="21">
          <cell r="B21" t="str">
            <v>A0045</v>
          </cell>
          <cell r="C21" t="str">
            <v>PT ASTRA DAIHATSU MOTOR - HO</v>
          </cell>
          <cell r="D21">
            <v>58170010170.859688</v>
          </cell>
          <cell r="E21">
            <v>1159268228.8</v>
          </cell>
          <cell r="F21">
            <v>520618720</v>
          </cell>
          <cell r="G21">
            <v>4173468624</v>
          </cell>
          <cell r="H21">
            <v>-6263342469</v>
          </cell>
        </row>
        <row r="22">
          <cell r="B22" t="str">
            <v>A0037</v>
          </cell>
          <cell r="C22" t="str">
            <v>PT CENTURY BATTERIES INDONESIA</v>
          </cell>
          <cell r="D22">
            <v>10598074866.00366</v>
          </cell>
          <cell r="E22">
            <v>167553656.07499999</v>
          </cell>
          <cell r="F22">
            <v>75470344</v>
          </cell>
          <cell r="G22">
            <v>388185832</v>
          </cell>
          <cell r="H22">
            <v>-352556000</v>
          </cell>
        </row>
        <row r="23">
          <cell r="B23" t="str">
            <v>A0065</v>
          </cell>
          <cell r="C23" t="str">
            <v>PT GAYA MOTOR</v>
          </cell>
          <cell r="D23">
            <v>17341007834.51292</v>
          </cell>
          <cell r="E23">
            <v>339311046.20000005</v>
          </cell>
          <cell r="F23">
            <v>155510112</v>
          </cell>
          <cell r="G23">
            <v>1464746592</v>
          </cell>
          <cell r="H23">
            <v>-2681845355</v>
          </cell>
        </row>
        <row r="24">
          <cell r="B24" t="str">
            <v>A0070</v>
          </cell>
          <cell r="C24" t="str">
            <v>PT GS BATTERY INC.</v>
          </cell>
          <cell r="D24">
            <v>37774892744.792656</v>
          </cell>
          <cell r="E24">
            <v>614550773.45000005</v>
          </cell>
          <cell r="F24">
            <v>268468480</v>
          </cell>
          <cell r="G24">
            <v>1853393408</v>
          </cell>
          <cell r="H24">
            <v>-3692367095</v>
          </cell>
        </row>
        <row r="25">
          <cell r="B25" t="str">
            <v>A0081</v>
          </cell>
          <cell r="C25" t="str">
            <v>PT INTI PANTJA PRESS INDUSTRI</v>
          </cell>
          <cell r="D25">
            <v>6132714098.8128099</v>
          </cell>
          <cell r="E25">
            <v>139477881.20000002</v>
          </cell>
          <cell r="F25">
            <v>63659008</v>
          </cell>
          <cell r="G25">
            <v>250100616</v>
          </cell>
          <cell r="H25">
            <v>0</v>
          </cell>
        </row>
        <row r="26">
          <cell r="B26" t="str">
            <v>A0084</v>
          </cell>
          <cell r="C26" t="str">
            <v>PT KAYABA INDONESIA</v>
          </cell>
          <cell r="D26">
            <v>22276672935.001968</v>
          </cell>
          <cell r="E26">
            <v>350341842.01299995</v>
          </cell>
          <cell r="F26">
            <v>163834370.24000001</v>
          </cell>
          <cell r="G26">
            <v>1466569936</v>
          </cell>
          <cell r="H26">
            <v>-1319361000</v>
          </cell>
        </row>
        <row r="27">
          <cell r="B27" t="str">
            <v>A0115</v>
          </cell>
          <cell r="C27" t="str">
            <v>PT ISUZU ASTRA MOTOR INDONESIA</v>
          </cell>
          <cell r="D27">
            <v>15698158164.8528</v>
          </cell>
          <cell r="E27">
            <v>336984606</v>
          </cell>
          <cell r="F27">
            <v>155333952</v>
          </cell>
          <cell r="G27">
            <v>789983160</v>
          </cell>
          <cell r="H27">
            <v>-1782754739</v>
          </cell>
        </row>
        <row r="28">
          <cell r="B28" t="str">
            <v>A0146</v>
          </cell>
          <cell r="C28" t="str">
            <v>PT TJAHJA  SAKTI MOTOR CORPORATION</v>
          </cell>
          <cell r="D28">
            <v>7758949308.3102446</v>
          </cell>
          <cell r="E28">
            <v>127642900.19999997</v>
          </cell>
          <cell r="F28">
            <v>60412928</v>
          </cell>
          <cell r="G28">
            <v>312322400</v>
          </cell>
          <cell r="H28">
            <v>-15357000</v>
          </cell>
        </row>
        <row r="29">
          <cell r="B29" t="str">
            <v>A0172</v>
          </cell>
          <cell r="C29" t="str">
            <v>PT ASTRA NISSAN DIESEL INDONESIA</v>
          </cell>
          <cell r="D29">
            <v>6359042481.1181107</v>
          </cell>
          <cell r="E29">
            <v>101804075.40000001</v>
          </cell>
          <cell r="F29">
            <v>47628736</v>
          </cell>
          <cell r="G29">
            <v>179260504</v>
          </cell>
          <cell r="H29">
            <v>-150474000</v>
          </cell>
        </row>
        <row r="30">
          <cell r="B30" t="str">
            <v>A0275</v>
          </cell>
          <cell r="C30" t="str">
            <v>PT FUJI TECHNICA INDONESIA</v>
          </cell>
          <cell r="D30">
            <v>4077496583.7868857</v>
          </cell>
          <cell r="E30">
            <v>92297194.499999985</v>
          </cell>
          <cell r="F30">
            <v>42458368</v>
          </cell>
          <cell r="G30">
            <v>338961272</v>
          </cell>
          <cell r="H30">
            <v>0</v>
          </cell>
        </row>
        <row r="31">
          <cell r="B31" t="str">
            <v>A0051</v>
          </cell>
          <cell r="C31" t="str">
            <v>PT DIC ASTRA CHEMICALS</v>
          </cell>
          <cell r="D31">
            <v>4286104859.3430185</v>
          </cell>
          <cell r="E31">
            <v>92445445.890000001</v>
          </cell>
          <cell r="F31">
            <v>41004739.200000003</v>
          </cell>
          <cell r="G31">
            <v>165564616</v>
          </cell>
          <cell r="H31">
            <v>-1715000</v>
          </cell>
        </row>
        <row r="32">
          <cell r="B32" t="str">
            <v>A0059</v>
          </cell>
          <cell r="C32" t="str">
            <v>PT FEDERAL IZUMI MFG.</v>
          </cell>
          <cell r="D32">
            <v>4112026030.3846941</v>
          </cell>
          <cell r="E32">
            <v>79778959</v>
          </cell>
          <cell r="F32">
            <v>35941549</v>
          </cell>
          <cell r="G32">
            <v>191380336</v>
          </cell>
          <cell r="H32">
            <v>-588657000</v>
          </cell>
        </row>
        <row r="33">
          <cell r="B33" t="str">
            <v>A0060</v>
          </cell>
          <cell r="C33" t="str">
            <v>PT ASTRA HONDA MOTOR</v>
          </cell>
          <cell r="D33">
            <v>222461552109.14651</v>
          </cell>
          <cell r="E33">
            <v>4822736684.04</v>
          </cell>
          <cell r="F33">
            <v>2167691513.6000004</v>
          </cell>
          <cell r="G33">
            <v>18583366176</v>
          </cell>
          <cell r="H33">
            <v>-14205800901</v>
          </cell>
        </row>
        <row r="34">
          <cell r="B34" t="str">
            <v>A0098</v>
          </cell>
          <cell r="C34" t="str">
            <v>PT FEDERAL INTERNATIONAL FINANCE</v>
          </cell>
          <cell r="D34">
            <v>19867706726.186302</v>
          </cell>
          <cell r="E34">
            <v>415661832.29999995</v>
          </cell>
          <cell r="F34">
            <v>182969990.39999998</v>
          </cell>
          <cell r="G34">
            <v>925078848</v>
          </cell>
          <cell r="H34">
            <v>-159911000</v>
          </cell>
        </row>
        <row r="35">
          <cell r="B35" t="str">
            <v>A0062</v>
          </cell>
          <cell r="C35" t="str">
            <v>PT FEDERAL SUPERIOR CHAIN MFG.</v>
          </cell>
          <cell r="D35">
            <v>9885011240.0084724</v>
          </cell>
          <cell r="E35">
            <v>192558934.86729997</v>
          </cell>
          <cell r="F35">
            <v>84456581.120000005</v>
          </cell>
          <cell r="G35">
            <v>96575592</v>
          </cell>
          <cell r="H35">
            <v>-456774410</v>
          </cell>
        </row>
        <row r="36">
          <cell r="B36" t="str">
            <v>A0132</v>
          </cell>
          <cell r="C36" t="str">
            <v>PT SHOWA INDONESIA MFG</v>
          </cell>
          <cell r="D36">
            <v>22372440431.218414</v>
          </cell>
          <cell r="E36">
            <v>490203859.85400003</v>
          </cell>
          <cell r="F36">
            <v>220095577.12000006</v>
          </cell>
          <cell r="G36">
            <v>2086667320</v>
          </cell>
          <cell r="H36">
            <v>-1624638000</v>
          </cell>
        </row>
        <row r="37">
          <cell r="B37" t="str">
            <v>A0199</v>
          </cell>
          <cell r="C37" t="str">
            <v>PT SURYARAYA RUBBERINDO INDUSTRIES</v>
          </cell>
          <cell r="D37">
            <v>7321334094.8663607</v>
          </cell>
          <cell r="E37">
            <v>135192456.24899998</v>
          </cell>
          <cell r="F37">
            <v>58120081.920000009</v>
          </cell>
          <cell r="G37">
            <v>553071344</v>
          </cell>
          <cell r="H37">
            <v>0</v>
          </cell>
        </row>
        <row r="38">
          <cell r="B38" t="str">
            <v>A0326</v>
          </cell>
          <cell r="C38" t="str">
            <v>PT YUTAKA MANUFACTURING INDONESIA</v>
          </cell>
          <cell r="D38">
            <v>3362939936.7172542</v>
          </cell>
          <cell r="E38">
            <v>61569864.32</v>
          </cell>
          <cell r="F38">
            <v>27330972.800000004</v>
          </cell>
          <cell r="G38">
            <v>256375536</v>
          </cell>
          <cell r="H38">
            <v>-661906000</v>
          </cell>
        </row>
        <row r="39">
          <cell r="B39" t="str">
            <v>A0210</v>
          </cell>
          <cell r="C39" t="str">
            <v>PT BINA PERTIWI</v>
          </cell>
          <cell r="D39">
            <v>3510830523.135736</v>
          </cell>
          <cell r="E39">
            <v>68101011.5</v>
          </cell>
          <cell r="F39">
            <v>30671680</v>
          </cell>
          <cell r="G39">
            <v>226006352</v>
          </cell>
          <cell r="H39">
            <v>-203184000</v>
          </cell>
        </row>
        <row r="40">
          <cell r="B40" t="str">
            <v>A0150</v>
          </cell>
          <cell r="C40" t="str">
            <v>PT TRAKTOR NUSANTARA</v>
          </cell>
          <cell r="D40">
            <v>20399865236.692783</v>
          </cell>
          <cell r="E40">
            <v>428020013.39999998</v>
          </cell>
          <cell r="F40">
            <v>189769792</v>
          </cell>
          <cell r="G40">
            <v>1037988528</v>
          </cell>
          <cell r="H40">
            <v>-972490000</v>
          </cell>
        </row>
        <row r="41">
          <cell r="B41" t="str">
            <v>A0155</v>
          </cell>
          <cell r="C41" t="str">
            <v>PT UNITED TRACTORS Tbk</v>
          </cell>
          <cell r="D41">
            <v>94056902094.40274</v>
          </cell>
          <cell r="E41">
            <v>1949143815.4375911</v>
          </cell>
          <cell r="F41">
            <v>863957293.65307021</v>
          </cell>
          <cell r="G41">
            <v>5085257096.5994444</v>
          </cell>
          <cell r="H41">
            <v>-8032685268.5137796</v>
          </cell>
        </row>
        <row r="42">
          <cell r="B42" t="str">
            <v>A0156</v>
          </cell>
          <cell r="C42" t="str">
            <v>PT UNITED TRACTORS PANDU ENG.</v>
          </cell>
          <cell r="D42">
            <v>16787667014.022804</v>
          </cell>
          <cell r="E42">
            <v>320428181.30000001</v>
          </cell>
          <cell r="F42">
            <v>141332704</v>
          </cell>
          <cell r="G42">
            <v>427390880</v>
          </cell>
          <cell r="H42">
            <v>-630882066</v>
          </cell>
        </row>
        <row r="43">
          <cell r="B43" t="str">
            <v>A0112</v>
          </cell>
          <cell r="C43" t="str">
            <v>PT PAMA PERSADA NUSANTARA</v>
          </cell>
          <cell r="D43">
            <v>48553711523.970917</v>
          </cell>
          <cell r="E43">
            <v>1119642404.4000001</v>
          </cell>
          <cell r="F43">
            <v>510443488</v>
          </cell>
          <cell r="G43">
            <v>4068842992</v>
          </cell>
          <cell r="H43">
            <v>-5627343000</v>
          </cell>
        </row>
        <row r="44">
          <cell r="B44" t="str">
            <v>A0378</v>
          </cell>
          <cell r="C44" t="str">
            <v>PT KOMATSU ASTRA FINANCE</v>
          </cell>
          <cell r="D44">
            <v>511433389.80379891</v>
          </cell>
          <cell r="E44">
            <v>21441276</v>
          </cell>
          <cell r="F44">
            <v>9231360</v>
          </cell>
          <cell r="G44">
            <v>93344488</v>
          </cell>
          <cell r="H44">
            <v>0</v>
          </cell>
        </row>
        <row r="45">
          <cell r="B45" t="str">
            <v>A0328</v>
          </cell>
          <cell r="C45" t="str">
            <v>PT Komatsu Remanufacturing Asia</v>
          </cell>
          <cell r="D45">
            <v>4884019619.1902723</v>
          </cell>
          <cell r="E45">
            <v>101211675.30763365</v>
          </cell>
          <cell r="F45">
            <v>44862038.5998789</v>
          </cell>
          <cell r="G45">
            <v>264058191.10957354</v>
          </cell>
          <cell r="H45">
            <v>-417107001.95957905</v>
          </cell>
        </row>
        <row r="46">
          <cell r="B46" t="str">
            <v>A0451</v>
          </cell>
          <cell r="C46" t="str">
            <v>PT Multi Prima Universal</v>
          </cell>
          <cell r="D46">
            <v>1865256597.7831974</v>
          </cell>
          <cell r="E46">
            <v>38653764.697929986</v>
          </cell>
          <cell r="F46">
            <v>17133267.270187967</v>
          </cell>
          <cell r="G46">
            <v>100846499.72136816</v>
          </cell>
          <cell r="H46">
            <v>-159297391.91253725</v>
          </cell>
        </row>
        <row r="47">
          <cell r="B47" t="str">
            <v>A0057</v>
          </cell>
          <cell r="C47" t="str">
            <v>PT Pratama Sedaya Finance</v>
          </cell>
          <cell r="D47">
            <v>1502011275</v>
          </cell>
          <cell r="E47">
            <v>3706128</v>
          </cell>
          <cell r="F47">
            <v>2519296</v>
          </cell>
          <cell r="G47">
            <v>0</v>
          </cell>
          <cell r="H47">
            <v>0</v>
          </cell>
        </row>
        <row r="48">
          <cell r="B48" t="str">
            <v>A0221</v>
          </cell>
          <cell r="C48" t="str">
            <v>PT Swadaya Harapan Nusantara</v>
          </cell>
        </row>
        <row r="49">
          <cell r="B49" t="str">
            <v>A0452</v>
          </cell>
          <cell r="C49" t="str">
            <v>PT Telen Orbit Prima</v>
          </cell>
          <cell r="D49">
            <v>3105132988.5459819</v>
          </cell>
          <cell r="E49">
            <v>64347757.856845424</v>
          </cell>
          <cell r="F49">
            <v>28522120.47686293</v>
          </cell>
          <cell r="G49">
            <v>167881348.56961411</v>
          </cell>
          <cell r="H49">
            <v>-265185812.61410463</v>
          </cell>
        </row>
        <row r="50">
          <cell r="B50" t="str">
            <v>A0360</v>
          </cell>
          <cell r="C50" t="str">
            <v>PT KALIMANTAN PRIMA PERSADA</v>
          </cell>
          <cell r="D50">
            <v>5682036515.2149124</v>
          </cell>
          <cell r="E50">
            <v>140352421.19999999</v>
          </cell>
          <cell r="F50">
            <v>62851776</v>
          </cell>
          <cell r="G50">
            <v>489808992</v>
          </cell>
          <cell r="H50">
            <v>0</v>
          </cell>
        </row>
        <row r="51">
          <cell r="B51" t="str">
            <v>A0014</v>
          </cell>
          <cell r="C51" t="str">
            <v>PT ASTRA GRAPHIA Tbk</v>
          </cell>
          <cell r="D51">
            <v>73251982009.967072</v>
          </cell>
          <cell r="E51">
            <v>1254104782.6999998</v>
          </cell>
          <cell r="F51">
            <v>562300640</v>
          </cell>
          <cell r="G51">
            <v>6405767712</v>
          </cell>
          <cell r="H51">
            <v>-6060040934</v>
          </cell>
        </row>
        <row r="52">
          <cell r="B52" t="str">
            <v>A0079</v>
          </cell>
          <cell r="C52" t="str">
            <v>PT INTERTEL NUSA PERDANA</v>
          </cell>
          <cell r="D52">
            <v>402877592.12837255</v>
          </cell>
        </row>
        <row r="53">
          <cell r="B53" t="str">
            <v>A0316</v>
          </cell>
          <cell r="C53" t="str">
            <v>PT ASTRA KOMPONEN INDONESIA</v>
          </cell>
          <cell r="D53">
            <v>7521048676.9713631</v>
          </cell>
          <cell r="E53">
            <v>124802416.3</v>
          </cell>
          <cell r="F53">
            <v>54932960</v>
          </cell>
          <cell r="G53">
            <v>248299128</v>
          </cell>
          <cell r="H53">
            <v>-668914991</v>
          </cell>
        </row>
        <row r="54">
          <cell r="B54" t="str">
            <v>A0239</v>
          </cell>
          <cell r="C54" t="str">
            <v>PT DIRGAMENARA NUSADWIPA</v>
          </cell>
          <cell r="D54">
            <v>1231787704.185868</v>
          </cell>
          <cell r="E54">
            <v>22167931.800000001</v>
          </cell>
          <cell r="F54">
            <v>10632416</v>
          </cell>
          <cell r="G54">
            <v>64058648</v>
          </cell>
          <cell r="H54">
            <v>0</v>
          </cell>
        </row>
        <row r="55">
          <cell r="B55" t="str">
            <v>A0077</v>
          </cell>
          <cell r="C55" t="str">
            <v>PT INDOKARLO PERKASA</v>
          </cell>
          <cell r="D55">
            <v>385043899.09875685</v>
          </cell>
          <cell r="E55">
            <v>10565804.6</v>
          </cell>
          <cell r="F55">
            <v>4599296</v>
          </cell>
          <cell r="G55">
            <v>46701960</v>
          </cell>
          <cell r="H55">
            <v>0</v>
          </cell>
        </row>
        <row r="56">
          <cell r="B56" t="str">
            <v>A0345</v>
          </cell>
          <cell r="C56" t="str">
            <v>PT NUSA KEIHIN INDONESIA</v>
          </cell>
          <cell r="D56">
            <v>121338050.0680612</v>
          </cell>
          <cell r="E56">
            <v>5391096.2999999998</v>
          </cell>
          <cell r="F56">
            <v>2605968</v>
          </cell>
          <cell r="G56">
            <v>0</v>
          </cell>
          <cell r="H56">
            <v>0</v>
          </cell>
        </row>
        <row r="57">
          <cell r="B57" t="str">
            <v>A0371</v>
          </cell>
          <cell r="C57" t="str">
            <v>PT SCS ASTRAGRAPHIA TECH.</v>
          </cell>
          <cell r="D57">
            <v>9967621574.6099586</v>
          </cell>
          <cell r="E57">
            <v>241443591.59999999</v>
          </cell>
          <cell r="F57">
            <v>105828096</v>
          </cell>
          <cell r="G57">
            <v>545139272</v>
          </cell>
          <cell r="H57">
            <v>-123134000</v>
          </cell>
        </row>
        <row r="58">
          <cell r="B58" t="str">
            <v>A0177</v>
          </cell>
          <cell r="C58" t="str">
            <v>PT ASTRA AUTO FINANCE</v>
          </cell>
          <cell r="D58">
            <v>1480115134.5724785</v>
          </cell>
          <cell r="E58">
            <v>29325687.5</v>
          </cell>
          <cell r="F58">
            <v>12876000</v>
          </cell>
          <cell r="G58">
            <v>62823056</v>
          </cell>
          <cell r="H58">
            <v>0</v>
          </cell>
        </row>
        <row r="59">
          <cell r="B59" t="str">
            <v>A0178</v>
          </cell>
          <cell r="C59" t="str">
            <v>PT ASTRA MITRA VENTURA</v>
          </cell>
          <cell r="D59">
            <v>1520848736.7614231</v>
          </cell>
          <cell r="E59">
            <v>32714178.038599998</v>
          </cell>
          <cell r="F59">
            <v>15274173.951999996</v>
          </cell>
          <cell r="G59">
            <v>114011424</v>
          </cell>
          <cell r="H59">
            <v>0</v>
          </cell>
        </row>
        <row r="60">
          <cell r="B60" t="str">
            <v>A0020</v>
          </cell>
          <cell r="C60" t="str">
            <v>PT ASTRA MULTI FINANCE</v>
          </cell>
          <cell r="D60">
            <v>143498309.65803048</v>
          </cell>
        </row>
        <row r="61">
          <cell r="B61" t="str">
            <v>A0024</v>
          </cell>
          <cell r="C61" t="str">
            <v>PT ASTRA SEDAYA FINANCE</v>
          </cell>
          <cell r="D61">
            <v>31470311768.707035</v>
          </cell>
          <cell r="E61">
            <v>688104024.23999989</v>
          </cell>
          <cell r="F61">
            <v>306027200</v>
          </cell>
          <cell r="G61">
            <v>1134343392</v>
          </cell>
          <cell r="H61">
            <v>-1922571392</v>
          </cell>
        </row>
        <row r="62">
          <cell r="B62" t="str">
            <v>A0026</v>
          </cell>
          <cell r="C62" t="str">
            <v>PT ASURANSI ASTRA BUANA</v>
          </cell>
          <cell r="D62">
            <v>21901965574.152115</v>
          </cell>
          <cell r="E62">
            <v>388495760.89999998</v>
          </cell>
          <cell r="F62">
            <v>181100512</v>
          </cell>
          <cell r="G62">
            <v>807481592</v>
          </cell>
          <cell r="H62">
            <v>-308076000</v>
          </cell>
        </row>
        <row r="63">
          <cell r="B63" t="str">
            <v>A0135</v>
          </cell>
          <cell r="C63" t="str">
            <v>PT STACOMITRA SEDAYA FINANCE</v>
          </cell>
          <cell r="D63">
            <v>1676508082.4042416</v>
          </cell>
          <cell r="E63">
            <v>27477666.400000002</v>
          </cell>
          <cell r="F63">
            <v>12188224</v>
          </cell>
          <cell r="G63">
            <v>0</v>
          </cell>
          <cell r="H63">
            <v>0</v>
          </cell>
        </row>
        <row r="64">
          <cell r="B64" t="str">
            <v>A0142</v>
          </cell>
          <cell r="C64" t="str">
            <v>PT SURYA ARTHA NUSANTARA FINANCE</v>
          </cell>
          <cell r="D64">
            <v>2439678198.5576715</v>
          </cell>
          <cell r="E64">
            <v>53596257.399999999</v>
          </cell>
          <cell r="F64">
            <v>23978752</v>
          </cell>
          <cell r="G64">
            <v>122104048</v>
          </cell>
          <cell r="H64">
            <v>-1411000</v>
          </cell>
        </row>
        <row r="65">
          <cell r="B65" t="str">
            <v>A0143</v>
          </cell>
          <cell r="C65" t="str">
            <v>PT SWADHARMA BHAKTI SEDAYA FINANCE</v>
          </cell>
          <cell r="D65">
            <v>4672496340.5112638</v>
          </cell>
          <cell r="E65">
            <v>82066562.300000012</v>
          </cell>
          <cell r="F65">
            <v>36016640</v>
          </cell>
          <cell r="G65">
            <v>168049608</v>
          </cell>
          <cell r="H65">
            <v>-139834000</v>
          </cell>
        </row>
        <row r="66">
          <cell r="B66" t="str">
            <v>A0224</v>
          </cell>
          <cell r="C66" t="str">
            <v>PT ASTRATEL NUSANTARA</v>
          </cell>
          <cell r="D66">
            <v>6393809494.1477633</v>
          </cell>
          <cell r="E66">
            <v>139799569.14000002</v>
          </cell>
          <cell r="F66">
            <v>63421388.800000004</v>
          </cell>
          <cell r="G66">
            <v>397153784</v>
          </cell>
          <cell r="H66">
            <v>-797592000</v>
          </cell>
        </row>
        <row r="67">
          <cell r="B67" t="str">
            <v>A0274</v>
          </cell>
          <cell r="C67" t="str">
            <v>PT FEDERAL NITTAN INDUSTRIES</v>
          </cell>
          <cell r="D67">
            <v>2560869220.7216716</v>
          </cell>
          <cell r="E67">
            <v>62905314.450000003</v>
          </cell>
          <cell r="F67">
            <v>27102192</v>
          </cell>
          <cell r="G67">
            <v>135048384</v>
          </cell>
          <cell r="H67">
            <v>0</v>
          </cell>
        </row>
        <row r="68">
          <cell r="B68" t="str">
            <v>A0128</v>
          </cell>
          <cell r="C68" t="str">
            <v>PT SEDAYA MULTI INVESTAMA</v>
          </cell>
          <cell r="D68">
            <v>1244885859.2454031</v>
          </cell>
          <cell r="E68">
            <v>17691350.399999999</v>
          </cell>
          <cell r="F68">
            <v>7578624</v>
          </cell>
          <cell r="G68">
            <v>117552920</v>
          </cell>
          <cell r="H68">
            <v>0</v>
          </cell>
        </row>
        <row r="69">
          <cell r="B69" t="str">
            <v>A0011</v>
          </cell>
          <cell r="C69" t="str">
            <v>PT ASTRA AGRO LESTARI  Tbk</v>
          </cell>
          <cell r="D69">
            <v>7159245815.0078011</v>
          </cell>
          <cell r="E69">
            <v>115184141</v>
          </cell>
          <cell r="F69">
            <v>52590848</v>
          </cell>
          <cell r="G69">
            <v>293504528</v>
          </cell>
          <cell r="H69">
            <v>0</v>
          </cell>
        </row>
        <row r="70">
          <cell r="B70" t="str">
            <v>A0317</v>
          </cell>
          <cell r="C70" t="str">
            <v>PT ASTRA OTOPARTS - HO</v>
          </cell>
          <cell r="D70">
            <v>12338246070.153135</v>
          </cell>
          <cell r="E70">
            <v>418354597.96905357</v>
          </cell>
          <cell r="F70">
            <v>198567908.14486727</v>
          </cell>
          <cell r="G70">
            <v>1243117407.4256172</v>
          </cell>
          <cell r="H70">
            <v>-8411456363.9342136</v>
          </cell>
        </row>
        <row r="71">
          <cell r="B71" t="str">
            <v>An</v>
          </cell>
          <cell r="C71" t="str">
            <v>PT ASTRA OTOPARTS - NIAGA</v>
          </cell>
        </row>
        <row r="72">
          <cell r="B72" t="str">
            <v>Co</v>
          </cell>
          <cell r="C72" t="str">
            <v>PT ASTRA OTOPARTS - CORPORATE</v>
          </cell>
        </row>
        <row r="73">
          <cell r="B73" t="str">
            <v>Intl</v>
          </cell>
          <cell r="C73" t="str">
            <v>PT ASTRA OTOPARTS - INTERNATIONAL</v>
          </cell>
        </row>
        <row r="74">
          <cell r="B74" t="str">
            <v>Re</v>
          </cell>
          <cell r="C74" t="str">
            <v>PT ASTRA OTOPARTS - RETAIL</v>
          </cell>
        </row>
        <row r="75">
          <cell r="B75" t="str">
            <v>Nm</v>
          </cell>
          <cell r="C75" t="str">
            <v>PT ASTRA OTOPARTS - UNIT NUSAMETAL</v>
          </cell>
          <cell r="D75">
            <v>4421492422.9203014</v>
          </cell>
          <cell r="E75">
            <v>149920148.65781334</v>
          </cell>
          <cell r="F75">
            <v>71158128.659916431</v>
          </cell>
          <cell r="G75">
            <v>445479379.0366087</v>
          </cell>
          <cell r="H75">
            <v>-3014301252.1712723</v>
          </cell>
        </row>
        <row r="76">
          <cell r="B76" t="str">
            <v>Ap</v>
          </cell>
          <cell r="C76" t="str">
            <v>PT ASTRA OTOPARTS - UNIT ADIWIRA PLASTIC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We</v>
          </cell>
          <cell r="C77" t="str">
            <v>PT ASTRA OTOPARTS - UNIT WINTEQ</v>
          </cell>
          <cell r="D77">
            <v>303022499.9265635</v>
          </cell>
          <cell r="E77">
            <v>10274625.373133089</v>
          </cell>
          <cell r="F77">
            <v>4876750.1952162888</v>
          </cell>
          <cell r="G77">
            <v>30530477.537774026</v>
          </cell>
          <cell r="H77">
            <v>-206582079.89451393</v>
          </cell>
        </row>
      </sheetData>
      <sheetData sheetId="8">
        <row r="10">
          <cell r="D10" t="str">
            <v>S0001</v>
          </cell>
          <cell r="E10" t="str">
            <v>PT ASTRA INTERNATIONAL TBK.</v>
          </cell>
          <cell r="F10">
            <v>62928783628.922974</v>
          </cell>
          <cell r="G10">
            <v>0</v>
          </cell>
          <cell r="H10">
            <v>62928783628.922974</v>
          </cell>
          <cell r="J10">
            <v>0</v>
          </cell>
          <cell r="K10">
            <v>0</v>
          </cell>
          <cell r="M10">
            <v>0</v>
          </cell>
          <cell r="N10">
            <v>1638265609.6267111</v>
          </cell>
          <cell r="P10">
            <v>0</v>
          </cell>
          <cell r="Q10">
            <v>0</v>
          </cell>
          <cell r="R10">
            <v>0</v>
          </cell>
          <cell r="T10">
            <v>1638265.6096267111</v>
          </cell>
          <cell r="V10">
            <v>7.0999999999999994E-2</v>
          </cell>
        </row>
        <row r="11">
          <cell r="D11" t="str">
            <v>A0049</v>
          </cell>
          <cell r="E11" t="str">
            <v>PT AISIN INDONESIA</v>
          </cell>
          <cell r="F11">
            <v>2820552871.6381569</v>
          </cell>
          <cell r="G11">
            <v>0</v>
          </cell>
          <cell r="H11">
            <v>2820552871.6381569</v>
          </cell>
          <cell r="J11">
            <v>0</v>
          </cell>
          <cell r="K11">
            <v>0</v>
          </cell>
          <cell r="M11">
            <v>50512999.891281605</v>
          </cell>
          <cell r="N11">
            <v>58580504.99559287</v>
          </cell>
          <cell r="P11">
            <v>0</v>
          </cell>
          <cell r="Q11">
            <v>0</v>
          </cell>
          <cell r="R11">
            <v>0</v>
          </cell>
          <cell r="T11">
            <v>109093.50488687446</v>
          </cell>
          <cell r="V11">
            <v>7.4999999999999997E-2</v>
          </cell>
        </row>
        <row r="12">
          <cell r="D12" t="str">
            <v>A0038</v>
          </cell>
          <cell r="E12" t="str">
            <v>PT AT INDONESIA</v>
          </cell>
          <cell r="F12">
            <v>1094664458.0534072</v>
          </cell>
          <cell r="G12">
            <v>0</v>
          </cell>
          <cell r="H12">
            <v>1094664458.0534072</v>
          </cell>
          <cell r="J12">
            <v>0</v>
          </cell>
          <cell r="K12">
            <v>0</v>
          </cell>
          <cell r="M12">
            <v>9922827.5865064748</v>
          </cell>
          <cell r="N12">
            <v>25581198.200326812</v>
          </cell>
          <cell r="P12">
            <v>0</v>
          </cell>
          <cell r="Q12">
            <v>0</v>
          </cell>
          <cell r="R12">
            <v>0</v>
          </cell>
          <cell r="T12">
            <v>35504.025786833285</v>
          </cell>
          <cell r="V12">
            <v>7.4300000000000005E-2</v>
          </cell>
        </row>
        <row r="13">
          <cell r="D13" t="str">
            <v>A0096</v>
          </cell>
          <cell r="E13" t="str">
            <v>PT MENARA TERUS MAKMUR</v>
          </cell>
          <cell r="F13">
            <v>1311400569.7459278</v>
          </cell>
          <cell r="G13">
            <v>0</v>
          </cell>
          <cell r="H13">
            <v>1311400569.7459278</v>
          </cell>
          <cell r="J13">
            <v>0</v>
          </cell>
          <cell r="K13">
            <v>0</v>
          </cell>
          <cell r="M13">
            <v>14408637.486535396</v>
          </cell>
          <cell r="N13">
            <v>29904983.558763769</v>
          </cell>
          <cell r="P13">
            <v>0</v>
          </cell>
          <cell r="Q13">
            <v>0</v>
          </cell>
          <cell r="R13">
            <v>0</v>
          </cell>
          <cell r="T13">
            <v>44313.621045299165</v>
          </cell>
          <cell r="V13">
            <v>7.3800000000000004E-2</v>
          </cell>
        </row>
        <row r="14">
          <cell r="D14" t="str">
            <v>A0209</v>
          </cell>
          <cell r="E14" t="str">
            <v>PT SERASI AUTO RAYA</v>
          </cell>
          <cell r="F14">
            <v>2336728655.0594978</v>
          </cell>
          <cell r="G14">
            <v>0</v>
          </cell>
          <cell r="H14">
            <v>2336728655.0594978</v>
          </cell>
          <cell r="J14">
            <v>0</v>
          </cell>
          <cell r="K14">
            <v>0</v>
          </cell>
          <cell r="M14">
            <v>0</v>
          </cell>
          <cell r="N14">
            <v>60833564.131593436</v>
          </cell>
          <cell r="P14">
            <v>0</v>
          </cell>
          <cell r="Q14">
            <v>0</v>
          </cell>
          <cell r="R14">
            <v>0</v>
          </cell>
          <cell r="T14">
            <v>60833.564131593434</v>
          </cell>
          <cell r="V14">
            <v>7.3700000000000002E-2</v>
          </cell>
        </row>
        <row r="15">
          <cell r="D15" t="str">
            <v>A0306</v>
          </cell>
          <cell r="E15" t="str">
            <v>PT NHK GASKET INDONESIA</v>
          </cell>
          <cell r="F15">
            <v>1031649083.2963855</v>
          </cell>
          <cell r="G15">
            <v>278391131.74450839</v>
          </cell>
          <cell r="H15">
            <v>753257951.55187714</v>
          </cell>
          <cell r="J15">
            <v>0</v>
          </cell>
          <cell r="K15">
            <v>9165214.3335329648</v>
          </cell>
          <cell r="M15">
            <v>5809048.1480495306</v>
          </cell>
          <cell r="N15">
            <v>17902426.227847032</v>
          </cell>
          <cell r="P15">
            <v>0</v>
          </cell>
          <cell r="Q15">
            <v>0</v>
          </cell>
          <cell r="R15">
            <v>0</v>
          </cell>
          <cell r="T15">
            <v>32876.688709429531</v>
          </cell>
          <cell r="V15">
            <v>7.3800000000000004E-2</v>
          </cell>
        </row>
        <row r="16">
          <cell r="D16" t="str">
            <v>A0045</v>
          </cell>
          <cell r="E16" t="str">
            <v>PT ASTRA DAIHATSU MOTOR</v>
          </cell>
          <cell r="F16">
            <v>16620914345.389008</v>
          </cell>
          <cell r="G16">
            <v>0</v>
          </cell>
          <cell r="H16">
            <v>16620914345.389008</v>
          </cell>
          <cell r="J16">
            <v>0</v>
          </cell>
          <cell r="K16">
            <v>0</v>
          </cell>
          <cell r="M16">
            <v>126027575.94435585</v>
          </cell>
          <cell r="N16">
            <v>395656002.38890034</v>
          </cell>
          <cell r="P16">
            <v>0</v>
          </cell>
          <cell r="Q16">
            <v>0</v>
          </cell>
          <cell r="R16">
            <v>0</v>
          </cell>
          <cell r="T16">
            <v>521683.57833325618</v>
          </cell>
          <cell r="V16">
            <v>7.1900000000000006E-2</v>
          </cell>
        </row>
        <row r="17">
          <cell r="D17" t="str">
            <v>A0037</v>
          </cell>
          <cell r="E17" t="str">
            <v>PT CENTURY BATTERIES INDONESIA</v>
          </cell>
          <cell r="F17">
            <v>1863866113.4530792</v>
          </cell>
          <cell r="G17">
            <v>0</v>
          </cell>
          <cell r="H17">
            <v>1863866113.4530792</v>
          </cell>
          <cell r="J17">
            <v>0</v>
          </cell>
          <cell r="K17">
            <v>0</v>
          </cell>
          <cell r="M17">
            <v>0</v>
          </cell>
          <cell r="N17">
            <v>48523228.617044829</v>
          </cell>
          <cell r="P17">
            <v>0</v>
          </cell>
          <cell r="Q17">
            <v>0</v>
          </cell>
          <cell r="R17">
            <v>0</v>
          </cell>
          <cell r="T17">
            <v>48523.228617044828</v>
          </cell>
          <cell r="V17">
            <v>7.1499999999999994E-2</v>
          </cell>
        </row>
        <row r="18">
          <cell r="D18" t="str">
            <v>A0065</v>
          </cell>
          <cell r="E18" t="str">
            <v>PT GAYA MOTOR</v>
          </cell>
          <cell r="F18">
            <v>5386572847.8780708</v>
          </cell>
          <cell r="G18">
            <v>0</v>
          </cell>
          <cell r="H18">
            <v>5386572847.8780708</v>
          </cell>
          <cell r="J18">
            <v>0</v>
          </cell>
          <cell r="K18">
            <v>0</v>
          </cell>
          <cell r="M18">
            <v>60706415.020602554</v>
          </cell>
          <cell r="N18">
            <v>122386908.61024508</v>
          </cell>
          <cell r="P18">
            <v>0</v>
          </cell>
          <cell r="Q18">
            <v>0</v>
          </cell>
          <cell r="R18">
            <v>0</v>
          </cell>
          <cell r="T18">
            <v>183093.32363084762</v>
          </cell>
          <cell r="V18">
            <v>7.0199999999999999E-2</v>
          </cell>
        </row>
        <row r="19">
          <cell r="D19" t="str">
            <v>A0070</v>
          </cell>
          <cell r="E19" t="str">
            <v>PT GS BATTERY INC.</v>
          </cell>
          <cell r="F19">
            <v>8899029573.86763</v>
          </cell>
          <cell r="G19">
            <v>0</v>
          </cell>
          <cell r="H19">
            <v>8899029573.86763</v>
          </cell>
          <cell r="J19">
            <v>0</v>
          </cell>
          <cell r="K19">
            <v>0</v>
          </cell>
          <cell r="M19">
            <v>0</v>
          </cell>
          <cell r="N19">
            <v>231674176.25434092</v>
          </cell>
          <cell r="P19">
            <v>0</v>
          </cell>
          <cell r="Q19">
            <v>0</v>
          </cell>
          <cell r="R19">
            <v>0</v>
          </cell>
          <cell r="T19">
            <v>231674.17625434091</v>
          </cell>
          <cell r="V19">
            <v>7.3899999999999993E-2</v>
          </cell>
        </row>
        <row r="20">
          <cell r="D20" t="str">
            <v>A0081</v>
          </cell>
          <cell r="E20" t="str">
            <v>PT INTI PANTJA PRESS INDUSTRI</v>
          </cell>
          <cell r="F20">
            <v>1196296197.2240019</v>
          </cell>
          <cell r="G20">
            <v>0</v>
          </cell>
          <cell r="H20">
            <v>1196296197.2240019</v>
          </cell>
          <cell r="J20">
            <v>0</v>
          </cell>
          <cell r="K20">
            <v>0</v>
          </cell>
          <cell r="M20">
            <v>168016.62309843127</v>
          </cell>
          <cell r="N20">
            <v>31094560.392022304</v>
          </cell>
          <cell r="P20">
            <v>0</v>
          </cell>
          <cell r="Q20">
            <v>0</v>
          </cell>
          <cell r="R20">
            <v>0</v>
          </cell>
          <cell r="T20">
            <v>31262.577015120736</v>
          </cell>
          <cell r="V20">
            <v>7.0900000000000005E-2</v>
          </cell>
        </row>
        <row r="21">
          <cell r="D21" t="str">
            <v>A0084</v>
          </cell>
          <cell r="E21" t="str">
            <v>PT KAYABA INDONESIA</v>
          </cell>
          <cell r="F21">
            <v>6060066905.0819893</v>
          </cell>
          <cell r="G21">
            <v>0</v>
          </cell>
          <cell r="H21">
            <v>6060066905.0819893</v>
          </cell>
          <cell r="J21">
            <v>0</v>
          </cell>
          <cell r="K21">
            <v>0</v>
          </cell>
          <cell r="M21">
            <v>36195664.668294355</v>
          </cell>
          <cell r="N21">
            <v>147125577.22645351</v>
          </cell>
          <cell r="P21">
            <v>0</v>
          </cell>
          <cell r="Q21">
            <v>0</v>
          </cell>
          <cell r="R21">
            <v>0</v>
          </cell>
          <cell r="T21">
            <v>183321.24189474786</v>
          </cell>
          <cell r="V21">
            <v>6.8199999999999997E-2</v>
          </cell>
        </row>
        <row r="22">
          <cell r="D22" t="str">
            <v>A0115</v>
          </cell>
          <cell r="E22" t="str">
            <v>PT PANTJA MOTOR</v>
          </cell>
          <cell r="F22">
            <v>3649705321.6118488</v>
          </cell>
          <cell r="G22">
            <v>0</v>
          </cell>
          <cell r="H22">
            <v>3649705321.6118488</v>
          </cell>
          <cell r="J22">
            <v>0</v>
          </cell>
          <cell r="K22">
            <v>0</v>
          </cell>
          <cell r="M22">
            <v>5286894.68996548</v>
          </cell>
          <cell r="N22">
            <v>93461000.527647495</v>
          </cell>
          <cell r="P22">
            <v>0</v>
          </cell>
          <cell r="Q22">
            <v>0</v>
          </cell>
          <cell r="R22">
            <v>0</v>
          </cell>
          <cell r="T22">
            <v>98747.895217612982</v>
          </cell>
          <cell r="V22">
            <v>6.9999999999999993E-2</v>
          </cell>
        </row>
        <row r="23">
          <cell r="D23" t="str">
            <v>A0146</v>
          </cell>
          <cell r="E23" t="str">
            <v>PT TJAHJA  SAKTI MOTOR CORPORATION</v>
          </cell>
          <cell r="F23">
            <v>1499609446.6992464</v>
          </cell>
          <cell r="G23">
            <v>0</v>
          </cell>
          <cell r="H23">
            <v>1499609446.6992464</v>
          </cell>
          <cell r="J23">
            <v>0</v>
          </cell>
          <cell r="K23">
            <v>0</v>
          </cell>
          <cell r="M23">
            <v>0</v>
          </cell>
          <cell r="N23">
            <v>39040299.887022674</v>
          </cell>
          <cell r="P23">
            <v>0</v>
          </cell>
          <cell r="Q23">
            <v>0</v>
          </cell>
          <cell r="R23">
            <v>0</v>
          </cell>
          <cell r="T23">
            <v>39040.299887022673</v>
          </cell>
          <cell r="V23">
            <v>6.7799999999999999E-2</v>
          </cell>
        </row>
        <row r="24">
          <cell r="D24" t="str">
            <v>A0172</v>
          </cell>
          <cell r="E24" t="str">
            <v>PT ASTRA NISSAN DIESEL INDONESIA</v>
          </cell>
          <cell r="F24">
            <v>860715536.07146454</v>
          </cell>
          <cell r="G24">
            <v>0</v>
          </cell>
          <cell r="H24">
            <v>860715536.07146454</v>
          </cell>
          <cell r="J24">
            <v>0</v>
          </cell>
          <cell r="K24">
            <v>0</v>
          </cell>
          <cell r="M24">
            <v>0</v>
          </cell>
          <cell r="N24">
            <v>22407562.66213933</v>
          </cell>
          <cell r="P24">
            <v>0</v>
          </cell>
          <cell r="Q24">
            <v>0</v>
          </cell>
          <cell r="R24">
            <v>0</v>
          </cell>
          <cell r="T24">
            <v>22407.562662139331</v>
          </cell>
          <cell r="V24">
            <v>6.8699999999999997E-2</v>
          </cell>
        </row>
        <row r="25">
          <cell r="D25" t="str">
            <v>A0275</v>
          </cell>
          <cell r="E25" t="str">
            <v>PT FUJI TECHNICA INDONESIA</v>
          </cell>
          <cell r="F25">
            <v>1345901320.9293599</v>
          </cell>
          <cell r="G25">
            <v>0</v>
          </cell>
          <cell r="H25">
            <v>1345901320.9293599</v>
          </cell>
          <cell r="J25">
            <v>0</v>
          </cell>
          <cell r="K25">
            <v>0</v>
          </cell>
          <cell r="M25">
            <v>10383880.112904098</v>
          </cell>
          <cell r="N25">
            <v>31986278.798496868</v>
          </cell>
          <cell r="P25">
            <v>0</v>
          </cell>
          <cell r="Q25">
            <v>0</v>
          </cell>
          <cell r="R25">
            <v>0</v>
          </cell>
          <cell r="T25">
            <v>42370.158911400969</v>
          </cell>
          <cell r="V25">
            <v>7.17E-2</v>
          </cell>
        </row>
        <row r="26">
          <cell r="D26" t="str">
            <v>A0051</v>
          </cell>
          <cell r="E26" t="str">
            <v>PT DIC ASTRA CHEMICALS</v>
          </cell>
          <cell r="F26">
            <v>781106092.43378401</v>
          </cell>
          <cell r="G26">
            <v>0</v>
          </cell>
          <cell r="H26">
            <v>781106092.43378401</v>
          </cell>
          <cell r="J26">
            <v>0</v>
          </cell>
          <cell r="K26">
            <v>0</v>
          </cell>
          <cell r="M26">
            <v>510647.86348649062</v>
          </cell>
          <cell r="N26">
            <v>20184928.974691499</v>
          </cell>
          <cell r="P26">
            <v>0</v>
          </cell>
          <cell r="Q26">
            <v>0</v>
          </cell>
          <cell r="R26">
            <v>0</v>
          </cell>
          <cell r="T26">
            <v>20695.576838177989</v>
          </cell>
          <cell r="V26">
            <v>7.3099999999999998E-2</v>
          </cell>
        </row>
        <row r="27">
          <cell r="D27" t="str">
            <v>A0059</v>
          </cell>
          <cell r="E27" t="str">
            <v>PT FEDERAL IZUMI MFG.</v>
          </cell>
          <cell r="F27">
            <v>918908656.9015584</v>
          </cell>
          <cell r="G27">
            <v>0</v>
          </cell>
          <cell r="H27">
            <v>918908656.9015584</v>
          </cell>
          <cell r="J27">
            <v>0</v>
          </cell>
          <cell r="K27">
            <v>0</v>
          </cell>
          <cell r="M27">
            <v>0</v>
          </cell>
          <cell r="N27">
            <v>23922541.707896333</v>
          </cell>
          <cell r="P27">
            <v>0</v>
          </cell>
          <cell r="Q27">
            <v>0</v>
          </cell>
          <cell r="R27">
            <v>0</v>
          </cell>
          <cell r="T27">
            <v>23922.541707896333</v>
          </cell>
          <cell r="V27">
            <v>7.1999999999999995E-2</v>
          </cell>
        </row>
        <row r="28">
          <cell r="D28" t="str">
            <v>A0060</v>
          </cell>
          <cell r="E28" t="str">
            <v>PT ASTRA HONDA MOTOR</v>
          </cell>
          <cell r="F28">
            <v>82426006572.39856</v>
          </cell>
          <cell r="G28">
            <v>0</v>
          </cell>
          <cell r="H28">
            <v>82426006572.39856</v>
          </cell>
          <cell r="J28">
            <v>0</v>
          </cell>
          <cell r="K28">
            <v>0</v>
          </cell>
          <cell r="M28">
            <v>250794872.03312007</v>
          </cell>
          <cell r="N28">
            <v>2072125899.518604</v>
          </cell>
          <cell r="P28">
            <v>0</v>
          </cell>
          <cell r="Q28">
            <v>0</v>
          </cell>
          <cell r="R28">
            <v>0</v>
          </cell>
          <cell r="T28">
            <v>2322920.7715517241</v>
          </cell>
          <cell r="V28">
            <v>7.1999999999999995E-2</v>
          </cell>
        </row>
        <row r="29">
          <cell r="D29" t="str">
            <v>A0098</v>
          </cell>
          <cell r="E29" t="str">
            <v>PT FEDERAL INTERNATIONAL FINANCE</v>
          </cell>
          <cell r="F29">
            <v>4441746678.2696724</v>
          </cell>
          <cell r="G29">
            <v>0</v>
          </cell>
          <cell r="H29">
            <v>4441746678.2696724</v>
          </cell>
          <cell r="J29">
            <v>0</v>
          </cell>
          <cell r="K29">
            <v>0</v>
          </cell>
          <cell r="M29">
            <v>0</v>
          </cell>
          <cell r="N29">
            <v>115634855.94433737</v>
          </cell>
          <cell r="P29">
            <v>0</v>
          </cell>
          <cell r="Q29">
            <v>0</v>
          </cell>
          <cell r="R29">
            <v>0</v>
          </cell>
          <cell r="T29">
            <v>115634.85594433737</v>
          </cell>
          <cell r="V29">
            <v>7.3700000000000002E-2</v>
          </cell>
        </row>
        <row r="30">
          <cell r="D30" t="str">
            <v>A0062</v>
          </cell>
          <cell r="E30" t="str">
            <v>PT FEDERAL SUPERIOR CHAIN MFG.</v>
          </cell>
          <cell r="F30">
            <v>463705693.28325653</v>
          </cell>
          <cell r="G30">
            <v>0</v>
          </cell>
          <cell r="H30">
            <v>463705693.28325653</v>
          </cell>
          <cell r="J30">
            <v>0</v>
          </cell>
          <cell r="K30">
            <v>0</v>
          </cell>
          <cell r="M30">
            <v>0</v>
          </cell>
          <cell r="N30">
            <v>12071949.376515746</v>
          </cell>
          <cell r="P30">
            <v>0</v>
          </cell>
          <cell r="Q30">
            <v>0</v>
          </cell>
          <cell r="R30">
            <v>0</v>
          </cell>
          <cell r="T30">
            <v>12071.949376515746</v>
          </cell>
          <cell r="V30">
            <v>7.3899999999999993E-2</v>
          </cell>
        </row>
        <row r="31">
          <cell r="D31" t="str">
            <v>A0132</v>
          </cell>
          <cell r="E31" t="str">
            <v>PT SHOWA INDONESIA MFG</v>
          </cell>
          <cell r="F31">
            <v>7387265805.5130196</v>
          </cell>
          <cell r="G31">
            <v>0</v>
          </cell>
          <cell r="H31">
            <v>7387265805.5130196</v>
          </cell>
          <cell r="J31">
            <v>0</v>
          </cell>
          <cell r="K31">
            <v>0</v>
          </cell>
          <cell r="M31">
            <v>97042510.039874196</v>
          </cell>
          <cell r="N31">
            <v>163790904.99187878</v>
          </cell>
          <cell r="P31">
            <v>0</v>
          </cell>
          <cell r="Q31">
            <v>0</v>
          </cell>
          <cell r="R31">
            <v>0</v>
          </cell>
          <cell r="T31">
            <v>260833.41503175299</v>
          </cell>
          <cell r="V31">
            <v>7.1999999999999995E-2</v>
          </cell>
        </row>
        <row r="32">
          <cell r="D32" t="str">
            <v>A0199</v>
          </cell>
          <cell r="E32" t="str">
            <v>PT SURYARAYA RUBBERINDO INDUSTRIES</v>
          </cell>
          <cell r="F32">
            <v>1267316249.9898596</v>
          </cell>
          <cell r="G32">
            <v>0</v>
          </cell>
          <cell r="H32">
            <v>1267316249.9898596</v>
          </cell>
          <cell r="J32">
            <v>0</v>
          </cell>
          <cell r="K32">
            <v>0</v>
          </cell>
          <cell r="M32">
            <v>51188348.345787771</v>
          </cell>
          <cell r="N32">
            <v>17945569.30551777</v>
          </cell>
          <cell r="P32">
            <v>0</v>
          </cell>
          <cell r="Q32">
            <v>0</v>
          </cell>
          <cell r="R32">
            <v>0</v>
          </cell>
          <cell r="T32">
            <v>69133.917651305543</v>
          </cell>
          <cell r="V32">
            <v>7.5399999999999995E-2</v>
          </cell>
        </row>
        <row r="33">
          <cell r="D33" t="str">
            <v>A0326</v>
          </cell>
          <cell r="E33" t="str">
            <v>PT YUTAKA MANUFACTURING INDONESIA</v>
          </cell>
          <cell r="F33">
            <v>780748811.64762115</v>
          </cell>
          <cell r="G33">
            <v>0</v>
          </cell>
          <cell r="H33">
            <v>780748811.64762115</v>
          </cell>
          <cell r="J33">
            <v>0</v>
          </cell>
          <cell r="K33">
            <v>0</v>
          </cell>
          <cell r="M33">
            <v>16601316.181441663</v>
          </cell>
          <cell r="N33">
            <v>15445625.766556544</v>
          </cell>
          <cell r="P33">
            <v>0</v>
          </cell>
          <cell r="Q33">
            <v>0</v>
          </cell>
          <cell r="R33">
            <v>0</v>
          </cell>
          <cell r="T33">
            <v>32046.941947998206</v>
          </cell>
          <cell r="V33">
            <v>7.1599999999999997E-2</v>
          </cell>
        </row>
        <row r="34">
          <cell r="D34" t="str">
            <v>A0210</v>
          </cell>
          <cell r="E34" t="str">
            <v>PT BINA PERTIWI</v>
          </cell>
          <cell r="F34">
            <v>1085164752.9951148</v>
          </cell>
          <cell r="G34">
            <v>0</v>
          </cell>
          <cell r="H34">
            <v>1085164752.9951148</v>
          </cell>
          <cell r="J34">
            <v>0</v>
          </cell>
          <cell r="K34">
            <v>0</v>
          </cell>
          <cell r="M34">
            <v>0</v>
          </cell>
          <cell r="N34">
            <v>28250793.883037396</v>
          </cell>
          <cell r="P34">
            <v>0</v>
          </cell>
          <cell r="Q34">
            <v>0</v>
          </cell>
          <cell r="R34">
            <v>0</v>
          </cell>
          <cell r="T34">
            <v>28250.793883037397</v>
          </cell>
          <cell r="V34">
            <v>7.1800000000000003E-2</v>
          </cell>
        </row>
        <row r="35">
          <cell r="D35" t="e">
            <v>#N/A</v>
          </cell>
          <cell r="E35" t="str">
            <v>PT KOMATSU INDONESIA TBK.</v>
          </cell>
          <cell r="F35">
            <v>6924117878.4827156</v>
          </cell>
          <cell r="G35">
            <v>0</v>
          </cell>
          <cell r="H35">
            <v>6924117878.4827156</v>
          </cell>
          <cell r="J35">
            <v>0</v>
          </cell>
          <cell r="K35">
            <v>0</v>
          </cell>
          <cell r="M35">
            <v>86546093.775136709</v>
          </cell>
          <cell r="N35">
            <v>154818995.67194477</v>
          </cell>
          <cell r="P35">
            <v>0</v>
          </cell>
          <cell r="Q35">
            <v>0</v>
          </cell>
          <cell r="R35">
            <v>0</v>
          </cell>
          <cell r="T35">
            <v>241365.08944708147</v>
          </cell>
          <cell r="V35">
            <v>7.2700000000000001E-2</v>
          </cell>
        </row>
        <row r="36">
          <cell r="D36" t="e">
            <v>#N/A</v>
          </cell>
          <cell r="E36" t="str">
            <v>PT PANDU DAYATAMA PATRIA</v>
          </cell>
          <cell r="F36">
            <v>705140254.56384802</v>
          </cell>
          <cell r="G36">
            <v>0</v>
          </cell>
          <cell r="H36">
            <v>705140254.56384802</v>
          </cell>
          <cell r="J36">
            <v>0</v>
          </cell>
          <cell r="K36">
            <v>0</v>
          </cell>
          <cell r="M36">
            <v>5150562.608785239</v>
          </cell>
          <cell r="N36">
            <v>16843315.149155058</v>
          </cell>
          <cell r="P36">
            <v>0</v>
          </cell>
          <cell r="Q36">
            <v>0</v>
          </cell>
          <cell r="R36">
            <v>0</v>
          </cell>
          <cell r="T36">
            <v>21993.877757940296</v>
          </cell>
          <cell r="V36">
            <v>7.5800000000000006E-2</v>
          </cell>
        </row>
        <row r="37">
          <cell r="D37" t="str">
            <v>A0150</v>
          </cell>
          <cell r="E37" t="str">
            <v>PT TRAKTOR NUSANTARA</v>
          </cell>
          <cell r="F37">
            <v>4983880139.0979691</v>
          </cell>
          <cell r="G37">
            <v>0</v>
          </cell>
          <cell r="H37">
            <v>4983880139.0979691</v>
          </cell>
          <cell r="J37">
            <v>0</v>
          </cell>
          <cell r="K37">
            <v>0</v>
          </cell>
          <cell r="M37">
            <v>0</v>
          </cell>
          <cell r="N37">
            <v>129748565.97471364</v>
          </cell>
          <cell r="P37">
            <v>0</v>
          </cell>
          <cell r="Q37">
            <v>0</v>
          </cell>
          <cell r="R37">
            <v>0</v>
          </cell>
          <cell r="T37">
            <v>129748.56597471364</v>
          </cell>
          <cell r="V37">
            <v>7.3200000000000001E-2</v>
          </cell>
        </row>
        <row r="38">
          <cell r="D38" t="str">
            <v>A0155</v>
          </cell>
          <cell r="E38" t="str">
            <v>PT UNITED TRACTORS TBK.</v>
          </cell>
          <cell r="F38">
            <v>26974916247.326492</v>
          </cell>
          <cell r="G38">
            <v>0</v>
          </cell>
          <cell r="H38">
            <v>26974916247.326492</v>
          </cell>
          <cell r="J38">
            <v>0</v>
          </cell>
          <cell r="K38">
            <v>0</v>
          </cell>
          <cell r="M38">
            <v>0</v>
          </cell>
          <cell r="N38">
            <v>702255391.92282259</v>
          </cell>
          <cell r="P38">
            <v>0</v>
          </cell>
          <cell r="Q38">
            <v>0</v>
          </cell>
          <cell r="R38">
            <v>0</v>
          </cell>
          <cell r="T38">
            <v>702255.39192282257</v>
          </cell>
          <cell r="V38">
            <v>7.3099999999999998E-2</v>
          </cell>
        </row>
        <row r="39">
          <cell r="D39" t="str">
            <v>A0156</v>
          </cell>
          <cell r="E39" t="str">
            <v>PT UNITED TRACTORS PANDU ENG.</v>
          </cell>
          <cell r="F39">
            <v>2052108328.3571758</v>
          </cell>
          <cell r="G39">
            <v>0</v>
          </cell>
          <cell r="H39">
            <v>2052108328.3571758</v>
          </cell>
          <cell r="J39">
            <v>0</v>
          </cell>
          <cell r="K39">
            <v>0</v>
          </cell>
          <cell r="M39">
            <v>0</v>
          </cell>
          <cell r="N39">
            <v>53423859.602951907</v>
          </cell>
          <cell r="P39">
            <v>0</v>
          </cell>
          <cell r="Q39">
            <v>0</v>
          </cell>
          <cell r="R39">
            <v>0</v>
          </cell>
          <cell r="T39">
            <v>53423.859602951903</v>
          </cell>
          <cell r="V39">
            <v>7.3899999999999993E-2</v>
          </cell>
        </row>
        <row r="40">
          <cell r="D40" t="str">
            <v>A0112</v>
          </cell>
          <cell r="E40" t="str">
            <v>PT PAMA PERSADA NUSANTARA</v>
          </cell>
          <cell r="F40">
            <v>17925957915.204269</v>
          </cell>
          <cell r="G40">
            <v>0</v>
          </cell>
          <cell r="H40">
            <v>17925957915.204269</v>
          </cell>
          <cell r="J40">
            <v>0</v>
          </cell>
          <cell r="K40">
            <v>0</v>
          </cell>
          <cell r="M40">
            <v>59383760.498975888</v>
          </cell>
          <cell r="N40">
            <v>449221613.86520922</v>
          </cell>
          <cell r="P40">
            <v>0</v>
          </cell>
          <cell r="Q40">
            <v>0</v>
          </cell>
          <cell r="R40">
            <v>0</v>
          </cell>
          <cell r="T40">
            <v>508605.37436418509</v>
          </cell>
          <cell r="V40">
            <v>7.0800000000000002E-2</v>
          </cell>
        </row>
        <row r="41">
          <cell r="D41" t="str">
            <v>A0378</v>
          </cell>
          <cell r="E41" t="str">
            <v>PT KOMATSU ASTRA FINANCE</v>
          </cell>
          <cell r="F41">
            <v>447904043.48576748</v>
          </cell>
          <cell r="G41">
            <v>1086750.6399999857</v>
          </cell>
          <cell r="H41">
            <v>446817292.8457675</v>
          </cell>
          <cell r="J41">
            <v>0</v>
          </cell>
          <cell r="K41">
            <v>35778.088476773009</v>
          </cell>
          <cell r="M41">
            <v>0</v>
          </cell>
          <cell r="N41">
            <v>11632282.755888002</v>
          </cell>
          <cell r="P41">
            <v>0</v>
          </cell>
          <cell r="Q41">
            <v>0</v>
          </cell>
          <cell r="R41">
            <v>0</v>
          </cell>
          <cell r="T41">
            <v>11668.060844364776</v>
          </cell>
          <cell r="V41">
            <v>7.5300000000000006E-2</v>
          </cell>
        </row>
        <row r="42">
          <cell r="D42" t="e">
            <v>#N/A</v>
          </cell>
          <cell r="E42" t="str">
            <v>PT KOMATSU UNDERCARRIAGE INDONESIA</v>
          </cell>
          <cell r="F42">
            <v>334232836.5404985</v>
          </cell>
          <cell r="G42">
            <v>37998374.671804905</v>
          </cell>
          <cell r="H42">
            <v>296234461.86869359</v>
          </cell>
          <cell r="J42">
            <v>0</v>
          </cell>
          <cell r="K42">
            <v>1250985.4247533954</v>
          </cell>
          <cell r="M42">
            <v>0</v>
          </cell>
          <cell r="N42">
            <v>7712062.7998711262</v>
          </cell>
          <cell r="P42">
            <v>0</v>
          </cell>
          <cell r="Q42">
            <v>0</v>
          </cell>
          <cell r="R42">
            <v>0</v>
          </cell>
          <cell r="T42">
            <v>8963.0482246245228</v>
          </cell>
          <cell r="V42">
            <v>6.1600000000000002E-2</v>
          </cell>
        </row>
        <row r="43">
          <cell r="D43" t="str">
            <v>A0360</v>
          </cell>
          <cell r="E43" t="str">
            <v>PT KALIMANTAN PRIMA PERSADA</v>
          </cell>
          <cell r="F43">
            <v>2351807614.7017889</v>
          </cell>
          <cell r="G43">
            <v>0</v>
          </cell>
          <cell r="H43">
            <v>2351807614.7017889</v>
          </cell>
          <cell r="J43">
            <v>0</v>
          </cell>
          <cell r="K43">
            <v>0</v>
          </cell>
          <cell r="M43">
            <v>0</v>
          </cell>
          <cell r="N43">
            <v>61226124.41301544</v>
          </cell>
          <cell r="P43">
            <v>0</v>
          </cell>
          <cell r="Q43">
            <v>0</v>
          </cell>
          <cell r="R43">
            <v>0</v>
          </cell>
          <cell r="T43">
            <v>61226.124413015437</v>
          </cell>
          <cell r="V43">
            <v>7.2800000000000004E-2</v>
          </cell>
        </row>
        <row r="44">
          <cell r="D44" t="e">
            <v>#N/A</v>
          </cell>
          <cell r="E44" t="str">
            <v>PT KOMATSU MARKETING AND SUPPORT INDONESIA</v>
          </cell>
          <cell r="F44">
            <v>147522887.98455033</v>
          </cell>
          <cell r="G44">
            <v>0</v>
          </cell>
          <cell r="H44">
            <v>147522887.98455033</v>
          </cell>
          <cell r="J44">
            <v>0</v>
          </cell>
          <cell r="K44">
            <v>0</v>
          </cell>
          <cell r="M44">
            <v>0</v>
          </cell>
          <cell r="N44">
            <v>3840558.4866067865</v>
          </cell>
          <cell r="P44">
            <v>0</v>
          </cell>
          <cell r="Q44">
            <v>0</v>
          </cell>
          <cell r="R44">
            <v>0</v>
          </cell>
          <cell r="T44">
            <v>3840.5584866067866</v>
          </cell>
          <cell r="V44">
            <v>7.5600000000000001E-2</v>
          </cell>
        </row>
        <row r="45">
          <cell r="D45" t="str">
            <v>A0014</v>
          </cell>
          <cell r="E45" t="str">
            <v>PT ASTRA GRAPHIA TBK.</v>
          </cell>
          <cell r="F45">
            <v>20816475261.890503</v>
          </cell>
          <cell r="G45">
            <v>0</v>
          </cell>
          <cell r="H45">
            <v>20816475261.890503</v>
          </cell>
          <cell r="J45">
            <v>0</v>
          </cell>
          <cell r="K45">
            <v>0</v>
          </cell>
          <cell r="M45">
            <v>366540122.47298336</v>
          </cell>
          <cell r="N45">
            <v>434180841.44230694</v>
          </cell>
          <cell r="P45">
            <v>0</v>
          </cell>
          <cell r="Q45">
            <v>0</v>
          </cell>
          <cell r="R45">
            <v>0</v>
          </cell>
          <cell r="T45">
            <v>800720.96391529031</v>
          </cell>
          <cell r="V45">
            <v>7.1800000000000003E-2</v>
          </cell>
        </row>
        <row r="46">
          <cell r="D46" t="str">
            <v>A0079</v>
          </cell>
          <cell r="E46" t="str">
            <v>PT INTERTEL NUSA PERDANA</v>
          </cell>
          <cell r="F46">
            <v>-267993315</v>
          </cell>
          <cell r="G46">
            <v>0</v>
          </cell>
          <cell r="H46">
            <v>0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  <cell r="P46">
            <v>267993315</v>
          </cell>
          <cell r="Q46">
            <v>260573915</v>
          </cell>
          <cell r="R46" t="str">
            <v>No Contribution</v>
          </cell>
          <cell r="T46">
            <v>0</v>
          </cell>
          <cell r="V46">
            <v>0</v>
          </cell>
        </row>
        <row r="47">
          <cell r="D47" t="str">
            <v>An</v>
          </cell>
          <cell r="E47" t="str">
            <v>PT ASTRA OTOPARTS - UNIT NIAGA</v>
          </cell>
          <cell r="F47">
            <v>7581869832.7272911</v>
          </cell>
          <cell r="G47">
            <v>0</v>
          </cell>
          <cell r="H47">
            <v>7581869832.7272911</v>
          </cell>
          <cell r="J47">
            <v>0</v>
          </cell>
          <cell r="K47">
            <v>0</v>
          </cell>
          <cell r="M47">
            <v>24796306.8061864</v>
          </cell>
          <cell r="N47">
            <v>190094601.78071865</v>
          </cell>
          <cell r="P47">
            <v>0</v>
          </cell>
          <cell r="Q47">
            <v>0</v>
          </cell>
          <cell r="R47">
            <v>0</v>
          </cell>
          <cell r="T47">
            <v>214890.90858690508</v>
          </cell>
          <cell r="V47">
            <v>6.8599999999999994E-2</v>
          </cell>
        </row>
        <row r="48">
          <cell r="D48" t="str">
            <v>A0316</v>
          </cell>
          <cell r="E48" t="str">
            <v>PT ASTRA KOMPONEN INDONESIA</v>
          </cell>
          <cell r="F48">
            <v>1192203067.8703318</v>
          </cell>
          <cell r="G48">
            <v>0</v>
          </cell>
          <cell r="H48">
            <v>1192203067.8703318</v>
          </cell>
          <cell r="J48">
            <v>0</v>
          </cell>
          <cell r="K48">
            <v>0</v>
          </cell>
          <cell r="M48">
            <v>0</v>
          </cell>
          <cell r="N48">
            <v>31037391.367687751</v>
          </cell>
          <cell r="P48">
            <v>0</v>
          </cell>
          <cell r="Q48">
            <v>0</v>
          </cell>
          <cell r="R48">
            <v>0</v>
          </cell>
          <cell r="T48">
            <v>31037.391367687749</v>
          </cell>
          <cell r="V48">
            <v>7.3300000000000004E-2</v>
          </cell>
        </row>
        <row r="49">
          <cell r="D49" t="str">
            <v>A0239</v>
          </cell>
          <cell r="E49" t="str">
            <v>PT DIRGAMENARA NUSADWIPA</v>
          </cell>
          <cell r="F49">
            <v>307576256.12839913</v>
          </cell>
          <cell r="G49">
            <v>0</v>
          </cell>
          <cell r="H49">
            <v>307576256.12839913</v>
          </cell>
          <cell r="J49">
            <v>0</v>
          </cell>
          <cell r="K49">
            <v>0</v>
          </cell>
          <cell r="M49">
            <v>0</v>
          </cell>
          <cell r="N49">
            <v>8007331.0446334034</v>
          </cell>
          <cell r="P49">
            <v>0</v>
          </cell>
          <cell r="Q49">
            <v>0</v>
          </cell>
          <cell r="R49">
            <v>0</v>
          </cell>
          <cell r="T49">
            <v>8007.3310446334035</v>
          </cell>
          <cell r="V49">
            <v>6.6000000000000003E-2</v>
          </cell>
        </row>
        <row r="50">
          <cell r="D50" t="str">
            <v>A0077</v>
          </cell>
          <cell r="E50" t="str">
            <v>PT INDOKARLO PERKASA</v>
          </cell>
          <cell r="F50">
            <v>144383046.41525018</v>
          </cell>
          <cell r="G50">
            <v>0</v>
          </cell>
          <cell r="H50">
            <v>144383046.41525018</v>
          </cell>
          <cell r="J50">
            <v>0</v>
          </cell>
          <cell r="K50">
            <v>0</v>
          </cell>
          <cell r="M50">
            <v>2944487.0112753534</v>
          </cell>
          <cell r="N50">
            <v>2893257.5719401427</v>
          </cell>
          <cell r="P50">
            <v>0</v>
          </cell>
          <cell r="Q50">
            <v>0</v>
          </cell>
          <cell r="R50">
            <v>0</v>
          </cell>
          <cell r="T50">
            <v>5837.7445832154954</v>
          </cell>
          <cell r="V50">
            <v>7.3700000000000002E-2</v>
          </cell>
        </row>
        <row r="51">
          <cell r="D51" t="str">
            <v>A0345</v>
          </cell>
          <cell r="E51" t="str">
            <v>PT NUSA KEIHIN INDONESIA</v>
          </cell>
          <cell r="F51">
            <v>0</v>
          </cell>
          <cell r="G51">
            <v>0</v>
          </cell>
          <cell r="H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P51">
            <v>0</v>
          </cell>
          <cell r="Q51">
            <v>0</v>
          </cell>
          <cell r="R51" t="str">
            <v>No Contribution</v>
          </cell>
          <cell r="T51">
            <v>0</v>
          </cell>
          <cell r="V51">
            <v>0</v>
          </cell>
        </row>
        <row r="52">
          <cell r="D52" t="str">
            <v>A0371</v>
          </cell>
          <cell r="E52" t="str">
            <v>PT SCS ASTRAGRAPHIA TECHNOLOGIES</v>
          </cell>
          <cell r="F52">
            <v>1805514341.8717299</v>
          </cell>
          <cell r="G52">
            <v>0</v>
          </cell>
          <cell r="H52">
            <v>1805514341.8717299</v>
          </cell>
          <cell r="J52">
            <v>0</v>
          </cell>
          <cell r="K52">
            <v>0</v>
          </cell>
          <cell r="M52">
            <v>29939194.521133415</v>
          </cell>
          <cell r="N52">
            <v>38203214.107163638</v>
          </cell>
          <cell r="P52">
            <v>0</v>
          </cell>
          <cell r="Q52">
            <v>0</v>
          </cell>
          <cell r="R52">
            <v>0</v>
          </cell>
          <cell r="T52">
            <v>68142.408628297067</v>
          </cell>
          <cell r="V52">
            <v>7.3800000000000004E-2</v>
          </cell>
        </row>
        <row r="53">
          <cell r="D53" t="str">
            <v>A0177</v>
          </cell>
          <cell r="E53" t="str">
            <v>PT ASTRA AUTO FINANCE</v>
          </cell>
          <cell r="F53">
            <v>290872483.82193851</v>
          </cell>
          <cell r="G53">
            <v>0</v>
          </cell>
          <cell r="H53">
            <v>290872483.82193851</v>
          </cell>
          <cell r="J53">
            <v>0</v>
          </cell>
          <cell r="K53">
            <v>0</v>
          </cell>
          <cell r="M53">
            <v>397159.67976248555</v>
          </cell>
          <cell r="N53">
            <v>7455722.178563416</v>
          </cell>
          <cell r="P53">
            <v>0</v>
          </cell>
          <cell r="Q53">
            <v>0</v>
          </cell>
          <cell r="R53">
            <v>0</v>
          </cell>
          <cell r="T53">
            <v>7852.8818583259017</v>
          </cell>
          <cell r="V53">
            <v>7.3800000000000004E-2</v>
          </cell>
        </row>
        <row r="54">
          <cell r="D54" t="str">
            <v>A0178</v>
          </cell>
          <cell r="E54" t="str">
            <v>PT ASTRA MITRA VENTURA</v>
          </cell>
          <cell r="F54">
            <v>547423449.54196024</v>
          </cell>
          <cell r="G54">
            <v>0</v>
          </cell>
          <cell r="H54">
            <v>547423449.54196024</v>
          </cell>
          <cell r="J54">
            <v>0</v>
          </cell>
          <cell r="K54">
            <v>0</v>
          </cell>
          <cell r="M54">
            <v>0</v>
          </cell>
          <cell r="N54">
            <v>14251427.718294922</v>
          </cell>
          <cell r="P54">
            <v>0</v>
          </cell>
          <cell r="Q54">
            <v>0</v>
          </cell>
          <cell r="R54">
            <v>0</v>
          </cell>
          <cell r="T54">
            <v>14251.427718294923</v>
          </cell>
          <cell r="V54">
            <v>7.2099999999999997E-2</v>
          </cell>
        </row>
        <row r="55">
          <cell r="D55" t="str">
            <v>A0020</v>
          </cell>
          <cell r="E55" t="str">
            <v>PT ASTRA MULTI FINANCE</v>
          </cell>
          <cell r="F55">
            <v>-83070105</v>
          </cell>
          <cell r="G55">
            <v>0</v>
          </cell>
          <cell r="H55">
            <v>0</v>
          </cell>
          <cell r="J55">
            <v>0</v>
          </cell>
          <cell r="K55">
            <v>0</v>
          </cell>
          <cell r="M55">
            <v>0</v>
          </cell>
          <cell r="N55">
            <v>0</v>
          </cell>
          <cell r="P55">
            <v>83070105</v>
          </cell>
          <cell r="Q55">
            <v>77950505</v>
          </cell>
          <cell r="R55" t="str">
            <v>No Contribution</v>
          </cell>
          <cell r="T55">
            <v>0</v>
          </cell>
          <cell r="V55">
            <v>0</v>
          </cell>
        </row>
        <row r="56">
          <cell r="D56" t="str">
            <v>A0024</v>
          </cell>
          <cell r="E56" t="str">
            <v>PT ASTRA SEDAYA FINANCE</v>
          </cell>
          <cell r="F56">
            <v>5446526005.4911156</v>
          </cell>
          <cell r="G56">
            <v>0</v>
          </cell>
          <cell r="H56">
            <v>5446526005.4911156</v>
          </cell>
          <cell r="J56">
            <v>0</v>
          </cell>
          <cell r="K56">
            <v>0</v>
          </cell>
          <cell r="M56">
            <v>0</v>
          </cell>
          <cell r="N56">
            <v>141792924.19427228</v>
          </cell>
          <cell r="P56">
            <v>0</v>
          </cell>
          <cell r="Q56">
            <v>0</v>
          </cell>
          <cell r="R56">
            <v>0</v>
          </cell>
          <cell r="T56">
            <v>141792.92419427229</v>
          </cell>
          <cell r="V56">
            <v>7.2999999999999995E-2</v>
          </cell>
        </row>
        <row r="57">
          <cell r="D57" t="str">
            <v>A0026</v>
          </cell>
          <cell r="E57" t="str">
            <v>PT ASURANSI ASTRA BUANA</v>
          </cell>
          <cell r="F57">
            <v>3877105904.3467407</v>
          </cell>
          <cell r="G57">
            <v>0</v>
          </cell>
          <cell r="H57">
            <v>3877105904.3467407</v>
          </cell>
          <cell r="J57">
            <v>0</v>
          </cell>
          <cell r="K57">
            <v>0</v>
          </cell>
          <cell r="M57">
            <v>0</v>
          </cell>
          <cell r="N57">
            <v>100935198.51625717</v>
          </cell>
          <cell r="P57">
            <v>0</v>
          </cell>
          <cell r="Q57">
            <v>0</v>
          </cell>
          <cell r="R57">
            <v>0</v>
          </cell>
          <cell r="T57">
            <v>100935.19851625717</v>
          </cell>
          <cell r="V57">
            <v>6.9099999999999995E-2</v>
          </cell>
        </row>
        <row r="58">
          <cell r="D58" t="str">
            <v>A0057</v>
          </cell>
          <cell r="E58" t="str">
            <v>PT ESTIKA SEDAYA FINANCE</v>
          </cell>
          <cell r="F58">
            <v>-872775037.01525044</v>
          </cell>
          <cell r="G58">
            <v>0</v>
          </cell>
          <cell r="H58">
            <v>0</v>
          </cell>
          <cell r="J58">
            <v>0</v>
          </cell>
          <cell r="K58">
            <v>0</v>
          </cell>
          <cell r="M58">
            <v>0</v>
          </cell>
          <cell r="N58">
            <v>0</v>
          </cell>
          <cell r="P58">
            <v>872775037.01525044</v>
          </cell>
          <cell r="Q58">
            <v>825344149.41830051</v>
          </cell>
          <cell r="R58">
            <v>92</v>
          </cell>
          <cell r="T58">
            <v>0</v>
          </cell>
          <cell r="V58">
            <v>7.46E-2</v>
          </cell>
        </row>
        <row r="59">
          <cell r="D59" t="str">
            <v>A0135</v>
          </cell>
          <cell r="E59" t="str">
            <v>PT STACOMITRA SEDAYA FINANCE</v>
          </cell>
          <cell r="F59">
            <v>-20600250.64548564</v>
          </cell>
          <cell r="G59">
            <v>0</v>
          </cell>
          <cell r="H59">
            <v>0</v>
          </cell>
          <cell r="J59">
            <v>0</v>
          </cell>
          <cell r="K59">
            <v>0</v>
          </cell>
          <cell r="M59">
            <v>0</v>
          </cell>
          <cell r="N59">
            <v>0</v>
          </cell>
          <cell r="P59">
            <v>20600250.64548564</v>
          </cell>
          <cell r="Q59">
            <v>0</v>
          </cell>
          <cell r="R59">
            <v>0</v>
          </cell>
          <cell r="T59">
            <v>0</v>
          </cell>
          <cell r="V59">
            <v>7.2400000000000006E-2</v>
          </cell>
        </row>
        <row r="60">
          <cell r="D60" t="str">
            <v>A0142</v>
          </cell>
          <cell r="E60" t="str">
            <v>PT SURYA ARTHA NUSANTARA FINANCE</v>
          </cell>
          <cell r="F60">
            <v>507924959.93787575</v>
          </cell>
          <cell r="G60">
            <v>0</v>
          </cell>
          <cell r="H60">
            <v>507924959.93787575</v>
          </cell>
          <cell r="J60">
            <v>0</v>
          </cell>
          <cell r="K60">
            <v>0</v>
          </cell>
          <cell r="M60">
            <v>2889164.5784510155</v>
          </cell>
          <cell r="N60">
            <v>12373841.214750251</v>
          </cell>
          <cell r="P60">
            <v>0</v>
          </cell>
          <cell r="Q60">
            <v>0</v>
          </cell>
          <cell r="R60">
            <v>0</v>
          </cell>
          <cell r="T60">
            <v>15263.005793201266</v>
          </cell>
          <cell r="V60">
            <v>7.22E-2</v>
          </cell>
        </row>
        <row r="61">
          <cell r="D61" t="str">
            <v>A0143</v>
          </cell>
          <cell r="E61" t="str">
            <v>PT SWADHARMA BHAKTI SEDAYA FINANCE</v>
          </cell>
          <cell r="F61">
            <v>806886680.77302933</v>
          </cell>
          <cell r="G61">
            <v>0</v>
          </cell>
          <cell r="H61">
            <v>806886680.77302933</v>
          </cell>
          <cell r="J61">
            <v>0</v>
          </cell>
          <cell r="K61">
            <v>0</v>
          </cell>
          <cell r="M61">
            <v>0</v>
          </cell>
          <cell r="N61">
            <v>21006201.355666097</v>
          </cell>
          <cell r="P61">
            <v>0</v>
          </cell>
          <cell r="Q61">
            <v>0</v>
          </cell>
          <cell r="R61">
            <v>0</v>
          </cell>
          <cell r="T61">
            <v>21006.201355666097</v>
          </cell>
          <cell r="V61">
            <v>7.3700000000000002E-2</v>
          </cell>
        </row>
        <row r="62">
          <cell r="D62" t="str">
            <v>A0224</v>
          </cell>
          <cell r="E62" t="str">
            <v>PT ASTRATEL NUSANTARA</v>
          </cell>
          <cell r="F62">
            <v>1906925552.348978</v>
          </cell>
          <cell r="G62">
            <v>0</v>
          </cell>
          <cell r="H62">
            <v>1906925552.348978</v>
          </cell>
          <cell r="J62">
            <v>0</v>
          </cell>
          <cell r="K62">
            <v>0</v>
          </cell>
          <cell r="M62">
            <v>0</v>
          </cell>
          <cell r="N62">
            <v>49644222.760661982</v>
          </cell>
          <cell r="P62">
            <v>0</v>
          </cell>
          <cell r="Q62">
            <v>0</v>
          </cell>
          <cell r="R62">
            <v>0</v>
          </cell>
          <cell r="T62">
            <v>49644.222760661985</v>
          </cell>
          <cell r="V62">
            <v>7.0499999999999993E-2</v>
          </cell>
        </row>
        <row r="63">
          <cell r="D63" t="str">
            <v>A0274</v>
          </cell>
          <cell r="E63" t="str">
            <v>PT FEDERAL NITTAN INDUSTRIES</v>
          </cell>
          <cell r="F63">
            <v>572763409.03906822</v>
          </cell>
          <cell r="G63">
            <v>0</v>
          </cell>
          <cell r="H63">
            <v>572763409.03906822</v>
          </cell>
          <cell r="J63">
            <v>0</v>
          </cell>
          <cell r="K63">
            <v>0</v>
          </cell>
          <cell r="M63">
            <v>2790107.1336106746</v>
          </cell>
          <cell r="N63">
            <v>14090941.236180978</v>
          </cell>
          <cell r="P63">
            <v>0</v>
          </cell>
          <cell r="Q63">
            <v>0</v>
          </cell>
          <cell r="R63">
            <v>0</v>
          </cell>
          <cell r="T63">
            <v>16881.048369791653</v>
          </cell>
          <cell r="V63">
            <v>7.51E-2</v>
          </cell>
        </row>
        <row r="64">
          <cell r="D64" t="e">
            <v>#N/A</v>
          </cell>
          <cell r="E64" t="str">
            <v>PT HANKEN INDONESIA</v>
          </cell>
          <cell r="F64">
            <v>409911749.28986406</v>
          </cell>
          <cell r="G64">
            <v>171647657.01761448</v>
          </cell>
          <cell r="H64">
            <v>238264092.27224958</v>
          </cell>
          <cell r="J64">
            <v>5742884.4629151309</v>
          </cell>
          <cell r="K64">
            <v>3516136.6209639092</v>
          </cell>
          <cell r="M64">
            <v>5818393.149989062</v>
          </cell>
          <cell r="N64">
            <v>4492511.8976578368</v>
          </cell>
          <cell r="P64">
            <v>0</v>
          </cell>
          <cell r="Q64">
            <v>0</v>
          </cell>
          <cell r="R64">
            <v>0</v>
          </cell>
          <cell r="T64">
            <v>19569.926131525943</v>
          </cell>
          <cell r="V64">
            <v>6.8000000000000005E-2</v>
          </cell>
        </row>
        <row r="65">
          <cell r="D65" t="e">
            <v>#N/A</v>
          </cell>
          <cell r="E65" t="str">
            <v>PT KOMATSU FORGING INDONESIA</v>
          </cell>
          <cell r="F65">
            <v>474390720.98947382</v>
          </cell>
          <cell r="G65">
            <v>0</v>
          </cell>
          <cell r="H65">
            <v>474390720.98947382</v>
          </cell>
          <cell r="J65">
            <v>0</v>
          </cell>
          <cell r="K65">
            <v>0</v>
          </cell>
          <cell r="M65">
            <v>6897755.5041805515</v>
          </cell>
          <cell r="N65">
            <v>10322460.089377809</v>
          </cell>
          <cell r="P65">
            <v>0</v>
          </cell>
          <cell r="Q65">
            <v>0</v>
          </cell>
          <cell r="R65">
            <v>0</v>
          </cell>
          <cell r="T65">
            <v>17220.215593558361</v>
          </cell>
          <cell r="V65">
            <v>7.2899999999999993E-2</v>
          </cell>
        </row>
        <row r="66">
          <cell r="D66" t="e">
            <v>#N/A</v>
          </cell>
          <cell r="E66" t="str">
            <v>KOPERASI ASTRA INTERNATIONAL</v>
          </cell>
          <cell r="F66">
            <v>303599137.50560284</v>
          </cell>
          <cell r="G66">
            <v>0</v>
          </cell>
          <cell r="H66">
            <v>303599137.50560284</v>
          </cell>
          <cell r="J66">
            <v>0</v>
          </cell>
          <cell r="K66">
            <v>0</v>
          </cell>
          <cell r="M66">
            <v>794092.4468327692</v>
          </cell>
          <cell r="N66">
            <v>7670361.2763121398</v>
          </cell>
          <cell r="P66">
            <v>0</v>
          </cell>
          <cell r="Q66">
            <v>0</v>
          </cell>
          <cell r="R66">
            <v>0</v>
          </cell>
          <cell r="T66">
            <v>8464.4537231449085</v>
          </cell>
          <cell r="V66">
            <v>7.4399999999999994E-2</v>
          </cell>
        </row>
        <row r="67">
          <cell r="D67" t="e">
            <v>#N/A</v>
          </cell>
          <cell r="E67" t="str">
            <v>PT MUSASHI AUTO PARTS INDONESIA</v>
          </cell>
          <cell r="F67">
            <v>805012946.77025414</v>
          </cell>
          <cell r="G67">
            <v>0</v>
          </cell>
          <cell r="H67">
            <v>805012946.77025414</v>
          </cell>
          <cell r="J67">
            <v>0</v>
          </cell>
          <cell r="K67">
            <v>0</v>
          </cell>
          <cell r="M67">
            <v>0</v>
          </cell>
          <cell r="N67">
            <v>20957421.229922112</v>
          </cell>
          <cell r="P67">
            <v>0</v>
          </cell>
          <cell r="Q67">
            <v>0</v>
          </cell>
          <cell r="R67">
            <v>0</v>
          </cell>
          <cell r="T67">
            <v>20957.421229922111</v>
          </cell>
          <cell r="V67">
            <v>6.8199999999999997E-2</v>
          </cell>
        </row>
        <row r="68">
          <cell r="D68" t="str">
            <v>A0128</v>
          </cell>
          <cell r="E68" t="str">
            <v>PT SEDAYA MULTI INVESTAMA</v>
          </cell>
          <cell r="F68">
            <v>216949118.14567268</v>
          </cell>
          <cell r="G68">
            <v>0</v>
          </cell>
          <cell r="H68">
            <v>216949118.14567268</v>
          </cell>
          <cell r="J68">
            <v>0</v>
          </cell>
          <cell r="K68">
            <v>0</v>
          </cell>
          <cell r="M68">
            <v>12812488.622590348</v>
          </cell>
          <cell r="N68">
            <v>1881625.893236266</v>
          </cell>
          <cell r="P68">
            <v>0</v>
          </cell>
          <cell r="Q68">
            <v>0</v>
          </cell>
          <cell r="R68">
            <v>0</v>
          </cell>
          <cell r="T68">
            <v>14694.114515826615</v>
          </cell>
          <cell r="V68">
            <v>7.5899999999999995E-2</v>
          </cell>
        </row>
        <row r="69">
          <cell r="D69" t="e">
            <v>#N/A</v>
          </cell>
          <cell r="E69" t="str">
            <v>PT UNITED TRACTORS SEMEN GRESIK</v>
          </cell>
          <cell r="F69">
            <v>111071379.32549155</v>
          </cell>
          <cell r="G69">
            <v>0</v>
          </cell>
          <cell r="H69">
            <v>111071379.32549155</v>
          </cell>
          <cell r="J69">
            <v>0</v>
          </cell>
          <cell r="K69">
            <v>0</v>
          </cell>
          <cell r="M69">
            <v>2895168.3316272069</v>
          </cell>
          <cell r="N69">
            <v>2040531.1439400292</v>
          </cell>
          <cell r="P69">
            <v>0</v>
          </cell>
          <cell r="Q69">
            <v>0</v>
          </cell>
          <cell r="R69">
            <v>0</v>
          </cell>
          <cell r="T69">
            <v>4935.6994755672367</v>
          </cell>
          <cell r="V69">
            <v>6.0499999999999998E-2</v>
          </cell>
        </row>
        <row r="70">
          <cell r="D70" t="str">
            <v>A0011</v>
          </cell>
          <cell r="E70" t="str">
            <v>PT ASTRA AGRO LESTARI  Tbk</v>
          </cell>
          <cell r="F70">
            <v>1166532320.3839636</v>
          </cell>
          <cell r="G70">
            <v>0</v>
          </cell>
          <cell r="H70">
            <v>1166532320.3839636</v>
          </cell>
          <cell r="J70">
            <v>0</v>
          </cell>
          <cell r="K70">
            <v>0</v>
          </cell>
          <cell r="M70">
            <v>8949877.5457430203</v>
          </cell>
          <cell r="N70">
            <v>27738188.341537815</v>
          </cell>
          <cell r="P70">
            <v>0</v>
          </cell>
          <cell r="Q70">
            <v>0</v>
          </cell>
          <cell r="R70">
            <v>0</v>
          </cell>
          <cell r="T70">
            <v>36688.065887280834</v>
          </cell>
          <cell r="V70">
            <v>7.0300000000000001E-2</v>
          </cell>
        </row>
        <row r="71">
          <cell r="D71" t="e">
            <v>#N/A</v>
          </cell>
          <cell r="E71" t="str">
            <v>PT LESTARI TANI TELADAN</v>
          </cell>
          <cell r="F71">
            <v>0</v>
          </cell>
          <cell r="G71">
            <v>0</v>
          </cell>
          <cell r="H71">
            <v>0</v>
          </cell>
          <cell r="J71">
            <v>0</v>
          </cell>
          <cell r="K71">
            <v>0</v>
          </cell>
          <cell r="M71">
            <v>0</v>
          </cell>
          <cell r="N71">
            <v>0</v>
          </cell>
          <cell r="P71">
            <v>0</v>
          </cell>
          <cell r="Q71">
            <v>0</v>
          </cell>
          <cell r="R71" t="str">
            <v>No Contribution</v>
          </cell>
          <cell r="T71">
            <v>0</v>
          </cell>
          <cell r="V71">
            <v>0</v>
          </cell>
        </row>
        <row r="72">
          <cell r="D72" t="e">
            <v>#N/A</v>
          </cell>
          <cell r="E72" t="str">
            <v>PT SARI LEMBAH SUBUR</v>
          </cell>
          <cell r="F72">
            <v>0</v>
          </cell>
          <cell r="G72">
            <v>0</v>
          </cell>
          <cell r="H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P72">
            <v>0</v>
          </cell>
          <cell r="Q72">
            <v>0</v>
          </cell>
          <cell r="R72" t="str">
            <v>No Contribution</v>
          </cell>
          <cell r="T72">
            <v>0</v>
          </cell>
          <cell r="V72">
            <v>0</v>
          </cell>
        </row>
        <row r="73">
          <cell r="D73" t="e">
            <v>#N/A</v>
          </cell>
          <cell r="E73" t="str">
            <v>PT TUNGGAL PERKASA PLANTATION</v>
          </cell>
          <cell r="F73">
            <v>0</v>
          </cell>
          <cell r="G73">
            <v>0</v>
          </cell>
          <cell r="H73">
            <v>0</v>
          </cell>
          <cell r="J73">
            <v>0</v>
          </cell>
          <cell r="K73">
            <v>0</v>
          </cell>
          <cell r="M73">
            <v>0</v>
          </cell>
          <cell r="N73">
            <v>0</v>
          </cell>
          <cell r="P73">
            <v>0</v>
          </cell>
          <cell r="Q73">
            <v>0</v>
          </cell>
          <cell r="R73" t="str">
            <v>No Contribution</v>
          </cell>
          <cell r="T73">
            <v>0</v>
          </cell>
          <cell r="V73">
            <v>0</v>
          </cell>
        </row>
      </sheetData>
      <sheetData sheetId="9">
        <row r="8">
          <cell r="C8" t="str">
            <v>S0363</v>
          </cell>
          <cell r="D8" t="str">
            <v>PT Astra International Tbk - AWSO</v>
          </cell>
          <cell r="E8" t="str">
            <v>Astra International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R8" t="str">
            <v>1PEB 1</v>
          </cell>
          <cell r="S8" t="str">
            <v>1PEB 2</v>
          </cell>
          <cell r="T8" t="str">
            <v>1PEB 3</v>
          </cell>
          <cell r="U8" t="str">
            <v>1PEB 4</v>
          </cell>
          <cell r="V8" t="str">
            <v>1PEB 5</v>
          </cell>
          <cell r="W8" t="str">
            <v>1PEB 6</v>
          </cell>
          <cell r="X8" t="str">
            <v>1PEB 7</v>
          </cell>
          <cell r="Y8" t="str">
            <v>1MPP</v>
          </cell>
          <cell r="Z8" t="str">
            <v>1ID</v>
          </cell>
          <cell r="AA8" t="str">
            <v>1LL</v>
          </cell>
          <cell r="AB8" t="str">
            <v>1PMK</v>
          </cell>
          <cell r="AD8">
            <v>47938.897483127337</v>
          </cell>
          <cell r="AE8">
            <v>0</v>
          </cell>
          <cell r="AF8">
            <v>0</v>
          </cell>
          <cell r="AG8">
            <v>55386.834883620359</v>
          </cell>
          <cell r="AH8">
            <v>0</v>
          </cell>
          <cell r="AI8">
            <v>0</v>
          </cell>
          <cell r="AJ8">
            <v>31090.026366079219</v>
          </cell>
          <cell r="AK8">
            <v>0</v>
          </cell>
          <cell r="AL8">
            <v>51546.574845179188</v>
          </cell>
          <cell r="AM8">
            <v>236743.58416848915</v>
          </cell>
          <cell r="AN8">
            <v>79642.674999999988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  <cell r="AW8" t="e">
            <v>#REF!</v>
          </cell>
          <cell r="AX8" t="e">
            <v>#REF!</v>
          </cell>
          <cell r="AY8" t="e">
            <v>#REF!</v>
          </cell>
          <cell r="AZ8" t="e">
            <v>#REF!</v>
          </cell>
          <cell r="BB8" t="e">
            <v>#REF!</v>
          </cell>
          <cell r="BC8" t="e">
            <v>#REF!</v>
          </cell>
          <cell r="BD8" t="e">
            <v>#REF!</v>
          </cell>
          <cell r="BE8" t="e">
            <v>#REF!</v>
          </cell>
          <cell r="BF8" t="e">
            <v>#REF!</v>
          </cell>
          <cell r="BG8" t="e">
            <v>#REF!</v>
          </cell>
          <cell r="BH8" t="e">
            <v>#REF!</v>
          </cell>
          <cell r="BI8" t="e">
            <v>#REF!</v>
          </cell>
          <cell r="BJ8" t="e">
            <v>#REF!</v>
          </cell>
          <cell r="BK8" t="e">
            <v>#REF!</v>
          </cell>
          <cell r="BL8" t="e">
            <v>#REF!</v>
          </cell>
        </row>
        <row r="9">
          <cell r="C9" t="str">
            <v>S0173</v>
          </cell>
          <cell r="D9" t="str">
            <v>PT Astra International Tbk - BSO</v>
          </cell>
          <cell r="E9" t="str">
            <v>Astra International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R9" t="str">
            <v>2PEB 1</v>
          </cell>
          <cell r="S9" t="str">
            <v>2PEB 2</v>
          </cell>
          <cell r="T9" t="str">
            <v>2PEB 3</v>
          </cell>
          <cell r="U9" t="str">
            <v>2PEB 4</v>
          </cell>
          <cell r="V9" t="str">
            <v>2PEB 5</v>
          </cell>
          <cell r="W9" t="str">
            <v>2PEB 6</v>
          </cell>
          <cell r="X9" t="str">
            <v>2PEB 7</v>
          </cell>
          <cell r="Y9" t="str">
            <v>2MPP</v>
          </cell>
          <cell r="Z9" t="str">
            <v>2ID</v>
          </cell>
          <cell r="AA9" t="str">
            <v>2LL</v>
          </cell>
          <cell r="AB9" t="str">
            <v>2PMK</v>
          </cell>
          <cell r="AD9">
            <v>51715.199751575776</v>
          </cell>
          <cell r="AE9">
            <v>0</v>
          </cell>
          <cell r="AF9">
            <v>0</v>
          </cell>
          <cell r="AG9">
            <v>42999.009515917518</v>
          </cell>
          <cell r="AH9">
            <v>0</v>
          </cell>
          <cell r="AI9">
            <v>0</v>
          </cell>
          <cell r="AJ9">
            <v>27029.464836701994</v>
          </cell>
          <cell r="AK9">
            <v>0</v>
          </cell>
          <cell r="AL9">
            <v>55138.352378726289</v>
          </cell>
          <cell r="AM9">
            <v>405414.62129999837</v>
          </cell>
          <cell r="AN9">
            <v>268028.69500000001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  <cell r="AW9" t="e">
            <v>#REF!</v>
          </cell>
          <cell r="AX9" t="e">
            <v>#REF!</v>
          </cell>
          <cell r="AY9" t="e">
            <v>#REF!</v>
          </cell>
          <cell r="AZ9" t="e">
            <v>#REF!</v>
          </cell>
          <cell r="BB9" t="e">
            <v>#REF!</v>
          </cell>
          <cell r="BC9" t="e">
            <v>#REF!</v>
          </cell>
          <cell r="BD9" t="e">
            <v>#REF!</v>
          </cell>
          <cell r="BE9" t="e">
            <v>#REF!</v>
          </cell>
          <cell r="BF9" t="e">
            <v>#REF!</v>
          </cell>
          <cell r="BG9" t="e">
            <v>#REF!</v>
          </cell>
          <cell r="BH9" t="e">
            <v>#REF!</v>
          </cell>
          <cell r="BI9" t="e">
            <v>#REF!</v>
          </cell>
          <cell r="BJ9" t="e">
            <v>#REF!</v>
          </cell>
          <cell r="BK9" t="e">
            <v>#REF!</v>
          </cell>
          <cell r="BL9" t="e">
            <v>#REF!</v>
          </cell>
        </row>
        <row r="10">
          <cell r="C10" t="str">
            <v>S0003</v>
          </cell>
          <cell r="D10" t="str">
            <v>PT Astra International Tbk - DSO</v>
          </cell>
          <cell r="E10" t="str">
            <v>Astra International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R10" t="str">
            <v>3PEB 1</v>
          </cell>
          <cell r="S10" t="str">
            <v>3PEB 2</v>
          </cell>
          <cell r="T10" t="str">
            <v>3PEB 3</v>
          </cell>
          <cell r="U10" t="str">
            <v>3PEB 4</v>
          </cell>
          <cell r="V10" t="str">
            <v>3PEB 5</v>
          </cell>
          <cell r="W10" t="str">
            <v>3PEB 6</v>
          </cell>
          <cell r="X10" t="str">
            <v>3PEB 7</v>
          </cell>
          <cell r="Y10" t="str">
            <v>3MPP</v>
          </cell>
          <cell r="Z10" t="str">
            <v>3ID</v>
          </cell>
          <cell r="AA10" t="str">
            <v>3LL</v>
          </cell>
          <cell r="AB10" t="str">
            <v>3PMK</v>
          </cell>
          <cell r="AD10">
            <v>2178105.9588206336</v>
          </cell>
          <cell r="AE10">
            <v>474082.42</v>
          </cell>
          <cell r="AF10">
            <v>34917.373199999995</v>
          </cell>
          <cell r="AG10">
            <v>367387.79107241443</v>
          </cell>
          <cell r="AH10">
            <v>0</v>
          </cell>
          <cell r="AI10">
            <v>0</v>
          </cell>
          <cell r="AJ10">
            <v>162502.9489717996</v>
          </cell>
          <cell r="AK10">
            <v>77343.675000000003</v>
          </cell>
          <cell r="AL10">
            <v>352342.90245355002</v>
          </cell>
          <cell r="AM10">
            <v>2193614.4638148923</v>
          </cell>
          <cell r="AN10">
            <v>1381046.9550000001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  <cell r="AW10" t="e">
            <v>#REF!</v>
          </cell>
          <cell r="AX10" t="e">
            <v>#REF!</v>
          </cell>
          <cell r="AY10" t="e">
            <v>#REF!</v>
          </cell>
          <cell r="AZ10" t="e">
            <v>#REF!</v>
          </cell>
          <cell r="BB10" t="e">
            <v>#REF!</v>
          </cell>
          <cell r="BC10" t="e">
            <v>#REF!</v>
          </cell>
          <cell r="BD10" t="e">
            <v>#REF!</v>
          </cell>
          <cell r="BE10" t="e">
            <v>#REF!</v>
          </cell>
          <cell r="BF10" t="e">
            <v>#REF!</v>
          </cell>
          <cell r="BG10" t="e">
            <v>#REF!</v>
          </cell>
          <cell r="BH10" t="e">
            <v>#REF!</v>
          </cell>
          <cell r="BI10" t="e">
            <v>#REF!</v>
          </cell>
          <cell r="BJ10" t="e">
            <v>#REF!</v>
          </cell>
          <cell r="BK10" t="e">
            <v>#REF!</v>
          </cell>
          <cell r="BL10" t="e">
            <v>#REF!</v>
          </cell>
        </row>
        <row r="11">
          <cell r="C11" t="str">
            <v>S0001</v>
          </cell>
          <cell r="D11" t="str">
            <v>PT Astra International Tbk - HO</v>
          </cell>
          <cell r="E11" t="str">
            <v>Astra International</v>
          </cell>
          <cell r="F11">
            <v>-16729193.424341124</v>
          </cell>
          <cell r="G11">
            <v>-6754696.0298652854</v>
          </cell>
          <cell r="H11">
            <v>-1911829.6393009606</v>
          </cell>
          <cell r="I11">
            <v>-12524645.541121908</v>
          </cell>
          <cell r="J11">
            <v>0</v>
          </cell>
          <cell r="K11">
            <v>-6567463</v>
          </cell>
          <cell r="L11">
            <v>-219586.99197362969</v>
          </cell>
          <cell r="M11">
            <v>-317820.98216252693</v>
          </cell>
          <cell r="N11">
            <v>-1485083.285984908</v>
          </cell>
          <cell r="O11">
            <v>-8359779.6636051275</v>
          </cell>
          <cell r="P11">
            <v>-2405627.8502292251</v>
          </cell>
          <cell r="R11" t="str">
            <v>4PEB 1</v>
          </cell>
          <cell r="S11" t="str">
            <v>4PEB 2</v>
          </cell>
          <cell r="T11" t="str">
            <v>4PEB 3</v>
          </cell>
          <cell r="U11" t="str">
            <v>4PEB 4</v>
          </cell>
          <cell r="V11" t="str">
            <v>4PEB 5</v>
          </cell>
          <cell r="W11" t="str">
            <v>4PEB 6</v>
          </cell>
          <cell r="X11" t="str">
            <v>4PEB 7</v>
          </cell>
          <cell r="Y11" t="str">
            <v>4MPP</v>
          </cell>
          <cell r="Z11" t="str">
            <v>4ID</v>
          </cell>
          <cell r="AA11" t="str">
            <v>4LL</v>
          </cell>
          <cell r="AB11" t="str">
            <v>4PMK</v>
          </cell>
          <cell r="AD11">
            <v>21819352.254480142</v>
          </cell>
          <cell r="AE11">
            <v>5708177.4000000004</v>
          </cell>
          <cell r="AF11">
            <v>1351077.5023999996</v>
          </cell>
          <cell r="AG11">
            <v>2576783.7362829498</v>
          </cell>
          <cell r="AH11">
            <v>0</v>
          </cell>
          <cell r="AI11">
            <v>1127260</v>
          </cell>
          <cell r="AJ11">
            <v>152489.08273175242</v>
          </cell>
          <cell r="AK11">
            <v>1074499.1100000001</v>
          </cell>
          <cell r="AL11">
            <v>451395.62314933341</v>
          </cell>
          <cell r="AM11">
            <v>2357368.120128023</v>
          </cell>
          <cell r="AN11">
            <v>500884.35500000004</v>
          </cell>
          <cell r="AP11">
            <v>-1486539.9333599999</v>
          </cell>
          <cell r="AQ11">
            <v>-5708177.4000000004</v>
          </cell>
          <cell r="AR11">
            <v>-1351077.5023999996</v>
          </cell>
          <cell r="AS11">
            <v>-2576783.7362829498</v>
          </cell>
          <cell r="AT11">
            <v>0</v>
          </cell>
          <cell r="AU11">
            <v>-1127260</v>
          </cell>
          <cell r="AV11">
            <v>-152489.08273175242</v>
          </cell>
          <cell r="AW11">
            <v>-317820.98216252693</v>
          </cell>
          <cell r="AX11">
            <v>-451395.62314933341</v>
          </cell>
          <cell r="AY11">
            <v>-2357368.120128023</v>
          </cell>
          <cell r="AZ11">
            <v>-500884.35500000004</v>
          </cell>
          <cell r="BB11">
            <v>-15242653.490981124</v>
          </cell>
          <cell r="BC11">
            <v>-1046518.629865285</v>
          </cell>
          <cell r="BD11">
            <v>-560752.13690096093</v>
          </cell>
          <cell r="BE11">
            <v>-9947861.8048389573</v>
          </cell>
          <cell r="BF11">
            <v>0</v>
          </cell>
          <cell r="BG11">
            <v>-5440203</v>
          </cell>
          <cell r="BH11">
            <v>-67097.909241877263</v>
          </cell>
          <cell r="BI11">
            <v>0</v>
          </cell>
          <cell r="BJ11">
            <v>-1033687.6628355746</v>
          </cell>
          <cell r="BK11">
            <v>-6002411.543477105</v>
          </cell>
          <cell r="BL11">
            <v>-1904743.4952292251</v>
          </cell>
        </row>
        <row r="12">
          <cell r="C12" t="str">
            <v>S0005</v>
          </cell>
          <cell r="D12" t="str">
            <v>PT Astra International Tbk - HSO</v>
          </cell>
          <cell r="E12" t="str">
            <v>Astra International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R12" t="str">
            <v>5PEB 1</v>
          </cell>
          <cell r="S12" t="str">
            <v>5PEB 2</v>
          </cell>
          <cell r="T12" t="str">
            <v>5PEB 3</v>
          </cell>
          <cell r="U12" t="str">
            <v>5PEB 4</v>
          </cell>
          <cell r="V12" t="str">
            <v>5PEB 5</v>
          </cell>
          <cell r="W12" t="str">
            <v>5PEB 6</v>
          </cell>
          <cell r="X12" t="str">
            <v>5PEB 7</v>
          </cell>
          <cell r="Y12" t="str">
            <v>5MPP</v>
          </cell>
          <cell r="Z12" t="str">
            <v>5ID</v>
          </cell>
          <cell r="AA12" t="str">
            <v>5LL</v>
          </cell>
          <cell r="AB12" t="str">
            <v>5PMK</v>
          </cell>
          <cell r="AD12">
            <v>2689980.3583975444</v>
          </cell>
          <cell r="AE12">
            <v>586188.92000000004</v>
          </cell>
          <cell r="AF12">
            <v>20734.277779999989</v>
          </cell>
          <cell r="AG12">
            <v>393822.96298948105</v>
          </cell>
          <cell r="AH12">
            <v>0</v>
          </cell>
          <cell r="AI12">
            <v>0</v>
          </cell>
          <cell r="AJ12">
            <v>168563.99266199046</v>
          </cell>
          <cell r="AK12">
            <v>92385.675000000003</v>
          </cell>
          <cell r="AL12">
            <v>284447.46529592125</v>
          </cell>
          <cell r="AM12">
            <v>2070045.4004845978</v>
          </cell>
          <cell r="AN12">
            <v>818895.14500000002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  <cell r="AW12" t="e">
            <v>#REF!</v>
          </cell>
          <cell r="AX12" t="e">
            <v>#REF!</v>
          </cell>
          <cell r="AY12" t="e">
            <v>#REF!</v>
          </cell>
          <cell r="AZ12" t="e">
            <v>#REF!</v>
          </cell>
          <cell r="BB12" t="e">
            <v>#REF!</v>
          </cell>
          <cell r="BC12" t="e">
            <v>#REF!</v>
          </cell>
          <cell r="BD12" t="e">
            <v>#REF!</v>
          </cell>
          <cell r="BE12" t="e">
            <v>#REF!</v>
          </cell>
          <cell r="BF12" t="e">
            <v>#REF!</v>
          </cell>
          <cell r="BG12" t="e">
            <v>#REF!</v>
          </cell>
          <cell r="BH12" t="e">
            <v>#REF!</v>
          </cell>
          <cell r="BI12" t="e">
            <v>#REF!</v>
          </cell>
          <cell r="BJ12" t="e">
            <v>#REF!</v>
          </cell>
          <cell r="BK12" t="e">
            <v>#REF!</v>
          </cell>
          <cell r="BL12" t="e">
            <v>#REF!</v>
          </cell>
        </row>
        <row r="13">
          <cell r="C13" t="str">
            <v>S0004</v>
          </cell>
          <cell r="D13" t="str">
            <v>PT Astra International Tbk - ISO</v>
          </cell>
          <cell r="E13" t="str">
            <v>Astra International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R13" t="str">
            <v>6PEB 1</v>
          </cell>
          <cell r="S13" t="str">
            <v>6PEB 2</v>
          </cell>
          <cell r="T13" t="str">
            <v>6PEB 3</v>
          </cell>
          <cell r="U13" t="str">
            <v>6PEB 4</v>
          </cell>
          <cell r="V13" t="str">
            <v>6PEB 5</v>
          </cell>
          <cell r="W13" t="str">
            <v>6PEB 6</v>
          </cell>
          <cell r="X13" t="str">
            <v>6PEB 7</v>
          </cell>
          <cell r="Y13" t="str">
            <v>6MPP</v>
          </cell>
          <cell r="Z13" t="str">
            <v>6ID</v>
          </cell>
          <cell r="AA13" t="str">
            <v>6LL</v>
          </cell>
          <cell r="AB13" t="str">
            <v>6PMK</v>
          </cell>
          <cell r="AD13">
            <v>1346047.6491504041</v>
          </cell>
          <cell r="AE13">
            <v>413346.53</v>
          </cell>
          <cell r="AF13">
            <v>98892.05854666658</v>
          </cell>
          <cell r="AG13">
            <v>700875.2147999116</v>
          </cell>
          <cell r="AH13">
            <v>0</v>
          </cell>
          <cell r="AI13">
            <v>0</v>
          </cell>
          <cell r="AJ13">
            <v>145161.25039988582</v>
          </cell>
          <cell r="AK13">
            <v>86659.904999999999</v>
          </cell>
          <cell r="AL13">
            <v>250006.42027464937</v>
          </cell>
          <cell r="AM13">
            <v>1673427.4274165467</v>
          </cell>
          <cell r="AN13">
            <v>1222563.3799999999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  <cell r="AW13" t="e">
            <v>#REF!</v>
          </cell>
          <cell r="AX13" t="e">
            <v>#REF!</v>
          </cell>
          <cell r="AY13" t="e">
            <v>#REF!</v>
          </cell>
          <cell r="AZ13" t="e">
            <v>#REF!</v>
          </cell>
          <cell r="BB13" t="e">
            <v>#REF!</v>
          </cell>
          <cell r="BC13" t="e">
            <v>#REF!</v>
          </cell>
          <cell r="BD13" t="e">
            <v>#REF!</v>
          </cell>
          <cell r="BE13" t="e">
            <v>#REF!</v>
          </cell>
          <cell r="BF13" t="e">
            <v>#REF!</v>
          </cell>
          <cell r="BG13" t="e">
            <v>#REF!</v>
          </cell>
          <cell r="BH13" t="e">
            <v>#REF!</v>
          </cell>
          <cell r="BI13" t="e">
            <v>#REF!</v>
          </cell>
          <cell r="BJ13" t="e">
            <v>#REF!</v>
          </cell>
          <cell r="BK13" t="e">
            <v>#REF!</v>
          </cell>
          <cell r="BL13" t="e">
            <v>#REF!</v>
          </cell>
        </row>
        <row r="14">
          <cell r="C14" t="str">
            <v>S0172</v>
          </cell>
          <cell r="D14" t="str">
            <v>PT Astra International Tbk - NDSO</v>
          </cell>
          <cell r="E14" t="str">
            <v>Astra International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R14" t="str">
            <v>7PEB 1</v>
          </cell>
          <cell r="S14" t="str">
            <v>7PEB 2</v>
          </cell>
          <cell r="T14" t="str">
            <v>7PEB 3</v>
          </cell>
          <cell r="U14" t="str">
            <v>7PEB 4</v>
          </cell>
          <cell r="V14" t="str">
            <v>7PEB 5</v>
          </cell>
          <cell r="W14" t="str">
            <v>7PEB 6</v>
          </cell>
          <cell r="X14" t="str">
            <v>7PEB 7</v>
          </cell>
          <cell r="Y14" t="str">
            <v>7MPP</v>
          </cell>
          <cell r="Z14" t="str">
            <v>7ID</v>
          </cell>
          <cell r="AA14" t="str">
            <v>7LL</v>
          </cell>
          <cell r="AB14" t="str">
            <v>7PMK</v>
          </cell>
          <cell r="AD14">
            <v>216634.5841462026</v>
          </cell>
          <cell r="AE14">
            <v>40548</v>
          </cell>
          <cell r="AF14">
            <v>0</v>
          </cell>
          <cell r="AG14">
            <v>36166.358367899556</v>
          </cell>
          <cell r="AH14">
            <v>0</v>
          </cell>
          <cell r="AI14">
            <v>0</v>
          </cell>
          <cell r="AJ14">
            <v>20553.728602502208</v>
          </cell>
          <cell r="AK14">
            <v>6082.2</v>
          </cell>
          <cell r="AL14">
            <v>41595.092884091646</v>
          </cell>
          <cell r="AM14">
            <v>229117.66493438088</v>
          </cell>
          <cell r="AN14">
            <v>138292.42000000001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  <cell r="AW14" t="e">
            <v>#REF!</v>
          </cell>
          <cell r="AX14" t="e">
            <v>#REF!</v>
          </cell>
          <cell r="AY14" t="e">
            <v>#REF!</v>
          </cell>
          <cell r="AZ14" t="e">
            <v>#REF!</v>
          </cell>
          <cell r="BB14" t="e">
            <v>#REF!</v>
          </cell>
          <cell r="BC14" t="e">
            <v>#REF!</v>
          </cell>
          <cell r="BD14" t="e">
            <v>#REF!</v>
          </cell>
          <cell r="BE14" t="e">
            <v>#REF!</v>
          </cell>
          <cell r="BF14" t="e">
            <v>#REF!</v>
          </cell>
          <cell r="BG14" t="e">
            <v>#REF!</v>
          </cell>
          <cell r="BH14" t="e">
            <v>#REF!</v>
          </cell>
          <cell r="BI14" t="e">
            <v>#REF!</v>
          </cell>
          <cell r="BJ14" t="e">
            <v>#REF!</v>
          </cell>
          <cell r="BK14" t="e">
            <v>#REF!</v>
          </cell>
          <cell r="BL14" t="e">
            <v>#REF!</v>
          </cell>
        </row>
        <row r="15">
          <cell r="C15" t="str">
            <v>S0174</v>
          </cell>
          <cell r="D15" t="str">
            <v>PT Astra International Tbk - PSO</v>
          </cell>
          <cell r="E15" t="str">
            <v>Astra International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R15" t="str">
            <v>8PEB 1</v>
          </cell>
          <cell r="S15" t="str">
            <v>8PEB 2</v>
          </cell>
          <cell r="T15" t="str">
            <v>8PEB 3</v>
          </cell>
          <cell r="U15" t="str">
            <v>8PEB 4</v>
          </cell>
          <cell r="V15" t="str">
            <v>8PEB 5</v>
          </cell>
          <cell r="W15" t="str">
            <v>8PEB 6</v>
          </cell>
          <cell r="X15" t="str">
            <v>8PEB 7</v>
          </cell>
          <cell r="Y15" t="str">
            <v>8MPP</v>
          </cell>
          <cell r="Z15" t="str">
            <v>8ID</v>
          </cell>
          <cell r="AA15" t="str">
            <v>8LL</v>
          </cell>
          <cell r="AB15" t="str">
            <v>8PMK</v>
          </cell>
          <cell r="AD15">
            <v>33197.942674171791</v>
          </cell>
          <cell r="AE15">
            <v>0</v>
          </cell>
          <cell r="AF15">
            <v>0</v>
          </cell>
          <cell r="AG15">
            <v>36036.510594683787</v>
          </cell>
          <cell r="AH15">
            <v>0</v>
          </cell>
          <cell r="AI15">
            <v>0</v>
          </cell>
          <cell r="AJ15">
            <v>19972.63144918645</v>
          </cell>
          <cell r="AK15">
            <v>0</v>
          </cell>
          <cell r="AL15">
            <v>38838.677556737188</v>
          </cell>
          <cell r="AM15">
            <v>242395.77380379595</v>
          </cell>
          <cell r="AN15">
            <v>168182.93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  <cell r="AW15" t="e">
            <v>#REF!</v>
          </cell>
          <cell r="AX15" t="e">
            <v>#REF!</v>
          </cell>
          <cell r="AY15" t="e">
            <v>#REF!</v>
          </cell>
          <cell r="AZ15" t="e">
            <v>#REF!</v>
          </cell>
          <cell r="BB15" t="e">
            <v>#REF!</v>
          </cell>
          <cell r="BC15" t="e">
            <v>#REF!</v>
          </cell>
          <cell r="BD15" t="e">
            <v>#REF!</v>
          </cell>
          <cell r="BE15" t="e">
            <v>#REF!</v>
          </cell>
          <cell r="BF15" t="e">
            <v>#REF!</v>
          </cell>
          <cell r="BG15" t="e">
            <v>#REF!</v>
          </cell>
          <cell r="BH15" t="e">
            <v>#REF!</v>
          </cell>
          <cell r="BI15" t="e">
            <v>#REF!</v>
          </cell>
          <cell r="BJ15" t="e">
            <v>#REF!</v>
          </cell>
          <cell r="BK15" t="e">
            <v>#REF!</v>
          </cell>
          <cell r="BL15" t="e">
            <v>#REF!</v>
          </cell>
        </row>
        <row r="16">
          <cell r="C16" t="str">
            <v>S0015</v>
          </cell>
          <cell r="D16" t="str">
            <v>PT Astra International Tbk - SSC</v>
          </cell>
          <cell r="E16" t="str">
            <v>Astra International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R16" t="str">
            <v>9PEB 1</v>
          </cell>
          <cell r="S16" t="str">
            <v>9PEB 2</v>
          </cell>
          <cell r="T16" t="str">
            <v>9PEB 3</v>
          </cell>
          <cell r="U16" t="str">
            <v>9PEB 4</v>
          </cell>
          <cell r="V16" t="str">
            <v>9PEB 5</v>
          </cell>
          <cell r="W16" t="str">
            <v>9PEB 6</v>
          </cell>
          <cell r="X16" t="str">
            <v>9PEB 7</v>
          </cell>
          <cell r="Y16" t="str">
            <v>9MPP</v>
          </cell>
          <cell r="Z16" t="str">
            <v>9ID</v>
          </cell>
          <cell r="AA16" t="str">
            <v>9LL</v>
          </cell>
          <cell r="AB16" t="str">
            <v>9PMK</v>
          </cell>
          <cell r="AD16">
            <v>173850.60490054471</v>
          </cell>
          <cell r="AE16">
            <v>34760.1</v>
          </cell>
          <cell r="AF16">
            <v>0</v>
          </cell>
          <cell r="AG16">
            <v>44768.477629372974</v>
          </cell>
          <cell r="AH16">
            <v>0</v>
          </cell>
          <cell r="AI16">
            <v>0</v>
          </cell>
          <cell r="AJ16">
            <v>25347.249718404411</v>
          </cell>
          <cell r="AK16">
            <v>5214.0150000000003</v>
          </cell>
          <cell r="AL16">
            <v>45176.186304315685</v>
          </cell>
          <cell r="AM16">
            <v>270091.38011130801</v>
          </cell>
          <cell r="AN16">
            <v>248470.55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  <cell r="AW16" t="e">
            <v>#REF!</v>
          </cell>
          <cell r="AX16" t="e">
            <v>#REF!</v>
          </cell>
          <cell r="AY16" t="e">
            <v>#REF!</v>
          </cell>
          <cell r="AZ16" t="e">
            <v>#REF!</v>
          </cell>
          <cell r="BB16" t="e">
            <v>#REF!</v>
          </cell>
          <cell r="BC16" t="e">
            <v>#REF!</v>
          </cell>
          <cell r="BD16" t="e">
            <v>#REF!</v>
          </cell>
          <cell r="BE16" t="e">
            <v>#REF!</v>
          </cell>
          <cell r="BF16" t="e">
            <v>#REF!</v>
          </cell>
          <cell r="BG16" t="e">
            <v>#REF!</v>
          </cell>
          <cell r="BH16" t="e">
            <v>#REF!</v>
          </cell>
          <cell r="BI16" t="e">
            <v>#REF!</v>
          </cell>
          <cell r="BJ16" t="e">
            <v>#REF!</v>
          </cell>
          <cell r="BK16" t="e">
            <v>#REF!</v>
          </cell>
          <cell r="BL16" t="e">
            <v>#REF!</v>
          </cell>
        </row>
        <row r="17">
          <cell r="C17" t="str">
            <v>S0002</v>
          </cell>
          <cell r="D17" t="str">
            <v>PT Astra International Tbk - TSO</v>
          </cell>
          <cell r="E17" t="str">
            <v>Astra International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R17" t="str">
            <v>10PEB 1</v>
          </cell>
          <cell r="S17" t="str">
            <v>10PEB 2</v>
          </cell>
          <cell r="T17" t="str">
            <v>10PEB 3</v>
          </cell>
          <cell r="U17" t="str">
            <v>10PEB 4</v>
          </cell>
          <cell r="V17" t="str">
            <v>10PEB 5</v>
          </cell>
          <cell r="W17" t="str">
            <v>10PEB 6</v>
          </cell>
          <cell r="X17" t="str">
            <v>10PEB 7</v>
          </cell>
          <cell r="Y17" t="str">
            <v>10MPP</v>
          </cell>
          <cell r="Z17" t="str">
            <v>10ID</v>
          </cell>
          <cell r="AA17" t="str">
            <v>10LL</v>
          </cell>
          <cell r="AB17" t="str">
            <v>10PMK</v>
          </cell>
          <cell r="AD17">
            <v>14543969.57826707</v>
          </cell>
          <cell r="AE17">
            <v>3304447.27</v>
          </cell>
          <cell r="AF17">
            <v>100800.52858666659</v>
          </cell>
          <cell r="AG17">
            <v>2936150.5469145849</v>
          </cell>
          <cell r="AH17">
            <v>0</v>
          </cell>
          <cell r="AI17">
            <v>0</v>
          </cell>
          <cell r="AJ17">
            <v>545661.08365387795</v>
          </cell>
          <cell r="AK17">
            <v>581836.005</v>
          </cell>
          <cell r="AL17">
            <v>849743.70626439713</v>
          </cell>
          <cell r="AM17">
            <v>7845308.7725896835</v>
          </cell>
          <cell r="AN17">
            <v>4816688.7899999795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  <cell r="AW17" t="e">
            <v>#REF!</v>
          </cell>
          <cell r="AX17" t="e">
            <v>#REF!</v>
          </cell>
          <cell r="AY17" t="e">
            <v>#REF!</v>
          </cell>
          <cell r="AZ17" t="e">
            <v>#REF!</v>
          </cell>
          <cell r="BB17" t="e">
            <v>#REF!</v>
          </cell>
          <cell r="BC17" t="e">
            <v>#REF!</v>
          </cell>
          <cell r="BD17" t="e">
            <v>#REF!</v>
          </cell>
          <cell r="BE17" t="e">
            <v>#REF!</v>
          </cell>
          <cell r="BF17" t="e">
            <v>#REF!</v>
          </cell>
          <cell r="BG17" t="e">
            <v>#REF!</v>
          </cell>
          <cell r="BH17" t="e">
            <v>#REF!</v>
          </cell>
          <cell r="BI17" t="e">
            <v>#REF!</v>
          </cell>
          <cell r="BJ17" t="e">
            <v>#REF!</v>
          </cell>
          <cell r="BK17" t="e">
            <v>#REF!</v>
          </cell>
          <cell r="BL17" t="e">
            <v>#REF!</v>
          </cell>
        </row>
        <row r="18">
          <cell r="C18" t="str">
            <v>A0049</v>
          </cell>
          <cell r="D18" t="str">
            <v>PT Aisin Indonesia</v>
          </cell>
          <cell r="E18" t="str">
            <v>Astra Otoparts Group</v>
          </cell>
          <cell r="F18">
            <v>715349.95206811279</v>
          </cell>
          <cell r="G18">
            <v>0</v>
          </cell>
          <cell r="H18">
            <v>-1068167.7760896743</v>
          </cell>
          <cell r="I18">
            <v>-3222950.9375181664</v>
          </cell>
          <cell r="J18">
            <v>0</v>
          </cell>
          <cell r="K18">
            <v>0</v>
          </cell>
          <cell r="L18">
            <v>-485452.56171501667</v>
          </cell>
          <cell r="M18">
            <v>-221093.00642417916</v>
          </cell>
          <cell r="N18">
            <v>-3085552.7266371027</v>
          </cell>
          <cell r="O18">
            <v>-2256858.036876794</v>
          </cell>
          <cell r="P18">
            <v>-1425695.6578056859</v>
          </cell>
          <cell r="R18" t="str">
            <v>13PEB 1</v>
          </cell>
          <cell r="S18" t="str">
            <v>13PEB 2</v>
          </cell>
          <cell r="T18" t="str">
            <v>13PEB 3</v>
          </cell>
          <cell r="U18" t="str">
            <v>13PEB 4</v>
          </cell>
          <cell r="V18" t="str">
            <v>13PEB 5</v>
          </cell>
          <cell r="W18" t="str">
            <v>13PEB 6</v>
          </cell>
          <cell r="X18" t="str">
            <v>13PEB 7</v>
          </cell>
          <cell r="Y18" t="str">
            <v>13MPP</v>
          </cell>
          <cell r="Z18" t="str">
            <v>13ID</v>
          </cell>
          <cell r="AA18" t="str">
            <v>13LL</v>
          </cell>
          <cell r="AB18" t="str">
            <v>13PMK</v>
          </cell>
          <cell r="AD18">
            <v>55147.207470768626</v>
          </cell>
          <cell r="AE18">
            <v>0</v>
          </cell>
          <cell r="AF18">
            <v>0</v>
          </cell>
          <cell r="AG18">
            <v>1565527</v>
          </cell>
          <cell r="AH18">
            <v>0</v>
          </cell>
          <cell r="AI18">
            <v>0</v>
          </cell>
          <cell r="AJ18">
            <v>95557.679864116071</v>
          </cell>
          <cell r="AK18">
            <v>112947.59850000002</v>
          </cell>
          <cell r="AL18">
            <v>114521.82140054071</v>
          </cell>
          <cell r="AM18">
            <v>1009199.9869709262</v>
          </cell>
          <cell r="AN18">
            <v>264046.69999999949</v>
          </cell>
          <cell r="AP18">
            <v>0</v>
          </cell>
          <cell r="AQ18">
            <v>0</v>
          </cell>
          <cell r="AR18">
            <v>0</v>
          </cell>
          <cell r="AS18">
            <v>-1565527</v>
          </cell>
          <cell r="AT18">
            <v>0</v>
          </cell>
          <cell r="AU18">
            <v>0</v>
          </cell>
          <cell r="AV18">
            <v>-95557.679864116071</v>
          </cell>
          <cell r="AW18">
            <v>-112947.59850000002</v>
          </cell>
          <cell r="AX18">
            <v>-114521.82140054071</v>
          </cell>
          <cell r="AY18">
            <v>-1009199.9869709262</v>
          </cell>
          <cell r="AZ18">
            <v>-264046.69999999949</v>
          </cell>
          <cell r="BB18">
            <v>715349.95206811279</v>
          </cell>
          <cell r="BC18">
            <v>0</v>
          </cell>
          <cell r="BD18">
            <v>-1068167.7760896743</v>
          </cell>
          <cell r="BE18">
            <v>-1657423.9375181664</v>
          </cell>
          <cell r="BF18">
            <v>0</v>
          </cell>
          <cell r="BG18">
            <v>0</v>
          </cell>
          <cell r="BH18">
            <v>-389894.88185090059</v>
          </cell>
          <cell r="BI18">
            <v>-108145.40792417913</v>
          </cell>
          <cell r="BJ18">
            <v>-2971030.9052365618</v>
          </cell>
          <cell r="BK18">
            <v>-1247658.0499058678</v>
          </cell>
          <cell r="BL18">
            <v>-1161648.9578056864</v>
          </cell>
        </row>
        <row r="19">
          <cell r="C19" t="str">
            <v>A0161</v>
          </cell>
          <cell r="D19" t="str">
            <v>PT Ardendi Jaya Sentosa</v>
          </cell>
          <cell r="E19" t="str">
            <v>Astra Otoparts Group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-1335711.8449680018</v>
          </cell>
          <cell r="K19">
            <v>0</v>
          </cell>
          <cell r="L19">
            <v>-12368.100505331618</v>
          </cell>
          <cell r="M19">
            <v>-26059.28117912354</v>
          </cell>
          <cell r="N19">
            <v>-452642.33728342399</v>
          </cell>
          <cell r="O19">
            <v>-691997.41391641612</v>
          </cell>
          <cell r="P19">
            <v>0</v>
          </cell>
          <cell r="R19" t="str">
            <v>14PEB 1</v>
          </cell>
          <cell r="S19" t="str">
            <v>14PEB 2</v>
          </cell>
          <cell r="T19" t="str">
            <v>14PEB 3</v>
          </cell>
          <cell r="U19" t="str">
            <v>14PEB 4</v>
          </cell>
          <cell r="V19" t="str">
            <v>14PEB 5</v>
          </cell>
          <cell r="W19" t="str">
            <v>14PEB 6</v>
          </cell>
          <cell r="X19" t="str">
            <v>14PEB 7</v>
          </cell>
          <cell r="Y19" t="str">
            <v>14MPP</v>
          </cell>
          <cell r="Z19" t="str">
            <v>14ID</v>
          </cell>
          <cell r="AA19" t="str">
            <v>14LL</v>
          </cell>
          <cell r="AB19" t="str">
            <v>14PMK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10707.899681922565</v>
          </cell>
          <cell r="AK19">
            <v>0</v>
          </cell>
          <cell r="AL19">
            <v>10086.22486548266</v>
          </cell>
          <cell r="AM19">
            <v>252252.93411140167</v>
          </cell>
          <cell r="AN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-10707.899681922565</v>
          </cell>
          <cell r="AW19">
            <v>0</v>
          </cell>
          <cell r="AX19">
            <v>-10086.22486548266</v>
          </cell>
          <cell r="AY19">
            <v>-252252.93411140167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-1335711.8449680018</v>
          </cell>
          <cell r="BG19">
            <v>0</v>
          </cell>
          <cell r="BH19">
            <v>-1660.2008234090536</v>
          </cell>
          <cell r="BI19">
            <v>-26059.28117912354</v>
          </cell>
          <cell r="BJ19">
            <v>-442556.11241794133</v>
          </cell>
          <cell r="BK19">
            <v>-439744.47980501445</v>
          </cell>
          <cell r="BL19">
            <v>0</v>
          </cell>
        </row>
        <row r="20">
          <cell r="C20" t="str">
            <v>A0177</v>
          </cell>
          <cell r="D20" t="str">
            <v>PT Astra Auto Finance</v>
          </cell>
          <cell r="E20" t="str">
            <v>ACC Group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R20" t="str">
            <v>16PEB 1</v>
          </cell>
          <cell r="S20" t="str">
            <v>16PEB 2</v>
          </cell>
          <cell r="T20" t="str">
            <v>16PEB 3</v>
          </cell>
          <cell r="U20" t="str">
            <v>16PEB 4</v>
          </cell>
          <cell r="V20" t="str">
            <v>16PEB 5</v>
          </cell>
          <cell r="W20" t="str">
            <v>16PEB 6</v>
          </cell>
          <cell r="X20" t="str">
            <v>16PEB 7</v>
          </cell>
          <cell r="Y20" t="str">
            <v>16MPP</v>
          </cell>
          <cell r="Z20" t="str">
            <v>16ID</v>
          </cell>
          <cell r="AA20" t="str">
            <v>16LL</v>
          </cell>
          <cell r="AB20" t="str">
            <v>16PMK</v>
          </cell>
          <cell r="AD20">
            <v>7347.7152907980617</v>
          </cell>
          <cell r="AE20">
            <v>0</v>
          </cell>
          <cell r="AF20">
            <v>0</v>
          </cell>
          <cell r="AG20">
            <v>6344.2646461624036</v>
          </cell>
          <cell r="AH20">
            <v>0</v>
          </cell>
          <cell r="AI20">
            <v>0</v>
          </cell>
          <cell r="AJ20">
            <v>6215.3966340367642</v>
          </cell>
          <cell r="AK20">
            <v>0</v>
          </cell>
          <cell r="AL20">
            <v>9385.817456755407</v>
          </cell>
          <cell r="AM20">
            <v>77105.677955676467</v>
          </cell>
          <cell r="AN20">
            <v>78000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  <cell r="AW20" t="e">
            <v>#REF!</v>
          </cell>
          <cell r="AX20" t="e">
            <v>#REF!</v>
          </cell>
          <cell r="AY20" t="e">
            <v>#REF!</v>
          </cell>
          <cell r="AZ20" t="e">
            <v>#REF!</v>
          </cell>
          <cell r="BB20" t="e">
            <v>#REF!</v>
          </cell>
          <cell r="BC20" t="e">
            <v>#REF!</v>
          </cell>
          <cell r="BD20" t="e">
            <v>#REF!</v>
          </cell>
          <cell r="BE20" t="e">
            <v>#REF!</v>
          </cell>
          <cell r="BF20" t="e">
            <v>#REF!</v>
          </cell>
          <cell r="BG20" t="e">
            <v>#REF!</v>
          </cell>
          <cell r="BH20" t="e">
            <v>#REF!</v>
          </cell>
          <cell r="BI20" t="e">
            <v>#REF!</v>
          </cell>
          <cell r="BJ20" t="e">
            <v>#REF!</v>
          </cell>
          <cell r="BK20" t="e">
            <v>#REF!</v>
          </cell>
          <cell r="BL20" t="e">
            <v>#REF!</v>
          </cell>
        </row>
        <row r="21">
          <cell r="C21" t="str">
            <v>A0045</v>
          </cell>
          <cell r="D21" t="str">
            <v>PT Astra Daihatsu Motor</v>
          </cell>
          <cell r="E21" t="str">
            <v>Astra Motor Tiga Group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R21" t="str">
            <v>17PEB 1</v>
          </cell>
          <cell r="S21" t="str">
            <v>17PEB 2</v>
          </cell>
          <cell r="T21" t="str">
            <v>17PEB 3</v>
          </cell>
          <cell r="U21" t="str">
            <v>17PEB 4</v>
          </cell>
          <cell r="V21" t="str">
            <v>17PEB 5</v>
          </cell>
          <cell r="W21" t="str">
            <v>17PEB 6</v>
          </cell>
          <cell r="X21" t="str">
            <v>17PEB 7</v>
          </cell>
          <cell r="Y21" t="str">
            <v>17MPP</v>
          </cell>
          <cell r="Z21" t="str">
            <v>17ID</v>
          </cell>
          <cell r="AA21" t="str">
            <v>17LL</v>
          </cell>
          <cell r="AB21" t="str">
            <v>17PMK</v>
          </cell>
          <cell r="AD21">
            <v>9373750.4364670608</v>
          </cell>
          <cell r="AE21">
            <v>2066941.93</v>
          </cell>
          <cell r="AF21">
            <v>253160.81236666668</v>
          </cell>
          <cell r="AG21">
            <v>516159.28466948372</v>
          </cell>
          <cell r="AH21">
            <v>0</v>
          </cell>
          <cell r="AI21">
            <v>0</v>
          </cell>
          <cell r="AJ21">
            <v>375931.4114842501</v>
          </cell>
          <cell r="AK21">
            <v>323447.14500000002</v>
          </cell>
          <cell r="AL21">
            <v>588092.64810281631</v>
          </cell>
          <cell r="AM21">
            <v>5088183.944852151</v>
          </cell>
          <cell r="AN21">
            <v>2832379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  <cell r="AW21" t="e">
            <v>#REF!</v>
          </cell>
          <cell r="AX21" t="e">
            <v>#REF!</v>
          </cell>
          <cell r="AY21" t="e">
            <v>#REF!</v>
          </cell>
          <cell r="AZ21" t="e">
            <v>#REF!</v>
          </cell>
          <cell r="BB21" t="e">
            <v>#REF!</v>
          </cell>
          <cell r="BC21" t="e">
            <v>#REF!</v>
          </cell>
          <cell r="BD21" t="e">
            <v>#REF!</v>
          </cell>
          <cell r="BE21" t="e">
            <v>#REF!</v>
          </cell>
          <cell r="BF21" t="e">
            <v>#REF!</v>
          </cell>
          <cell r="BG21" t="e">
            <v>#REF!</v>
          </cell>
          <cell r="BH21" t="e">
            <v>#REF!</v>
          </cell>
          <cell r="BI21" t="e">
            <v>#REF!</v>
          </cell>
          <cell r="BJ21" t="e">
            <v>#REF!</v>
          </cell>
          <cell r="BK21" t="e">
            <v>#REF!</v>
          </cell>
          <cell r="BL21" t="e">
            <v>#REF!</v>
          </cell>
        </row>
        <row r="22">
          <cell r="C22" t="str">
            <v>A0371</v>
          </cell>
          <cell r="D22" t="str">
            <v>PT Astra Graphia Information Technology Tbk</v>
          </cell>
          <cell r="E22" t="str">
            <v>Information Technology Group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R22" t="str">
            <v>18PEB 1</v>
          </cell>
          <cell r="S22" t="str">
            <v>18PEB 2</v>
          </cell>
          <cell r="T22" t="str">
            <v>18PEB 3</v>
          </cell>
          <cell r="U22" t="str">
            <v>18PEB 4</v>
          </cell>
          <cell r="V22" t="str">
            <v>18PEB 5</v>
          </cell>
          <cell r="W22" t="str">
            <v>18PEB 6</v>
          </cell>
          <cell r="X22" t="str">
            <v>18PEB 7</v>
          </cell>
          <cell r="Y22" t="str">
            <v>18MPP</v>
          </cell>
          <cell r="Z22" t="str">
            <v>18ID</v>
          </cell>
          <cell r="AA22" t="str">
            <v>18LL</v>
          </cell>
          <cell r="AB22" t="str">
            <v>18PMK</v>
          </cell>
          <cell r="AD22">
            <v>72750.233015626553</v>
          </cell>
          <cell r="AE22">
            <v>0</v>
          </cell>
          <cell r="AF22">
            <v>0</v>
          </cell>
          <cell r="AG22">
            <v>135476.08288027233</v>
          </cell>
          <cell r="AH22">
            <v>0</v>
          </cell>
          <cell r="AI22">
            <v>0</v>
          </cell>
          <cell r="AJ22">
            <v>70527.137476236909</v>
          </cell>
          <cell r="AK22">
            <v>0</v>
          </cell>
          <cell r="AL22">
            <v>127440.97818344453</v>
          </cell>
          <cell r="AM22">
            <v>862066.92482962308</v>
          </cell>
          <cell r="AN22">
            <v>0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  <cell r="AW22" t="e">
            <v>#REF!</v>
          </cell>
          <cell r="AX22" t="e">
            <v>#REF!</v>
          </cell>
          <cell r="AY22" t="e">
            <v>#REF!</v>
          </cell>
          <cell r="AZ22" t="e">
            <v>#REF!</v>
          </cell>
          <cell r="BB22" t="e">
            <v>#REF!</v>
          </cell>
          <cell r="BC22" t="e">
            <v>#REF!</v>
          </cell>
          <cell r="BD22" t="e">
            <v>#REF!</v>
          </cell>
          <cell r="BE22" t="e">
            <v>#REF!</v>
          </cell>
          <cell r="BF22" t="e">
            <v>#REF!</v>
          </cell>
          <cell r="BG22" t="e">
            <v>#REF!</v>
          </cell>
          <cell r="BH22" t="e">
            <v>#REF!</v>
          </cell>
          <cell r="BI22" t="e">
            <v>#REF!</v>
          </cell>
          <cell r="BJ22" t="e">
            <v>#REF!</v>
          </cell>
          <cell r="BK22" t="e">
            <v>#REF!</v>
          </cell>
          <cell r="BL22" t="e">
            <v>#REF!</v>
          </cell>
        </row>
        <row r="23">
          <cell r="C23" t="str">
            <v>A0014</v>
          </cell>
          <cell r="D23" t="str">
            <v>PT Astra Graphia Tbk</v>
          </cell>
          <cell r="E23" t="str">
            <v>Information Technology Group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R23" t="str">
            <v>19PEB 1</v>
          </cell>
          <cell r="S23" t="str">
            <v>19PEB 2</v>
          </cell>
          <cell r="T23" t="str">
            <v>19PEB 3</v>
          </cell>
          <cell r="U23" t="str">
            <v>19PEB 4</v>
          </cell>
          <cell r="V23" t="str">
            <v>19PEB 5</v>
          </cell>
          <cell r="W23" t="str">
            <v>19PEB 6</v>
          </cell>
          <cell r="X23" t="str">
            <v>19PEB 7</v>
          </cell>
          <cell r="Y23" t="str">
            <v>19MPP</v>
          </cell>
          <cell r="Z23" t="str">
            <v>19ID</v>
          </cell>
          <cell r="AA23" t="str">
            <v>19LL</v>
          </cell>
          <cell r="AB23" t="str">
            <v>19PMK</v>
          </cell>
          <cell r="AD23">
            <v>9379705.0894674063</v>
          </cell>
          <cell r="AE23">
            <v>0</v>
          </cell>
          <cell r="AF23">
            <v>16588.668186666666</v>
          </cell>
          <cell r="AG23">
            <v>273256.90874994936</v>
          </cell>
          <cell r="AH23">
            <v>0</v>
          </cell>
          <cell r="AI23">
            <v>0</v>
          </cell>
          <cell r="AJ23">
            <v>190126.7308702122</v>
          </cell>
          <cell r="AK23">
            <v>0</v>
          </cell>
          <cell r="AL23">
            <v>434891.01569863706</v>
          </cell>
          <cell r="AM23">
            <v>1502638.5798256667</v>
          </cell>
          <cell r="AN23">
            <v>0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  <cell r="AW23" t="e">
            <v>#REF!</v>
          </cell>
          <cell r="AX23" t="e">
            <v>#REF!</v>
          </cell>
          <cell r="AY23" t="e">
            <v>#REF!</v>
          </cell>
          <cell r="AZ23" t="e">
            <v>#REF!</v>
          </cell>
          <cell r="BB23" t="e">
            <v>#REF!</v>
          </cell>
          <cell r="BC23" t="e">
            <v>#REF!</v>
          </cell>
          <cell r="BD23" t="e">
            <v>#REF!</v>
          </cell>
          <cell r="BE23" t="e">
            <v>#REF!</v>
          </cell>
          <cell r="BF23" t="e">
            <v>#REF!</v>
          </cell>
          <cell r="BG23" t="e">
            <v>#REF!</v>
          </cell>
          <cell r="BH23" t="e">
            <v>#REF!</v>
          </cell>
          <cell r="BI23" t="e">
            <v>#REF!</v>
          </cell>
          <cell r="BJ23" t="e">
            <v>#REF!</v>
          </cell>
          <cell r="BK23" t="e">
            <v>#REF!</v>
          </cell>
          <cell r="BL23" t="e">
            <v>#REF!</v>
          </cell>
        </row>
        <row r="24">
          <cell r="C24" t="str">
            <v>A0060</v>
          </cell>
          <cell r="D24" t="str">
            <v>PT Astra Honda Motor</v>
          </cell>
          <cell r="E24" t="str">
            <v>Astra Honda Motor Groups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R24" t="str">
            <v>20PEB 1</v>
          </cell>
          <cell r="S24" t="str">
            <v>20PEB 2</v>
          </cell>
          <cell r="T24" t="str">
            <v>20PEB 3</v>
          </cell>
          <cell r="U24" t="str">
            <v>20PEB 4</v>
          </cell>
          <cell r="V24" t="str">
            <v>20PEB 5</v>
          </cell>
          <cell r="W24" t="str">
            <v>20PEB 6</v>
          </cell>
          <cell r="X24" t="str">
            <v>20PEB 7</v>
          </cell>
          <cell r="Y24" t="str">
            <v>20MPP</v>
          </cell>
          <cell r="Z24" t="str">
            <v>20ID</v>
          </cell>
          <cell r="AA24" t="str">
            <v>20LL</v>
          </cell>
          <cell r="AB24" t="str">
            <v>20PMK</v>
          </cell>
          <cell r="AD24">
            <v>40234250.982390568</v>
          </cell>
          <cell r="AE24">
            <v>9255332.026999997</v>
          </cell>
          <cell r="AF24">
            <v>287210.07302133332</v>
          </cell>
          <cell r="AG24">
            <v>2363034.8149215989</v>
          </cell>
          <cell r="AH24">
            <v>0</v>
          </cell>
          <cell r="AI24">
            <v>2190198.7999999998</v>
          </cell>
          <cell r="AJ24">
            <v>1544775.6104019925</v>
          </cell>
          <cell r="AK24">
            <v>1424942.7209999999</v>
          </cell>
          <cell r="AL24">
            <v>2476714.5993011785</v>
          </cell>
          <cell r="AM24">
            <v>17368155.508603323</v>
          </cell>
          <cell r="AN24">
            <v>6408855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  <cell r="AW24" t="e">
            <v>#REF!</v>
          </cell>
          <cell r="AX24" t="e">
            <v>#REF!</v>
          </cell>
          <cell r="AY24" t="e">
            <v>#REF!</v>
          </cell>
          <cell r="AZ24" t="e">
            <v>#REF!</v>
          </cell>
          <cell r="BB24" t="e">
            <v>#REF!</v>
          </cell>
          <cell r="BC24" t="e">
            <v>#REF!</v>
          </cell>
          <cell r="BD24" t="e">
            <v>#REF!</v>
          </cell>
          <cell r="BE24" t="e">
            <v>#REF!</v>
          </cell>
          <cell r="BF24" t="e">
            <v>#REF!</v>
          </cell>
          <cell r="BG24" t="e">
            <v>#REF!</v>
          </cell>
          <cell r="BH24" t="e">
            <v>#REF!</v>
          </cell>
          <cell r="BI24" t="e">
            <v>#REF!</v>
          </cell>
          <cell r="BJ24" t="e">
            <v>#REF!</v>
          </cell>
          <cell r="BK24" t="e">
            <v>#REF!</v>
          </cell>
          <cell r="BL24" t="e">
            <v>#REF!</v>
          </cell>
        </row>
        <row r="25">
          <cell r="C25" t="str">
            <v>A0316</v>
          </cell>
          <cell r="D25" t="str">
            <v>PT Astra Komponen Indonesia</v>
          </cell>
          <cell r="E25" t="str">
            <v>Astra Otoparts Group</v>
          </cell>
          <cell r="F25">
            <v>0</v>
          </cell>
          <cell r="G25">
            <v>-362773.62950288097</v>
          </cell>
          <cell r="H25">
            <v>-1707786.7390275856</v>
          </cell>
          <cell r="I25">
            <v>-1178718.2575503502</v>
          </cell>
          <cell r="J25">
            <v>-872880.7993335902</v>
          </cell>
          <cell r="K25">
            <v>0</v>
          </cell>
          <cell r="L25">
            <v>-266526.92389978946</v>
          </cell>
          <cell r="M25">
            <v>-878889.77066264453</v>
          </cell>
          <cell r="N25">
            <v>-1577227.0853780329</v>
          </cell>
          <cell r="O25">
            <v>-501237.71305359819</v>
          </cell>
          <cell r="P25">
            <v>-475380.72956247255</v>
          </cell>
          <cell r="R25" t="str">
            <v>21PEB 1</v>
          </cell>
          <cell r="S25" t="str">
            <v>21PEB 2</v>
          </cell>
          <cell r="T25" t="str">
            <v>21PEB 3</v>
          </cell>
          <cell r="U25" t="str">
            <v>21PEB 4</v>
          </cell>
          <cell r="V25" t="str">
            <v>21PEB 5</v>
          </cell>
          <cell r="W25" t="str">
            <v>21PEB 6</v>
          </cell>
          <cell r="X25" t="str">
            <v>21PEB 7</v>
          </cell>
          <cell r="Y25" t="str">
            <v>21MPP</v>
          </cell>
          <cell r="Z25" t="str">
            <v>21ID</v>
          </cell>
          <cell r="AA25" t="str">
            <v>21LL</v>
          </cell>
          <cell r="AB25" t="str">
            <v>21PMK</v>
          </cell>
          <cell r="AD25">
            <v>55353.318823683301</v>
          </cell>
          <cell r="AE25">
            <v>16500</v>
          </cell>
          <cell r="AF25">
            <v>0</v>
          </cell>
          <cell r="AG25">
            <v>21285.13433893499</v>
          </cell>
          <cell r="AH25">
            <v>854009.55</v>
          </cell>
          <cell r="AI25">
            <v>0</v>
          </cell>
          <cell r="AJ25">
            <v>22193.154268725404</v>
          </cell>
          <cell r="AK25">
            <v>111392.55</v>
          </cell>
          <cell r="AL25">
            <v>50710.431866507701</v>
          </cell>
          <cell r="AM25">
            <v>156193.83661107384</v>
          </cell>
          <cell r="AN25">
            <v>37665</v>
          </cell>
          <cell r="AP25">
            <v>0</v>
          </cell>
          <cell r="AQ25">
            <v>-16500</v>
          </cell>
          <cell r="AR25">
            <v>0</v>
          </cell>
          <cell r="AS25">
            <v>-21285.13433893499</v>
          </cell>
          <cell r="AT25">
            <v>-854009.55</v>
          </cell>
          <cell r="AU25">
            <v>0</v>
          </cell>
          <cell r="AV25">
            <v>-22193.154268725404</v>
          </cell>
          <cell r="AW25">
            <v>-111392.55</v>
          </cell>
          <cell r="AX25">
            <v>-50710.431866507701</v>
          </cell>
          <cell r="AY25">
            <v>-156193.83661107384</v>
          </cell>
          <cell r="AZ25">
            <v>-37665</v>
          </cell>
          <cell r="BB25">
            <v>0</v>
          </cell>
          <cell r="BC25">
            <v>-346273.62950288097</v>
          </cell>
          <cell r="BD25">
            <v>-1707786.7390275856</v>
          </cell>
          <cell r="BE25">
            <v>-1157433.1232114153</v>
          </cell>
          <cell r="BF25">
            <v>-18871.249333590153</v>
          </cell>
          <cell r="BG25">
            <v>0</v>
          </cell>
          <cell r="BH25">
            <v>-244333.76963106406</v>
          </cell>
          <cell r="BI25">
            <v>-767497.22066264448</v>
          </cell>
          <cell r="BJ25">
            <v>-1526516.6535115251</v>
          </cell>
          <cell r="BK25">
            <v>-345043.87644252437</v>
          </cell>
          <cell r="BL25">
            <v>-437715.72956247255</v>
          </cell>
        </row>
        <row r="26">
          <cell r="C26" t="str">
            <v>A0178</v>
          </cell>
          <cell r="D26" t="str">
            <v>PT Astra Mitra Ventura</v>
          </cell>
          <cell r="E26" t="str">
            <v>Other - Non Group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R26" t="str">
            <v>22PEB 1</v>
          </cell>
          <cell r="S26" t="str">
            <v>22PEB 2</v>
          </cell>
          <cell r="T26" t="str">
            <v>22PEB 3</v>
          </cell>
          <cell r="U26" t="str">
            <v>22PEB 4</v>
          </cell>
          <cell r="V26" t="str">
            <v>22PEB 5</v>
          </cell>
          <cell r="W26" t="str">
            <v>22PEB 6</v>
          </cell>
          <cell r="X26" t="str">
            <v>22PEB 7</v>
          </cell>
          <cell r="Y26" t="str">
            <v>22MPP</v>
          </cell>
          <cell r="Z26" t="str">
            <v>22ID</v>
          </cell>
          <cell r="AA26" t="str">
            <v>22LL</v>
          </cell>
          <cell r="AB26" t="str">
            <v>22PMK</v>
          </cell>
          <cell r="AD26">
            <v>16508.541327663035</v>
          </cell>
          <cell r="AE26">
            <v>0</v>
          </cell>
          <cell r="AF26">
            <v>0</v>
          </cell>
          <cell r="AG26">
            <v>4070.4350563501212</v>
          </cell>
          <cell r="AH26">
            <v>0</v>
          </cell>
          <cell r="AI26">
            <v>0</v>
          </cell>
          <cell r="AJ26">
            <v>4401.7054437131928</v>
          </cell>
          <cell r="AK26">
            <v>0</v>
          </cell>
          <cell r="AL26">
            <v>13426.434492606126</v>
          </cell>
          <cell r="AM26">
            <v>63567.547946341816</v>
          </cell>
          <cell r="AN26">
            <v>14945.25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  <cell r="AW26" t="e">
            <v>#REF!</v>
          </cell>
          <cell r="AX26" t="e">
            <v>#REF!</v>
          </cell>
          <cell r="AY26" t="e">
            <v>#REF!</v>
          </cell>
          <cell r="AZ26" t="e">
            <v>#REF!</v>
          </cell>
          <cell r="BB26" t="e">
            <v>#REF!</v>
          </cell>
          <cell r="BC26" t="e">
            <v>#REF!</v>
          </cell>
          <cell r="BD26" t="e">
            <v>#REF!</v>
          </cell>
          <cell r="BE26" t="e">
            <v>#REF!</v>
          </cell>
          <cell r="BF26" t="e">
            <v>#REF!</v>
          </cell>
          <cell r="BG26" t="e">
            <v>#REF!</v>
          </cell>
          <cell r="BH26" t="e">
            <v>#REF!</v>
          </cell>
          <cell r="BI26" t="e">
            <v>#REF!</v>
          </cell>
          <cell r="BJ26" t="e">
            <v>#REF!</v>
          </cell>
          <cell r="BK26" t="e">
            <v>#REF!</v>
          </cell>
          <cell r="BL26" t="e">
            <v>#REF!</v>
          </cell>
        </row>
        <row r="27">
          <cell r="C27" t="str">
            <v>A0020</v>
          </cell>
          <cell r="D27" t="str">
            <v>PT Astra Multi Finance</v>
          </cell>
          <cell r="E27" t="str">
            <v>Other - Non Group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R27" t="str">
            <v>23PEB 1</v>
          </cell>
          <cell r="S27" t="str">
            <v>23PEB 2</v>
          </cell>
          <cell r="T27" t="str">
            <v>23PEB 3</v>
          </cell>
          <cell r="U27" t="str">
            <v>23PEB 4</v>
          </cell>
          <cell r="V27" t="str">
            <v>23PEB 5</v>
          </cell>
          <cell r="W27" t="str">
            <v>23PEB 6</v>
          </cell>
          <cell r="X27" t="str">
            <v>23PEB 7</v>
          </cell>
          <cell r="Y27" t="str">
            <v>23MPP</v>
          </cell>
          <cell r="Z27" t="str">
            <v>23ID</v>
          </cell>
          <cell r="AA27" t="str">
            <v>23LL</v>
          </cell>
          <cell r="AB27" t="str">
            <v>23PMK</v>
          </cell>
          <cell r="AD27">
            <v>0</v>
          </cell>
          <cell r="AE27">
            <v>0</v>
          </cell>
          <cell r="AF27">
            <v>0</v>
          </cell>
          <cell r="AG27">
            <v>16742.761750558158</v>
          </cell>
          <cell r="AH27">
            <v>0</v>
          </cell>
          <cell r="AI27">
            <v>0</v>
          </cell>
          <cell r="AJ27">
            <v>2568.0863308954044</v>
          </cell>
          <cell r="AK27">
            <v>0</v>
          </cell>
          <cell r="AL27">
            <v>9151.1314158152727</v>
          </cell>
          <cell r="AM27">
            <v>89399.783994690559</v>
          </cell>
          <cell r="AN27">
            <v>16503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  <cell r="AW27" t="e">
            <v>#REF!</v>
          </cell>
          <cell r="AX27" t="e">
            <v>#REF!</v>
          </cell>
          <cell r="AY27" t="e">
            <v>#REF!</v>
          </cell>
          <cell r="AZ27" t="e">
            <v>#REF!</v>
          </cell>
          <cell r="BB27" t="e">
            <v>#REF!</v>
          </cell>
          <cell r="BC27" t="e">
            <v>#REF!</v>
          </cell>
          <cell r="BD27" t="e">
            <v>#REF!</v>
          </cell>
          <cell r="BE27" t="e">
            <v>#REF!</v>
          </cell>
          <cell r="BF27" t="e">
            <v>#REF!</v>
          </cell>
          <cell r="BG27" t="e">
            <v>#REF!</v>
          </cell>
          <cell r="BH27" t="e">
            <v>#REF!</v>
          </cell>
          <cell r="BI27" t="e">
            <v>#REF!</v>
          </cell>
          <cell r="BJ27" t="e">
            <v>#REF!</v>
          </cell>
          <cell r="BK27" t="e">
            <v>#REF!</v>
          </cell>
          <cell r="BL27" t="e">
            <v>#REF!</v>
          </cell>
        </row>
        <row r="28">
          <cell r="C28" t="str">
            <v>A0306</v>
          </cell>
          <cell r="D28" t="str">
            <v>PT Astra Nippon Gasket Indonesia</v>
          </cell>
          <cell r="E28" t="str">
            <v>Astra Otoparts Group</v>
          </cell>
          <cell r="F28">
            <v>-17456.025279167457</v>
          </cell>
          <cell r="G28">
            <v>0</v>
          </cell>
          <cell r="H28">
            <v>-99922.846370414729</v>
          </cell>
          <cell r="I28">
            <v>-1051236.2422139572</v>
          </cell>
          <cell r="J28">
            <v>0</v>
          </cell>
          <cell r="K28">
            <v>0</v>
          </cell>
          <cell r="L28">
            <v>-47759.064482947164</v>
          </cell>
          <cell r="M28">
            <v>-214070.25627306447</v>
          </cell>
          <cell r="N28">
            <v>-687321.66694894177</v>
          </cell>
          <cell r="O28">
            <v>-427469.37662169058</v>
          </cell>
          <cell r="P28">
            <v>-345536.353873585</v>
          </cell>
          <cell r="R28" t="str">
            <v>24PEB 1</v>
          </cell>
          <cell r="S28" t="str">
            <v>24PEB 2</v>
          </cell>
          <cell r="T28" t="str">
            <v>24PEB 3</v>
          </cell>
          <cell r="U28" t="str">
            <v>24PEB 4</v>
          </cell>
          <cell r="V28" t="str">
            <v>24PEB 5</v>
          </cell>
          <cell r="W28" t="str">
            <v>24PEB 6</v>
          </cell>
          <cell r="X28" t="str">
            <v>24PEB 7</v>
          </cell>
          <cell r="Y28" t="str">
            <v>24MPP</v>
          </cell>
          <cell r="Z28" t="str">
            <v>24ID</v>
          </cell>
          <cell r="AA28" t="str">
            <v>24LL</v>
          </cell>
          <cell r="AB28" t="str">
            <v>24PMK</v>
          </cell>
          <cell r="AD28">
            <v>10825.197409768189</v>
          </cell>
          <cell r="AE28">
            <v>0</v>
          </cell>
          <cell r="AF28">
            <v>0</v>
          </cell>
          <cell r="AG28">
            <v>952137.21981534187</v>
          </cell>
          <cell r="AH28">
            <v>0</v>
          </cell>
          <cell r="AI28">
            <v>0</v>
          </cell>
          <cell r="AJ28">
            <v>18940.91772633246</v>
          </cell>
          <cell r="AK28">
            <v>43164</v>
          </cell>
          <cell r="AL28">
            <v>20327.624252826292</v>
          </cell>
          <cell r="AM28">
            <v>146199.78537267394</v>
          </cell>
          <cell r="AN28">
            <v>57108</v>
          </cell>
          <cell r="AP28">
            <v>-17456.025279167457</v>
          </cell>
          <cell r="AQ28">
            <v>0</v>
          </cell>
          <cell r="AR28">
            <v>0</v>
          </cell>
          <cell r="AS28">
            <v>-952137.21981534187</v>
          </cell>
          <cell r="AT28">
            <v>0</v>
          </cell>
          <cell r="AU28">
            <v>0</v>
          </cell>
          <cell r="AV28">
            <v>-18940.91772633246</v>
          </cell>
          <cell r="AW28">
            <v>-43164</v>
          </cell>
          <cell r="AX28">
            <v>-20327.624252826292</v>
          </cell>
          <cell r="AY28">
            <v>-146199.78537267394</v>
          </cell>
          <cell r="AZ28">
            <v>-57108</v>
          </cell>
          <cell r="BB28">
            <v>0</v>
          </cell>
          <cell r="BC28">
            <v>0</v>
          </cell>
          <cell r="BD28">
            <v>-99922.846370414729</v>
          </cell>
          <cell r="BE28">
            <v>-99099.022398615372</v>
          </cell>
          <cell r="BF28">
            <v>0</v>
          </cell>
          <cell r="BG28">
            <v>0</v>
          </cell>
          <cell r="BH28">
            <v>-28818.146756614704</v>
          </cell>
          <cell r="BI28">
            <v>-170906.25627306447</v>
          </cell>
          <cell r="BJ28">
            <v>-666994.04269611544</v>
          </cell>
          <cell r="BK28">
            <v>-281269.59124901664</v>
          </cell>
          <cell r="BL28">
            <v>-288428.353873585</v>
          </cell>
        </row>
        <row r="29">
          <cell r="C29" t="str">
            <v>A0172</v>
          </cell>
          <cell r="D29" t="str">
            <v>PT Astra Nissan Diesel Indonesia</v>
          </cell>
          <cell r="E29" t="str">
            <v>Astra Motor Tiga Group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R29" t="str">
            <v>25PEB 1</v>
          </cell>
          <cell r="S29" t="str">
            <v>25PEB 2</v>
          </cell>
          <cell r="T29" t="str">
            <v>25PEB 3</v>
          </cell>
          <cell r="U29" t="str">
            <v>25PEB 4</v>
          </cell>
          <cell r="V29" t="str">
            <v>25PEB 5</v>
          </cell>
          <cell r="W29" t="str">
            <v>25PEB 6</v>
          </cell>
          <cell r="X29" t="str">
            <v>25PEB 7</v>
          </cell>
          <cell r="Y29" t="str">
            <v>25MPP</v>
          </cell>
          <cell r="Z29" t="str">
            <v>25ID</v>
          </cell>
          <cell r="AA29" t="str">
            <v>25LL</v>
          </cell>
          <cell r="AB29" t="str">
            <v>25PMK</v>
          </cell>
          <cell r="AD29">
            <v>68194.572437079958</v>
          </cell>
          <cell r="AE29">
            <v>0</v>
          </cell>
          <cell r="AF29">
            <v>0</v>
          </cell>
          <cell r="AG29">
            <v>23322.416198494338</v>
          </cell>
          <cell r="AH29">
            <v>0</v>
          </cell>
          <cell r="AI29">
            <v>0</v>
          </cell>
          <cell r="AJ29">
            <v>17849.877939274647</v>
          </cell>
          <cell r="AK29">
            <v>0</v>
          </cell>
          <cell r="AL29">
            <v>58256.057983664708</v>
          </cell>
          <cell r="AM29">
            <v>211111.69493351385</v>
          </cell>
          <cell r="AN29">
            <v>55470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  <cell r="AW29" t="e">
            <v>#REF!</v>
          </cell>
          <cell r="AX29" t="e">
            <v>#REF!</v>
          </cell>
          <cell r="AY29" t="e">
            <v>#REF!</v>
          </cell>
          <cell r="AZ29" t="e">
            <v>#REF!</v>
          </cell>
          <cell r="BB29" t="e">
            <v>#REF!</v>
          </cell>
          <cell r="BC29" t="e">
            <v>#REF!</v>
          </cell>
          <cell r="BD29" t="e">
            <v>#REF!</v>
          </cell>
          <cell r="BE29" t="e">
            <v>#REF!</v>
          </cell>
          <cell r="BF29" t="e">
            <v>#REF!</v>
          </cell>
          <cell r="BG29" t="e">
            <v>#REF!</v>
          </cell>
          <cell r="BH29" t="e">
            <v>#REF!</v>
          </cell>
          <cell r="BI29" t="e">
            <v>#REF!</v>
          </cell>
          <cell r="BJ29" t="e">
            <v>#REF!</v>
          </cell>
          <cell r="BK29" t="e">
            <v>#REF!</v>
          </cell>
          <cell r="BL29" t="e">
            <v>#REF!</v>
          </cell>
        </row>
        <row r="30">
          <cell r="C30" t="str">
            <v>A0317</v>
          </cell>
          <cell r="D30" t="str">
            <v>PT Astra Otoparts Tbk - HO</v>
          </cell>
          <cell r="E30" t="str">
            <v>Astra Otoparts Group</v>
          </cell>
          <cell r="F30">
            <v>-8182999.4025517311</v>
          </cell>
          <cell r="G30">
            <v>-2176969.7168317894</v>
          </cell>
          <cell r="H30">
            <v>-1002473.3244534922</v>
          </cell>
          <cell r="I30">
            <v>-5894123.5166249368</v>
          </cell>
          <cell r="J30">
            <v>0</v>
          </cell>
          <cell r="K30">
            <v>0</v>
          </cell>
          <cell r="L30">
            <v>-1501413.5306430161</v>
          </cell>
          <cell r="M30">
            <v>-3103236.4297552747</v>
          </cell>
          <cell r="N30">
            <v>-4381747.4122305457</v>
          </cell>
          <cell r="O30">
            <v>-2377543.5330325272</v>
          </cell>
          <cell r="P30">
            <v>-2710494.2685317085</v>
          </cell>
          <cell r="R30" t="str">
            <v>26PEB 1</v>
          </cell>
          <cell r="S30" t="str">
            <v>26PEB 2</v>
          </cell>
          <cell r="T30" t="str">
            <v>26PEB 3</v>
          </cell>
          <cell r="U30" t="str">
            <v>26PEB 4</v>
          </cell>
          <cell r="V30" t="str">
            <v>26PEB 5</v>
          </cell>
          <cell r="W30" t="str">
            <v>26PEB 6</v>
          </cell>
          <cell r="X30" t="str">
            <v>26PEB 7</v>
          </cell>
          <cell r="Y30" t="str">
            <v>26MPP</v>
          </cell>
          <cell r="Z30" t="str">
            <v>26ID</v>
          </cell>
          <cell r="AA30" t="str">
            <v>26LL</v>
          </cell>
          <cell r="AB30" t="str">
            <v>26PMK</v>
          </cell>
          <cell r="AD30">
            <v>4603625.8847169261</v>
          </cell>
          <cell r="AE30">
            <v>82500</v>
          </cell>
          <cell r="AF30">
            <v>417613.0746666668</v>
          </cell>
          <cell r="AG30">
            <v>119731.44682274455</v>
          </cell>
          <cell r="AH30">
            <v>0</v>
          </cell>
          <cell r="AI30">
            <v>0</v>
          </cell>
          <cell r="AJ30">
            <v>90474.903643457117</v>
          </cell>
          <cell r="AK30">
            <v>472251.76500000001</v>
          </cell>
          <cell r="AL30">
            <v>197686.94313059692</v>
          </cell>
          <cell r="AM30">
            <v>766949.53948893643</v>
          </cell>
          <cell r="AN30">
            <v>334250</v>
          </cell>
          <cell r="AP30">
            <v>-718759.09308000002</v>
          </cell>
          <cell r="AQ30">
            <v>-82500</v>
          </cell>
          <cell r="AR30">
            <v>-417613.0746666668</v>
          </cell>
          <cell r="AS30">
            <v>-119731.44682274455</v>
          </cell>
          <cell r="AT30">
            <v>0</v>
          </cell>
          <cell r="AU30">
            <v>0</v>
          </cell>
          <cell r="AV30">
            <v>-90474.903643457117</v>
          </cell>
          <cell r="AW30">
            <v>-472251.76500000001</v>
          </cell>
          <cell r="AX30">
            <v>-197686.94313059692</v>
          </cell>
          <cell r="AY30">
            <v>-766949.53948893643</v>
          </cell>
          <cell r="AZ30">
            <v>-334250</v>
          </cell>
          <cell r="BB30">
            <v>-7464240.3094717311</v>
          </cell>
          <cell r="BC30">
            <v>-2094469.7168317894</v>
          </cell>
          <cell r="BD30">
            <v>-584860.24978682538</v>
          </cell>
          <cell r="BE30">
            <v>-5774392.069802192</v>
          </cell>
          <cell r="BF30">
            <v>0</v>
          </cell>
          <cell r="BG30">
            <v>0</v>
          </cell>
          <cell r="BH30">
            <v>-1410938.6269995589</v>
          </cell>
          <cell r="BI30">
            <v>-2630984.6647552745</v>
          </cell>
          <cell r="BJ30">
            <v>-4184060.4690999486</v>
          </cell>
          <cell r="BK30">
            <v>-1610593.9935435909</v>
          </cell>
          <cell r="BL30">
            <v>-2376244.2685317085</v>
          </cell>
        </row>
        <row r="31">
          <cell r="C31" t="str">
            <v>Nm</v>
          </cell>
          <cell r="D31" t="str">
            <v>PT Astra Otoparts Tbk - Div. Nusametal</v>
          </cell>
          <cell r="E31" t="str">
            <v>Astra Otoparts Group</v>
          </cell>
          <cell r="F31">
            <v>-1361235.9878967202</v>
          </cell>
          <cell r="G31">
            <v>-1222884.9424064232</v>
          </cell>
          <cell r="H31">
            <v>-435298.55700805498</v>
          </cell>
          <cell r="I31">
            <v>-971110.29803242791</v>
          </cell>
          <cell r="J31">
            <v>-66700.225641431214</v>
          </cell>
          <cell r="K31">
            <v>0</v>
          </cell>
          <cell r="L31">
            <v>-1086951.0868366598</v>
          </cell>
          <cell r="M31">
            <v>-349619.03020986833</v>
          </cell>
          <cell r="N31">
            <v>-2233058.7065553162</v>
          </cell>
          <cell r="O31">
            <v>-1397102.1555423471</v>
          </cell>
          <cell r="P31">
            <v>-4017596.8137738872</v>
          </cell>
          <cell r="R31" t="str">
            <v>27PEB 1</v>
          </cell>
          <cell r="S31" t="str">
            <v>27PEB 2</v>
          </cell>
          <cell r="T31" t="str">
            <v>27PEB 3</v>
          </cell>
          <cell r="U31" t="str">
            <v>27PEB 4</v>
          </cell>
          <cell r="V31" t="str">
            <v>27PEB 5</v>
          </cell>
          <cell r="W31" t="str">
            <v>27PEB 6</v>
          </cell>
          <cell r="X31" t="str">
            <v>27PEB 7</v>
          </cell>
          <cell r="Y31" t="str">
            <v>27MPP</v>
          </cell>
          <cell r="Z31" t="str">
            <v>27ID</v>
          </cell>
          <cell r="AA31" t="str">
            <v>27LL</v>
          </cell>
          <cell r="AB31" t="str">
            <v>27PMK</v>
          </cell>
          <cell r="AD31">
            <v>42324.314330448753</v>
          </cell>
          <cell r="AE31">
            <v>26400</v>
          </cell>
          <cell r="AF31">
            <v>0</v>
          </cell>
          <cell r="AG31">
            <v>243624.35195279782</v>
          </cell>
          <cell r="AH31">
            <v>59331.915500000003</v>
          </cell>
          <cell r="AI31">
            <v>0</v>
          </cell>
          <cell r="AJ31">
            <v>79167.180642144987</v>
          </cell>
          <cell r="AK31">
            <v>7507.92</v>
          </cell>
          <cell r="AL31">
            <v>90894.167776667411</v>
          </cell>
          <cell r="AM31">
            <v>664059.53347936715</v>
          </cell>
          <cell r="AN31">
            <v>474750</v>
          </cell>
          <cell r="AP31">
            <v>-166833.65512800001</v>
          </cell>
          <cell r="AQ31">
            <v>-26400</v>
          </cell>
          <cell r="AR31">
            <v>0</v>
          </cell>
          <cell r="AS31">
            <v>-243624.35195279782</v>
          </cell>
          <cell r="AT31">
            <v>-59331.915500000003</v>
          </cell>
          <cell r="AU31">
            <v>0</v>
          </cell>
          <cell r="AV31">
            <v>-79167.180642144987</v>
          </cell>
          <cell r="AW31">
            <v>-7507.92</v>
          </cell>
          <cell r="AX31">
            <v>-90894.167776667411</v>
          </cell>
          <cell r="AY31">
            <v>-664059.53347936715</v>
          </cell>
          <cell r="AZ31">
            <v>-474750</v>
          </cell>
          <cell r="BB31">
            <v>-1194402.3327687201</v>
          </cell>
          <cell r="BC31">
            <v>-1196484.9424064232</v>
          </cell>
          <cell r="BD31">
            <v>-435298.55700805498</v>
          </cell>
          <cell r="BE31">
            <v>-727485.94607963006</v>
          </cell>
          <cell r="BF31">
            <v>-7368.3101414312114</v>
          </cell>
          <cell r="BG31">
            <v>0</v>
          </cell>
          <cell r="BH31">
            <v>-1007783.9061945148</v>
          </cell>
          <cell r="BI31">
            <v>-342111.11020986835</v>
          </cell>
          <cell r="BJ31">
            <v>-2142164.5387786487</v>
          </cell>
          <cell r="BK31">
            <v>-733042.62206297996</v>
          </cell>
          <cell r="BL31">
            <v>-3542846.8137738872</v>
          </cell>
        </row>
        <row r="32">
          <cell r="C32" t="str">
            <v>Ap</v>
          </cell>
          <cell r="D32" t="str">
            <v>PT Astra Otoparts Tbk - Div. Adiwira</v>
          </cell>
          <cell r="E32" t="str">
            <v>Astra Otoparts Group</v>
          </cell>
          <cell r="F32">
            <v>0</v>
          </cell>
          <cell r="G32">
            <v>0</v>
          </cell>
          <cell r="H32">
            <v>0</v>
          </cell>
          <cell r="I32">
            <v>-1961760.7110341105</v>
          </cell>
          <cell r="J32">
            <v>0</v>
          </cell>
          <cell r="K32">
            <v>0</v>
          </cell>
          <cell r="L32">
            <v>-454250.94496569521</v>
          </cell>
          <cell r="M32">
            <v>-1005394.544043664</v>
          </cell>
          <cell r="N32">
            <v>-2429155.3950851024</v>
          </cell>
          <cell r="O32">
            <v>-2716591.8329729112</v>
          </cell>
          <cell r="P32">
            <v>-4984461.7172468491</v>
          </cell>
          <cell r="R32" t="str">
            <v>28PEB 1</v>
          </cell>
          <cell r="S32" t="str">
            <v>28PEB 2</v>
          </cell>
          <cell r="T32" t="str">
            <v>28PEB 3</v>
          </cell>
          <cell r="U32" t="str">
            <v>28PEB 4</v>
          </cell>
          <cell r="V32" t="str">
            <v>28PEB 5</v>
          </cell>
          <cell r="W32" t="str">
            <v>28PEB 6</v>
          </cell>
          <cell r="X32" t="str">
            <v>28PEB 7</v>
          </cell>
          <cell r="Y32" t="str">
            <v>28MPP</v>
          </cell>
          <cell r="Z32" t="str">
            <v>28ID</v>
          </cell>
          <cell r="AA32" t="str">
            <v>28LL</v>
          </cell>
          <cell r="AB32" t="str">
            <v>28PMK</v>
          </cell>
          <cell r="AD32">
            <v>0</v>
          </cell>
          <cell r="AE32">
            <v>0</v>
          </cell>
          <cell r="AF32">
            <v>0</v>
          </cell>
          <cell r="AG32">
            <v>470119.06660316838</v>
          </cell>
          <cell r="AH32">
            <v>0</v>
          </cell>
          <cell r="AI32">
            <v>0</v>
          </cell>
          <cell r="AJ32">
            <v>76422.793254462929</v>
          </cell>
          <cell r="AK32">
            <v>16382.668935000002</v>
          </cell>
          <cell r="AL32">
            <v>87199.095068908282</v>
          </cell>
          <cell r="AM32">
            <v>670718.37961527158</v>
          </cell>
          <cell r="AN32">
            <v>492800</v>
          </cell>
          <cell r="AP32">
            <v>0</v>
          </cell>
          <cell r="AQ32">
            <v>0</v>
          </cell>
          <cell r="AR32">
            <v>0</v>
          </cell>
          <cell r="AS32">
            <v>-470119.06660316838</v>
          </cell>
          <cell r="AT32">
            <v>0</v>
          </cell>
          <cell r="AU32">
            <v>0</v>
          </cell>
          <cell r="AV32">
            <v>-76422.793254462929</v>
          </cell>
          <cell r="AW32">
            <v>-16382.668935000002</v>
          </cell>
          <cell r="AX32">
            <v>-87199.095068908282</v>
          </cell>
          <cell r="AY32">
            <v>-670718.37961527158</v>
          </cell>
          <cell r="AZ32">
            <v>-492800</v>
          </cell>
          <cell r="BB32">
            <v>0</v>
          </cell>
          <cell r="BC32">
            <v>0</v>
          </cell>
          <cell r="BD32">
            <v>0</v>
          </cell>
          <cell r="BE32">
            <v>-1491641.6444309421</v>
          </cell>
          <cell r="BF32">
            <v>0</v>
          </cell>
          <cell r="BG32">
            <v>0</v>
          </cell>
          <cell r="BH32">
            <v>-377828.15171123226</v>
          </cell>
          <cell r="BI32">
            <v>-989011.87510866404</v>
          </cell>
          <cell r="BJ32">
            <v>-2341956.3000161941</v>
          </cell>
          <cell r="BK32">
            <v>-2045873.4533576397</v>
          </cell>
          <cell r="BL32">
            <v>-4491661.7172468491</v>
          </cell>
        </row>
        <row r="33">
          <cell r="C33" t="str">
            <v>We</v>
          </cell>
          <cell r="D33" t="str">
            <v>PT Astra Otoparts Tbk - Div. Winteq</v>
          </cell>
          <cell r="E33" t="str">
            <v>Astra Otoparts Group</v>
          </cell>
          <cell r="F33">
            <v>-21592.34240785474</v>
          </cell>
          <cell r="G33">
            <v>0</v>
          </cell>
          <cell r="H33">
            <v>-7518.7549535791368</v>
          </cell>
          <cell r="I33">
            <v>-280170.89221761248</v>
          </cell>
          <cell r="J33">
            <v>0</v>
          </cell>
          <cell r="K33">
            <v>0</v>
          </cell>
          <cell r="L33">
            <v>-45276.684038098552</v>
          </cell>
          <cell r="M33">
            <v>-115451.61318782278</v>
          </cell>
          <cell r="N33">
            <v>-301029.48249835265</v>
          </cell>
          <cell r="O33">
            <v>-443415.45582440181</v>
          </cell>
          <cell r="P33">
            <v>-288722.71238562273</v>
          </cell>
          <cell r="R33" t="str">
            <v>29PEB 1</v>
          </cell>
          <cell r="S33" t="str">
            <v>29PEB 2</v>
          </cell>
          <cell r="T33" t="str">
            <v>29PEB 3</v>
          </cell>
          <cell r="U33" t="str">
            <v>29PEB 4</v>
          </cell>
          <cell r="V33" t="str">
            <v>29PEB 5</v>
          </cell>
          <cell r="W33" t="str">
            <v>29PEB 6</v>
          </cell>
          <cell r="X33" t="str">
            <v>29PEB 7</v>
          </cell>
          <cell r="Y33" t="str">
            <v>29MPP</v>
          </cell>
          <cell r="Z33" t="str">
            <v>29ID</v>
          </cell>
          <cell r="AA33" t="str">
            <v>29LL</v>
          </cell>
          <cell r="AB33" t="str">
            <v>29PMK</v>
          </cell>
          <cell r="AD33">
            <v>2511.749378973032</v>
          </cell>
          <cell r="AE33">
            <v>0</v>
          </cell>
          <cell r="AF33">
            <v>0</v>
          </cell>
          <cell r="AG33">
            <v>8836.5707804184876</v>
          </cell>
          <cell r="AH33">
            <v>0</v>
          </cell>
          <cell r="AI33">
            <v>0</v>
          </cell>
          <cell r="AJ33">
            <v>9497.7016228097964</v>
          </cell>
          <cell r="AK33">
            <v>0</v>
          </cell>
          <cell r="AL33">
            <v>10713.526842773841</v>
          </cell>
          <cell r="AM33">
            <v>119467.9568797236</v>
          </cell>
          <cell r="AN33">
            <v>11350</v>
          </cell>
          <cell r="AP33">
            <v>-15296.965824000003</v>
          </cell>
          <cell r="AQ33">
            <v>0</v>
          </cell>
          <cell r="AR33">
            <v>0</v>
          </cell>
          <cell r="AS33">
            <v>-8836.5707804184876</v>
          </cell>
          <cell r="AT33">
            <v>0</v>
          </cell>
          <cell r="AU33">
            <v>0</v>
          </cell>
          <cell r="AV33">
            <v>-9497.7016228097964</v>
          </cell>
          <cell r="AW33">
            <v>0</v>
          </cell>
          <cell r="AX33">
            <v>-10713.526842773841</v>
          </cell>
          <cell r="AY33">
            <v>-119467.9568797236</v>
          </cell>
          <cell r="AZ33">
            <v>-11350</v>
          </cell>
          <cell r="BB33">
            <v>-6295.376583854737</v>
          </cell>
          <cell r="BC33">
            <v>0</v>
          </cell>
          <cell r="BD33">
            <v>-7518.7549535791368</v>
          </cell>
          <cell r="BE33">
            <v>-271334.32143719401</v>
          </cell>
          <cell r="BF33">
            <v>0</v>
          </cell>
          <cell r="BG33">
            <v>0</v>
          </cell>
          <cell r="BH33">
            <v>-35778.98241528876</v>
          </cell>
          <cell r="BI33">
            <v>-115451.61318782278</v>
          </cell>
          <cell r="BJ33">
            <v>-290315.95565557881</v>
          </cell>
          <cell r="BK33">
            <v>-323947.49894467823</v>
          </cell>
          <cell r="BL33">
            <v>-277372.71238562273</v>
          </cell>
        </row>
        <row r="34">
          <cell r="C34" t="str">
            <v>A0024</v>
          </cell>
          <cell r="D34" t="str">
            <v>PT Astra Sedaya Finance</v>
          </cell>
          <cell r="E34" t="str">
            <v>ACC Group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R34" t="str">
            <v>30PEB 1</v>
          </cell>
          <cell r="S34" t="str">
            <v>30PEB 2</v>
          </cell>
          <cell r="T34" t="str">
            <v>30PEB 3</v>
          </cell>
          <cell r="U34" t="str">
            <v>30PEB 4</v>
          </cell>
          <cell r="V34" t="str">
            <v>30PEB 5</v>
          </cell>
          <cell r="W34" t="str">
            <v>30PEB 6</v>
          </cell>
          <cell r="X34" t="str">
            <v>30PEB 7</v>
          </cell>
          <cell r="Y34" t="str">
            <v>30MPP</v>
          </cell>
          <cell r="Z34" t="str">
            <v>30ID</v>
          </cell>
          <cell r="AA34" t="str">
            <v>30LL</v>
          </cell>
          <cell r="AB34" t="str">
            <v>30PMK</v>
          </cell>
          <cell r="AD34">
            <v>233788.41003139544</v>
          </cell>
          <cell r="AE34">
            <v>8838.5</v>
          </cell>
          <cell r="AF34">
            <v>0</v>
          </cell>
          <cell r="AG34">
            <v>248977.81576393126</v>
          </cell>
          <cell r="AH34">
            <v>37912.107500000006</v>
          </cell>
          <cell r="AI34">
            <v>0</v>
          </cell>
          <cell r="AJ34">
            <v>195809.68959941017</v>
          </cell>
          <cell r="AK34">
            <v>0</v>
          </cell>
          <cell r="AL34">
            <v>358632.42235574924</v>
          </cell>
          <cell r="AM34">
            <v>2954627.2527284226</v>
          </cell>
          <cell r="AN34">
            <v>1471500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  <cell r="AW34" t="e">
            <v>#REF!</v>
          </cell>
          <cell r="AX34" t="e">
            <v>#REF!</v>
          </cell>
          <cell r="AY34" t="e">
            <v>#REF!</v>
          </cell>
          <cell r="AZ34" t="e">
            <v>#REF!</v>
          </cell>
          <cell r="BB34" t="e">
            <v>#REF!</v>
          </cell>
          <cell r="BC34" t="e">
            <v>#REF!</v>
          </cell>
          <cell r="BD34" t="e">
            <v>#REF!</v>
          </cell>
          <cell r="BE34" t="e">
            <v>#REF!</v>
          </cell>
          <cell r="BF34" t="e">
            <v>#REF!</v>
          </cell>
          <cell r="BG34" t="e">
            <v>#REF!</v>
          </cell>
          <cell r="BH34" t="e">
            <v>#REF!</v>
          </cell>
          <cell r="BI34" t="e">
            <v>#REF!</v>
          </cell>
          <cell r="BJ34" t="e">
            <v>#REF!</v>
          </cell>
          <cell r="BK34" t="e">
            <v>#REF!</v>
          </cell>
          <cell r="BL34" t="e">
            <v>#REF!</v>
          </cell>
        </row>
        <row r="35">
          <cell r="C35" t="str">
            <v>A0224</v>
          </cell>
          <cell r="D35" t="str">
            <v>PT Astratel Nusantara</v>
          </cell>
          <cell r="E35" t="str">
            <v>Astratel Group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R35" t="str">
            <v>31PEB 1</v>
          </cell>
          <cell r="S35" t="str">
            <v>31PEB 2</v>
          </cell>
          <cell r="T35" t="str">
            <v>31PEB 3</v>
          </cell>
          <cell r="U35" t="str">
            <v>31PEB 4</v>
          </cell>
          <cell r="V35" t="str">
            <v>31PEB 5</v>
          </cell>
          <cell r="W35" t="str">
            <v>31PEB 6</v>
          </cell>
          <cell r="X35" t="str">
            <v>31PEB 7</v>
          </cell>
          <cell r="Y35" t="str">
            <v>31MPP</v>
          </cell>
          <cell r="Z35" t="str">
            <v>31ID</v>
          </cell>
          <cell r="AA35" t="str">
            <v>31LL</v>
          </cell>
          <cell r="AB35" t="str">
            <v>31PMK</v>
          </cell>
          <cell r="AD35">
            <v>115321.69610292313</v>
          </cell>
          <cell r="AE35">
            <v>10529.4</v>
          </cell>
          <cell r="AF35">
            <v>12742.753573333335</v>
          </cell>
          <cell r="AG35">
            <v>23280.574050190116</v>
          </cell>
          <cell r="AH35">
            <v>0</v>
          </cell>
          <cell r="AI35">
            <v>0</v>
          </cell>
          <cell r="AJ35">
            <v>21802.436251419498</v>
          </cell>
          <cell r="AK35">
            <v>2256.3000000000002</v>
          </cell>
          <cell r="AL35">
            <v>78160.73571719334</v>
          </cell>
          <cell r="AM35">
            <v>203001.63214881139</v>
          </cell>
          <cell r="AN35">
            <v>52762.5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  <cell r="AW35" t="e">
            <v>#REF!</v>
          </cell>
          <cell r="AX35" t="e">
            <v>#REF!</v>
          </cell>
          <cell r="AY35" t="e">
            <v>#REF!</v>
          </cell>
          <cell r="AZ35" t="e">
            <v>#REF!</v>
          </cell>
          <cell r="BB35" t="e">
            <v>#REF!</v>
          </cell>
          <cell r="BC35" t="e">
            <v>#REF!</v>
          </cell>
          <cell r="BD35" t="e">
            <v>#REF!</v>
          </cell>
          <cell r="BE35" t="e">
            <v>#REF!</v>
          </cell>
          <cell r="BF35" t="e">
            <v>#REF!</v>
          </cell>
          <cell r="BG35" t="e">
            <v>#REF!</v>
          </cell>
          <cell r="BH35" t="e">
            <v>#REF!</v>
          </cell>
          <cell r="BI35" t="e">
            <v>#REF!</v>
          </cell>
          <cell r="BJ35" t="e">
            <v>#REF!</v>
          </cell>
          <cell r="BK35" t="e">
            <v>#REF!</v>
          </cell>
          <cell r="BL35" t="e">
            <v>#REF!</v>
          </cell>
        </row>
        <row r="36">
          <cell r="C36" t="str">
            <v>A0026</v>
          </cell>
          <cell r="D36" t="str">
            <v>PT Asuransi Astra Buana</v>
          </cell>
          <cell r="E36" t="str">
            <v>SMI Group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R36" t="str">
            <v>32PEB 1</v>
          </cell>
          <cell r="S36" t="str">
            <v>32PEB 2</v>
          </cell>
          <cell r="T36" t="str">
            <v>32PEB 3</v>
          </cell>
          <cell r="U36" t="str">
            <v>32PEB 4</v>
          </cell>
          <cell r="V36" t="str">
            <v>32PEB 5</v>
          </cell>
          <cell r="W36" t="str">
            <v>32PEB 6</v>
          </cell>
          <cell r="X36" t="str">
            <v>32PEB 7</v>
          </cell>
          <cell r="Y36" t="str">
            <v>32MPP</v>
          </cell>
          <cell r="Z36" t="str">
            <v>32ID</v>
          </cell>
          <cell r="AA36" t="str">
            <v>32LL</v>
          </cell>
          <cell r="AB36" t="str">
            <v>32PMK</v>
          </cell>
          <cell r="AD36">
            <v>6327780.5343150161</v>
          </cell>
          <cell r="AE36">
            <v>0</v>
          </cell>
          <cell r="AF36">
            <v>492651.04848666652</v>
          </cell>
          <cell r="AG36">
            <v>331333.8025216324</v>
          </cell>
          <cell r="AH36">
            <v>0</v>
          </cell>
          <cell r="AI36">
            <v>0</v>
          </cell>
          <cell r="AJ36">
            <v>137538.08678308493</v>
          </cell>
          <cell r="AK36">
            <v>0</v>
          </cell>
          <cell r="AL36">
            <v>296886.39439818467</v>
          </cell>
          <cell r="AM36">
            <v>1939978.8786137402</v>
          </cell>
          <cell r="AN36">
            <v>563201.353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</row>
        <row r="37">
          <cell r="C37" t="str">
            <v>A0038</v>
          </cell>
          <cell r="D37" t="str">
            <v>PT AT Indonesia</v>
          </cell>
          <cell r="E37" t="str">
            <v>Astra Otoparts Group</v>
          </cell>
          <cell r="F37">
            <v>161275.06693554722</v>
          </cell>
          <cell r="G37">
            <v>0</v>
          </cell>
          <cell r="H37">
            <v>-374860.97659758769</v>
          </cell>
          <cell r="I37">
            <v>-1155731.7453655156</v>
          </cell>
          <cell r="J37">
            <v>0</v>
          </cell>
          <cell r="K37">
            <v>0</v>
          </cell>
          <cell r="L37">
            <v>0</v>
          </cell>
          <cell r="M37">
            <v>-92924.673949203265</v>
          </cell>
          <cell r="N37">
            <v>-1554760.1181821683</v>
          </cell>
          <cell r="O37">
            <v>-1223509.6086135174</v>
          </cell>
          <cell r="P37">
            <v>-1113173.9779793548</v>
          </cell>
          <cell r="R37" t="str">
            <v>33PEB 1</v>
          </cell>
          <cell r="S37" t="str">
            <v>33PEB 2</v>
          </cell>
          <cell r="T37" t="str">
            <v>33PEB 3</v>
          </cell>
          <cell r="U37" t="str">
            <v>33PEB 4</v>
          </cell>
          <cell r="V37" t="str">
            <v>33PEB 5</v>
          </cell>
          <cell r="W37" t="str">
            <v>33PEB 6</v>
          </cell>
          <cell r="X37" t="str">
            <v>33PEB 7</v>
          </cell>
          <cell r="Y37" t="str">
            <v>33MPP</v>
          </cell>
          <cell r="Z37" t="str">
            <v>33ID</v>
          </cell>
          <cell r="AA37" t="str">
            <v>33LL</v>
          </cell>
          <cell r="AB37" t="str">
            <v>33PMK</v>
          </cell>
          <cell r="AD37">
            <v>211425.12214899692</v>
          </cell>
          <cell r="AE37">
            <v>0</v>
          </cell>
          <cell r="AF37">
            <v>0</v>
          </cell>
          <cell r="AG37">
            <v>76857.005405812568</v>
          </cell>
          <cell r="AH37">
            <v>0</v>
          </cell>
          <cell r="AI37">
            <v>0</v>
          </cell>
          <cell r="AJ37">
            <v>0</v>
          </cell>
          <cell r="AK37">
            <v>5953.1985000000004</v>
          </cell>
          <cell r="AL37">
            <v>68797.103268352468</v>
          </cell>
          <cell r="AM37">
            <v>557161.12079552677</v>
          </cell>
          <cell r="AN37">
            <v>150300</v>
          </cell>
          <cell r="AP37">
            <v>0</v>
          </cell>
          <cell r="AQ37">
            <v>0</v>
          </cell>
          <cell r="AR37">
            <v>0</v>
          </cell>
          <cell r="AS37">
            <v>-76857.005405812568</v>
          </cell>
          <cell r="AT37">
            <v>0</v>
          </cell>
          <cell r="AU37">
            <v>0</v>
          </cell>
          <cell r="AV37">
            <v>0</v>
          </cell>
          <cell r="AW37">
            <v>-5953.1985000000004</v>
          </cell>
          <cell r="AX37">
            <v>-68797.103268352468</v>
          </cell>
          <cell r="AY37">
            <v>-557161.12079552677</v>
          </cell>
          <cell r="AZ37">
            <v>-150300</v>
          </cell>
          <cell r="BB37">
            <v>161275.06693554722</v>
          </cell>
          <cell r="BC37">
            <v>0</v>
          </cell>
          <cell r="BD37">
            <v>-374860.97659758769</v>
          </cell>
          <cell r="BE37">
            <v>-1078874.7399597031</v>
          </cell>
          <cell r="BF37">
            <v>0</v>
          </cell>
          <cell r="BG37">
            <v>0</v>
          </cell>
          <cell r="BH37">
            <v>0</v>
          </cell>
          <cell r="BI37">
            <v>-86971.475449203266</v>
          </cell>
          <cell r="BJ37">
            <v>-1485963.0149138158</v>
          </cell>
          <cell r="BK37">
            <v>-666348.48781799059</v>
          </cell>
          <cell r="BL37">
            <v>-962873.97797935479</v>
          </cell>
        </row>
        <row r="38">
          <cell r="C38" t="str">
            <v>A0210</v>
          </cell>
          <cell r="D38" t="str">
            <v>PT Bina Pertiwi</v>
          </cell>
          <cell r="E38" t="str">
            <v>United Tractors Tbk - Groups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R38" t="str">
            <v>36PEB 1</v>
          </cell>
          <cell r="S38" t="str">
            <v>36PEB 2</v>
          </cell>
          <cell r="T38" t="str">
            <v>36PEB 3</v>
          </cell>
          <cell r="U38" t="str">
            <v>36PEB 4</v>
          </cell>
          <cell r="V38" t="str">
            <v>36PEB 5</v>
          </cell>
          <cell r="W38" t="str">
            <v>36PEB 6</v>
          </cell>
          <cell r="X38" t="str">
            <v>36PEB 7</v>
          </cell>
          <cell r="Y38" t="str">
            <v>36MPP</v>
          </cell>
          <cell r="Z38" t="str">
            <v>36ID</v>
          </cell>
          <cell r="AA38" t="str">
            <v>36LL</v>
          </cell>
          <cell r="AB38" t="str">
            <v>36PMK</v>
          </cell>
          <cell r="AD38">
            <v>139694.36188452714</v>
          </cell>
          <cell r="AE38">
            <v>37366.29</v>
          </cell>
          <cell r="AF38">
            <v>36321.14936666665</v>
          </cell>
          <cell r="AG38">
            <v>10898.965197478157</v>
          </cell>
          <cell r="AH38">
            <v>0</v>
          </cell>
          <cell r="AI38">
            <v>0</v>
          </cell>
          <cell r="AJ38">
            <v>16895.875701642875</v>
          </cell>
          <cell r="AK38">
            <v>12455.43</v>
          </cell>
          <cell r="AL38">
            <v>39820.676194122738</v>
          </cell>
          <cell r="AM38">
            <v>129090.44061917</v>
          </cell>
          <cell r="AN38">
            <v>39255.25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  <cell r="AW38" t="e">
            <v>#REF!</v>
          </cell>
          <cell r="AX38" t="e">
            <v>#REF!</v>
          </cell>
          <cell r="AY38" t="e">
            <v>#REF!</v>
          </cell>
          <cell r="AZ38" t="e">
            <v>#REF!</v>
          </cell>
          <cell r="BB38" t="e">
            <v>#REF!</v>
          </cell>
          <cell r="BC38" t="e">
            <v>#REF!</v>
          </cell>
          <cell r="BD38" t="e">
            <v>#REF!</v>
          </cell>
          <cell r="BE38" t="e">
            <v>#REF!</v>
          </cell>
          <cell r="BF38" t="e">
            <v>#REF!</v>
          </cell>
          <cell r="BG38" t="e">
            <v>#REF!</v>
          </cell>
          <cell r="BH38" t="e">
            <v>#REF!</v>
          </cell>
          <cell r="BI38" t="e">
            <v>#REF!</v>
          </cell>
          <cell r="BJ38" t="e">
            <v>#REF!</v>
          </cell>
          <cell r="BK38" t="e">
            <v>#REF!</v>
          </cell>
          <cell r="BL38" t="e">
            <v>#REF!</v>
          </cell>
        </row>
        <row r="39">
          <cell r="C39" t="str">
            <v>A0232</v>
          </cell>
          <cell r="D39" t="str">
            <v>PT Brahmayasa Bahtera</v>
          </cell>
          <cell r="E39" t="str">
            <v>Properties Group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R39" t="str">
            <v>38PEB 1</v>
          </cell>
          <cell r="S39" t="str">
            <v>38PEB 2</v>
          </cell>
          <cell r="T39" t="str">
            <v>38PEB 3</v>
          </cell>
          <cell r="U39" t="str">
            <v>38PEB 4</v>
          </cell>
          <cell r="V39" t="str">
            <v>38PEB 5</v>
          </cell>
          <cell r="W39" t="str">
            <v>38PEB 6</v>
          </cell>
          <cell r="X39" t="str">
            <v>38PEB 7</v>
          </cell>
          <cell r="Y39" t="str">
            <v>38MPP</v>
          </cell>
          <cell r="Z39" t="str">
            <v>38ID</v>
          </cell>
          <cell r="AA39" t="str">
            <v>38LL</v>
          </cell>
          <cell r="AB39" t="str">
            <v>38PMK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402.2749390277715</v>
          </cell>
          <cell r="AK39">
            <v>0</v>
          </cell>
          <cell r="AL39">
            <v>484.74114053464382</v>
          </cell>
          <cell r="AM39">
            <v>0</v>
          </cell>
          <cell r="AN39">
            <v>0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</row>
        <row r="40">
          <cell r="C40" t="str">
            <v>A0037</v>
          </cell>
          <cell r="D40" t="str">
            <v>PT Century Batteries Indonesia</v>
          </cell>
          <cell r="E40" t="str">
            <v>Astra Otoparts Group</v>
          </cell>
          <cell r="F40">
            <v>1946355.3532505957</v>
          </cell>
          <cell r="G40">
            <v>0</v>
          </cell>
          <cell r="H40">
            <v>-2445402.6425954252</v>
          </cell>
          <cell r="I40">
            <v>-2163529.3801199463</v>
          </cell>
          <cell r="J40">
            <v>0</v>
          </cell>
          <cell r="K40">
            <v>0</v>
          </cell>
          <cell r="L40">
            <v>-467315.2559059778</v>
          </cell>
          <cell r="M40">
            <v>-440802.34288572561</v>
          </cell>
          <cell r="N40">
            <v>-1746653.4330362901</v>
          </cell>
          <cell r="O40">
            <v>-1918348.6870635101</v>
          </cell>
          <cell r="P40">
            <v>-1749057.3775814038</v>
          </cell>
          <cell r="R40" t="str">
            <v>41PEB 1</v>
          </cell>
          <cell r="S40" t="str">
            <v>41PEB 2</v>
          </cell>
          <cell r="T40" t="str">
            <v>41PEB 3</v>
          </cell>
          <cell r="U40" t="str">
            <v>41PEB 4</v>
          </cell>
          <cell r="V40" t="str">
            <v>41PEB 5</v>
          </cell>
          <cell r="W40" t="str">
            <v>41PEB 6</v>
          </cell>
          <cell r="X40" t="str">
            <v>41PEB 7</v>
          </cell>
          <cell r="Y40" t="str">
            <v>41MPP</v>
          </cell>
          <cell r="Z40" t="str">
            <v>41ID</v>
          </cell>
          <cell r="AA40" t="str">
            <v>41LL</v>
          </cell>
          <cell r="AB40" t="str">
            <v>41PMK</v>
          </cell>
          <cell r="AD40">
            <v>1930585.4195793993</v>
          </cell>
          <cell r="AE40">
            <v>0</v>
          </cell>
          <cell r="AF40">
            <v>18120.130293333394</v>
          </cell>
          <cell r="AG40">
            <v>271634.21068558242</v>
          </cell>
          <cell r="AH40">
            <v>0</v>
          </cell>
          <cell r="AI40">
            <v>0</v>
          </cell>
          <cell r="AJ40">
            <v>45600.051883386528</v>
          </cell>
          <cell r="AK40">
            <v>71129.857500000013</v>
          </cell>
          <cell r="AL40">
            <v>106157.13959425225</v>
          </cell>
          <cell r="AM40">
            <v>486224.82822164992</v>
          </cell>
          <cell r="AN40">
            <v>301640.55100000027</v>
          </cell>
          <cell r="AP40">
            <v>0</v>
          </cell>
          <cell r="AQ40">
            <v>0</v>
          </cell>
          <cell r="AR40">
            <v>-18120.130293333394</v>
          </cell>
          <cell r="AS40">
            <v>-271634.21068558242</v>
          </cell>
          <cell r="AT40">
            <v>0</v>
          </cell>
          <cell r="AU40">
            <v>0</v>
          </cell>
          <cell r="AV40">
            <v>-45600.051883386528</v>
          </cell>
          <cell r="AW40">
            <v>-71129.857500000013</v>
          </cell>
          <cell r="AX40">
            <v>-106157.13959425225</v>
          </cell>
          <cell r="AY40">
            <v>-486224.82822164992</v>
          </cell>
          <cell r="AZ40">
            <v>-301640.55100000027</v>
          </cell>
          <cell r="BB40">
            <v>1946355.3532505957</v>
          </cell>
          <cell r="BC40">
            <v>0</v>
          </cell>
          <cell r="BD40">
            <v>-2427282.5123020918</v>
          </cell>
          <cell r="BE40">
            <v>-1891895.169434364</v>
          </cell>
          <cell r="BF40">
            <v>0</v>
          </cell>
          <cell r="BG40">
            <v>0</v>
          </cell>
          <cell r="BH40">
            <v>-421715.20402259129</v>
          </cell>
          <cell r="BI40">
            <v>-369672.48538572562</v>
          </cell>
          <cell r="BJ40">
            <v>-1640496.2934420379</v>
          </cell>
          <cell r="BK40">
            <v>-1432123.8588418602</v>
          </cell>
          <cell r="BL40">
            <v>-1447416.8265814036</v>
          </cell>
        </row>
        <row r="41">
          <cell r="C41" t="str">
            <v>A0008</v>
          </cell>
          <cell r="D41" t="str">
            <v>PT Daya Mitra Serasi</v>
          </cell>
          <cell r="E41" t="str">
            <v>Serasi Autoraya Group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R41" t="str">
            <v>43PEB 1</v>
          </cell>
          <cell r="S41" t="str">
            <v>43PEB 2</v>
          </cell>
          <cell r="T41" t="str">
            <v>43PEB 3</v>
          </cell>
          <cell r="U41" t="str">
            <v>43PEB 4</v>
          </cell>
          <cell r="V41" t="str">
            <v>43PEB 5</v>
          </cell>
          <cell r="W41" t="str">
            <v>43PEB 6</v>
          </cell>
          <cell r="X41" t="str">
            <v>43PEB 7</v>
          </cell>
          <cell r="Y41" t="str">
            <v>43MPP</v>
          </cell>
          <cell r="Z41" t="str">
            <v>43ID</v>
          </cell>
          <cell r="AA41" t="str">
            <v>43LL</v>
          </cell>
          <cell r="AB41" t="str">
            <v>43PMK</v>
          </cell>
          <cell r="AD41">
            <v>0</v>
          </cell>
          <cell r="AE41">
            <v>0</v>
          </cell>
          <cell r="AF41">
            <v>0</v>
          </cell>
          <cell r="AG41">
            <v>10847.469024936107</v>
          </cell>
          <cell r="AH41">
            <v>0</v>
          </cell>
          <cell r="AI41">
            <v>0</v>
          </cell>
          <cell r="AJ41">
            <v>5049.4996657232705</v>
          </cell>
          <cell r="AK41">
            <v>0</v>
          </cell>
          <cell r="AL41">
            <v>12661.305973745313</v>
          </cell>
          <cell r="AM41">
            <v>122590.33561518697</v>
          </cell>
          <cell r="AN41">
            <v>34650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  <cell r="AW41" t="e">
            <v>#REF!</v>
          </cell>
          <cell r="AX41" t="e">
            <v>#REF!</v>
          </cell>
          <cell r="AY41" t="e">
            <v>#REF!</v>
          </cell>
          <cell r="AZ41" t="e">
            <v>#REF!</v>
          </cell>
          <cell r="BB41" t="e">
            <v>#REF!</v>
          </cell>
          <cell r="BC41" t="e">
            <v>#REF!</v>
          </cell>
          <cell r="BD41" t="e">
            <v>#REF!</v>
          </cell>
          <cell r="BE41" t="e">
            <v>#REF!</v>
          </cell>
          <cell r="BF41" t="e">
            <v>#REF!</v>
          </cell>
          <cell r="BG41" t="e">
            <v>#REF!</v>
          </cell>
          <cell r="BH41" t="e">
            <v>#REF!</v>
          </cell>
          <cell r="BI41" t="e">
            <v>#REF!</v>
          </cell>
          <cell r="BJ41" t="e">
            <v>#REF!</v>
          </cell>
          <cell r="BK41" t="e">
            <v>#REF!</v>
          </cell>
          <cell r="BL41" t="e">
            <v>#REF!</v>
          </cell>
        </row>
        <row r="42">
          <cell r="C42" t="str">
            <v>A0051</v>
          </cell>
          <cell r="D42" t="str">
            <v>PT DIC Astra Chemicals</v>
          </cell>
          <cell r="E42" t="str">
            <v>Astra Otoparts Group</v>
          </cell>
          <cell r="F42">
            <v>-1196986.8718422703</v>
          </cell>
          <cell r="G42">
            <v>0</v>
          </cell>
          <cell r="H42">
            <v>-985898.2892111598</v>
          </cell>
          <cell r="I42">
            <v>-1016624.6740926199</v>
          </cell>
          <cell r="J42">
            <v>0</v>
          </cell>
          <cell r="K42">
            <v>0</v>
          </cell>
          <cell r="L42">
            <v>-238817.02222942759</v>
          </cell>
          <cell r="M42">
            <v>-364430.45360835129</v>
          </cell>
          <cell r="N42">
            <v>-888960.67038712767</v>
          </cell>
          <cell r="O42">
            <v>-642715.4800890371</v>
          </cell>
          <cell r="P42">
            <v>-607308.13362024422</v>
          </cell>
          <cell r="R42" t="str">
            <v>44PEB 1</v>
          </cell>
          <cell r="S42" t="str">
            <v>44PEB 2</v>
          </cell>
          <cell r="T42" t="str">
            <v>44PEB 3</v>
          </cell>
          <cell r="U42" t="str">
            <v>44PEB 4</v>
          </cell>
          <cell r="V42" t="str">
            <v>44PEB 5</v>
          </cell>
          <cell r="W42" t="str">
            <v>44PEB 6</v>
          </cell>
          <cell r="X42" t="str">
            <v>44PEB 7</v>
          </cell>
          <cell r="Y42" t="str">
            <v>44MPP</v>
          </cell>
          <cell r="Z42" t="str">
            <v>44ID</v>
          </cell>
          <cell r="AA42" t="str">
            <v>44LL</v>
          </cell>
          <cell r="AB42" t="str">
            <v>44PMK</v>
          </cell>
          <cell r="AD42">
            <v>35231.616414462493</v>
          </cell>
          <cell r="AE42">
            <v>0</v>
          </cell>
          <cell r="AF42">
            <v>0</v>
          </cell>
          <cell r="AG42">
            <v>85727.146303939735</v>
          </cell>
          <cell r="AH42">
            <v>0</v>
          </cell>
          <cell r="AI42">
            <v>0</v>
          </cell>
          <cell r="AJ42">
            <v>27324.249950673249</v>
          </cell>
          <cell r="AK42">
            <v>2430.5909999999999</v>
          </cell>
          <cell r="AL42">
            <v>46474.539328947962</v>
          </cell>
          <cell r="AM42">
            <v>208354.09089503926</v>
          </cell>
          <cell r="AN42">
            <v>52000</v>
          </cell>
          <cell r="AP42">
            <v>-180282.84990915607</v>
          </cell>
          <cell r="AQ42">
            <v>0</v>
          </cell>
          <cell r="AR42">
            <v>0</v>
          </cell>
          <cell r="AS42">
            <v>-85727.146303939735</v>
          </cell>
          <cell r="AT42">
            <v>0</v>
          </cell>
          <cell r="AU42">
            <v>0</v>
          </cell>
          <cell r="AV42">
            <v>-27324.249950673249</v>
          </cell>
          <cell r="AW42">
            <v>-2430.5909999999999</v>
          </cell>
          <cell r="AX42">
            <v>-46474.539328947962</v>
          </cell>
          <cell r="AY42">
            <v>-208354.09089503926</v>
          </cell>
          <cell r="AZ42">
            <v>-52000</v>
          </cell>
          <cell r="BB42">
            <v>-1016704.0219331142</v>
          </cell>
          <cell r="BC42">
            <v>0</v>
          </cell>
          <cell r="BD42">
            <v>-985898.2892111598</v>
          </cell>
          <cell r="BE42">
            <v>-930897.52778868016</v>
          </cell>
          <cell r="BF42">
            <v>0</v>
          </cell>
          <cell r="BG42">
            <v>0</v>
          </cell>
          <cell r="BH42">
            <v>-211492.77227875433</v>
          </cell>
          <cell r="BI42">
            <v>-361999.86260835128</v>
          </cell>
          <cell r="BJ42">
            <v>-842486.13105817966</v>
          </cell>
          <cell r="BK42">
            <v>-434361.38919399783</v>
          </cell>
          <cell r="BL42">
            <v>-555308.13362024422</v>
          </cell>
        </row>
        <row r="43">
          <cell r="C43" t="str">
            <v>A0239</v>
          </cell>
          <cell r="D43" t="str">
            <v>PT Astra Daido Steel Indonesia (d/h PT Dirgamenara Nusadwipa)</v>
          </cell>
          <cell r="E43" t="str">
            <v>Astra Otoparts Group</v>
          </cell>
          <cell r="F43">
            <v>0</v>
          </cell>
          <cell r="G43">
            <v>0</v>
          </cell>
          <cell r="H43">
            <v>-128699.12665354011</v>
          </cell>
          <cell r="I43">
            <v>-447153.56513845804</v>
          </cell>
          <cell r="J43">
            <v>-2613.088291112178</v>
          </cell>
          <cell r="K43">
            <v>0</v>
          </cell>
          <cell r="L43">
            <v>-186533.58447254874</v>
          </cell>
          <cell r="M43">
            <v>0</v>
          </cell>
          <cell r="N43">
            <v>-378154.34882598737</v>
          </cell>
          <cell r="O43">
            <v>-175626.41512543519</v>
          </cell>
          <cell r="P43">
            <v>-451515.57974596584</v>
          </cell>
          <cell r="R43" t="str">
            <v>45PEB 1</v>
          </cell>
          <cell r="S43" t="str">
            <v>45PEB 2</v>
          </cell>
          <cell r="T43" t="str">
            <v>45PEB 3</v>
          </cell>
          <cell r="U43" t="str">
            <v>45PEB 4</v>
          </cell>
          <cell r="V43" t="str">
            <v>45PEB 5</v>
          </cell>
          <cell r="W43" t="str">
            <v>45PEB 6</v>
          </cell>
          <cell r="X43" t="str">
            <v>45PEB 7</v>
          </cell>
          <cell r="Y43" t="str">
            <v>45MPP</v>
          </cell>
          <cell r="Z43" t="str">
            <v>45ID</v>
          </cell>
          <cell r="AA43" t="str">
            <v>45LL</v>
          </cell>
          <cell r="AB43" t="str">
            <v>45PMK</v>
          </cell>
          <cell r="AD43">
            <v>134707.3774999998</v>
          </cell>
          <cell r="AE43">
            <v>0</v>
          </cell>
          <cell r="AF43">
            <v>168935.6221440002</v>
          </cell>
          <cell r="AG43">
            <v>62293.519956142518</v>
          </cell>
          <cell r="AH43">
            <v>0</v>
          </cell>
          <cell r="AI43">
            <v>0</v>
          </cell>
          <cell r="AJ43">
            <v>6916.1304658024328</v>
          </cell>
          <cell r="AK43">
            <v>0</v>
          </cell>
          <cell r="AL43">
            <v>9229.7881156224721</v>
          </cell>
          <cell r="AM43">
            <v>73326.689149705635</v>
          </cell>
          <cell r="AN43">
            <v>54250</v>
          </cell>
          <cell r="AP43">
            <v>0</v>
          </cell>
          <cell r="AQ43">
            <v>0</v>
          </cell>
          <cell r="AR43">
            <v>-128699.12665354011</v>
          </cell>
          <cell r="AS43">
            <v>-62293.519956142518</v>
          </cell>
          <cell r="AT43">
            <v>0</v>
          </cell>
          <cell r="AU43">
            <v>0</v>
          </cell>
          <cell r="AV43">
            <v>-6916.1304658024328</v>
          </cell>
          <cell r="AW43">
            <v>0</v>
          </cell>
          <cell r="AX43">
            <v>-9229.7881156224721</v>
          </cell>
          <cell r="AY43">
            <v>-73326.689149705635</v>
          </cell>
          <cell r="AZ43">
            <v>-54250</v>
          </cell>
          <cell r="BB43">
            <v>0</v>
          </cell>
          <cell r="BC43">
            <v>0</v>
          </cell>
          <cell r="BD43">
            <v>0</v>
          </cell>
          <cell r="BE43">
            <v>-384860.04518231552</v>
          </cell>
          <cell r="BF43">
            <v>-2613.088291112178</v>
          </cell>
          <cell r="BG43">
            <v>0</v>
          </cell>
          <cell r="BH43">
            <v>-179617.45400674629</v>
          </cell>
          <cell r="BI43">
            <v>0</v>
          </cell>
          <cell r="BJ43">
            <v>-368924.56071036489</v>
          </cell>
          <cell r="BK43">
            <v>-102299.72597572955</v>
          </cell>
          <cell r="BL43">
            <v>-397265.57974596584</v>
          </cell>
        </row>
        <row r="44">
          <cell r="C44" t="str">
            <v>A0062</v>
          </cell>
          <cell r="D44" t="str">
            <v>PT FSCM Manufacturing Indonesia</v>
          </cell>
          <cell r="E44" t="str">
            <v>Astra Otoparts Group</v>
          </cell>
          <cell r="F44">
            <v>-590986.2240146962</v>
          </cell>
          <cell r="G44">
            <v>0</v>
          </cell>
          <cell r="H44">
            <v>-954892.36658938311</v>
          </cell>
          <cell r="I44">
            <v>-2952773.8536207564</v>
          </cell>
          <cell r="J44">
            <v>0</v>
          </cell>
          <cell r="K44">
            <v>0</v>
          </cell>
          <cell r="L44">
            <v>-106156.11986027914</v>
          </cell>
          <cell r="M44">
            <v>-2412752.5040684245</v>
          </cell>
          <cell r="N44">
            <v>-3245110.118970328</v>
          </cell>
          <cell r="O44">
            <v>-2113391.2407746762</v>
          </cell>
          <cell r="P44">
            <v>-4127209.873599655</v>
          </cell>
          <cell r="R44" t="str">
            <v>48PEB 1</v>
          </cell>
          <cell r="S44" t="str">
            <v>48PEB 2</v>
          </cell>
          <cell r="T44" t="str">
            <v>48PEB 3</v>
          </cell>
          <cell r="U44" t="str">
            <v>48PEB 4</v>
          </cell>
          <cell r="V44" t="str">
            <v>48PEB 5</v>
          </cell>
          <cell r="W44" t="str">
            <v>48PEB 6</v>
          </cell>
          <cell r="X44" t="str">
            <v>48PEB 7</v>
          </cell>
          <cell r="Y44" t="str">
            <v>48MPP</v>
          </cell>
          <cell r="Z44" t="str">
            <v>48ID</v>
          </cell>
          <cell r="AA44" t="str">
            <v>48LL</v>
          </cell>
          <cell r="AB44" t="str">
            <v>48PMK</v>
          </cell>
          <cell r="AD44">
            <v>603606.65507572936</v>
          </cell>
          <cell r="AE44">
            <v>0</v>
          </cell>
          <cell r="AF44">
            <v>21539.757777343351</v>
          </cell>
          <cell r="AG44">
            <v>75597.187781572575</v>
          </cell>
          <cell r="AH44">
            <v>0</v>
          </cell>
          <cell r="AI44">
            <v>0</v>
          </cell>
          <cell r="AJ44">
            <v>67952.728320360591</v>
          </cell>
          <cell r="AK44">
            <v>20496.502245000003</v>
          </cell>
          <cell r="AL44">
            <v>113586.49891957265</v>
          </cell>
          <cell r="AM44">
            <v>765934.60898212623</v>
          </cell>
          <cell r="AN44">
            <v>689900</v>
          </cell>
          <cell r="AP44">
            <v>-340375.0438491361</v>
          </cell>
          <cell r="AQ44">
            <v>0</v>
          </cell>
          <cell r="AR44">
            <v>-21539.757777343351</v>
          </cell>
          <cell r="AS44">
            <v>-75597.187781572575</v>
          </cell>
          <cell r="AT44">
            <v>0</v>
          </cell>
          <cell r="AU44">
            <v>0</v>
          </cell>
          <cell r="AV44">
            <v>-67952.728320360591</v>
          </cell>
          <cell r="AW44">
            <v>-20496.502245000003</v>
          </cell>
          <cell r="AX44">
            <v>-113586.49891957265</v>
          </cell>
          <cell r="AY44">
            <v>-765934.60898212623</v>
          </cell>
          <cell r="AZ44">
            <v>-689900</v>
          </cell>
          <cell r="BB44">
            <v>-250611.1801655601</v>
          </cell>
          <cell r="BC44">
            <v>0</v>
          </cell>
          <cell r="BD44">
            <v>-933352.60881203972</v>
          </cell>
          <cell r="BE44">
            <v>-2877176.6658391841</v>
          </cell>
          <cell r="BF44">
            <v>0</v>
          </cell>
          <cell r="BG44">
            <v>0</v>
          </cell>
          <cell r="BH44">
            <v>-38203.39153991855</v>
          </cell>
          <cell r="BI44">
            <v>-2392256.0018234244</v>
          </cell>
          <cell r="BJ44">
            <v>-3131523.6200507553</v>
          </cell>
          <cell r="BK44">
            <v>-1347456.63179255</v>
          </cell>
          <cell r="BL44">
            <v>-3437309.873599655</v>
          </cell>
        </row>
        <row r="45">
          <cell r="C45" t="str">
            <v>A0098</v>
          </cell>
          <cell r="D45" t="str">
            <v>PT Federal International Finance</v>
          </cell>
          <cell r="E45" t="str">
            <v>Other - Non Group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R45" t="str">
            <v>49PEB 1</v>
          </cell>
          <cell r="S45" t="str">
            <v>49PEB 2</v>
          </cell>
          <cell r="T45" t="str">
            <v>49PEB 3</v>
          </cell>
          <cell r="U45" t="str">
            <v>49PEB 4</v>
          </cell>
          <cell r="V45" t="str">
            <v>49PEB 5</v>
          </cell>
          <cell r="W45" t="str">
            <v>49PEB 6</v>
          </cell>
          <cell r="X45" t="str">
            <v>49PEB 7</v>
          </cell>
          <cell r="Y45" t="str">
            <v>49MPP</v>
          </cell>
          <cell r="Z45" t="str">
            <v>49ID</v>
          </cell>
          <cell r="AA45" t="str">
            <v>49LL</v>
          </cell>
          <cell r="AB45" t="str">
            <v>49PMK</v>
          </cell>
          <cell r="AD45">
            <v>238610.3181612574</v>
          </cell>
          <cell r="AE45">
            <v>0</v>
          </cell>
          <cell r="AF45">
            <v>18507.176751500003</v>
          </cell>
          <cell r="AG45">
            <v>993524.85546243633</v>
          </cell>
          <cell r="AH45">
            <v>0</v>
          </cell>
          <cell r="AI45">
            <v>0</v>
          </cell>
          <cell r="AJ45">
            <v>238220.09171109746</v>
          </cell>
          <cell r="AK45">
            <v>0</v>
          </cell>
          <cell r="AL45">
            <v>601192.42244300188</v>
          </cell>
          <cell r="AM45">
            <v>7127290.3314041961</v>
          </cell>
          <cell r="AN45">
            <v>574847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  <cell r="AW45" t="e">
            <v>#REF!</v>
          </cell>
          <cell r="AX45" t="e">
            <v>#REF!</v>
          </cell>
          <cell r="AY45" t="e">
            <v>#REF!</v>
          </cell>
          <cell r="AZ45" t="e">
            <v>#REF!</v>
          </cell>
          <cell r="BB45" t="e">
            <v>#REF!</v>
          </cell>
          <cell r="BC45" t="e">
            <v>#REF!</v>
          </cell>
          <cell r="BD45" t="e">
            <v>#REF!</v>
          </cell>
          <cell r="BE45" t="e">
            <v>#REF!</v>
          </cell>
          <cell r="BF45" t="e">
            <v>#REF!</v>
          </cell>
          <cell r="BG45" t="e">
            <v>#REF!</v>
          </cell>
          <cell r="BH45" t="e">
            <v>#REF!</v>
          </cell>
          <cell r="BI45" t="e">
            <v>#REF!</v>
          </cell>
          <cell r="BJ45" t="e">
            <v>#REF!</v>
          </cell>
          <cell r="BK45" t="e">
            <v>#REF!</v>
          </cell>
          <cell r="BL45" t="e">
            <v>#REF!</v>
          </cell>
        </row>
        <row r="46">
          <cell r="C46" t="str">
            <v>A0059</v>
          </cell>
          <cell r="D46" t="str">
            <v>PT Federal Izumi Manufacturing</v>
          </cell>
          <cell r="E46" t="str">
            <v>Astra Otoparts Group</v>
          </cell>
          <cell r="F46">
            <v>655610.95979160676</v>
          </cell>
          <cell r="G46">
            <v>-2278434.541291072</v>
          </cell>
          <cell r="H46">
            <v>-517140.12437181966</v>
          </cell>
          <cell r="I46">
            <v>-966710.10194779409</v>
          </cell>
          <cell r="J46">
            <v>0</v>
          </cell>
          <cell r="K46">
            <v>0</v>
          </cell>
          <cell r="L46">
            <v>-278764.00413106265</v>
          </cell>
          <cell r="M46">
            <v>0</v>
          </cell>
          <cell r="N46">
            <v>-2443676.8203019616</v>
          </cell>
          <cell r="O46">
            <v>-1399822.087531901</v>
          </cell>
          <cell r="P46">
            <v>-3490823.020118332</v>
          </cell>
          <cell r="R46" t="str">
            <v>50PEB 1</v>
          </cell>
          <cell r="S46" t="str">
            <v>50PEB 2</v>
          </cell>
          <cell r="T46" t="str">
            <v>50PEB 3</v>
          </cell>
          <cell r="U46" t="str">
            <v>50PEB 4</v>
          </cell>
          <cell r="V46" t="str">
            <v>50PEB 5</v>
          </cell>
          <cell r="W46" t="str">
            <v>50PEB 6</v>
          </cell>
          <cell r="X46" t="str">
            <v>50PEB 7</v>
          </cell>
          <cell r="Y46" t="str">
            <v>50MPP</v>
          </cell>
          <cell r="Z46" t="str">
            <v>50ID</v>
          </cell>
          <cell r="AA46" t="str">
            <v>50LL</v>
          </cell>
          <cell r="AB46" t="str">
            <v>50PMK</v>
          </cell>
          <cell r="AD46">
            <v>30407.72584652773</v>
          </cell>
          <cell r="AE46">
            <v>0</v>
          </cell>
          <cell r="AF46">
            <v>0</v>
          </cell>
          <cell r="AG46">
            <v>106436.29487337833</v>
          </cell>
          <cell r="AH46">
            <v>0</v>
          </cell>
          <cell r="AI46">
            <v>0</v>
          </cell>
          <cell r="AJ46">
            <v>58971.862697219622</v>
          </cell>
          <cell r="AK46">
            <v>0</v>
          </cell>
          <cell r="AL46">
            <v>76449.590844796316</v>
          </cell>
          <cell r="AM46">
            <v>459657.0690097395</v>
          </cell>
          <cell r="AN46">
            <v>414350</v>
          </cell>
          <cell r="AP46">
            <v>0</v>
          </cell>
          <cell r="AQ46">
            <v>0</v>
          </cell>
          <cell r="AR46">
            <v>0</v>
          </cell>
          <cell r="AS46">
            <v>-106436.29487337833</v>
          </cell>
          <cell r="AT46">
            <v>0</v>
          </cell>
          <cell r="AU46">
            <v>0</v>
          </cell>
          <cell r="AV46">
            <v>-58971.862697219622</v>
          </cell>
          <cell r="AW46">
            <v>0</v>
          </cell>
          <cell r="AX46">
            <v>-76449.590844796316</v>
          </cell>
          <cell r="AY46">
            <v>-459657.0690097395</v>
          </cell>
          <cell r="AZ46">
            <v>-414350</v>
          </cell>
          <cell r="BB46">
            <v>655610.95979160676</v>
          </cell>
          <cell r="BC46">
            <v>-2278434.541291072</v>
          </cell>
          <cell r="BD46">
            <v>-517140.12437181966</v>
          </cell>
          <cell r="BE46">
            <v>-860273.80707441573</v>
          </cell>
          <cell r="BF46">
            <v>0</v>
          </cell>
          <cell r="BG46">
            <v>0</v>
          </cell>
          <cell r="BH46">
            <v>-219792.14143384303</v>
          </cell>
          <cell r="BI46">
            <v>0</v>
          </cell>
          <cell r="BJ46">
            <v>-2367227.2294571651</v>
          </cell>
          <cell r="BK46">
            <v>-940165.01852216152</v>
          </cell>
          <cell r="BL46">
            <v>-3076473.020118332</v>
          </cell>
        </row>
        <row r="47">
          <cell r="C47" t="str">
            <v>A0274</v>
          </cell>
          <cell r="D47" t="str">
            <v>PT Federal Nittan Industries</v>
          </cell>
          <cell r="E47" t="str">
            <v>Astra Otoparts Group</v>
          </cell>
          <cell r="F47">
            <v>18403.988842625869</v>
          </cell>
          <cell r="G47">
            <v>0</v>
          </cell>
          <cell r="H47">
            <v>-468311.62851534714</v>
          </cell>
          <cell r="I47">
            <v>-631551.44657471601</v>
          </cell>
          <cell r="J47">
            <v>0</v>
          </cell>
          <cell r="K47">
            <v>0</v>
          </cell>
          <cell r="L47">
            <v>-566500.77183775161</v>
          </cell>
          <cell r="M47">
            <v>-387116.8856033989</v>
          </cell>
          <cell r="N47">
            <v>-1614481.0538130726</v>
          </cell>
          <cell r="O47">
            <v>-1318212.9534282498</v>
          </cell>
          <cell r="P47">
            <v>-1276374.4584527162</v>
          </cell>
          <cell r="R47" t="str">
            <v>51PEB 1</v>
          </cell>
          <cell r="S47" t="str">
            <v>51PEB 2</v>
          </cell>
          <cell r="T47" t="str">
            <v>51PEB 3</v>
          </cell>
          <cell r="U47" t="str">
            <v>51PEB 4</v>
          </cell>
          <cell r="V47" t="str">
            <v>51PEB 5</v>
          </cell>
          <cell r="W47" t="str">
            <v>51PEB 6</v>
          </cell>
          <cell r="X47" t="str">
            <v>51PEB 7</v>
          </cell>
          <cell r="Y47" t="str">
            <v>51MPP</v>
          </cell>
          <cell r="Z47" t="str">
            <v>51ID</v>
          </cell>
          <cell r="AA47" t="str">
            <v>51LL</v>
          </cell>
          <cell r="AB47" t="str">
            <v>51PMK</v>
          </cell>
          <cell r="AD47">
            <v>19024.129751982236</v>
          </cell>
          <cell r="AE47">
            <v>0</v>
          </cell>
          <cell r="AF47">
            <v>0</v>
          </cell>
          <cell r="AG47">
            <v>52365.800111805096</v>
          </cell>
          <cell r="AH47">
            <v>0</v>
          </cell>
          <cell r="AI47">
            <v>0</v>
          </cell>
          <cell r="AJ47">
            <v>34955.306410913487</v>
          </cell>
          <cell r="AK47">
            <v>0</v>
          </cell>
          <cell r="AL47">
            <v>40166.232913056359</v>
          </cell>
          <cell r="AM47">
            <v>400504.74093421904</v>
          </cell>
          <cell r="AN47">
            <v>66918.75</v>
          </cell>
          <cell r="AP47">
            <v>0</v>
          </cell>
          <cell r="AQ47">
            <v>0</v>
          </cell>
          <cell r="AR47">
            <v>0</v>
          </cell>
          <cell r="AS47">
            <v>-52365.800111805096</v>
          </cell>
          <cell r="AT47">
            <v>0</v>
          </cell>
          <cell r="AU47">
            <v>0</v>
          </cell>
          <cell r="AV47">
            <v>-34955.306410913487</v>
          </cell>
          <cell r="AW47">
            <v>0</v>
          </cell>
          <cell r="AX47">
            <v>-40166.232913056359</v>
          </cell>
          <cell r="AY47">
            <v>-400504.74093421904</v>
          </cell>
          <cell r="AZ47">
            <v>-66918.75</v>
          </cell>
          <cell r="BB47">
            <v>18403.988842625869</v>
          </cell>
          <cell r="BC47">
            <v>0</v>
          </cell>
          <cell r="BD47">
            <v>-468311.62851534714</v>
          </cell>
          <cell r="BE47">
            <v>-579185.64646291093</v>
          </cell>
          <cell r="BF47">
            <v>0</v>
          </cell>
          <cell r="BG47">
            <v>0</v>
          </cell>
          <cell r="BH47">
            <v>-531545.46542683814</v>
          </cell>
          <cell r="BI47">
            <v>-387116.8856033989</v>
          </cell>
          <cell r="BJ47">
            <v>-1574314.8209000162</v>
          </cell>
          <cell r="BK47">
            <v>-917708.21249403083</v>
          </cell>
          <cell r="BL47">
            <v>-1209455.7084527162</v>
          </cell>
        </row>
        <row r="48">
          <cell r="C48" t="str">
            <v>A0275</v>
          </cell>
          <cell r="D48" t="str">
            <v>PT Fuji Technica Indonesia</v>
          </cell>
          <cell r="E48" t="str">
            <v>Astra Motor Tiga Group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R48" t="str">
            <v>52PEB 1</v>
          </cell>
          <cell r="S48" t="str">
            <v>52PEB 2</v>
          </cell>
          <cell r="T48" t="str">
            <v>52PEB 3</v>
          </cell>
          <cell r="U48" t="str">
            <v>52PEB 4</v>
          </cell>
          <cell r="V48" t="str">
            <v>52PEB 5</v>
          </cell>
          <cell r="W48" t="str">
            <v>52PEB 6</v>
          </cell>
          <cell r="X48" t="str">
            <v>52PEB 7</v>
          </cell>
          <cell r="Y48" t="str">
            <v>52MPP</v>
          </cell>
          <cell r="Z48" t="str">
            <v>52ID</v>
          </cell>
          <cell r="AA48" t="str">
            <v>52LL</v>
          </cell>
          <cell r="AB48" t="str">
            <v>52PMK</v>
          </cell>
          <cell r="AD48">
            <v>43776.435634359048</v>
          </cell>
          <cell r="AE48">
            <v>0</v>
          </cell>
          <cell r="AF48">
            <v>0</v>
          </cell>
          <cell r="AG48">
            <v>44394.888370786342</v>
          </cell>
          <cell r="AH48">
            <v>0</v>
          </cell>
          <cell r="AI48">
            <v>0</v>
          </cell>
          <cell r="AJ48">
            <v>25903.177219024499</v>
          </cell>
          <cell r="AK48">
            <v>0</v>
          </cell>
          <cell r="AL48">
            <v>57254.327257948775</v>
          </cell>
          <cell r="AM48">
            <v>413718.2828680746</v>
          </cell>
          <cell r="AN48">
            <v>123026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</row>
        <row r="49">
          <cell r="C49" t="str">
            <v>A0065</v>
          </cell>
          <cell r="D49" t="str">
            <v>PT Gaya Motor</v>
          </cell>
          <cell r="E49" t="str">
            <v>Astra Motor Tiga Group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R49" t="str">
            <v>53PEB 1</v>
          </cell>
          <cell r="S49" t="str">
            <v>53PEB 2</v>
          </cell>
          <cell r="T49" t="str">
            <v>53PEB 3</v>
          </cell>
          <cell r="U49" t="str">
            <v>53PEB 4</v>
          </cell>
          <cell r="V49" t="str">
            <v>53PEB 5</v>
          </cell>
          <cell r="W49" t="str">
            <v>53PEB 6</v>
          </cell>
          <cell r="X49" t="str">
            <v>53PEB 7</v>
          </cell>
          <cell r="Y49" t="str">
            <v>53MPP</v>
          </cell>
          <cell r="Z49" t="str">
            <v>53ID</v>
          </cell>
          <cell r="AA49" t="str">
            <v>53LL</v>
          </cell>
          <cell r="AB49" t="str">
            <v>53PMK</v>
          </cell>
          <cell r="AD49">
            <v>3849146.0093225497</v>
          </cell>
          <cell r="AE49">
            <v>810008.43</v>
          </cell>
          <cell r="AF49">
            <v>320505.32861999993</v>
          </cell>
          <cell r="AG49">
            <v>270176.49843980261</v>
          </cell>
          <cell r="AH49">
            <v>0</v>
          </cell>
          <cell r="AI49">
            <v>0</v>
          </cell>
          <cell r="AJ49">
            <v>84722.255295576018</v>
          </cell>
          <cell r="AK49">
            <v>148866.75</v>
          </cell>
          <cell r="AL49">
            <v>169420.16722180901</v>
          </cell>
          <cell r="AM49">
            <v>852543.64739399077</v>
          </cell>
          <cell r="AN49">
            <v>788376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</row>
        <row r="50">
          <cell r="C50" t="str">
            <v>A0070</v>
          </cell>
          <cell r="D50" t="str">
            <v>PT GS Battery</v>
          </cell>
          <cell r="E50" t="str">
            <v>Astra Otoparts Group</v>
          </cell>
          <cell r="F50">
            <v>-8501984.7010838185</v>
          </cell>
          <cell r="G50">
            <v>0</v>
          </cell>
          <cell r="H50">
            <v>-9386000.017222384</v>
          </cell>
          <cell r="I50">
            <v>-6865083.3557221331</v>
          </cell>
          <cell r="J50">
            <v>0</v>
          </cell>
          <cell r="K50">
            <v>0</v>
          </cell>
          <cell r="L50">
            <v>-700741.57187447418</v>
          </cell>
          <cell r="M50">
            <v>-5255867.6211775579</v>
          </cell>
          <cell r="N50">
            <v>-6707622.3567504399</v>
          </cell>
          <cell r="O50">
            <v>-5138643.851699166</v>
          </cell>
          <cell r="P50">
            <v>-7149479.9874437982</v>
          </cell>
          <cell r="R50" t="str">
            <v>54PEB 1</v>
          </cell>
          <cell r="S50" t="str">
            <v>54PEB 2</v>
          </cell>
          <cell r="T50" t="str">
            <v>54PEB 3</v>
          </cell>
          <cell r="U50" t="str">
            <v>54PEB 4</v>
          </cell>
          <cell r="V50" t="str">
            <v>54PEB 5</v>
          </cell>
          <cell r="W50" t="str">
            <v>54PEB 6</v>
          </cell>
          <cell r="X50" t="str">
            <v>54PEB 7</v>
          </cell>
          <cell r="Y50" t="str">
            <v>54MPP</v>
          </cell>
          <cell r="Z50" t="str">
            <v>54ID</v>
          </cell>
          <cell r="AA50" t="str">
            <v>54LL</v>
          </cell>
          <cell r="AB50" t="str">
            <v>54PMK</v>
          </cell>
          <cell r="AD50">
            <v>8287125.4576545572</v>
          </cell>
          <cell r="AE50">
            <v>0</v>
          </cell>
          <cell r="AF50">
            <v>379751.14439540077</v>
          </cell>
          <cell r="AG50">
            <v>541637.03629342793</v>
          </cell>
          <cell r="AH50">
            <v>0</v>
          </cell>
          <cell r="AI50">
            <v>0</v>
          </cell>
          <cell r="AJ50">
            <v>168879.08887442717</v>
          </cell>
          <cell r="AK50">
            <v>346287.60450000002</v>
          </cell>
          <cell r="AL50">
            <v>369020.28628664883</v>
          </cell>
          <cell r="AM50">
            <v>1378375.4150453191</v>
          </cell>
          <cell r="AN50">
            <v>707887.5</v>
          </cell>
          <cell r="AP50">
            <v>-1288195.2095531905</v>
          </cell>
          <cell r="AQ50">
            <v>0</v>
          </cell>
          <cell r="AR50">
            <v>-379751.14439540077</v>
          </cell>
          <cell r="AS50">
            <v>-541637.03629342793</v>
          </cell>
          <cell r="AT50">
            <v>0</v>
          </cell>
          <cell r="AU50">
            <v>0</v>
          </cell>
          <cell r="AV50">
            <v>-168879.08887442717</v>
          </cell>
          <cell r="AW50">
            <v>-346287.60450000002</v>
          </cell>
          <cell r="AX50">
            <v>-369020.28628664883</v>
          </cell>
          <cell r="AY50">
            <v>-1378375.4150453191</v>
          </cell>
          <cell r="AZ50">
            <v>-707887.5</v>
          </cell>
          <cell r="BB50">
            <v>-7213789.4915306279</v>
          </cell>
          <cell r="BC50">
            <v>0</v>
          </cell>
          <cell r="BD50">
            <v>-9006248.8728269823</v>
          </cell>
          <cell r="BE50">
            <v>-6323446.3194287047</v>
          </cell>
          <cell r="BF50">
            <v>0</v>
          </cell>
          <cell r="BG50">
            <v>0</v>
          </cell>
          <cell r="BH50">
            <v>-531862.48300004704</v>
          </cell>
          <cell r="BI50">
            <v>-4909580.0166775575</v>
          </cell>
          <cell r="BJ50">
            <v>-6338602.0704637915</v>
          </cell>
          <cell r="BK50">
            <v>-3760268.4366538469</v>
          </cell>
          <cell r="BL50">
            <v>-6441592.4874437982</v>
          </cell>
        </row>
        <row r="51">
          <cell r="C51" t="str">
            <v>A0077</v>
          </cell>
          <cell r="D51" t="str">
            <v>PT Indokarlo Perkasa</v>
          </cell>
          <cell r="E51" t="str">
            <v>Astra Otoparts Group</v>
          </cell>
          <cell r="F51">
            <v>-17405.018706308372</v>
          </cell>
          <cell r="G51">
            <v>0</v>
          </cell>
          <cell r="H51">
            <v>-36560.231709461863</v>
          </cell>
          <cell r="I51">
            <v>-2219378.54664374</v>
          </cell>
          <cell r="J51">
            <v>0</v>
          </cell>
          <cell r="K51">
            <v>0</v>
          </cell>
          <cell r="L51">
            <v>-418509.09289245255</v>
          </cell>
          <cell r="M51">
            <v>0</v>
          </cell>
          <cell r="N51">
            <v>-1481566.9410458528</v>
          </cell>
          <cell r="O51">
            <v>-1206349.8545126205</v>
          </cell>
          <cell r="P51">
            <v>-1475580.4346202149</v>
          </cell>
          <cell r="R51" t="str">
            <v>59PEB 1</v>
          </cell>
          <cell r="S51" t="str">
            <v>59PEB 2</v>
          </cell>
          <cell r="T51" t="str">
            <v>59PEB 3</v>
          </cell>
          <cell r="U51" t="str">
            <v>59PEB 4</v>
          </cell>
          <cell r="V51" t="str">
            <v>59PEB 5</v>
          </cell>
          <cell r="W51" t="str">
            <v>59PEB 6</v>
          </cell>
          <cell r="X51" t="str">
            <v>59PEB 7</v>
          </cell>
          <cell r="Y51" t="str">
            <v>59MPP</v>
          </cell>
          <cell r="Z51" t="str">
            <v>59ID</v>
          </cell>
          <cell r="AA51" t="str">
            <v>59LL</v>
          </cell>
          <cell r="AB51" t="str">
            <v>59PMK</v>
          </cell>
          <cell r="AD51">
            <v>831.00653198468808</v>
          </cell>
          <cell r="AE51">
            <v>0</v>
          </cell>
          <cell r="AF51">
            <v>0</v>
          </cell>
          <cell r="AG51">
            <v>164616.94516626289</v>
          </cell>
          <cell r="AH51">
            <v>0</v>
          </cell>
          <cell r="AI51">
            <v>0</v>
          </cell>
          <cell r="AJ51">
            <v>37117.891359347122</v>
          </cell>
          <cell r="AK51">
            <v>0</v>
          </cell>
          <cell r="AL51">
            <v>54842.143567067913</v>
          </cell>
          <cell r="AM51">
            <v>406200.82064997504</v>
          </cell>
          <cell r="AN51">
            <v>176637.1</v>
          </cell>
          <cell r="AP51">
            <v>-17319.152136000001</v>
          </cell>
          <cell r="AQ51">
            <v>0</v>
          </cell>
          <cell r="AR51">
            <v>0</v>
          </cell>
          <cell r="AS51">
            <v>-164616.94516626289</v>
          </cell>
          <cell r="AT51">
            <v>0</v>
          </cell>
          <cell r="AU51">
            <v>0</v>
          </cell>
          <cell r="AV51">
            <v>-37117.891359347122</v>
          </cell>
          <cell r="AW51">
            <v>0</v>
          </cell>
          <cell r="AX51">
            <v>-54842.143567067913</v>
          </cell>
          <cell r="AY51">
            <v>-406200.82064997504</v>
          </cell>
          <cell r="AZ51">
            <v>-176637.1</v>
          </cell>
          <cell r="BB51">
            <v>-85.866570308371593</v>
          </cell>
          <cell r="BC51">
            <v>0</v>
          </cell>
          <cell r="BD51">
            <v>-36560.231709461863</v>
          </cell>
          <cell r="BE51">
            <v>-2054761.6014774772</v>
          </cell>
          <cell r="BF51">
            <v>0</v>
          </cell>
          <cell r="BG51">
            <v>0</v>
          </cell>
          <cell r="BH51">
            <v>-381391.20153310546</v>
          </cell>
          <cell r="BI51">
            <v>0</v>
          </cell>
          <cell r="BJ51">
            <v>-1426724.797478785</v>
          </cell>
          <cell r="BK51">
            <v>-800149.0338626455</v>
          </cell>
          <cell r="BL51">
            <v>-1298943.3346202148</v>
          </cell>
        </row>
        <row r="52">
          <cell r="C52" t="str">
            <v>A0079</v>
          </cell>
          <cell r="D52" t="str">
            <v>PT Intertel Nusaperdana</v>
          </cell>
          <cell r="E52" t="str">
            <v>Astratel Group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R52" t="str">
            <v>60PEB 1</v>
          </cell>
          <cell r="S52" t="str">
            <v>60PEB 2</v>
          </cell>
          <cell r="T52" t="str">
            <v>60PEB 3</v>
          </cell>
          <cell r="U52" t="str">
            <v>60PEB 4</v>
          </cell>
          <cell r="V52" t="str">
            <v>60PEB 5</v>
          </cell>
          <cell r="W52" t="str">
            <v>60PEB 6</v>
          </cell>
          <cell r="X52" t="str">
            <v>60PEB 7</v>
          </cell>
          <cell r="Y52" t="str">
            <v>60MPP</v>
          </cell>
          <cell r="Z52" t="str">
            <v>60ID</v>
          </cell>
          <cell r="AA52" t="str">
            <v>60LL</v>
          </cell>
          <cell r="AB52" t="str">
            <v>60PMK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1175.0292312175145</v>
          </cell>
          <cell r="AK52">
            <v>0</v>
          </cell>
          <cell r="AL52">
            <v>1585.9255987545414</v>
          </cell>
          <cell r="AM52">
            <v>35698.043795860889</v>
          </cell>
          <cell r="AN52">
            <v>0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  <cell r="AW52" t="e">
            <v>#REF!</v>
          </cell>
          <cell r="AX52" t="e">
            <v>#REF!</v>
          </cell>
          <cell r="AY52" t="e">
            <v>#REF!</v>
          </cell>
          <cell r="AZ52" t="e">
            <v>#REF!</v>
          </cell>
          <cell r="BB52" t="e">
            <v>#REF!</v>
          </cell>
          <cell r="BC52" t="e">
            <v>#REF!</v>
          </cell>
          <cell r="BD52" t="e">
            <v>#REF!</v>
          </cell>
          <cell r="BE52" t="e">
            <v>#REF!</v>
          </cell>
          <cell r="BF52" t="e">
            <v>#REF!</v>
          </cell>
          <cell r="BG52" t="e">
            <v>#REF!</v>
          </cell>
          <cell r="BH52" t="e">
            <v>#REF!</v>
          </cell>
          <cell r="BI52" t="e">
            <v>#REF!</v>
          </cell>
          <cell r="BJ52" t="e">
            <v>#REF!</v>
          </cell>
          <cell r="BK52" t="e">
            <v>#REF!</v>
          </cell>
          <cell r="BL52" t="e">
            <v>#REF!</v>
          </cell>
        </row>
        <row r="53">
          <cell r="C53" t="str">
            <v>A0081</v>
          </cell>
          <cell r="D53" t="str">
            <v>PT Inti Pantja Press Industry</v>
          </cell>
          <cell r="E53" t="str">
            <v>Astra Motor Tiga Group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R53" t="str">
            <v>61PEB 1</v>
          </cell>
          <cell r="S53" t="str">
            <v>61PEB 2</v>
          </cell>
          <cell r="T53" t="str">
            <v>61PEB 3</v>
          </cell>
          <cell r="U53" t="str">
            <v>61PEB 4</v>
          </cell>
          <cell r="V53" t="str">
            <v>61PEB 5</v>
          </cell>
          <cell r="W53" t="str">
            <v>61PEB 6</v>
          </cell>
          <cell r="X53" t="str">
            <v>61PEB 7</v>
          </cell>
          <cell r="Y53" t="str">
            <v>61MPP</v>
          </cell>
          <cell r="Z53" t="str">
            <v>61ID</v>
          </cell>
          <cell r="AA53" t="str">
            <v>61LL</v>
          </cell>
          <cell r="AB53" t="str">
            <v>61PMK</v>
          </cell>
          <cell r="AD53">
            <v>348813.0564921358</v>
          </cell>
          <cell r="AE53">
            <v>83087.429999999993</v>
          </cell>
          <cell r="AF53">
            <v>68548.779099999985</v>
          </cell>
          <cell r="AG53">
            <v>40909.645754418998</v>
          </cell>
          <cell r="AH53">
            <v>0</v>
          </cell>
          <cell r="AI53">
            <v>0</v>
          </cell>
          <cell r="AJ53">
            <v>26713.47325429054</v>
          </cell>
          <cell r="AK53">
            <v>16786.544999999998</v>
          </cell>
          <cell r="AL53">
            <v>66195.928801373608</v>
          </cell>
          <cell r="AM53">
            <v>578182.09097020444</v>
          </cell>
          <cell r="AN53">
            <v>289386</v>
          </cell>
          <cell r="AP53">
            <v>0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  <cell r="AW53" t="e">
            <v>#REF!</v>
          </cell>
          <cell r="AX53" t="e">
            <v>#REF!</v>
          </cell>
          <cell r="AY53" t="e">
            <v>#REF!</v>
          </cell>
          <cell r="AZ53" t="e">
            <v>#REF!</v>
          </cell>
          <cell r="BB53" t="e">
            <v>#REF!</v>
          </cell>
          <cell r="BC53" t="e">
            <v>#REF!</v>
          </cell>
          <cell r="BD53" t="e">
            <v>#REF!</v>
          </cell>
          <cell r="BE53" t="e">
            <v>#REF!</v>
          </cell>
          <cell r="BF53" t="e">
            <v>#REF!</v>
          </cell>
          <cell r="BG53" t="e">
            <v>#REF!</v>
          </cell>
          <cell r="BH53" t="e">
            <v>#REF!</v>
          </cell>
          <cell r="BI53" t="e">
            <v>#REF!</v>
          </cell>
          <cell r="BJ53" t="e">
            <v>#REF!</v>
          </cell>
          <cell r="BK53" t="e">
            <v>#REF!</v>
          </cell>
          <cell r="BL53" t="e">
            <v>#REF!</v>
          </cell>
        </row>
        <row r="54">
          <cell r="C54" t="str">
            <v>A0115</v>
          </cell>
          <cell r="D54" t="str">
            <v>PT Isuzu Astra Motor Indonesia (d/h Pantja Motor)</v>
          </cell>
          <cell r="E54" t="str">
            <v>Astra Motor Tiga Group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R54" t="str">
            <v>62PEB 1</v>
          </cell>
          <cell r="S54" t="str">
            <v>62PEB 2</v>
          </cell>
          <cell r="T54" t="str">
            <v>62PEB 3</v>
          </cell>
          <cell r="U54" t="str">
            <v>62PEB 4</v>
          </cell>
          <cell r="V54" t="str">
            <v>62PEB 5</v>
          </cell>
          <cell r="W54" t="str">
            <v>62PEB 6</v>
          </cell>
          <cell r="X54" t="str">
            <v>62PEB 7</v>
          </cell>
          <cell r="Y54" t="str">
            <v>62MPP</v>
          </cell>
          <cell r="Z54" t="str">
            <v>62ID</v>
          </cell>
          <cell r="AA54" t="str">
            <v>62LL</v>
          </cell>
          <cell r="AB54" t="str">
            <v>62PMK</v>
          </cell>
          <cell r="AD54">
            <v>1936883.2242340816</v>
          </cell>
          <cell r="AE54">
            <v>586007.98</v>
          </cell>
          <cell r="AF54">
            <v>176684.50411999994</v>
          </cell>
          <cell r="AG54">
            <v>660473.15848358418</v>
          </cell>
          <cell r="AH54">
            <v>0</v>
          </cell>
          <cell r="AI54">
            <v>0</v>
          </cell>
          <cell r="AJ54">
            <v>69395.570762024756</v>
          </cell>
          <cell r="AK54">
            <v>110766.345</v>
          </cell>
          <cell r="AL54">
            <v>186552.99868370855</v>
          </cell>
          <cell r="AM54">
            <v>1135287.585254286</v>
          </cell>
          <cell r="AN54">
            <v>592135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  <cell r="AW54" t="e">
            <v>#REF!</v>
          </cell>
          <cell r="AX54" t="e">
            <v>#REF!</v>
          </cell>
          <cell r="AY54" t="e">
            <v>#REF!</v>
          </cell>
          <cell r="AZ54" t="e">
            <v>#REF!</v>
          </cell>
          <cell r="BB54" t="e">
            <v>#REF!</v>
          </cell>
          <cell r="BC54" t="e">
            <v>#REF!</v>
          </cell>
          <cell r="BD54" t="e">
            <v>#REF!</v>
          </cell>
          <cell r="BE54" t="e">
            <v>#REF!</v>
          </cell>
          <cell r="BF54" t="e">
            <v>#REF!</v>
          </cell>
          <cell r="BG54" t="e">
            <v>#REF!</v>
          </cell>
          <cell r="BH54" t="e">
            <v>#REF!</v>
          </cell>
          <cell r="BI54" t="e">
            <v>#REF!</v>
          </cell>
          <cell r="BJ54" t="e">
            <v>#REF!</v>
          </cell>
          <cell r="BK54" t="e">
            <v>#REF!</v>
          </cell>
          <cell r="BL54" t="e">
            <v>#REF!</v>
          </cell>
        </row>
        <row r="55">
          <cell r="C55" t="str">
            <v>A0360</v>
          </cell>
          <cell r="D55" t="str">
            <v>PT Kalimantan Prima Persada</v>
          </cell>
          <cell r="E55" t="str">
            <v>United Tractors Tbk - Groups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R55" t="str">
            <v>63PEB 1</v>
          </cell>
          <cell r="S55" t="str">
            <v>63PEB 2</v>
          </cell>
          <cell r="T55" t="str">
            <v>63PEB 3</v>
          </cell>
          <cell r="U55" t="str">
            <v>63PEB 4</v>
          </cell>
          <cell r="V55" t="str">
            <v>63PEB 5</v>
          </cell>
          <cell r="W55" t="str">
            <v>63PEB 6</v>
          </cell>
          <cell r="X55" t="str">
            <v>63PEB 7</v>
          </cell>
          <cell r="Y55" t="str">
            <v>63MPP</v>
          </cell>
          <cell r="Z55" t="str">
            <v>63ID</v>
          </cell>
          <cell r="AA55" t="str">
            <v>63LL</v>
          </cell>
          <cell r="AB55" t="str">
            <v>63PMK</v>
          </cell>
          <cell r="AD55">
            <v>1475109.0399619897</v>
          </cell>
          <cell r="AE55">
            <v>0</v>
          </cell>
          <cell r="AF55">
            <v>13454.249239999976</v>
          </cell>
          <cell r="AG55">
            <v>36983.388164353484</v>
          </cell>
          <cell r="AH55">
            <v>0</v>
          </cell>
          <cell r="AI55">
            <v>0</v>
          </cell>
          <cell r="AJ55">
            <v>50228.399105775039</v>
          </cell>
          <cell r="AK55">
            <v>113707.71</v>
          </cell>
          <cell r="AL55">
            <v>107619.53939426929</v>
          </cell>
          <cell r="AM55">
            <v>826677.81076764956</v>
          </cell>
          <cell r="AN55">
            <v>136156.9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  <cell r="AW55" t="e">
            <v>#REF!</v>
          </cell>
          <cell r="AX55" t="e">
            <v>#REF!</v>
          </cell>
          <cell r="AY55" t="e">
            <v>#REF!</v>
          </cell>
          <cell r="AZ55" t="e">
            <v>#REF!</v>
          </cell>
          <cell r="BB55" t="e">
            <v>#REF!</v>
          </cell>
          <cell r="BC55" t="e">
            <v>#REF!</v>
          </cell>
          <cell r="BD55" t="e">
            <v>#REF!</v>
          </cell>
          <cell r="BE55" t="e">
            <v>#REF!</v>
          </cell>
          <cell r="BF55" t="e">
            <v>#REF!</v>
          </cell>
          <cell r="BG55" t="e">
            <v>#REF!</v>
          </cell>
          <cell r="BH55" t="e">
            <v>#REF!</v>
          </cell>
          <cell r="BI55" t="e">
            <v>#REF!</v>
          </cell>
          <cell r="BJ55" t="e">
            <v>#REF!</v>
          </cell>
          <cell r="BK55" t="e">
            <v>#REF!</v>
          </cell>
          <cell r="BL55" t="e">
            <v>#REF!</v>
          </cell>
        </row>
        <row r="56">
          <cell r="C56" t="str">
            <v>A0084</v>
          </cell>
          <cell r="D56" t="str">
            <v>PT Kayaba Indonesia</v>
          </cell>
          <cell r="E56" t="str">
            <v>Astra Otoparts Group</v>
          </cell>
          <cell r="F56">
            <v>116359.04471950466</v>
          </cell>
          <cell r="G56">
            <v>-1920504.5114075441</v>
          </cell>
          <cell r="H56">
            <v>-4786257.5767409634</v>
          </cell>
          <cell r="I56">
            <v>-7210041.2334023397</v>
          </cell>
          <cell r="J56">
            <v>0</v>
          </cell>
          <cell r="K56">
            <v>0</v>
          </cell>
          <cell r="L56">
            <v>-1017546.4820647258</v>
          </cell>
          <cell r="M56">
            <v>-872502.41191465268</v>
          </cell>
          <cell r="N56">
            <v>-5435048.7169073084</v>
          </cell>
          <cell r="O56">
            <v>-3019250.6384775606</v>
          </cell>
          <cell r="P56">
            <v>-1616050.9999999995</v>
          </cell>
          <cell r="R56" t="str">
            <v>66PEB 1</v>
          </cell>
          <cell r="S56" t="str">
            <v>66PEB 2</v>
          </cell>
          <cell r="T56" t="str">
            <v>66PEB 3</v>
          </cell>
          <cell r="U56" t="str">
            <v>66PEB 4</v>
          </cell>
          <cell r="V56" t="str">
            <v>66PEB 5</v>
          </cell>
          <cell r="W56" t="str">
            <v>66PEB 6</v>
          </cell>
          <cell r="X56" t="str">
            <v>66PEB 7</v>
          </cell>
          <cell r="Y56" t="str">
            <v>66MPP</v>
          </cell>
          <cell r="Z56" t="str">
            <v>66ID</v>
          </cell>
          <cell r="AA56" t="str">
            <v>66LL</v>
          </cell>
          <cell r="AB56" t="str">
            <v>66PMK</v>
          </cell>
          <cell r="AD56">
            <v>4260466.1628342913</v>
          </cell>
          <cell r="AE56">
            <v>706522.74</v>
          </cell>
          <cell r="AF56">
            <v>60354.419558666763</v>
          </cell>
          <cell r="AG56">
            <v>274972.58012900117</v>
          </cell>
          <cell r="AH56">
            <v>0</v>
          </cell>
          <cell r="AI56">
            <v>0</v>
          </cell>
          <cell r="AJ56">
            <v>81866</v>
          </cell>
          <cell r="AK56">
            <v>133416.65400000001</v>
          </cell>
          <cell r="AL56">
            <v>276886.00298063114</v>
          </cell>
          <cell r="AM56">
            <v>949711.01897504111</v>
          </cell>
          <cell r="AN56">
            <v>214325</v>
          </cell>
          <cell r="AP56">
            <v>0</v>
          </cell>
          <cell r="AQ56">
            <v>-706522.74</v>
          </cell>
          <cell r="AR56">
            <v>-60354.419558666763</v>
          </cell>
          <cell r="AS56">
            <v>-274972.58012900117</v>
          </cell>
          <cell r="AT56">
            <v>0</v>
          </cell>
          <cell r="AU56">
            <v>0</v>
          </cell>
          <cell r="AV56">
            <v>-81866</v>
          </cell>
          <cell r="AW56">
            <v>-133416.65400000001</v>
          </cell>
          <cell r="AX56">
            <v>-276886.00298063114</v>
          </cell>
          <cell r="AY56">
            <v>-949711.01897504111</v>
          </cell>
          <cell r="AZ56">
            <v>-214325</v>
          </cell>
          <cell r="BB56">
            <v>116359.04471950466</v>
          </cell>
          <cell r="BC56">
            <v>-1213981.7714075441</v>
          </cell>
          <cell r="BD56">
            <v>-4725903.1571822967</v>
          </cell>
          <cell r="BE56">
            <v>-6935068.6532733385</v>
          </cell>
          <cell r="BF56">
            <v>0</v>
          </cell>
          <cell r="BG56">
            <v>0</v>
          </cell>
          <cell r="BH56">
            <v>-935680.48206472583</v>
          </cell>
          <cell r="BI56">
            <v>-739085.7579146527</v>
          </cell>
          <cell r="BJ56">
            <v>-5158162.7139266776</v>
          </cell>
          <cell r="BK56">
            <v>-2069539.6195025195</v>
          </cell>
          <cell r="BL56">
            <v>-1401725.9999999995</v>
          </cell>
        </row>
        <row r="57">
          <cell r="C57" t="str">
            <v>A0378</v>
          </cell>
          <cell r="D57" t="str">
            <v>PT Komatsu Astra Finance</v>
          </cell>
          <cell r="E57" t="str">
            <v>SMI Group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R57" t="str">
            <v>68PEB 1</v>
          </cell>
          <cell r="S57" t="str">
            <v>68PEB 2</v>
          </cell>
          <cell r="T57" t="str">
            <v>68PEB 3</v>
          </cell>
          <cell r="U57" t="str">
            <v>68PEB 4</v>
          </cell>
          <cell r="V57" t="str">
            <v>68PEB 5</v>
          </cell>
          <cell r="W57" t="str">
            <v>68PEB 6</v>
          </cell>
          <cell r="X57" t="str">
            <v>68PEB 7</v>
          </cell>
          <cell r="Y57" t="str">
            <v>68MPP</v>
          </cell>
          <cell r="Z57" t="str">
            <v>68ID</v>
          </cell>
          <cell r="AA57" t="str">
            <v>68LL</v>
          </cell>
          <cell r="AB57" t="str">
            <v>68PMK</v>
          </cell>
          <cell r="AD57">
            <v>2135.2939363619994</v>
          </cell>
          <cell r="AE57">
            <v>0</v>
          </cell>
          <cell r="AF57">
            <v>0</v>
          </cell>
          <cell r="AG57">
            <v>2443.282085146679</v>
          </cell>
          <cell r="AH57">
            <v>0</v>
          </cell>
          <cell r="AI57">
            <v>0</v>
          </cell>
          <cell r="AJ57">
            <v>1634.9011913279146</v>
          </cell>
          <cell r="AK57">
            <v>0</v>
          </cell>
          <cell r="AL57">
            <v>4213.2868184951103</v>
          </cell>
          <cell r="AM57">
            <v>156053.71096654996</v>
          </cell>
          <cell r="AN57">
            <v>0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  <cell r="AW57" t="e">
            <v>#REF!</v>
          </cell>
          <cell r="AX57" t="e">
            <v>#REF!</v>
          </cell>
          <cell r="AY57" t="e">
            <v>#REF!</v>
          </cell>
          <cell r="AZ57" t="e">
            <v>#REF!</v>
          </cell>
          <cell r="BB57" t="e">
            <v>#REF!</v>
          </cell>
          <cell r="BC57" t="e">
            <v>#REF!</v>
          </cell>
          <cell r="BD57" t="e">
            <v>#REF!</v>
          </cell>
          <cell r="BE57" t="e">
            <v>#REF!</v>
          </cell>
          <cell r="BF57" t="e">
            <v>#REF!</v>
          </cell>
          <cell r="BG57" t="e">
            <v>#REF!</v>
          </cell>
          <cell r="BH57" t="e">
            <v>#REF!</v>
          </cell>
          <cell r="BI57" t="e">
            <v>#REF!</v>
          </cell>
          <cell r="BJ57" t="e">
            <v>#REF!</v>
          </cell>
          <cell r="BK57" t="e">
            <v>#REF!</v>
          </cell>
          <cell r="BL57" t="e">
            <v>#REF!</v>
          </cell>
        </row>
        <row r="58">
          <cell r="C58" t="str">
            <v>A0328</v>
          </cell>
          <cell r="D58" t="str">
            <v>PT Komatsu Remanufacturing Asia</v>
          </cell>
          <cell r="E58" t="str">
            <v>United Tractors Tbk - Groups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R58" t="str">
            <v>69PEB 1</v>
          </cell>
          <cell r="S58" t="str">
            <v>69PEB 2</v>
          </cell>
          <cell r="T58" t="str">
            <v>69PEB 3</v>
          </cell>
          <cell r="U58" t="str">
            <v>69PEB 4</v>
          </cell>
          <cell r="V58" t="str">
            <v>69PEB 5</v>
          </cell>
          <cell r="W58" t="str">
            <v>69PEB 6</v>
          </cell>
          <cell r="X58" t="str">
            <v>69PEB 7</v>
          </cell>
          <cell r="Y58" t="str">
            <v>69MPP</v>
          </cell>
          <cell r="Z58" t="str">
            <v>69ID</v>
          </cell>
          <cell r="AA58" t="str">
            <v>69LL</v>
          </cell>
          <cell r="AB58" t="str">
            <v>69PMK</v>
          </cell>
          <cell r="AD58">
            <v>1383975.8888547667</v>
          </cell>
          <cell r="AE58">
            <v>500457.15</v>
          </cell>
          <cell r="AF58">
            <v>0</v>
          </cell>
          <cell r="AG58">
            <v>19035.865481881177</v>
          </cell>
          <cell r="AH58">
            <v>47041.347999999998</v>
          </cell>
          <cell r="AI58">
            <v>0</v>
          </cell>
          <cell r="AJ58">
            <v>25482.53924415282</v>
          </cell>
          <cell r="AK58">
            <v>130770.57</v>
          </cell>
          <cell r="AL58">
            <v>34611.709270997264</v>
          </cell>
          <cell r="AM58">
            <v>308514.79265540291</v>
          </cell>
          <cell r="AN58">
            <v>60800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  <cell r="AW58" t="e">
            <v>#REF!</v>
          </cell>
          <cell r="AX58" t="e">
            <v>#REF!</v>
          </cell>
          <cell r="AY58" t="e">
            <v>#REF!</v>
          </cell>
          <cell r="AZ58" t="e">
            <v>#REF!</v>
          </cell>
          <cell r="BB58" t="e">
            <v>#REF!</v>
          </cell>
          <cell r="BC58" t="e">
            <v>#REF!</v>
          </cell>
          <cell r="BD58" t="e">
            <v>#REF!</v>
          </cell>
          <cell r="BE58" t="e">
            <v>#REF!</v>
          </cell>
          <cell r="BF58" t="e">
            <v>#REF!</v>
          </cell>
          <cell r="BG58" t="e">
            <v>#REF!</v>
          </cell>
          <cell r="BH58" t="e">
            <v>#REF!</v>
          </cell>
          <cell r="BI58" t="e">
            <v>#REF!</v>
          </cell>
          <cell r="BJ58" t="e">
            <v>#REF!</v>
          </cell>
          <cell r="BK58" t="e">
            <v>#REF!</v>
          </cell>
          <cell r="BL58" t="e">
            <v>#REF!</v>
          </cell>
        </row>
        <row r="59">
          <cell r="C59" t="str">
            <v>A0096</v>
          </cell>
          <cell r="D59" t="str">
            <v>PT Menara Terus Makmur</v>
          </cell>
          <cell r="E59" t="str">
            <v>Astra Otoparts Group</v>
          </cell>
          <cell r="F59">
            <v>120058.51865609211</v>
          </cell>
          <cell r="G59">
            <v>0</v>
          </cell>
          <cell r="H59">
            <v>-371120.96557401179</v>
          </cell>
          <cell r="I59">
            <v>-855029.69096503325</v>
          </cell>
          <cell r="J59">
            <v>0</v>
          </cell>
          <cell r="K59">
            <v>0</v>
          </cell>
          <cell r="L59">
            <v>-317752.23388498538</v>
          </cell>
          <cell r="M59">
            <v>-569174.97524918895</v>
          </cell>
          <cell r="N59">
            <v>-2137463.6648814292</v>
          </cell>
          <cell r="O59">
            <v>-1905256.1988350204</v>
          </cell>
          <cell r="P59">
            <v>-1284872.8726948185</v>
          </cell>
          <cell r="R59" t="str">
            <v>73PEB 1</v>
          </cell>
          <cell r="S59" t="str">
            <v>73PEB 2</v>
          </cell>
          <cell r="T59" t="str">
            <v>73PEB 3</v>
          </cell>
          <cell r="U59" t="str">
            <v>73PEB 4</v>
          </cell>
          <cell r="V59" t="str">
            <v>73PEB 5</v>
          </cell>
          <cell r="W59" t="str">
            <v>73PEB 6</v>
          </cell>
          <cell r="X59" t="str">
            <v>73PEB 7</v>
          </cell>
          <cell r="Y59" t="str">
            <v>73MPP</v>
          </cell>
          <cell r="Z59" t="str">
            <v>73ID</v>
          </cell>
          <cell r="AA59" t="str">
            <v>73LL</v>
          </cell>
          <cell r="AB59" t="str">
            <v>73PMK</v>
          </cell>
          <cell r="AD59">
            <v>36309.74133260447</v>
          </cell>
          <cell r="AE59">
            <v>0</v>
          </cell>
          <cell r="AF59">
            <v>0</v>
          </cell>
          <cell r="AG59">
            <v>86680.430621175765</v>
          </cell>
          <cell r="AH59">
            <v>0</v>
          </cell>
          <cell r="AI59">
            <v>0</v>
          </cell>
          <cell r="AJ59">
            <v>60382.289594587557</v>
          </cell>
          <cell r="AK59">
            <v>0</v>
          </cell>
          <cell r="AL59">
            <v>73743.944635807071</v>
          </cell>
          <cell r="AM59">
            <v>642824.26590565173</v>
          </cell>
          <cell r="AN59">
            <v>239700</v>
          </cell>
          <cell r="AP59">
            <v>0</v>
          </cell>
          <cell r="AQ59">
            <v>0</v>
          </cell>
          <cell r="AR59">
            <v>0</v>
          </cell>
          <cell r="AS59">
            <v>-86680.430621175765</v>
          </cell>
          <cell r="AT59">
            <v>0</v>
          </cell>
          <cell r="AU59">
            <v>0</v>
          </cell>
          <cell r="AV59">
            <v>-60382.289594587557</v>
          </cell>
          <cell r="AW59">
            <v>0</v>
          </cell>
          <cell r="AX59">
            <v>-73743.944635807071</v>
          </cell>
          <cell r="AY59">
            <v>-642824.26590565173</v>
          </cell>
          <cell r="AZ59">
            <v>-239700</v>
          </cell>
          <cell r="BB59">
            <v>120058.51865609211</v>
          </cell>
          <cell r="BC59">
            <v>0</v>
          </cell>
          <cell r="BD59">
            <v>-371120.96557401179</v>
          </cell>
          <cell r="BE59">
            <v>-768349.26034385746</v>
          </cell>
          <cell r="BF59">
            <v>0</v>
          </cell>
          <cell r="BG59">
            <v>0</v>
          </cell>
          <cell r="BH59">
            <v>-257369.94429039783</v>
          </cell>
          <cell r="BI59">
            <v>-569174.97524918895</v>
          </cell>
          <cell r="BJ59">
            <v>-2063719.7202456221</v>
          </cell>
          <cell r="BK59">
            <v>-1262431.9329293687</v>
          </cell>
          <cell r="BL59">
            <v>-1045172.8726948185</v>
          </cell>
        </row>
        <row r="60">
          <cell r="C60" t="str">
            <v>A0097</v>
          </cell>
          <cell r="D60" t="str">
            <v>PT Mesin Isuzu Indonesia</v>
          </cell>
          <cell r="E60" t="str">
            <v>Astra Motor Tiga Group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R60" t="str">
            <v>74PEB 1</v>
          </cell>
          <cell r="S60" t="str">
            <v>74PEB 2</v>
          </cell>
          <cell r="T60" t="str">
            <v>74PEB 3</v>
          </cell>
          <cell r="U60" t="str">
            <v>74PEB 4</v>
          </cell>
          <cell r="V60" t="str">
            <v>74PEB 5</v>
          </cell>
          <cell r="W60" t="str">
            <v>74PEB 6</v>
          </cell>
          <cell r="X60" t="str">
            <v>74PEB 7</v>
          </cell>
          <cell r="Y60" t="str">
            <v>74MPP</v>
          </cell>
          <cell r="Z60" t="str">
            <v>74ID</v>
          </cell>
          <cell r="AA60" t="str">
            <v>74LL</v>
          </cell>
          <cell r="AB60" t="str">
            <v>74PMK</v>
          </cell>
          <cell r="AD60">
            <v>0</v>
          </cell>
          <cell r="AE60">
            <v>354811.90590000001</v>
          </cell>
          <cell r="AF60">
            <v>0</v>
          </cell>
          <cell r="AG60">
            <v>1373550.8389985806</v>
          </cell>
          <cell r="AH60">
            <v>0</v>
          </cell>
          <cell r="AI60">
            <v>0</v>
          </cell>
          <cell r="AJ60">
            <v>32554.4219788257</v>
          </cell>
          <cell r="AK60">
            <v>77863.655685000005</v>
          </cell>
          <cell r="AL60">
            <v>55197.387863291035</v>
          </cell>
          <cell r="AM60">
            <v>582632.57396675833</v>
          </cell>
          <cell r="AN60">
            <v>306265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  <cell r="AW60" t="e">
            <v>#REF!</v>
          </cell>
          <cell r="AX60" t="e">
            <v>#REF!</v>
          </cell>
          <cell r="AY60" t="e">
            <v>#REF!</v>
          </cell>
          <cell r="AZ60" t="e">
            <v>#REF!</v>
          </cell>
          <cell r="BB60" t="e">
            <v>#REF!</v>
          </cell>
          <cell r="BC60" t="e">
            <v>#REF!</v>
          </cell>
          <cell r="BD60" t="e">
            <v>#REF!</v>
          </cell>
          <cell r="BE60" t="e">
            <v>#REF!</v>
          </cell>
          <cell r="BF60" t="e">
            <v>#REF!</v>
          </cell>
          <cell r="BG60" t="e">
            <v>#REF!</v>
          </cell>
          <cell r="BH60" t="e">
            <v>#REF!</v>
          </cell>
          <cell r="BI60" t="e">
            <v>#REF!</v>
          </cell>
          <cell r="BJ60" t="e">
            <v>#REF!</v>
          </cell>
          <cell r="BK60" t="e">
            <v>#REF!</v>
          </cell>
          <cell r="BL60" t="e">
            <v>#REF!</v>
          </cell>
        </row>
        <row r="61">
          <cell r="C61" t="str">
            <v>A0451</v>
          </cell>
          <cell r="D61" t="str">
            <v>PT Multi Prima Universal</v>
          </cell>
          <cell r="E61" t="str">
            <v>United Tractors Tbk - Groups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R61" t="str">
            <v>75PEB 1</v>
          </cell>
          <cell r="S61" t="str">
            <v>75PEB 2</v>
          </cell>
          <cell r="T61" t="str">
            <v>75PEB 3</v>
          </cell>
          <cell r="U61" t="str">
            <v>75PEB 4</v>
          </cell>
          <cell r="V61" t="str">
            <v>75PEB 5</v>
          </cell>
          <cell r="W61" t="str">
            <v>75PEB 6</v>
          </cell>
          <cell r="X61" t="str">
            <v>75PEB 7</v>
          </cell>
          <cell r="Y61" t="str">
            <v>75MPP</v>
          </cell>
          <cell r="Z61" t="str">
            <v>75ID</v>
          </cell>
          <cell r="AA61" t="str">
            <v>75LL</v>
          </cell>
          <cell r="AB61" t="str">
            <v>75PMK</v>
          </cell>
          <cell r="AD61">
            <v>12687.008447742402</v>
          </cell>
          <cell r="AE61">
            <v>0</v>
          </cell>
          <cell r="AF61">
            <v>0</v>
          </cell>
          <cell r="AG61">
            <v>1556.7503650565984</v>
          </cell>
          <cell r="AH61">
            <v>0</v>
          </cell>
          <cell r="AI61">
            <v>17037.7605</v>
          </cell>
          <cell r="AJ61">
            <v>6518.4876664824851</v>
          </cell>
          <cell r="AK61">
            <v>0</v>
          </cell>
          <cell r="AL61">
            <v>13037.007621143352</v>
          </cell>
          <cell r="AM61">
            <v>87842.208423444477</v>
          </cell>
          <cell r="AN61">
            <v>26103.5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  <cell r="AW61" t="e">
            <v>#REF!</v>
          </cell>
          <cell r="AX61" t="e">
            <v>#REF!</v>
          </cell>
          <cell r="AY61" t="e">
            <v>#REF!</v>
          </cell>
          <cell r="AZ61" t="e">
            <v>#REF!</v>
          </cell>
          <cell r="BB61" t="e">
            <v>#REF!</v>
          </cell>
          <cell r="BC61" t="e">
            <v>#REF!</v>
          </cell>
          <cell r="BD61" t="e">
            <v>#REF!</v>
          </cell>
          <cell r="BE61" t="e">
            <v>#REF!</v>
          </cell>
          <cell r="BF61" t="e">
            <v>#REF!</v>
          </cell>
          <cell r="BG61" t="e">
            <v>#REF!</v>
          </cell>
          <cell r="BH61" t="e">
            <v>#REF!</v>
          </cell>
          <cell r="BI61" t="e">
            <v>#REF!</v>
          </cell>
          <cell r="BJ61" t="e">
            <v>#REF!</v>
          </cell>
          <cell r="BK61" t="e">
            <v>#REF!</v>
          </cell>
          <cell r="BL61" t="e">
            <v>#REF!</v>
          </cell>
        </row>
        <row r="62">
          <cell r="C62" t="str">
            <v>A0345</v>
          </cell>
          <cell r="D62" t="str">
            <v>PT Nusa Keihin Indonesia</v>
          </cell>
          <cell r="E62" t="str">
            <v>Astra Otoparts Group</v>
          </cell>
          <cell r="F62">
            <v>-2444.6625196544774</v>
          </cell>
          <cell r="G62">
            <v>-222941.13669173935</v>
          </cell>
          <cell r="H62">
            <v>-62998.811035007959</v>
          </cell>
          <cell r="I62">
            <v>-268175.71853677696</v>
          </cell>
          <cell r="J62">
            <v>0</v>
          </cell>
          <cell r="K62">
            <v>0</v>
          </cell>
          <cell r="L62">
            <v>-73374.204665419937</v>
          </cell>
          <cell r="M62">
            <v>-14643.316951525219</v>
          </cell>
          <cell r="N62">
            <v>-354531.66025141848</v>
          </cell>
          <cell r="O62">
            <v>-141086.68846514297</v>
          </cell>
          <cell r="P62">
            <v>-234595.02877487574</v>
          </cell>
          <cell r="R62" t="str">
            <v>77PEB 1</v>
          </cell>
          <cell r="S62" t="str">
            <v>77PEB 2</v>
          </cell>
          <cell r="T62" t="str">
            <v>77PEB 3</v>
          </cell>
          <cell r="U62" t="str">
            <v>77PEB 4</v>
          </cell>
          <cell r="V62" t="str">
            <v>77PEB 5</v>
          </cell>
          <cell r="W62" t="str">
            <v>77PEB 6</v>
          </cell>
          <cell r="X62" t="str">
            <v>77PEB 7</v>
          </cell>
          <cell r="Y62" t="str">
            <v>77MPP</v>
          </cell>
          <cell r="Z62" t="str">
            <v>77ID</v>
          </cell>
          <cell r="AA62" t="str">
            <v>77LL</v>
          </cell>
          <cell r="AB62" t="str">
            <v>77PMK</v>
          </cell>
          <cell r="AD62">
            <v>1142.0646632917292</v>
          </cell>
          <cell r="AE62">
            <v>0</v>
          </cell>
          <cell r="AF62">
            <v>0</v>
          </cell>
          <cell r="AG62">
            <v>6432.4533416961467</v>
          </cell>
          <cell r="AH62">
            <v>0</v>
          </cell>
          <cell r="AI62">
            <v>0</v>
          </cell>
          <cell r="AJ62">
            <v>4456.823596233161</v>
          </cell>
          <cell r="AK62">
            <v>0</v>
          </cell>
          <cell r="AL62">
            <v>3353.7543193918546</v>
          </cell>
          <cell r="AM62">
            <v>21695.655942142537</v>
          </cell>
          <cell r="AN62">
            <v>11050</v>
          </cell>
          <cell r="AP62">
            <v>-2444.6625196544774</v>
          </cell>
          <cell r="AQ62">
            <v>0</v>
          </cell>
          <cell r="AR62">
            <v>0</v>
          </cell>
          <cell r="AS62">
            <v>-6432.4533416961467</v>
          </cell>
          <cell r="AT62">
            <v>0</v>
          </cell>
          <cell r="AU62">
            <v>0</v>
          </cell>
          <cell r="AV62">
            <v>-4456.823596233161</v>
          </cell>
          <cell r="AW62">
            <v>0</v>
          </cell>
          <cell r="AX62">
            <v>-3353.7543193918546</v>
          </cell>
          <cell r="AY62">
            <v>-21695.655942142537</v>
          </cell>
          <cell r="AZ62">
            <v>-11050</v>
          </cell>
          <cell r="BB62">
            <v>0</v>
          </cell>
          <cell r="BC62">
            <v>-222941.13669173935</v>
          </cell>
          <cell r="BD62">
            <v>-62998.811035007959</v>
          </cell>
          <cell r="BE62">
            <v>-261743.26519508081</v>
          </cell>
          <cell r="BF62">
            <v>0</v>
          </cell>
          <cell r="BG62">
            <v>0</v>
          </cell>
          <cell r="BH62">
            <v>-68917.381069186769</v>
          </cell>
          <cell r="BI62">
            <v>-14643.316951525219</v>
          </cell>
          <cell r="BJ62">
            <v>-351177.90593202662</v>
          </cell>
          <cell r="BK62">
            <v>-119391.03252300044</v>
          </cell>
          <cell r="BL62">
            <v>-223545.02877487574</v>
          </cell>
        </row>
        <row r="63">
          <cell r="C63" t="str">
            <v>A0231</v>
          </cell>
          <cell r="D63" t="str">
            <v>PT Pama Indo Mining</v>
          </cell>
          <cell r="E63" t="str">
            <v>United Tractors Tbk - Groups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R63" t="str">
            <v>78PEB 1</v>
          </cell>
          <cell r="S63" t="str">
            <v>78PEB 2</v>
          </cell>
          <cell r="T63" t="str">
            <v>78PEB 3</v>
          </cell>
          <cell r="U63" t="str">
            <v>78PEB 4</v>
          </cell>
          <cell r="V63" t="str">
            <v>78PEB 5</v>
          </cell>
          <cell r="W63" t="str">
            <v>78PEB 6</v>
          </cell>
          <cell r="X63" t="str">
            <v>78PEB 7</v>
          </cell>
          <cell r="Y63" t="str">
            <v>78MPP</v>
          </cell>
          <cell r="Z63" t="str">
            <v>78ID</v>
          </cell>
          <cell r="AA63" t="str">
            <v>78LL</v>
          </cell>
          <cell r="AB63" t="str">
            <v>78PMK</v>
          </cell>
          <cell r="AD63">
            <v>0</v>
          </cell>
          <cell r="AE63">
            <v>0</v>
          </cell>
          <cell r="AF63">
            <v>0</v>
          </cell>
          <cell r="AG63">
            <v>20092.196549866967</v>
          </cell>
          <cell r="AH63">
            <v>0</v>
          </cell>
          <cell r="AI63">
            <v>0</v>
          </cell>
          <cell r="AJ63">
            <v>2016.0613877891371</v>
          </cell>
          <cell r="AK63">
            <v>0</v>
          </cell>
          <cell r="AL63">
            <v>11942.181472475495</v>
          </cell>
          <cell r="AM63">
            <v>49037.031708571973</v>
          </cell>
          <cell r="AN63">
            <v>19249.75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  <cell r="AW63" t="e">
            <v>#REF!</v>
          </cell>
          <cell r="AX63" t="e">
            <v>#REF!</v>
          </cell>
          <cell r="AY63" t="e">
            <v>#REF!</v>
          </cell>
          <cell r="AZ63" t="e">
            <v>#REF!</v>
          </cell>
          <cell r="BB63" t="e">
            <v>#REF!</v>
          </cell>
          <cell r="BC63" t="e">
            <v>#REF!</v>
          </cell>
          <cell r="BD63" t="e">
            <v>#REF!</v>
          </cell>
          <cell r="BE63" t="e">
            <v>#REF!</v>
          </cell>
          <cell r="BF63" t="e">
            <v>#REF!</v>
          </cell>
          <cell r="BG63" t="e">
            <v>#REF!</v>
          </cell>
          <cell r="BH63" t="e">
            <v>#REF!</v>
          </cell>
          <cell r="BI63" t="e">
            <v>#REF!</v>
          </cell>
          <cell r="BJ63" t="e">
            <v>#REF!</v>
          </cell>
          <cell r="BK63" t="e">
            <v>#REF!</v>
          </cell>
          <cell r="BL63" t="e">
            <v>#REF!</v>
          </cell>
        </row>
        <row r="64">
          <cell r="C64" t="str">
            <v>A0112</v>
          </cell>
          <cell r="D64" t="str">
            <v>PT Pama Persada Nusantara</v>
          </cell>
          <cell r="E64" t="str">
            <v>United Tractors Tbk - Groups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R64" t="str">
            <v>79PEB 1</v>
          </cell>
          <cell r="S64" t="str">
            <v>79PEB 2</v>
          </cell>
          <cell r="T64" t="str">
            <v>79PEB 3</v>
          </cell>
          <cell r="U64" t="str">
            <v>79PEB 4</v>
          </cell>
          <cell r="V64" t="str">
            <v>79PEB 5</v>
          </cell>
          <cell r="W64" t="str">
            <v>79PEB 6</v>
          </cell>
          <cell r="X64" t="str">
            <v>79PEB 7</v>
          </cell>
          <cell r="Y64" t="str">
            <v>79MPP</v>
          </cell>
          <cell r="Z64" t="str">
            <v>79ID</v>
          </cell>
          <cell r="AA64" t="str">
            <v>79LL</v>
          </cell>
          <cell r="AB64" t="str">
            <v>79PMK</v>
          </cell>
          <cell r="AD64">
            <v>7181115.1203171555</v>
          </cell>
          <cell r="AE64">
            <v>3324924.01</v>
          </cell>
          <cell r="AF64">
            <v>92312.107980000073</v>
          </cell>
          <cell r="AG64">
            <v>3630654.2772583021</v>
          </cell>
          <cell r="AH64">
            <v>515832</v>
          </cell>
          <cell r="AI64">
            <v>3816949.1392499981</v>
          </cell>
          <cell r="AJ64">
            <v>704310.27618719218</v>
          </cell>
          <cell r="AK64">
            <v>837780.54</v>
          </cell>
          <cell r="AL64">
            <v>1153934.6620037525</v>
          </cell>
          <cell r="AM64">
            <v>7062119.9213934988</v>
          </cell>
          <cell r="AN64">
            <v>2744660.5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  <cell r="AW64" t="e">
            <v>#REF!</v>
          </cell>
          <cell r="AX64" t="e">
            <v>#REF!</v>
          </cell>
          <cell r="AY64" t="e">
            <v>#REF!</v>
          </cell>
          <cell r="AZ64" t="e">
            <v>#REF!</v>
          </cell>
          <cell r="BB64" t="e">
            <v>#REF!</v>
          </cell>
          <cell r="BC64" t="e">
            <v>#REF!</v>
          </cell>
          <cell r="BD64" t="e">
            <v>#REF!</v>
          </cell>
          <cell r="BE64" t="e">
            <v>#REF!</v>
          </cell>
          <cell r="BF64" t="e">
            <v>#REF!</v>
          </cell>
          <cell r="BG64" t="e">
            <v>#REF!</v>
          </cell>
          <cell r="BH64" t="e">
            <v>#REF!</v>
          </cell>
          <cell r="BI64" t="e">
            <v>#REF!</v>
          </cell>
          <cell r="BJ64" t="e">
            <v>#REF!</v>
          </cell>
          <cell r="BK64" t="e">
            <v>#REF!</v>
          </cell>
          <cell r="BL64" t="e">
            <v>#REF!</v>
          </cell>
        </row>
        <row r="65">
          <cell r="C65" t="str">
            <v>A0057</v>
          </cell>
          <cell r="D65" t="str">
            <v>PT Pratama Sedaya Finance</v>
          </cell>
          <cell r="E65" t="str">
            <v>ACC Group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R65" t="str">
            <v>84PEB 1</v>
          </cell>
          <cell r="S65" t="str">
            <v>84PEB 2</v>
          </cell>
          <cell r="T65" t="str">
            <v>84PEB 3</v>
          </cell>
          <cell r="U65" t="str">
            <v>84PEB 4</v>
          </cell>
          <cell r="V65" t="str">
            <v>84PEB 5</v>
          </cell>
          <cell r="W65" t="str">
            <v>84PEB 6</v>
          </cell>
          <cell r="X65" t="str">
            <v>84PEB 7</v>
          </cell>
          <cell r="Y65" t="str">
            <v>84MPP</v>
          </cell>
          <cell r="Z65" t="str">
            <v>84ID</v>
          </cell>
          <cell r="AA65" t="str">
            <v>84LL</v>
          </cell>
          <cell r="AB65" t="str">
            <v>84PMK</v>
          </cell>
          <cell r="AD65">
            <v>2274.0926718230676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496.97437476275735</v>
          </cell>
          <cell r="AK65">
            <v>0</v>
          </cell>
          <cell r="AL65">
            <v>1600.6948518721192</v>
          </cell>
          <cell r="AM65">
            <v>0</v>
          </cell>
          <cell r="AN65">
            <v>0</v>
          </cell>
          <cell r="AP65">
            <v>8894.7072000000007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  <cell r="AW65" t="e">
            <v>#REF!</v>
          </cell>
          <cell r="AX65" t="e">
            <v>#REF!</v>
          </cell>
          <cell r="AY65" t="e">
            <v>#REF!</v>
          </cell>
          <cell r="AZ65" t="e">
            <v>#REF!</v>
          </cell>
          <cell r="BB65" t="e">
            <v>#REF!</v>
          </cell>
          <cell r="BC65" t="e">
            <v>#REF!</v>
          </cell>
          <cell r="BD65" t="e">
            <v>#REF!</v>
          </cell>
          <cell r="BE65" t="e">
            <v>#REF!</v>
          </cell>
          <cell r="BF65" t="e">
            <v>#REF!</v>
          </cell>
          <cell r="BG65" t="e">
            <v>#REF!</v>
          </cell>
          <cell r="BH65" t="e">
            <v>#REF!</v>
          </cell>
          <cell r="BI65" t="e">
            <v>#REF!</v>
          </cell>
          <cell r="BJ65" t="e">
            <v>#REF!</v>
          </cell>
          <cell r="BK65" t="e">
            <v>#REF!</v>
          </cell>
          <cell r="BL65" t="e">
            <v>#REF!</v>
          </cell>
        </row>
        <row r="66">
          <cell r="C66" t="str">
            <v>A0424</v>
          </cell>
          <cell r="D66" t="str">
            <v>PT Prima Multi Mineral</v>
          </cell>
          <cell r="E66" t="str">
            <v>United Tractors Tbk - Groups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R66" t="str">
            <v>85PEB 1</v>
          </cell>
          <cell r="S66" t="str">
            <v>85PEB 2</v>
          </cell>
          <cell r="T66" t="str">
            <v>85PEB 3</v>
          </cell>
          <cell r="U66" t="str">
            <v>85PEB 4</v>
          </cell>
          <cell r="V66" t="str">
            <v>85PEB 5</v>
          </cell>
          <cell r="W66" t="str">
            <v>85PEB 6</v>
          </cell>
          <cell r="X66" t="str">
            <v>85PEB 7</v>
          </cell>
          <cell r="Y66" t="str">
            <v>85MPP</v>
          </cell>
          <cell r="Z66" t="str">
            <v>85ID</v>
          </cell>
          <cell r="AA66" t="str">
            <v>85LL</v>
          </cell>
          <cell r="AB66" t="str">
            <v>85PMK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1409.8536690518067</v>
          </cell>
          <cell r="AM66">
            <v>0</v>
          </cell>
          <cell r="AN66">
            <v>0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  <cell r="AW66" t="e">
            <v>#REF!</v>
          </cell>
          <cell r="AX66" t="e">
            <v>#REF!</v>
          </cell>
          <cell r="AY66" t="e">
            <v>#REF!</v>
          </cell>
          <cell r="AZ66" t="e">
            <v>#REF!</v>
          </cell>
          <cell r="BB66" t="e">
            <v>#REF!</v>
          </cell>
          <cell r="BC66" t="e">
            <v>#REF!</v>
          </cell>
          <cell r="BD66" t="e">
            <v>#REF!</v>
          </cell>
          <cell r="BE66" t="e">
            <v>#REF!</v>
          </cell>
          <cell r="BF66" t="e">
            <v>#REF!</v>
          </cell>
          <cell r="BG66" t="e">
            <v>#REF!</v>
          </cell>
          <cell r="BH66" t="e">
            <v>#REF!</v>
          </cell>
          <cell r="BI66" t="e">
            <v>#REF!</v>
          </cell>
          <cell r="BJ66" t="e">
            <v>#REF!</v>
          </cell>
          <cell r="BK66" t="e">
            <v>#REF!</v>
          </cell>
          <cell r="BL66" t="e">
            <v>#REF!</v>
          </cell>
        </row>
        <row r="67">
          <cell r="C67" t="str">
            <v>A0128</v>
          </cell>
          <cell r="D67" t="str">
            <v>PT Sedaya Multi Investama</v>
          </cell>
          <cell r="E67" t="str">
            <v>SMI Group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R67" t="str">
            <v>91PEB 1</v>
          </cell>
          <cell r="S67" t="str">
            <v>91PEB 2</v>
          </cell>
          <cell r="T67" t="str">
            <v>91PEB 3</v>
          </cell>
          <cell r="U67" t="str">
            <v>91PEB 4</v>
          </cell>
          <cell r="V67" t="str">
            <v>91PEB 5</v>
          </cell>
          <cell r="W67" t="str">
            <v>91PEB 6</v>
          </cell>
          <cell r="X67" t="str">
            <v>91PEB 7</v>
          </cell>
          <cell r="Y67" t="str">
            <v>91MPP</v>
          </cell>
          <cell r="Z67" t="str">
            <v>91ID</v>
          </cell>
          <cell r="AA67" t="str">
            <v>91LL</v>
          </cell>
          <cell r="AB67" t="str">
            <v>91PMK</v>
          </cell>
          <cell r="AD67">
            <v>5969.5710261598733</v>
          </cell>
          <cell r="AE67">
            <v>0</v>
          </cell>
          <cell r="AF67">
            <v>0</v>
          </cell>
          <cell r="AG67">
            <v>2722.6508438547348</v>
          </cell>
          <cell r="AH67">
            <v>0</v>
          </cell>
          <cell r="AI67">
            <v>0</v>
          </cell>
          <cell r="AJ67">
            <v>1577.2488827895147</v>
          </cell>
          <cell r="AK67">
            <v>0</v>
          </cell>
          <cell r="AL67">
            <v>5199.2721284598492</v>
          </cell>
          <cell r="AM67">
            <v>1329.1496665696993</v>
          </cell>
          <cell r="AN67">
            <v>5501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  <cell r="AW67" t="e">
            <v>#REF!</v>
          </cell>
          <cell r="AX67" t="e">
            <v>#REF!</v>
          </cell>
          <cell r="AY67" t="e">
            <v>#REF!</v>
          </cell>
          <cell r="AZ67" t="e">
            <v>#REF!</v>
          </cell>
          <cell r="BB67" t="e">
            <v>#REF!</v>
          </cell>
          <cell r="BC67" t="e">
            <v>#REF!</v>
          </cell>
          <cell r="BD67" t="e">
            <v>#REF!</v>
          </cell>
          <cell r="BE67" t="e">
            <v>#REF!</v>
          </cell>
          <cell r="BF67" t="e">
            <v>#REF!</v>
          </cell>
          <cell r="BG67" t="e">
            <v>#REF!</v>
          </cell>
          <cell r="BH67" t="e">
            <v>#REF!</v>
          </cell>
          <cell r="BI67" t="e">
            <v>#REF!</v>
          </cell>
          <cell r="BJ67" t="e">
            <v>#REF!</v>
          </cell>
          <cell r="BK67" t="e">
            <v>#REF!</v>
          </cell>
          <cell r="BL67" t="e">
            <v>#REF!</v>
          </cell>
        </row>
        <row r="68">
          <cell r="C68" t="str">
            <v>A0240</v>
          </cell>
          <cell r="D68" t="str">
            <v>PT Sedaya Pratama</v>
          </cell>
          <cell r="E68" t="str">
            <v>ACC Group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R68" t="str">
            <v>92PEB 1</v>
          </cell>
          <cell r="S68" t="str">
            <v>92PEB 2</v>
          </cell>
          <cell r="T68" t="str">
            <v>92PEB 3</v>
          </cell>
          <cell r="U68" t="str">
            <v>92PEB 4</v>
          </cell>
          <cell r="V68" t="str">
            <v>92PEB 5</v>
          </cell>
          <cell r="W68" t="str">
            <v>92PEB 6</v>
          </cell>
          <cell r="X68" t="str">
            <v>92PEB 7</v>
          </cell>
          <cell r="Y68" t="str">
            <v>92MPP</v>
          </cell>
          <cell r="Z68" t="str">
            <v>92ID</v>
          </cell>
          <cell r="AA68" t="str">
            <v>92LL</v>
          </cell>
          <cell r="AB68" t="str">
            <v>92PMK</v>
          </cell>
          <cell r="AD68">
            <v>0</v>
          </cell>
          <cell r="AE68">
            <v>0</v>
          </cell>
          <cell r="AF68">
            <v>0</v>
          </cell>
          <cell r="AG68">
            <v>3210.9956407050909</v>
          </cell>
          <cell r="AH68">
            <v>0</v>
          </cell>
          <cell r="AI68">
            <v>0</v>
          </cell>
          <cell r="AJ68">
            <v>997.86696577353962</v>
          </cell>
          <cell r="AK68">
            <v>0</v>
          </cell>
          <cell r="AL68">
            <v>3186.6484950419417</v>
          </cell>
          <cell r="AM68">
            <v>8944.0760848099744</v>
          </cell>
          <cell r="AN68">
            <v>0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  <cell r="AW68" t="e">
            <v>#REF!</v>
          </cell>
          <cell r="AX68" t="e">
            <v>#REF!</v>
          </cell>
          <cell r="AY68" t="e">
            <v>#REF!</v>
          </cell>
          <cell r="AZ68" t="e">
            <v>#REF!</v>
          </cell>
          <cell r="BB68" t="e">
            <v>#REF!</v>
          </cell>
          <cell r="BC68" t="e">
            <v>#REF!</v>
          </cell>
          <cell r="BD68" t="e">
            <v>#REF!</v>
          </cell>
          <cell r="BE68" t="e">
            <v>#REF!</v>
          </cell>
          <cell r="BF68" t="e">
            <v>#REF!</v>
          </cell>
          <cell r="BG68" t="e">
            <v>#REF!</v>
          </cell>
          <cell r="BH68" t="e">
            <v>#REF!</v>
          </cell>
          <cell r="BI68" t="e">
            <v>#REF!</v>
          </cell>
          <cell r="BJ68" t="e">
            <v>#REF!</v>
          </cell>
          <cell r="BK68" t="e">
            <v>#REF!</v>
          </cell>
          <cell r="BL68" t="e">
            <v>#REF!</v>
          </cell>
        </row>
        <row r="69">
          <cell r="C69" t="str">
            <v>A0209</v>
          </cell>
          <cell r="D69" t="str">
            <v>PT Serasi Auto Raya</v>
          </cell>
          <cell r="E69" t="str">
            <v>Serasi Autoraya Group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R69" t="str">
            <v>93PEB 1</v>
          </cell>
          <cell r="S69" t="str">
            <v>93PEB 2</v>
          </cell>
          <cell r="T69" t="str">
            <v>93PEB 3</v>
          </cell>
          <cell r="U69" t="str">
            <v>93PEB 4</v>
          </cell>
          <cell r="V69" t="str">
            <v>93PEB 5</v>
          </cell>
          <cell r="W69" t="str">
            <v>93PEB 6</v>
          </cell>
          <cell r="X69" t="str">
            <v>93PEB 7</v>
          </cell>
          <cell r="Y69" t="str">
            <v>93MPP</v>
          </cell>
          <cell r="Z69" t="str">
            <v>93ID</v>
          </cell>
          <cell r="AA69" t="str">
            <v>93LL</v>
          </cell>
          <cell r="AB69" t="str">
            <v>93PMK</v>
          </cell>
          <cell r="AD69">
            <v>185419.85503667625</v>
          </cell>
          <cell r="AE69">
            <v>0</v>
          </cell>
          <cell r="AF69">
            <v>0</v>
          </cell>
          <cell r="AG69">
            <v>289763.76742640982</v>
          </cell>
          <cell r="AH69">
            <v>0</v>
          </cell>
          <cell r="AI69">
            <v>0</v>
          </cell>
          <cell r="AJ69">
            <v>125654.55629394147</v>
          </cell>
          <cell r="AK69">
            <v>0</v>
          </cell>
          <cell r="AL69">
            <v>205133.94959614208</v>
          </cell>
          <cell r="AM69">
            <v>1433299.7432986272</v>
          </cell>
          <cell r="AN69">
            <v>711900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  <cell r="AW69" t="e">
            <v>#REF!</v>
          </cell>
          <cell r="AX69" t="e">
            <v>#REF!</v>
          </cell>
          <cell r="AY69" t="e">
            <v>#REF!</v>
          </cell>
          <cell r="AZ69" t="e">
            <v>#REF!</v>
          </cell>
          <cell r="BB69" t="e">
            <v>#REF!</v>
          </cell>
          <cell r="BC69" t="e">
            <v>#REF!</v>
          </cell>
          <cell r="BD69" t="e">
            <v>#REF!</v>
          </cell>
          <cell r="BE69" t="e">
            <v>#REF!</v>
          </cell>
          <cell r="BF69" t="e">
            <v>#REF!</v>
          </cell>
          <cell r="BG69" t="e">
            <v>#REF!</v>
          </cell>
          <cell r="BH69" t="e">
            <v>#REF!</v>
          </cell>
          <cell r="BI69" t="e">
            <v>#REF!</v>
          </cell>
          <cell r="BJ69" t="e">
            <v>#REF!</v>
          </cell>
          <cell r="BK69" t="e">
            <v>#REF!</v>
          </cell>
          <cell r="BL69" t="e">
            <v>#REF!</v>
          </cell>
        </row>
        <row r="70">
          <cell r="C70" t="str">
            <v>A0373</v>
          </cell>
          <cell r="D70" t="str">
            <v>PT Serasi Transportasi Nusantara</v>
          </cell>
          <cell r="E70" t="str">
            <v>Serasi Autoraya Group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R70" t="str">
            <v>94PEB 1</v>
          </cell>
          <cell r="S70" t="str">
            <v>94PEB 2</v>
          </cell>
          <cell r="T70" t="str">
            <v>94PEB 3</v>
          </cell>
          <cell r="U70" t="str">
            <v>94PEB 4</v>
          </cell>
          <cell r="V70" t="str">
            <v>94PEB 5</v>
          </cell>
          <cell r="W70" t="str">
            <v>94PEB 6</v>
          </cell>
          <cell r="X70" t="str">
            <v>94PEB 7</v>
          </cell>
          <cell r="Y70" t="str">
            <v>94MPP</v>
          </cell>
          <cell r="Z70" t="str">
            <v>94ID</v>
          </cell>
          <cell r="AA70" t="str">
            <v>94LL</v>
          </cell>
          <cell r="AB70" t="str">
            <v>94PMK</v>
          </cell>
          <cell r="AD70">
            <v>0</v>
          </cell>
          <cell r="AE70">
            <v>0</v>
          </cell>
          <cell r="AF70">
            <v>0</v>
          </cell>
          <cell r="AG70">
            <v>2323.7879923500814</v>
          </cell>
          <cell r="AH70">
            <v>0</v>
          </cell>
          <cell r="AI70">
            <v>0</v>
          </cell>
          <cell r="AJ70">
            <v>2253.4067425284734</v>
          </cell>
          <cell r="AK70">
            <v>0</v>
          </cell>
          <cell r="AL70">
            <v>3144.9386444866141</v>
          </cell>
          <cell r="AM70">
            <v>92385.684740536133</v>
          </cell>
          <cell r="AN70">
            <v>0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  <cell r="AW70" t="e">
            <v>#REF!</v>
          </cell>
          <cell r="AX70" t="e">
            <v>#REF!</v>
          </cell>
          <cell r="AY70" t="e">
            <v>#REF!</v>
          </cell>
          <cell r="AZ70" t="e">
            <v>#REF!</v>
          </cell>
          <cell r="BB70" t="e">
            <v>#REF!</v>
          </cell>
          <cell r="BC70" t="e">
            <v>#REF!</v>
          </cell>
          <cell r="BD70" t="e">
            <v>#REF!</v>
          </cell>
          <cell r="BE70" t="e">
            <v>#REF!</v>
          </cell>
          <cell r="BF70" t="e">
            <v>#REF!</v>
          </cell>
          <cell r="BG70" t="e">
            <v>#REF!</v>
          </cell>
          <cell r="BH70" t="e">
            <v>#REF!</v>
          </cell>
          <cell r="BI70" t="e">
            <v>#REF!</v>
          </cell>
          <cell r="BJ70" t="e">
            <v>#REF!</v>
          </cell>
          <cell r="BK70" t="e">
            <v>#REF!</v>
          </cell>
          <cell r="BL70" t="e">
            <v>#REF!</v>
          </cell>
        </row>
        <row r="71">
          <cell r="C71" t="str">
            <v>A0132</v>
          </cell>
          <cell r="D71" t="str">
            <v>PT Showa Indonesia</v>
          </cell>
          <cell r="E71" t="str">
            <v>Astra Honda Motor Groups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R71" t="str">
            <v>95PEB 1</v>
          </cell>
          <cell r="S71" t="str">
            <v>95PEB 2</v>
          </cell>
          <cell r="T71" t="str">
            <v>95PEB 3</v>
          </cell>
          <cell r="U71" t="str">
            <v>95PEB 4</v>
          </cell>
          <cell r="V71" t="str">
            <v>95PEB 5</v>
          </cell>
          <cell r="W71" t="str">
            <v>95PEB 6</v>
          </cell>
          <cell r="X71" t="str">
            <v>95PEB 7</v>
          </cell>
          <cell r="Y71" t="str">
            <v>95MPP</v>
          </cell>
          <cell r="Z71" t="str">
            <v>95ID</v>
          </cell>
          <cell r="AA71" t="str">
            <v>95LL</v>
          </cell>
          <cell r="AB71" t="str">
            <v>95PMK</v>
          </cell>
          <cell r="AD71">
            <v>1576062.5495520905</v>
          </cell>
          <cell r="AE71">
            <v>191188.73534654162</v>
          </cell>
          <cell r="AF71">
            <v>0</v>
          </cell>
          <cell r="AG71">
            <v>243312.37279576564</v>
          </cell>
          <cell r="AH71">
            <v>0</v>
          </cell>
          <cell r="AI71">
            <v>0</v>
          </cell>
          <cell r="AJ71">
            <v>204164.86387316772</v>
          </cell>
          <cell r="AK71">
            <v>47797.183836635406</v>
          </cell>
          <cell r="AL71">
            <v>288188.90562608634</v>
          </cell>
          <cell r="AM71">
            <v>1571373.9839466719</v>
          </cell>
          <cell r="AN71">
            <v>347150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  <cell r="AW71" t="e">
            <v>#REF!</v>
          </cell>
          <cell r="AX71" t="e">
            <v>#REF!</v>
          </cell>
          <cell r="AY71" t="e">
            <v>#REF!</v>
          </cell>
          <cell r="AZ71" t="e">
            <v>#REF!</v>
          </cell>
          <cell r="BB71" t="e">
            <v>#REF!</v>
          </cell>
          <cell r="BC71" t="e">
            <v>#REF!</v>
          </cell>
          <cell r="BD71" t="e">
            <v>#REF!</v>
          </cell>
          <cell r="BE71" t="e">
            <v>#REF!</v>
          </cell>
          <cell r="BF71" t="e">
            <v>#REF!</v>
          </cell>
          <cell r="BG71" t="e">
            <v>#REF!</v>
          </cell>
          <cell r="BH71" t="e">
            <v>#REF!</v>
          </cell>
          <cell r="BI71" t="e">
            <v>#REF!</v>
          </cell>
          <cell r="BJ71" t="e">
            <v>#REF!</v>
          </cell>
          <cell r="BK71" t="e">
            <v>#REF!</v>
          </cell>
          <cell r="BL71" t="e">
            <v>#REF!</v>
          </cell>
        </row>
        <row r="72">
          <cell r="C72" t="str">
            <v>A0135</v>
          </cell>
          <cell r="D72" t="str">
            <v>PT Staco Estika Sedaya Finance</v>
          </cell>
          <cell r="E72" t="str">
            <v>ACC Group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R72" t="str">
            <v>96PEB 1</v>
          </cell>
          <cell r="S72" t="str">
            <v>96PEB 2</v>
          </cell>
          <cell r="T72" t="str">
            <v>96PEB 3</v>
          </cell>
          <cell r="U72" t="str">
            <v>96PEB 4</v>
          </cell>
          <cell r="V72" t="str">
            <v>96PEB 5</v>
          </cell>
          <cell r="W72" t="str">
            <v>96PEB 6</v>
          </cell>
          <cell r="X72" t="str">
            <v>96PEB 7</v>
          </cell>
          <cell r="Y72" t="str">
            <v>96MPP</v>
          </cell>
          <cell r="Z72" t="str">
            <v>96ID</v>
          </cell>
          <cell r="AA72" t="str">
            <v>96LL</v>
          </cell>
          <cell r="AB72" t="str">
            <v>96PMK</v>
          </cell>
          <cell r="AD72">
            <v>7358.7305131047387</v>
          </cell>
          <cell r="AE72">
            <v>0</v>
          </cell>
          <cell r="AF72">
            <v>0</v>
          </cell>
          <cell r="AG72">
            <v>9850.8879524491731</v>
          </cell>
          <cell r="AH72">
            <v>0</v>
          </cell>
          <cell r="AI72">
            <v>0</v>
          </cell>
          <cell r="AJ72">
            <v>6391.6665244381056</v>
          </cell>
          <cell r="AK72">
            <v>0</v>
          </cell>
          <cell r="AL72">
            <v>12386.972598997187</v>
          </cell>
          <cell r="AM72">
            <v>111669.60843996663</v>
          </cell>
          <cell r="AN72">
            <v>52000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  <cell r="AW72" t="e">
            <v>#REF!</v>
          </cell>
          <cell r="AX72" t="e">
            <v>#REF!</v>
          </cell>
          <cell r="AY72" t="e">
            <v>#REF!</v>
          </cell>
          <cell r="AZ72" t="e">
            <v>#REF!</v>
          </cell>
          <cell r="BB72" t="e">
            <v>#REF!</v>
          </cell>
          <cell r="BC72" t="e">
            <v>#REF!</v>
          </cell>
          <cell r="BD72" t="e">
            <v>#REF!</v>
          </cell>
          <cell r="BE72" t="e">
            <v>#REF!</v>
          </cell>
          <cell r="BF72" t="e">
            <v>#REF!</v>
          </cell>
          <cell r="BG72" t="e">
            <v>#REF!</v>
          </cell>
          <cell r="BH72" t="e">
            <v>#REF!</v>
          </cell>
          <cell r="BI72" t="e">
            <v>#REF!</v>
          </cell>
          <cell r="BJ72" t="e">
            <v>#REF!</v>
          </cell>
          <cell r="BK72" t="e">
            <v>#REF!</v>
          </cell>
          <cell r="BL72" t="e">
            <v>#REF!</v>
          </cell>
        </row>
        <row r="73">
          <cell r="C73" t="str">
            <v>A0273</v>
          </cell>
          <cell r="D73" t="str">
            <v>PT Stacomitra Graha</v>
          </cell>
          <cell r="E73" t="str">
            <v>ACC Group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R73" t="str">
            <v>97PEB 1</v>
          </cell>
          <cell r="S73" t="str">
            <v>97PEB 2</v>
          </cell>
          <cell r="T73" t="str">
            <v>97PEB 3</v>
          </cell>
          <cell r="U73" t="str">
            <v>97PEB 4</v>
          </cell>
          <cell r="V73" t="str">
            <v>97PEB 5</v>
          </cell>
          <cell r="W73" t="str">
            <v>97PEB 6</v>
          </cell>
          <cell r="X73" t="str">
            <v>97PEB 7</v>
          </cell>
          <cell r="Y73" t="str">
            <v>97MPP</v>
          </cell>
          <cell r="Z73" t="str">
            <v>97ID</v>
          </cell>
          <cell r="AA73" t="str">
            <v>97LL</v>
          </cell>
          <cell r="AB73" t="str">
            <v>97PMK</v>
          </cell>
          <cell r="AD73">
            <v>0</v>
          </cell>
          <cell r="AE73">
            <v>0</v>
          </cell>
          <cell r="AF73">
            <v>0</v>
          </cell>
          <cell r="AG73">
            <v>508.69229879350121</v>
          </cell>
          <cell r="AH73">
            <v>0</v>
          </cell>
          <cell r="AI73">
            <v>0</v>
          </cell>
          <cell r="AJ73">
            <v>162.60633144795869</v>
          </cell>
          <cell r="AK73">
            <v>0</v>
          </cell>
          <cell r="AL73">
            <v>311.54671070729</v>
          </cell>
          <cell r="AM73">
            <v>0</v>
          </cell>
          <cell r="AN73">
            <v>0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  <cell r="AW73" t="e">
            <v>#REF!</v>
          </cell>
          <cell r="AX73" t="e">
            <v>#REF!</v>
          </cell>
          <cell r="AY73" t="e">
            <v>#REF!</v>
          </cell>
          <cell r="AZ73" t="e">
            <v>#REF!</v>
          </cell>
          <cell r="BB73" t="e">
            <v>#REF!</v>
          </cell>
          <cell r="BC73" t="e">
            <v>#REF!</v>
          </cell>
          <cell r="BD73" t="e">
            <v>#REF!</v>
          </cell>
          <cell r="BE73" t="e">
            <v>#REF!</v>
          </cell>
          <cell r="BF73" t="e">
            <v>#REF!</v>
          </cell>
          <cell r="BG73" t="e">
            <v>#REF!</v>
          </cell>
          <cell r="BH73" t="e">
            <v>#REF!</v>
          </cell>
          <cell r="BI73" t="e">
            <v>#REF!</v>
          </cell>
          <cell r="BJ73" t="e">
            <v>#REF!</v>
          </cell>
          <cell r="BK73" t="e">
            <v>#REF!</v>
          </cell>
          <cell r="BL73" t="e">
            <v>#REF!</v>
          </cell>
        </row>
        <row r="74">
          <cell r="C74" t="str">
            <v>A0142</v>
          </cell>
          <cell r="D74" t="str">
            <v>PT Surya Artha Nusantara Finance</v>
          </cell>
          <cell r="E74" t="str">
            <v>SMI Group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R74" t="str">
            <v>102PEB 1</v>
          </cell>
          <cell r="S74" t="str">
            <v>102PEB 2</v>
          </cell>
          <cell r="T74" t="str">
            <v>102PEB 3</v>
          </cell>
          <cell r="U74" t="str">
            <v>102PEB 4</v>
          </cell>
          <cell r="V74" t="str">
            <v>102PEB 5</v>
          </cell>
          <cell r="W74" t="str">
            <v>102PEB 6</v>
          </cell>
          <cell r="X74" t="str">
            <v>102PEB 7</v>
          </cell>
          <cell r="Y74" t="str">
            <v>102MPP</v>
          </cell>
          <cell r="Z74" t="str">
            <v>102ID</v>
          </cell>
          <cell r="AA74" t="str">
            <v>102LL</v>
          </cell>
          <cell r="AB74" t="str">
            <v>102PMK</v>
          </cell>
          <cell r="AD74">
            <v>17879.727286736059</v>
          </cell>
          <cell r="AE74">
            <v>0</v>
          </cell>
          <cell r="AF74">
            <v>0</v>
          </cell>
          <cell r="AG74">
            <v>15475.736856384088</v>
          </cell>
          <cell r="AH74">
            <v>0</v>
          </cell>
          <cell r="AI74">
            <v>0</v>
          </cell>
          <cell r="AJ74">
            <v>12621.29883992541</v>
          </cell>
          <cell r="AK74">
            <v>0</v>
          </cell>
          <cell r="AL74">
            <v>23239.216609681182</v>
          </cell>
          <cell r="AM74">
            <v>43195.741564284428</v>
          </cell>
          <cell r="AN74">
            <v>18888.5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  <cell r="AW74" t="e">
            <v>#REF!</v>
          </cell>
          <cell r="AX74" t="e">
            <v>#REF!</v>
          </cell>
          <cell r="AY74" t="e">
            <v>#REF!</v>
          </cell>
          <cell r="AZ74" t="e">
            <v>#REF!</v>
          </cell>
          <cell r="BB74" t="e">
            <v>#REF!</v>
          </cell>
          <cell r="BC74" t="e">
            <v>#REF!</v>
          </cell>
          <cell r="BD74" t="e">
            <v>#REF!</v>
          </cell>
          <cell r="BE74" t="e">
            <v>#REF!</v>
          </cell>
          <cell r="BF74" t="e">
            <v>#REF!</v>
          </cell>
          <cell r="BG74" t="e">
            <v>#REF!</v>
          </cell>
          <cell r="BH74" t="e">
            <v>#REF!</v>
          </cell>
          <cell r="BI74" t="e">
            <v>#REF!</v>
          </cell>
          <cell r="BJ74" t="e">
            <v>#REF!</v>
          </cell>
          <cell r="BK74" t="e">
            <v>#REF!</v>
          </cell>
          <cell r="BL74" t="e">
            <v>#REF!</v>
          </cell>
        </row>
        <row r="75">
          <cell r="C75" t="str">
            <v>A0140</v>
          </cell>
          <cell r="D75" t="str">
            <v>PT Suryaraya Prawira</v>
          </cell>
          <cell r="E75" t="str">
            <v>Properties Group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R75" t="str">
            <v>106PEB 1</v>
          </cell>
          <cell r="S75" t="str">
            <v>106PEB 2</v>
          </cell>
          <cell r="T75" t="str">
            <v>106PEB 3</v>
          </cell>
          <cell r="U75" t="str">
            <v>106PEB 4</v>
          </cell>
          <cell r="V75" t="str">
            <v>106PEB 5</v>
          </cell>
          <cell r="W75" t="str">
            <v>106PEB 6</v>
          </cell>
          <cell r="X75" t="str">
            <v>106PEB 7</v>
          </cell>
          <cell r="Y75" t="str">
            <v>106MPP</v>
          </cell>
          <cell r="Z75" t="str">
            <v>106ID</v>
          </cell>
          <cell r="AA75" t="str">
            <v>106LL</v>
          </cell>
          <cell r="AB75" t="str">
            <v>106PMK</v>
          </cell>
          <cell r="AD75">
            <v>0</v>
          </cell>
          <cell r="AE75">
            <v>0</v>
          </cell>
          <cell r="AF75">
            <v>0</v>
          </cell>
          <cell r="AG75">
            <v>1805.4501149751882</v>
          </cell>
          <cell r="AH75">
            <v>0</v>
          </cell>
          <cell r="AI75">
            <v>0</v>
          </cell>
          <cell r="AJ75">
            <v>2602.7598248725699</v>
          </cell>
          <cell r="AK75">
            <v>0</v>
          </cell>
          <cell r="AL75">
            <v>8734.8909380245132</v>
          </cell>
          <cell r="AM75">
            <v>32888.719674055137</v>
          </cell>
          <cell r="AN75">
            <v>0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  <cell r="AW75" t="e">
            <v>#REF!</v>
          </cell>
          <cell r="AX75" t="e">
            <v>#REF!</v>
          </cell>
          <cell r="AY75" t="e">
            <v>#REF!</v>
          </cell>
          <cell r="AZ75" t="e">
            <v>#REF!</v>
          </cell>
          <cell r="BB75" t="e">
            <v>#REF!</v>
          </cell>
          <cell r="BC75" t="e">
            <v>#REF!</v>
          </cell>
          <cell r="BD75" t="e">
            <v>#REF!</v>
          </cell>
          <cell r="BE75" t="e">
            <v>#REF!</v>
          </cell>
          <cell r="BF75" t="e">
            <v>#REF!</v>
          </cell>
          <cell r="BG75" t="e">
            <v>#REF!</v>
          </cell>
          <cell r="BH75" t="e">
            <v>#REF!</v>
          </cell>
          <cell r="BI75" t="e">
            <v>#REF!</v>
          </cell>
          <cell r="BJ75" t="e">
            <v>#REF!</v>
          </cell>
          <cell r="BK75" t="e">
            <v>#REF!</v>
          </cell>
          <cell r="BL75" t="e">
            <v>#REF!</v>
          </cell>
        </row>
        <row r="76">
          <cell r="C76" t="str">
            <v>A0199</v>
          </cell>
          <cell r="D76" t="str">
            <v>PT Suryaraya Rubberindo Industries</v>
          </cell>
          <cell r="E76" t="str">
            <v>Astra Honda Motor Groups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R76" t="str">
            <v>107PEB 1</v>
          </cell>
          <cell r="S76" t="str">
            <v>107PEB 2</v>
          </cell>
          <cell r="T76" t="str">
            <v>107PEB 3</v>
          </cell>
          <cell r="U76" t="str">
            <v>107PEB 4</v>
          </cell>
          <cell r="V76" t="str">
            <v>107PEB 5</v>
          </cell>
          <cell r="W76" t="str">
            <v>107PEB 6</v>
          </cell>
          <cell r="X76" t="str">
            <v>107PEB 7</v>
          </cell>
          <cell r="Y76" t="str">
            <v>107MPP</v>
          </cell>
          <cell r="Z76" t="str">
            <v>107ID</v>
          </cell>
          <cell r="AA76" t="str">
            <v>107LL</v>
          </cell>
          <cell r="AB76" t="str">
            <v>107PMK</v>
          </cell>
          <cell r="AD76">
            <v>56376.269705681741</v>
          </cell>
          <cell r="AE76">
            <v>0</v>
          </cell>
          <cell r="AF76">
            <v>0</v>
          </cell>
          <cell r="AG76">
            <v>318017.48443508201</v>
          </cell>
          <cell r="AH76">
            <v>0</v>
          </cell>
          <cell r="AI76">
            <v>0</v>
          </cell>
          <cell r="AJ76">
            <v>125426.6464562957</v>
          </cell>
          <cell r="AK76">
            <v>0</v>
          </cell>
          <cell r="AL76">
            <v>189270.59770634965</v>
          </cell>
          <cell r="AM76">
            <v>890487.29097215808</v>
          </cell>
          <cell r="AN76">
            <v>45000</v>
          </cell>
          <cell r="AP76">
            <v>0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  <cell r="AW76" t="e">
            <v>#REF!</v>
          </cell>
          <cell r="AX76" t="e">
            <v>#REF!</v>
          </cell>
          <cell r="AY76" t="e">
            <v>#REF!</v>
          </cell>
          <cell r="AZ76" t="e">
            <v>#REF!</v>
          </cell>
          <cell r="BB76" t="e">
            <v>#REF!</v>
          </cell>
          <cell r="BC76" t="e">
            <v>#REF!</v>
          </cell>
          <cell r="BD76" t="e">
            <v>#REF!</v>
          </cell>
          <cell r="BE76" t="e">
            <v>#REF!</v>
          </cell>
          <cell r="BF76" t="e">
            <v>#REF!</v>
          </cell>
          <cell r="BG76" t="e">
            <v>#REF!</v>
          </cell>
          <cell r="BH76" t="e">
            <v>#REF!</v>
          </cell>
          <cell r="BI76" t="e">
            <v>#REF!</v>
          </cell>
          <cell r="BJ76" t="e">
            <v>#REF!</v>
          </cell>
          <cell r="BK76" t="e">
            <v>#REF!</v>
          </cell>
          <cell r="BL76" t="e">
            <v>#REF!</v>
          </cell>
        </row>
        <row r="77">
          <cell r="C77" t="str">
            <v>A0221</v>
          </cell>
          <cell r="D77" t="str">
            <v>PT Swadaya Harapan Nusantara</v>
          </cell>
          <cell r="E77" t="str">
            <v>Traktor Nusantara Group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R77" t="str">
            <v>108PEB 1</v>
          </cell>
          <cell r="S77" t="str">
            <v>108PEB 2</v>
          </cell>
          <cell r="T77" t="str">
            <v>108PEB 3</v>
          </cell>
          <cell r="U77" t="str">
            <v>108PEB 4</v>
          </cell>
          <cell r="V77" t="str">
            <v>108PEB 5</v>
          </cell>
          <cell r="W77" t="str">
            <v>108PEB 6</v>
          </cell>
          <cell r="X77" t="str">
            <v>108PEB 7</v>
          </cell>
          <cell r="Y77" t="str">
            <v>108MPP</v>
          </cell>
          <cell r="Z77" t="str">
            <v>108ID</v>
          </cell>
          <cell r="AA77" t="str">
            <v>108LL</v>
          </cell>
          <cell r="AB77" t="str">
            <v>108PMK</v>
          </cell>
          <cell r="AD77">
            <v>26261.16543513169</v>
          </cell>
          <cell r="AE77">
            <v>0</v>
          </cell>
          <cell r="AF77">
            <v>0</v>
          </cell>
          <cell r="AG77">
            <v>9195.229646747548</v>
          </cell>
          <cell r="AH77">
            <v>0</v>
          </cell>
          <cell r="AI77">
            <v>0</v>
          </cell>
          <cell r="AJ77">
            <v>9198.0058189920492</v>
          </cell>
          <cell r="AK77">
            <v>0</v>
          </cell>
          <cell r="AL77">
            <v>31669.69229418617</v>
          </cell>
          <cell r="AM77">
            <v>217216</v>
          </cell>
          <cell r="AN77">
            <v>123796.5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  <cell r="AW77" t="e">
            <v>#REF!</v>
          </cell>
          <cell r="AX77" t="e">
            <v>#REF!</v>
          </cell>
          <cell r="AY77" t="e">
            <v>#REF!</v>
          </cell>
          <cell r="AZ77" t="e">
            <v>#REF!</v>
          </cell>
          <cell r="BB77" t="e">
            <v>#REF!</v>
          </cell>
          <cell r="BC77" t="e">
            <v>#REF!</v>
          </cell>
          <cell r="BD77" t="e">
            <v>#REF!</v>
          </cell>
          <cell r="BE77" t="e">
            <v>#REF!</v>
          </cell>
          <cell r="BF77" t="e">
            <v>#REF!</v>
          </cell>
          <cell r="BG77" t="e">
            <v>#REF!</v>
          </cell>
          <cell r="BH77" t="e">
            <v>#REF!</v>
          </cell>
          <cell r="BI77" t="e">
            <v>#REF!</v>
          </cell>
          <cell r="BJ77" t="e">
            <v>#REF!</v>
          </cell>
          <cell r="BK77" t="e">
            <v>#REF!</v>
          </cell>
          <cell r="BL77" t="e">
            <v>#REF!</v>
          </cell>
        </row>
        <row r="78">
          <cell r="C78" t="str">
            <v>A0143</v>
          </cell>
          <cell r="D78" t="str">
            <v>PT Swadharma Bhakti Sedaya Finance</v>
          </cell>
          <cell r="E78" t="str">
            <v>ACC Group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R78" t="str">
            <v>109PEB 1</v>
          </cell>
          <cell r="S78" t="str">
            <v>109PEB 2</v>
          </cell>
          <cell r="T78" t="str">
            <v>109PEB 3</v>
          </cell>
          <cell r="U78" t="str">
            <v>109PEB 4</v>
          </cell>
          <cell r="V78" t="str">
            <v>109PEB 5</v>
          </cell>
          <cell r="W78" t="str">
            <v>109PEB 6</v>
          </cell>
          <cell r="X78" t="str">
            <v>109PEB 7</v>
          </cell>
          <cell r="Y78" t="str">
            <v>109MPP</v>
          </cell>
          <cell r="Z78" t="str">
            <v>109ID</v>
          </cell>
          <cell r="AA78" t="str">
            <v>109LL</v>
          </cell>
          <cell r="AB78" t="str">
            <v>109PMK</v>
          </cell>
          <cell r="AD78">
            <v>304367.47220079199</v>
          </cell>
          <cell r="AE78">
            <v>26515.5</v>
          </cell>
          <cell r="AF78">
            <v>39261.194940000001</v>
          </cell>
          <cell r="AG78">
            <v>67153.387298617279</v>
          </cell>
          <cell r="AH78">
            <v>0</v>
          </cell>
          <cell r="AI78">
            <v>0</v>
          </cell>
          <cell r="AJ78">
            <v>12315.633271746332</v>
          </cell>
          <cell r="AK78">
            <v>0</v>
          </cell>
          <cell r="AL78">
            <v>30075.456353040474</v>
          </cell>
          <cell r="AM78">
            <v>170849.93083178086</v>
          </cell>
          <cell r="AN78">
            <v>159550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  <cell r="AW78" t="e">
            <v>#REF!</v>
          </cell>
          <cell r="AX78" t="e">
            <v>#REF!</v>
          </cell>
          <cell r="AY78" t="e">
            <v>#REF!</v>
          </cell>
          <cell r="AZ78" t="e">
            <v>#REF!</v>
          </cell>
          <cell r="BB78" t="e">
            <v>#REF!</v>
          </cell>
          <cell r="BC78" t="e">
            <v>#REF!</v>
          </cell>
          <cell r="BD78" t="e">
            <v>#REF!</v>
          </cell>
          <cell r="BE78" t="e">
            <v>#REF!</v>
          </cell>
          <cell r="BF78" t="e">
            <v>#REF!</v>
          </cell>
          <cell r="BG78" t="e">
            <v>#REF!</v>
          </cell>
          <cell r="BH78" t="e">
            <v>#REF!</v>
          </cell>
          <cell r="BI78" t="e">
            <v>#REF!</v>
          </cell>
          <cell r="BJ78" t="e">
            <v>#REF!</v>
          </cell>
          <cell r="BK78" t="e">
            <v>#REF!</v>
          </cell>
          <cell r="BL78" t="e">
            <v>#REF!</v>
          </cell>
        </row>
        <row r="79">
          <cell r="C79" t="str">
            <v>A0452</v>
          </cell>
          <cell r="D79" t="str">
            <v>PT Telen Orbit Prima</v>
          </cell>
          <cell r="E79" t="str">
            <v>United Tractors Tbk - Groups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R79" t="str">
            <v>110PEB 1</v>
          </cell>
          <cell r="S79" t="str">
            <v>110PEB 2</v>
          </cell>
          <cell r="T79" t="str">
            <v>110PEB 3</v>
          </cell>
          <cell r="U79" t="str">
            <v>110PEB 4</v>
          </cell>
          <cell r="V79" t="str">
            <v>110PEB 5</v>
          </cell>
          <cell r="W79" t="str">
            <v>110PEB 6</v>
          </cell>
          <cell r="X79" t="str">
            <v>110PEB 7</v>
          </cell>
          <cell r="Y79" t="str">
            <v>110MPP</v>
          </cell>
          <cell r="Z79" t="str">
            <v>110ID</v>
          </cell>
          <cell r="AA79" t="str">
            <v>110LL</v>
          </cell>
          <cell r="AB79" t="str">
            <v>110PMK</v>
          </cell>
          <cell r="AD79">
            <v>1261074.4900838302</v>
          </cell>
          <cell r="AE79">
            <v>456568.73600000003</v>
          </cell>
          <cell r="AF79">
            <v>0</v>
          </cell>
          <cell r="AG79">
            <v>4647.6596539492193</v>
          </cell>
          <cell r="AH79">
            <v>0</v>
          </cell>
          <cell r="AI79">
            <v>39754.7745</v>
          </cell>
          <cell r="AJ79">
            <v>8037.8656756638138</v>
          </cell>
          <cell r="AK79">
            <v>85606.638000000021</v>
          </cell>
          <cell r="AL79">
            <v>26165.605300513067</v>
          </cell>
          <cell r="AM79">
            <v>49552.855164717374</v>
          </cell>
          <cell r="AN79">
            <v>15779.916999999999</v>
          </cell>
          <cell r="AP79">
            <v>0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  <cell r="AW79" t="e">
            <v>#REF!</v>
          </cell>
          <cell r="AX79" t="e">
            <v>#REF!</v>
          </cell>
          <cell r="AY79" t="e">
            <v>#REF!</v>
          </cell>
          <cell r="AZ79" t="e">
            <v>#REF!</v>
          </cell>
          <cell r="BB79" t="e">
            <v>#REF!</v>
          </cell>
          <cell r="BC79" t="e">
            <v>#REF!</v>
          </cell>
          <cell r="BD79" t="e">
            <v>#REF!</v>
          </cell>
          <cell r="BE79" t="e">
            <v>#REF!</v>
          </cell>
          <cell r="BF79" t="e">
            <v>#REF!</v>
          </cell>
          <cell r="BG79" t="e">
            <v>#REF!</v>
          </cell>
          <cell r="BH79" t="e">
            <v>#REF!</v>
          </cell>
          <cell r="BI79" t="e">
            <v>#REF!</v>
          </cell>
          <cell r="BJ79" t="e">
            <v>#REF!</v>
          </cell>
          <cell r="BK79" t="e">
            <v>#REF!</v>
          </cell>
          <cell r="BL79" t="e">
            <v>#REF!</v>
          </cell>
        </row>
        <row r="80">
          <cell r="C80" t="str">
            <v>A0146</v>
          </cell>
          <cell r="D80" t="str">
            <v>PT Tjahja Sakti Motor</v>
          </cell>
          <cell r="E80" t="str">
            <v>Astra Motor Tiga Group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R80" t="str">
            <v>111PEB 1</v>
          </cell>
          <cell r="S80" t="str">
            <v>111PEB 2</v>
          </cell>
          <cell r="T80" t="str">
            <v>111PEB 3</v>
          </cell>
          <cell r="U80" t="str">
            <v>111PEB 4</v>
          </cell>
          <cell r="V80" t="str">
            <v>111PEB 5</v>
          </cell>
          <cell r="W80" t="str">
            <v>111PEB 6</v>
          </cell>
          <cell r="X80" t="str">
            <v>111PEB 7</v>
          </cell>
          <cell r="Y80" t="str">
            <v>111MPP</v>
          </cell>
          <cell r="Z80" t="str">
            <v>111ID</v>
          </cell>
          <cell r="AA80" t="str">
            <v>111LL</v>
          </cell>
          <cell r="AB80" t="str">
            <v>111PMK</v>
          </cell>
          <cell r="AD80">
            <v>1289569.6617600177</v>
          </cell>
          <cell r="AE80">
            <v>266461.40000000002</v>
          </cell>
          <cell r="AF80">
            <v>17047.735160000004</v>
          </cell>
          <cell r="AG80">
            <v>110864.79113100105</v>
          </cell>
          <cell r="AH80">
            <v>0</v>
          </cell>
          <cell r="AI80">
            <v>0</v>
          </cell>
          <cell r="AJ80">
            <v>13976.349185744988</v>
          </cell>
          <cell r="AK80">
            <v>43692.105000000003</v>
          </cell>
          <cell r="AL80">
            <v>49655.527532392574</v>
          </cell>
          <cell r="AM80">
            <v>187238.87129347047</v>
          </cell>
          <cell r="AN80">
            <v>166472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</row>
        <row r="81">
          <cell r="C81" t="str">
            <v>A0364</v>
          </cell>
          <cell r="D81" t="str">
            <v>PT Toyoda Gosei Safety System Indonesia</v>
          </cell>
          <cell r="E81" t="str">
            <v>Astra Otoparts Group</v>
          </cell>
          <cell r="F81">
            <v>0</v>
          </cell>
          <cell r="G81">
            <v>0</v>
          </cell>
          <cell r="H81">
            <v>0</v>
          </cell>
          <cell r="I81">
            <v>-323469.81728194584</v>
          </cell>
          <cell r="J81">
            <v>0</v>
          </cell>
          <cell r="K81">
            <v>0</v>
          </cell>
          <cell r="L81">
            <v>-66034.084873824962</v>
          </cell>
          <cell r="M81">
            <v>0</v>
          </cell>
          <cell r="N81">
            <v>-167490.45190113378</v>
          </cell>
          <cell r="O81">
            <v>-154170.49382478333</v>
          </cell>
          <cell r="P81">
            <v>-193899.26719744437</v>
          </cell>
          <cell r="R81" t="str">
            <v>112PEB 1</v>
          </cell>
          <cell r="S81" t="str">
            <v>112PEB 2</v>
          </cell>
          <cell r="T81" t="str">
            <v>112PEB 3</v>
          </cell>
          <cell r="U81" t="str">
            <v>112PEB 4</v>
          </cell>
          <cell r="V81" t="str">
            <v>112PEB 5</v>
          </cell>
          <cell r="W81" t="str">
            <v>112PEB 6</v>
          </cell>
          <cell r="X81" t="str">
            <v>112PEB 7</v>
          </cell>
          <cell r="Y81" t="str">
            <v>112MPP</v>
          </cell>
          <cell r="Z81" t="str">
            <v>112ID</v>
          </cell>
          <cell r="AA81" t="str">
            <v>112LL</v>
          </cell>
          <cell r="AB81" t="str">
            <v>112PMK</v>
          </cell>
          <cell r="AD81">
            <v>0</v>
          </cell>
          <cell r="AE81">
            <v>0</v>
          </cell>
          <cell r="AF81">
            <v>0</v>
          </cell>
          <cell r="AG81">
            <v>3276.7610016869007</v>
          </cell>
          <cell r="AH81">
            <v>0</v>
          </cell>
          <cell r="AI81">
            <v>0</v>
          </cell>
          <cell r="AJ81">
            <v>3590.5135864307172</v>
          </cell>
          <cell r="AK81">
            <v>0</v>
          </cell>
          <cell r="AL81">
            <v>4203.8543811387481</v>
          </cell>
          <cell r="AM81">
            <v>22881.59865207129</v>
          </cell>
          <cell r="AN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-3276.7610016869007</v>
          </cell>
          <cell r="AT81">
            <v>0</v>
          </cell>
          <cell r="AU81">
            <v>0</v>
          </cell>
          <cell r="AV81">
            <v>-3590.5135864307172</v>
          </cell>
          <cell r="AW81">
            <v>0</v>
          </cell>
          <cell r="AX81">
            <v>-4203.8543811387481</v>
          </cell>
          <cell r="AY81">
            <v>-22881.59865207129</v>
          </cell>
          <cell r="AZ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-320193.05628025893</v>
          </cell>
          <cell r="BF81">
            <v>0</v>
          </cell>
          <cell r="BG81">
            <v>0</v>
          </cell>
          <cell r="BH81">
            <v>-62443.571287394247</v>
          </cell>
          <cell r="BI81">
            <v>0</v>
          </cell>
          <cell r="BJ81">
            <v>-163286.59751999503</v>
          </cell>
          <cell r="BK81">
            <v>-131288.89517271204</v>
          </cell>
          <cell r="BL81">
            <v>-193899.26719744437</v>
          </cell>
        </row>
        <row r="82">
          <cell r="C82" t="str">
            <v>A0411</v>
          </cell>
          <cell r="D82" t="str">
            <v>PT Toyota Astra Financial Services</v>
          </cell>
          <cell r="E82" t="str">
            <v>Other - Non Group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R82" t="str">
            <v>113PEB 1</v>
          </cell>
          <cell r="S82" t="str">
            <v>113PEB 2</v>
          </cell>
          <cell r="T82" t="str">
            <v>113PEB 3</v>
          </cell>
          <cell r="U82" t="str">
            <v>113PEB 4</v>
          </cell>
          <cell r="V82" t="str">
            <v>113PEB 5</v>
          </cell>
          <cell r="W82" t="str">
            <v>113PEB 6</v>
          </cell>
          <cell r="X82" t="str">
            <v>113PEB 7</v>
          </cell>
          <cell r="Y82" t="str">
            <v>113MPP</v>
          </cell>
          <cell r="Z82" t="str">
            <v>113ID</v>
          </cell>
          <cell r="AA82" t="str">
            <v>113LL</v>
          </cell>
          <cell r="AB82" t="str">
            <v>113PMK</v>
          </cell>
          <cell r="AD82">
            <v>5062127.9012274947</v>
          </cell>
          <cell r="AE82">
            <v>1119757</v>
          </cell>
          <cell r="AF82">
            <v>0</v>
          </cell>
          <cell r="AG82">
            <v>33839.748295991965</v>
          </cell>
          <cell r="AH82">
            <v>0</v>
          </cell>
          <cell r="AI82">
            <v>0</v>
          </cell>
          <cell r="AJ82">
            <v>40787.264885414254</v>
          </cell>
          <cell r="AK82">
            <v>0</v>
          </cell>
          <cell r="AL82">
            <v>60894.518359875685</v>
          </cell>
          <cell r="AM82">
            <v>224737.01538576308</v>
          </cell>
          <cell r="AN82">
            <v>29750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  <cell r="AW82" t="e">
            <v>#REF!</v>
          </cell>
          <cell r="AX82" t="e">
            <v>#REF!</v>
          </cell>
          <cell r="AY82" t="e">
            <v>#REF!</v>
          </cell>
          <cell r="AZ82" t="e">
            <v>#REF!</v>
          </cell>
          <cell r="BB82" t="e">
            <v>#REF!</v>
          </cell>
          <cell r="BC82" t="e">
            <v>#REF!</v>
          </cell>
          <cell r="BD82" t="e">
            <v>#REF!</v>
          </cell>
          <cell r="BE82" t="e">
            <v>#REF!</v>
          </cell>
          <cell r="BF82" t="e">
            <v>#REF!</v>
          </cell>
          <cell r="BG82" t="e">
            <v>#REF!</v>
          </cell>
          <cell r="BH82" t="e">
            <v>#REF!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</row>
        <row r="83">
          <cell r="C83" t="str">
            <v>A0150</v>
          </cell>
          <cell r="D83" t="str">
            <v>PT Traktor Nusantara</v>
          </cell>
          <cell r="E83" t="str">
            <v>Traktor Nusantara Group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R83" t="str">
            <v>114PEB 1</v>
          </cell>
          <cell r="S83" t="str">
            <v>114PEB 2</v>
          </cell>
          <cell r="T83" t="str">
            <v>114PEB 3</v>
          </cell>
          <cell r="U83" t="str">
            <v>114PEB 4</v>
          </cell>
          <cell r="V83" t="str">
            <v>114PEB 5</v>
          </cell>
          <cell r="W83" t="str">
            <v>114PEB 6</v>
          </cell>
          <cell r="X83" t="str">
            <v>114PEB 7</v>
          </cell>
          <cell r="Y83" t="str">
            <v>114MPP</v>
          </cell>
          <cell r="Z83" t="str">
            <v>114ID</v>
          </cell>
          <cell r="AA83" t="str">
            <v>114LL</v>
          </cell>
          <cell r="AB83" t="str">
            <v>114PMK</v>
          </cell>
          <cell r="AD83">
            <v>270934.56600770162</v>
          </cell>
          <cell r="AE83">
            <v>35795.599999999999</v>
          </cell>
          <cell r="AF83">
            <v>14659.318240000008</v>
          </cell>
          <cell r="AG83">
            <v>61142.994013271869</v>
          </cell>
          <cell r="AH83">
            <v>0</v>
          </cell>
          <cell r="AI83">
            <v>0</v>
          </cell>
          <cell r="AJ83">
            <v>58564.062832949654</v>
          </cell>
          <cell r="AK83">
            <v>10738.68</v>
          </cell>
          <cell r="AL83">
            <v>179155.31508050443</v>
          </cell>
          <cell r="AM83">
            <v>726547</v>
          </cell>
          <cell r="AN83">
            <v>297169.75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  <cell r="AW83" t="e">
            <v>#REF!</v>
          </cell>
          <cell r="AX83" t="e">
            <v>#REF!</v>
          </cell>
          <cell r="AY83" t="e">
            <v>#REF!</v>
          </cell>
          <cell r="AZ83" t="e">
            <v>#REF!</v>
          </cell>
          <cell r="BB83" t="e">
            <v>#REF!</v>
          </cell>
          <cell r="BC83" t="e">
            <v>#REF!</v>
          </cell>
          <cell r="BD83" t="e">
            <v>#REF!</v>
          </cell>
          <cell r="BE83" t="e">
            <v>#REF!</v>
          </cell>
          <cell r="BF83" t="e">
            <v>#REF!</v>
          </cell>
          <cell r="BG83" t="e">
            <v>#REF!</v>
          </cell>
          <cell r="BH83" t="e">
            <v>#REF!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</row>
        <row r="84">
          <cell r="C84" t="str">
            <v>A0151</v>
          </cell>
          <cell r="D84" t="str">
            <v>Dana Pensiun Astra</v>
          </cell>
          <cell r="E84" t="str">
            <v>Dana Pensiun</v>
          </cell>
          <cell r="R84" t="str">
            <v>115PEB 1</v>
          </cell>
          <cell r="S84" t="str">
            <v>115PEB 2</v>
          </cell>
          <cell r="T84" t="str">
            <v>115PEB 3</v>
          </cell>
          <cell r="U84" t="str">
            <v>115PEB 4</v>
          </cell>
          <cell r="V84" t="str">
            <v>115PEB 5</v>
          </cell>
          <cell r="W84" t="str">
            <v>115PEB 6</v>
          </cell>
          <cell r="X84" t="str">
            <v>115PEB 7</v>
          </cell>
          <cell r="Y84" t="str">
            <v>115MPP</v>
          </cell>
          <cell r="Z84" t="str">
            <v>115ID</v>
          </cell>
          <cell r="AA84" t="str">
            <v>115LL</v>
          </cell>
          <cell r="AB84" t="str">
            <v>115PMK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</row>
        <row r="85">
          <cell r="C85" t="str">
            <v>A0156</v>
          </cell>
          <cell r="D85" t="str">
            <v>PT United Tractors Pandu Eng.</v>
          </cell>
          <cell r="E85" t="str">
            <v>United Tractors Tbk - Groups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R85" t="str">
            <v>117PEB 1</v>
          </cell>
          <cell r="S85" t="str">
            <v>117PEB 2</v>
          </cell>
          <cell r="T85" t="str">
            <v>117PEB 3</v>
          </cell>
          <cell r="U85" t="str">
            <v>117PEB 4</v>
          </cell>
          <cell r="V85" t="str">
            <v>117PEB 5</v>
          </cell>
          <cell r="W85" t="str">
            <v>117PEB 6</v>
          </cell>
          <cell r="X85" t="str">
            <v>117PEB 7</v>
          </cell>
          <cell r="Y85" t="str">
            <v>117MPP</v>
          </cell>
          <cell r="Z85" t="str">
            <v>117ID</v>
          </cell>
          <cell r="AA85" t="str">
            <v>117LL</v>
          </cell>
          <cell r="AB85" t="str">
            <v>117PMK</v>
          </cell>
          <cell r="AD85">
            <v>1076175.0350056468</v>
          </cell>
          <cell r="AE85">
            <v>934293.5</v>
          </cell>
          <cell r="AF85">
            <v>111411.94836666677</v>
          </cell>
          <cell r="AG85">
            <v>1605725.0955841276</v>
          </cell>
          <cell r="AH85">
            <v>0</v>
          </cell>
          <cell r="AI85">
            <v>0</v>
          </cell>
          <cell r="AJ85">
            <v>82625.970603645124</v>
          </cell>
          <cell r="AK85">
            <v>0</v>
          </cell>
          <cell r="AL85">
            <v>144440.62646917574</v>
          </cell>
          <cell r="AM85">
            <v>793873.39426327834</v>
          </cell>
          <cell r="AN85">
            <v>514800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  <cell r="AW85" t="e">
            <v>#REF!</v>
          </cell>
          <cell r="AX85" t="e">
            <v>#REF!</v>
          </cell>
          <cell r="AY85" t="e">
            <v>#REF!</v>
          </cell>
          <cell r="AZ85" t="e">
            <v>#REF!</v>
          </cell>
          <cell r="BB85" t="e">
            <v>#REF!</v>
          </cell>
          <cell r="BC85" t="e">
            <v>#REF!</v>
          </cell>
          <cell r="BD85" t="e">
            <v>#REF!</v>
          </cell>
          <cell r="BE85" t="e">
            <v>#REF!</v>
          </cell>
          <cell r="BF85" t="e">
            <v>#REF!</v>
          </cell>
          <cell r="BG85" t="e">
            <v>#REF!</v>
          </cell>
          <cell r="BH85" t="e">
            <v>#REF!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</row>
        <row r="86">
          <cell r="C86" t="str">
            <v>A0155</v>
          </cell>
          <cell r="D86" t="str">
            <v>PT United Tractors TBK (Parent)</v>
          </cell>
          <cell r="E86" t="str">
            <v>United Tractors Tbk - Groups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R86" t="str">
            <v>118PEB 1</v>
          </cell>
          <cell r="S86" t="str">
            <v>118PEB 2</v>
          </cell>
          <cell r="T86" t="str">
            <v>118PEB 3</v>
          </cell>
          <cell r="U86" t="str">
            <v>118PEB 4</v>
          </cell>
          <cell r="V86" t="str">
            <v>118PEB 5</v>
          </cell>
          <cell r="W86" t="str">
            <v>118PEB 6</v>
          </cell>
          <cell r="X86" t="str">
            <v>118PEB 7</v>
          </cell>
          <cell r="Y86" t="str">
            <v>118MPP</v>
          </cell>
          <cell r="Z86" t="str">
            <v>118ID</v>
          </cell>
          <cell r="AA86" t="str">
            <v>118LL</v>
          </cell>
          <cell r="AB86" t="str">
            <v>118PMK</v>
          </cell>
          <cell r="AD86">
            <v>6679261.7882084306</v>
          </cell>
          <cell r="AE86">
            <v>2271257.1980000003</v>
          </cell>
          <cell r="AF86">
            <v>133594.23134666667</v>
          </cell>
          <cell r="AG86">
            <v>921618.40464404342</v>
          </cell>
          <cell r="AH86">
            <v>0</v>
          </cell>
          <cell r="AI86">
            <v>1548093.2617499994</v>
          </cell>
          <cell r="AJ86">
            <v>532305.00192314014</v>
          </cell>
          <cell r="AK86">
            <v>531158.52599999995</v>
          </cell>
          <cell r="AL86">
            <v>873463.21342048945</v>
          </cell>
          <cell r="AM86">
            <v>4985391.1008930635</v>
          </cell>
          <cell r="AN86">
            <v>1916606.6669999999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  <cell r="AW86" t="e">
            <v>#REF!</v>
          </cell>
          <cell r="AX86" t="e">
            <v>#REF!</v>
          </cell>
          <cell r="AY86" t="e">
            <v>#REF!</v>
          </cell>
          <cell r="AZ86" t="e">
            <v>#REF!</v>
          </cell>
          <cell r="BB86" t="e">
            <v>#REF!</v>
          </cell>
          <cell r="BC86" t="e">
            <v>#REF!</v>
          </cell>
          <cell r="BD86" t="e">
            <v>#REF!</v>
          </cell>
          <cell r="BE86" t="e">
            <v>#REF!</v>
          </cell>
          <cell r="BF86" t="e">
            <v>#REF!</v>
          </cell>
          <cell r="BG86" t="e">
            <v>#REF!</v>
          </cell>
          <cell r="BH86" t="e">
            <v>#REF!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</row>
        <row r="87">
          <cell r="C87" t="str">
            <v>A0326</v>
          </cell>
          <cell r="D87" t="str">
            <v>PT Yutaka Manufacturing Indonesia</v>
          </cell>
          <cell r="E87" t="str">
            <v>Astra Honda Motor Groups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R87" t="str">
            <v>120PEB 1</v>
          </cell>
          <cell r="S87" t="str">
            <v>120PEB 2</v>
          </cell>
          <cell r="T87" t="str">
            <v>120PEB 3</v>
          </cell>
          <cell r="U87" t="str">
            <v>120PEB 4</v>
          </cell>
          <cell r="V87" t="str">
            <v>120PEB 5</v>
          </cell>
          <cell r="W87" t="str">
            <v>120PEB 6</v>
          </cell>
          <cell r="X87" t="str">
            <v>120PEB 7</v>
          </cell>
          <cell r="Y87" t="str">
            <v>120MPP</v>
          </cell>
          <cell r="Z87" t="str">
            <v>120ID</v>
          </cell>
          <cell r="AA87" t="str">
            <v>120LL</v>
          </cell>
          <cell r="AB87" t="str">
            <v>120PMK</v>
          </cell>
          <cell r="AD87">
            <v>33021.734127864314</v>
          </cell>
          <cell r="AE87">
            <v>0</v>
          </cell>
          <cell r="AF87">
            <v>0</v>
          </cell>
          <cell r="AG87">
            <v>63283.217914860194</v>
          </cell>
          <cell r="AH87">
            <v>0</v>
          </cell>
          <cell r="AI87">
            <v>0</v>
          </cell>
          <cell r="AJ87">
            <v>33967.724660282482</v>
          </cell>
          <cell r="AK87">
            <v>0</v>
          </cell>
          <cell r="AL87">
            <v>58677.069050264487</v>
          </cell>
          <cell r="AM87">
            <v>537627.15113712428</v>
          </cell>
          <cell r="AN87">
            <v>393000</v>
          </cell>
          <cell r="AP87">
            <v>0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  <cell r="AW87" t="e">
            <v>#REF!</v>
          </cell>
          <cell r="AX87" t="e">
            <v>#REF!</v>
          </cell>
          <cell r="AY87" t="e">
            <v>#REF!</v>
          </cell>
          <cell r="AZ87" t="e">
            <v>#REF!</v>
          </cell>
          <cell r="BB87" t="e">
            <v>#REF!</v>
          </cell>
          <cell r="BC87" t="e">
            <v>#REF!</v>
          </cell>
          <cell r="BD87" t="e">
            <v>#REF!</v>
          </cell>
          <cell r="BE87" t="e">
            <v>#REF!</v>
          </cell>
          <cell r="BF87" t="e">
            <v>#REF!</v>
          </cell>
          <cell r="BG87" t="e">
            <v>#REF!</v>
          </cell>
          <cell r="BH87" t="e">
            <v>#REF!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</row>
        <row r="88">
          <cell r="C88" t="str">
            <v>R0406</v>
          </cell>
          <cell r="D88" t="str">
            <v>Yayasan Astra Bina Ilmu</v>
          </cell>
          <cell r="E88" t="str">
            <v>Yayasan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R88" t="str">
            <v>121PEB 1</v>
          </cell>
          <cell r="S88" t="str">
            <v>121PEB 2</v>
          </cell>
          <cell r="T88" t="str">
            <v>121PEB 3</v>
          </cell>
          <cell r="U88" t="str">
            <v>121PEB 4</v>
          </cell>
          <cell r="V88" t="str">
            <v>121PEB 5</v>
          </cell>
          <cell r="W88" t="str">
            <v>121PEB 6</v>
          </cell>
          <cell r="X88" t="str">
            <v>121PEB 7</v>
          </cell>
          <cell r="Y88" t="str">
            <v>121MPP</v>
          </cell>
          <cell r="Z88" t="str">
            <v>121ID</v>
          </cell>
          <cell r="AA88" t="str">
            <v>121LL</v>
          </cell>
          <cell r="AB88" t="str">
            <v>121PMK</v>
          </cell>
          <cell r="AD88">
            <v>2160.9602035357684</v>
          </cell>
          <cell r="AE88">
            <v>0</v>
          </cell>
          <cell r="AF88">
            <v>0</v>
          </cell>
          <cell r="AG88">
            <v>33387.705813194589</v>
          </cell>
          <cell r="AH88">
            <v>0</v>
          </cell>
          <cell r="AI88">
            <v>0</v>
          </cell>
          <cell r="AJ88">
            <v>15034.873014984403</v>
          </cell>
          <cell r="AK88">
            <v>0</v>
          </cell>
          <cell r="AL88">
            <v>18201.627600631607</v>
          </cell>
          <cell r="AM88">
            <v>85870.556048300772</v>
          </cell>
          <cell r="AN88">
            <v>6445.25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  <cell r="AW88" t="e">
            <v>#REF!</v>
          </cell>
          <cell r="AX88" t="e">
            <v>#REF!</v>
          </cell>
          <cell r="AY88" t="e">
            <v>#REF!</v>
          </cell>
          <cell r="AZ88" t="e">
            <v>#REF!</v>
          </cell>
          <cell r="BB88" t="e">
            <v>#REF!</v>
          </cell>
          <cell r="BC88" t="e">
            <v>#REF!</v>
          </cell>
          <cell r="BD88" t="e">
            <v>#REF!</v>
          </cell>
          <cell r="BE88" t="e">
            <v>#REF!</v>
          </cell>
          <cell r="BF88" t="e">
            <v>#REF!</v>
          </cell>
          <cell r="BG88" t="e">
            <v>#REF!</v>
          </cell>
          <cell r="BH88" t="e">
            <v>#REF!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</row>
        <row r="89">
          <cell r="C89" t="str">
            <v>R0411</v>
          </cell>
          <cell r="D89" t="str">
            <v>Yayasan Astra Bina Pendidikan</v>
          </cell>
          <cell r="E89" t="str">
            <v>Yayasan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R89" t="str">
            <v>122PEB 1</v>
          </cell>
          <cell r="S89" t="str">
            <v>122PEB 2</v>
          </cell>
          <cell r="T89" t="str">
            <v>122PEB 3</v>
          </cell>
          <cell r="U89" t="str">
            <v>122PEB 4</v>
          </cell>
          <cell r="V89" t="str">
            <v>122PEB 5</v>
          </cell>
          <cell r="W89" t="str">
            <v>122PEB 6</v>
          </cell>
          <cell r="X89" t="str">
            <v>122PEB 7</v>
          </cell>
          <cell r="Y89" t="str">
            <v>122MPP</v>
          </cell>
          <cell r="Z89" t="str">
            <v>122ID</v>
          </cell>
          <cell r="AA89" t="str">
            <v>122LL</v>
          </cell>
          <cell r="AB89" t="str">
            <v>122PMK</v>
          </cell>
          <cell r="AD89">
            <v>0</v>
          </cell>
          <cell r="AE89">
            <v>0</v>
          </cell>
          <cell r="AF89">
            <v>0</v>
          </cell>
          <cell r="AG89">
            <v>1113.0285473672652</v>
          </cell>
          <cell r="AH89">
            <v>0</v>
          </cell>
          <cell r="AI89">
            <v>0</v>
          </cell>
          <cell r="AJ89">
            <v>850.61675017357743</v>
          </cell>
          <cell r="AK89">
            <v>0</v>
          </cell>
          <cell r="AL89">
            <v>2190.3021966430338</v>
          </cell>
          <cell r="AM89">
            <v>47621.64269683852</v>
          </cell>
          <cell r="AN89">
            <v>5501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  <cell r="AW89" t="e">
            <v>#REF!</v>
          </cell>
          <cell r="AX89" t="e">
            <v>#REF!</v>
          </cell>
          <cell r="AY89" t="e">
            <v>#REF!</v>
          </cell>
          <cell r="AZ89" t="e">
            <v>#REF!</v>
          </cell>
          <cell r="BB89" t="e">
            <v>#REF!</v>
          </cell>
          <cell r="BC89" t="e">
            <v>#REF!</v>
          </cell>
          <cell r="BD89" t="e">
            <v>#REF!</v>
          </cell>
          <cell r="BE89" t="e">
            <v>#REF!</v>
          </cell>
          <cell r="BF89" t="e">
            <v>#REF!</v>
          </cell>
          <cell r="BG89" t="e">
            <v>#REF!</v>
          </cell>
          <cell r="BH89" t="e">
            <v>#REF!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</row>
        <row r="90">
          <cell r="C90" t="str">
            <v>R0410</v>
          </cell>
          <cell r="D90" t="str">
            <v>Yayasan Dharma Bhakti Astra</v>
          </cell>
          <cell r="E90" t="str">
            <v>Yayasan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R90" t="str">
            <v>123PEB 1</v>
          </cell>
          <cell r="S90" t="str">
            <v>123PEB 2</v>
          </cell>
          <cell r="T90" t="str">
            <v>123PEB 3</v>
          </cell>
          <cell r="U90" t="str">
            <v>123PEB 4</v>
          </cell>
          <cell r="V90" t="str">
            <v>123PEB 5</v>
          </cell>
          <cell r="W90" t="str">
            <v>123PEB 6</v>
          </cell>
          <cell r="X90" t="str">
            <v>123PEB 7</v>
          </cell>
          <cell r="Y90" t="str">
            <v>123MPP</v>
          </cell>
          <cell r="Z90" t="str">
            <v>123ID</v>
          </cell>
          <cell r="AA90" t="str">
            <v>123LL</v>
          </cell>
          <cell r="AB90" t="str">
            <v>123PMK</v>
          </cell>
          <cell r="AD90">
            <v>4417.1069888630846</v>
          </cell>
          <cell r="AE90">
            <v>108760.2</v>
          </cell>
          <cell r="AF90">
            <v>0</v>
          </cell>
          <cell r="AG90">
            <v>778132.79195009207</v>
          </cell>
          <cell r="AH90">
            <v>0</v>
          </cell>
          <cell r="AI90">
            <v>0</v>
          </cell>
          <cell r="AJ90">
            <v>1964.5766770451567</v>
          </cell>
          <cell r="AK90">
            <v>16314.03</v>
          </cell>
          <cell r="AL90">
            <v>4367.3354015922978</v>
          </cell>
          <cell r="AM90">
            <v>26790.049112489418</v>
          </cell>
          <cell r="AN90">
            <v>20835.184000000001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  <cell r="AW90" t="e">
            <v>#REF!</v>
          </cell>
          <cell r="AX90" t="e">
            <v>#REF!</v>
          </cell>
          <cell r="AY90" t="e">
            <v>#REF!</v>
          </cell>
          <cell r="AZ90" t="e">
            <v>#REF!</v>
          </cell>
          <cell r="BB90" t="e">
            <v>#REF!</v>
          </cell>
          <cell r="BC90" t="e">
            <v>#REF!</v>
          </cell>
          <cell r="BD90" t="e">
            <v>#REF!</v>
          </cell>
          <cell r="BE90" t="e">
            <v>#REF!</v>
          </cell>
          <cell r="BF90" t="e">
            <v>#REF!</v>
          </cell>
          <cell r="BG90" t="e">
            <v>#REF!</v>
          </cell>
          <cell r="BH90" t="e">
            <v>#REF!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</row>
      </sheetData>
      <sheetData sheetId="10">
        <row r="8">
          <cell r="C8" t="str">
            <v>A0317</v>
          </cell>
          <cell r="D8" t="str">
            <v>PT Astra Otoparts Tbk. - Head Office</v>
          </cell>
          <cell r="E8" t="str">
            <v>PEB 1</v>
          </cell>
          <cell r="G8">
            <v>7.2021784876030974</v>
          </cell>
          <cell r="H8">
            <v>4603625.8847169261</v>
          </cell>
          <cell r="I8">
            <v>0.08</v>
          </cell>
          <cell r="J8">
            <v>0.1</v>
          </cell>
          <cell r="K8">
            <v>0.08</v>
          </cell>
          <cell r="L8">
            <v>7.2911089360998851</v>
          </cell>
          <cell r="M8">
            <v>29854330</v>
          </cell>
          <cell r="N8">
            <v>1330884</v>
          </cell>
          <cell r="O8">
            <v>1269055</v>
          </cell>
          <cell r="P8">
            <v>1392753</v>
          </cell>
          <cell r="Q8">
            <v>1590901</v>
          </cell>
          <cell r="T8">
            <v>0</v>
          </cell>
          <cell r="V8">
            <v>17.361993063685727</v>
          </cell>
          <cell r="W8">
            <v>82500</v>
          </cell>
          <cell r="X8">
            <v>0.09</v>
          </cell>
          <cell r="Y8" t="str">
            <v>N/A</v>
          </cell>
          <cell r="Z8">
            <v>0.08</v>
          </cell>
          <cell r="AA8">
            <v>16.77429101554636</v>
          </cell>
          <cell r="AB8">
            <v>2585269.8392451932</v>
          </cell>
          <cell r="AC8">
            <v>234063.89139909018</v>
          </cell>
          <cell r="AD8">
            <v>48000</v>
          </cell>
          <cell r="AE8">
            <v>252747.87493468644</v>
          </cell>
          <cell r="AF8">
            <v>304140.83924519317</v>
          </cell>
          <cell r="AG8">
            <v>0</v>
          </cell>
          <cell r="AH8">
            <v>0</v>
          </cell>
          <cell r="AI8">
            <v>0</v>
          </cell>
          <cell r="AK8">
            <v>7.2021784876030974</v>
          </cell>
          <cell r="AL8">
            <v>417613.0746666668</v>
          </cell>
          <cell r="AM8">
            <v>0.08</v>
          </cell>
          <cell r="AN8" t="str">
            <v>N/A</v>
          </cell>
          <cell r="AO8">
            <v>0.08</v>
          </cell>
          <cell r="AP8">
            <v>7.216823448263356</v>
          </cell>
          <cell r="AQ8">
            <v>120175.3721741297</v>
          </cell>
          <cell r="AR8">
            <v>5722.3944509882276</v>
          </cell>
          <cell r="AS8">
            <v>0</v>
          </cell>
          <cell r="AT8">
            <v>6180.1860070672865</v>
          </cell>
          <cell r="AU8">
            <v>34446.372174129705</v>
          </cell>
          <cell r="AV8">
            <v>0</v>
          </cell>
          <cell r="AW8">
            <v>0</v>
          </cell>
          <cell r="AX8">
            <v>0</v>
          </cell>
          <cell r="AZ8">
            <v>18.53385373353856</v>
          </cell>
          <cell r="BA8">
            <v>0</v>
          </cell>
          <cell r="BB8">
            <v>0.09</v>
          </cell>
          <cell r="BC8" t="str">
            <v>N/A</v>
          </cell>
          <cell r="BD8">
            <v>0.08</v>
          </cell>
          <cell r="BE8">
            <v>17.840114638223266</v>
          </cell>
          <cell r="BF8">
            <v>3428749.2523894054</v>
          </cell>
          <cell r="BG8">
            <v>372364.38642311702</v>
          </cell>
          <cell r="BH8">
            <v>1389068.5038321405</v>
          </cell>
          <cell r="BI8">
            <v>316795.44385955587</v>
          </cell>
          <cell r="BJ8">
            <v>-96028.747610594612</v>
          </cell>
          <cell r="BK8">
            <v>0</v>
          </cell>
          <cell r="BL8">
            <v>0</v>
          </cell>
          <cell r="BM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S8">
            <v>17.361993063685727</v>
          </cell>
          <cell r="CT8">
            <v>90474.903643457117</v>
          </cell>
          <cell r="CU8">
            <v>0.08</v>
          </cell>
          <cell r="CV8" t="str">
            <v>N/A</v>
          </cell>
          <cell r="CW8">
            <v>0.08</v>
          </cell>
          <cell r="CX8">
            <v>16.77429101554636</v>
          </cell>
          <cell r="CY8">
            <v>1156457.4762137509</v>
          </cell>
          <cell r="CZ8">
            <v>117222.08410960529</v>
          </cell>
          <cell r="DA8">
            <v>135246.76800099376</v>
          </cell>
          <cell r="DB8">
            <v>115077.34790527802</v>
          </cell>
          <cell r="DC8">
            <v>51753.476213750895</v>
          </cell>
          <cell r="DD8">
            <v>0</v>
          </cell>
          <cell r="DE8">
            <v>0</v>
          </cell>
          <cell r="DF8">
            <v>0</v>
          </cell>
          <cell r="DH8">
            <v>17.361993063685727</v>
          </cell>
          <cell r="DI8">
            <v>472251.76500000001</v>
          </cell>
          <cell r="DJ8">
            <v>0.09</v>
          </cell>
          <cell r="DK8" t="str">
            <v>N/A</v>
          </cell>
          <cell r="DL8">
            <v>0.08</v>
          </cell>
          <cell r="DM8">
            <v>16.77429101554636</v>
          </cell>
          <cell r="DN8">
            <v>1941748.3025735437</v>
          </cell>
          <cell r="DO8">
            <v>133504.72812266753</v>
          </cell>
          <cell r="DP8">
            <v>169205.76000000001</v>
          </cell>
          <cell r="DQ8">
            <v>135709.59728308202</v>
          </cell>
          <cell r="DR8">
            <v>-11639.397499941289</v>
          </cell>
          <cell r="DS8">
            <v>0</v>
          </cell>
          <cell r="DT8">
            <v>0</v>
          </cell>
          <cell r="DU8">
            <v>0</v>
          </cell>
          <cell r="DW8">
            <v>17.361993063685727</v>
          </cell>
          <cell r="DX8">
            <v>197686.94313059692</v>
          </cell>
          <cell r="DY8">
            <v>0.09</v>
          </cell>
          <cell r="DZ8" t="str">
            <v>N/A</v>
          </cell>
          <cell r="EA8">
            <v>0.08</v>
          </cell>
          <cell r="EB8">
            <v>16.77429101554636</v>
          </cell>
          <cell r="EC8">
            <v>3219147.1265855217</v>
          </cell>
          <cell r="ED8">
            <v>271945.81370173086</v>
          </cell>
          <cell r="EE8">
            <v>296061.67878910416</v>
          </cell>
          <cell r="EF8">
            <v>276566.71787231677</v>
          </cell>
          <cell r="EG8">
            <v>-31749.873414478265</v>
          </cell>
          <cell r="EH8">
            <v>0</v>
          </cell>
          <cell r="EI8">
            <v>0</v>
          </cell>
          <cell r="EJ8">
            <v>0</v>
          </cell>
          <cell r="EL8">
            <v>17.361993063685727</v>
          </cell>
          <cell r="EM8">
            <v>766949.53948893643</v>
          </cell>
          <cell r="EN8">
            <v>0.08</v>
          </cell>
          <cell r="EO8" t="str">
            <v>N/A</v>
          </cell>
          <cell r="EP8">
            <v>0.08</v>
          </cell>
          <cell r="EQ8">
            <v>1.8873195726012788</v>
          </cell>
          <cell r="ER8">
            <v>3872530.9787215679</v>
          </cell>
          <cell r="ES8">
            <v>1241440.9457408064</v>
          </cell>
          <cell r="ET8">
            <v>1529479.6920000003</v>
          </cell>
          <cell r="EU8">
            <v>1307029.0416113317</v>
          </cell>
          <cell r="EV8">
            <v>543.97872156789526</v>
          </cell>
          <cell r="EW8">
            <v>0</v>
          </cell>
          <cell r="EX8">
            <v>0</v>
          </cell>
          <cell r="EY8">
            <v>0</v>
          </cell>
          <cell r="FA8">
            <v>17.361993063685727</v>
          </cell>
          <cell r="FB8">
            <v>334250</v>
          </cell>
          <cell r="FC8">
            <v>0.08</v>
          </cell>
          <cell r="FD8" t="str">
            <v>N/A</v>
          </cell>
          <cell r="FE8">
            <v>0.08</v>
          </cell>
          <cell r="FF8">
            <v>16.419900647036577</v>
          </cell>
          <cell r="FG8">
            <v>4040756.9791073739</v>
          </cell>
          <cell r="FH8">
            <v>547319.91658742458</v>
          </cell>
          <cell r="FI8">
            <v>471262.54799999972</v>
          </cell>
          <cell r="FJ8">
            <v>602051.90824616712</v>
          </cell>
          <cell r="FK8">
            <v>511505.97910737386</v>
          </cell>
          <cell r="FL8">
            <v>0</v>
          </cell>
          <cell r="FM8">
            <v>0</v>
          </cell>
          <cell r="FN8">
            <v>0</v>
          </cell>
        </row>
        <row r="9">
          <cell r="C9" t="str">
            <v>A0317</v>
          </cell>
          <cell r="D9" t="str">
            <v>PT Astra Otoparts Tbk. - Head Office</v>
          </cell>
          <cell r="E9" t="str">
            <v>PEB 2</v>
          </cell>
          <cell r="G9">
            <v>17.361993063685727</v>
          </cell>
          <cell r="H9">
            <v>82500</v>
          </cell>
          <cell r="I9">
            <v>0.09</v>
          </cell>
          <cell r="J9" t="str">
            <v>N/A</v>
          </cell>
          <cell r="K9">
            <v>0.08</v>
          </cell>
          <cell r="L9">
            <v>16.77429101554636</v>
          </cell>
          <cell r="M9">
            <v>2585269.8392451932</v>
          </cell>
          <cell r="N9">
            <v>234063.89139909018</v>
          </cell>
          <cell r="O9">
            <v>48000</v>
          </cell>
          <cell r="P9">
            <v>252747.87493468644</v>
          </cell>
          <cell r="Q9">
            <v>304140.83924519317</v>
          </cell>
          <cell r="T9">
            <v>0</v>
          </cell>
        </row>
        <row r="10">
          <cell r="C10" t="str">
            <v>A0317</v>
          </cell>
          <cell r="D10" t="str">
            <v>PT Astra Otoparts Tbk. - Head Office</v>
          </cell>
          <cell r="E10" t="str">
            <v>PEB 3</v>
          </cell>
          <cell r="G10">
            <v>7.2021784876030974</v>
          </cell>
          <cell r="H10">
            <v>417613.0746666668</v>
          </cell>
          <cell r="I10">
            <v>0.08</v>
          </cell>
          <cell r="J10" t="str">
            <v>N/A</v>
          </cell>
          <cell r="K10">
            <v>0.08</v>
          </cell>
          <cell r="L10">
            <v>7.216823448263356</v>
          </cell>
          <cell r="M10">
            <v>120175.3721741297</v>
          </cell>
          <cell r="N10">
            <v>5722.3944509882276</v>
          </cell>
          <cell r="O10">
            <v>0</v>
          </cell>
          <cell r="P10">
            <v>6180.1860070672865</v>
          </cell>
          <cell r="Q10">
            <v>34446.372174129705</v>
          </cell>
          <cell r="T10">
            <v>0</v>
          </cell>
        </row>
        <row r="11">
          <cell r="C11" t="str">
            <v>A0317</v>
          </cell>
          <cell r="D11" t="str">
            <v>PT Astra Otoparts Tbk. - Head Office</v>
          </cell>
          <cell r="E11" t="str">
            <v>PEB 4</v>
          </cell>
          <cell r="G11">
            <v>18.53385373353856</v>
          </cell>
          <cell r="H11">
            <v>0</v>
          </cell>
          <cell r="I11">
            <v>0.09</v>
          </cell>
          <cell r="J11" t="str">
            <v>N/A</v>
          </cell>
          <cell r="K11">
            <v>0.08</v>
          </cell>
          <cell r="L11">
            <v>17.840114638223266</v>
          </cell>
          <cell r="M11">
            <v>3428749.2523894054</v>
          </cell>
          <cell r="N11">
            <v>372364.38642311702</v>
          </cell>
          <cell r="O11">
            <v>1389068.5038321405</v>
          </cell>
          <cell r="P11">
            <v>316795.44385955587</v>
          </cell>
          <cell r="Q11">
            <v>-96028.747610594612</v>
          </cell>
          <cell r="T11">
            <v>0</v>
          </cell>
        </row>
        <row r="12">
          <cell r="C12" t="str">
            <v>A0317</v>
          </cell>
          <cell r="D12" t="str">
            <v>PT Astra Otoparts Tbk. - Head Office</v>
          </cell>
          <cell r="E12" t="str">
            <v>PEB 5</v>
          </cell>
          <cell r="G12">
            <v>0</v>
          </cell>
          <cell r="H12">
            <v>0</v>
          </cell>
          <cell r="T12">
            <v>0</v>
          </cell>
        </row>
        <row r="13">
          <cell r="C13" t="str">
            <v>A0317</v>
          </cell>
          <cell r="D13" t="str">
            <v>PT Astra Otoparts Tbk. - Head Office</v>
          </cell>
          <cell r="E13" t="str">
            <v>PEB 6</v>
          </cell>
          <cell r="G13">
            <v>0</v>
          </cell>
          <cell r="H13">
            <v>0</v>
          </cell>
          <cell r="T13">
            <v>0</v>
          </cell>
        </row>
        <row r="14">
          <cell r="C14" t="str">
            <v>A0317</v>
          </cell>
          <cell r="D14" t="str">
            <v>PT Astra Otoparts Tbk. - Head Office</v>
          </cell>
          <cell r="E14" t="str">
            <v>PEB 7</v>
          </cell>
          <cell r="G14">
            <v>17.361993063685727</v>
          </cell>
          <cell r="H14">
            <v>90474.903643457117</v>
          </cell>
          <cell r="I14">
            <v>0.08</v>
          </cell>
          <cell r="J14" t="str">
            <v>N/A</v>
          </cell>
          <cell r="K14">
            <v>0.08</v>
          </cell>
          <cell r="L14">
            <v>16.77429101554636</v>
          </cell>
          <cell r="M14">
            <v>1156457.4762137509</v>
          </cell>
          <cell r="N14">
            <v>117222.08410960529</v>
          </cell>
          <cell r="O14">
            <v>135246.76800099376</v>
          </cell>
          <cell r="P14">
            <v>115077.34790527802</v>
          </cell>
          <cell r="Q14">
            <v>51753.476213750895</v>
          </cell>
          <cell r="T14">
            <v>0</v>
          </cell>
        </row>
        <row r="15">
          <cell r="C15" t="str">
            <v>A0317</v>
          </cell>
          <cell r="D15" t="str">
            <v>PT Astra Otoparts Tbk. - Head Office</v>
          </cell>
          <cell r="E15" t="str">
            <v>MPP</v>
          </cell>
          <cell r="G15">
            <v>17.361993063685727</v>
          </cell>
          <cell r="H15">
            <v>472251.76500000001</v>
          </cell>
          <cell r="I15">
            <v>0.09</v>
          </cell>
          <cell r="J15" t="str">
            <v>N/A</v>
          </cell>
          <cell r="K15">
            <v>0.08</v>
          </cell>
          <cell r="L15">
            <v>16.77429101554636</v>
          </cell>
          <cell r="M15">
            <v>1941748.3025735437</v>
          </cell>
          <cell r="N15">
            <v>133504.72812266753</v>
          </cell>
          <cell r="O15">
            <v>169205.76000000001</v>
          </cell>
          <cell r="P15">
            <v>135709.59728308202</v>
          </cell>
          <cell r="Q15">
            <v>-11639.397499941289</v>
          </cell>
          <cell r="T15">
            <v>0</v>
          </cell>
        </row>
        <row r="16">
          <cell r="C16" t="str">
            <v>A0317</v>
          </cell>
          <cell r="D16" t="str">
            <v>PT Astra Otoparts Tbk. - Head Office</v>
          </cell>
          <cell r="E16" t="str">
            <v>ID</v>
          </cell>
          <cell r="G16">
            <v>17.361993063685727</v>
          </cell>
          <cell r="H16">
            <v>197686.94313059692</v>
          </cell>
          <cell r="I16">
            <v>0.09</v>
          </cell>
          <cell r="J16" t="str">
            <v>N/A</v>
          </cell>
          <cell r="K16">
            <v>0.08</v>
          </cell>
          <cell r="L16">
            <v>16.77429101554636</v>
          </cell>
          <cell r="M16">
            <v>3219147.1265855217</v>
          </cell>
          <cell r="N16">
            <v>271945.81370173086</v>
          </cell>
          <cell r="O16">
            <v>296061.67878910416</v>
          </cell>
          <cell r="P16">
            <v>276566.71787231677</v>
          </cell>
          <cell r="Q16">
            <v>-31749.873414478265</v>
          </cell>
          <cell r="T16">
            <v>0</v>
          </cell>
        </row>
        <row r="17">
          <cell r="C17" t="str">
            <v>A0317</v>
          </cell>
          <cell r="D17" t="str">
            <v>PT Astra Otoparts Tbk. - Head Office</v>
          </cell>
          <cell r="E17" t="str">
            <v>LL</v>
          </cell>
          <cell r="G17">
            <v>17.361993063685727</v>
          </cell>
          <cell r="H17">
            <v>766949.53948893643</v>
          </cell>
          <cell r="I17">
            <v>0.08</v>
          </cell>
          <cell r="J17" t="str">
            <v>N/A</v>
          </cell>
          <cell r="K17">
            <v>0.08</v>
          </cell>
          <cell r="L17">
            <v>1.8873195726012788</v>
          </cell>
          <cell r="M17">
            <v>3872530.9787215679</v>
          </cell>
          <cell r="N17">
            <v>1241440.9457408064</v>
          </cell>
          <cell r="O17">
            <v>1529479.6920000003</v>
          </cell>
          <cell r="P17">
            <v>1307029.0416113317</v>
          </cell>
          <cell r="Q17">
            <v>543.97872156789526</v>
          </cell>
          <cell r="T17">
            <v>0</v>
          </cell>
        </row>
        <row r="18">
          <cell r="C18" t="str">
            <v>A0317</v>
          </cell>
          <cell r="D18" t="str">
            <v>PT Astra Otoparts Tbk. - Head Office</v>
          </cell>
          <cell r="E18" t="str">
            <v>PMK</v>
          </cell>
          <cell r="G18">
            <v>17.361993063685727</v>
          </cell>
          <cell r="H18">
            <v>334250</v>
          </cell>
          <cell r="I18">
            <v>0.08</v>
          </cell>
          <cell r="J18" t="str">
            <v>N/A</v>
          </cell>
          <cell r="K18">
            <v>0.08</v>
          </cell>
          <cell r="L18">
            <v>16.419900647036577</v>
          </cell>
          <cell r="M18">
            <v>4040756.9791073739</v>
          </cell>
          <cell r="N18">
            <v>547319.91658742458</v>
          </cell>
          <cell r="O18">
            <v>471262.54799999972</v>
          </cell>
          <cell r="P18">
            <v>602051.90824616712</v>
          </cell>
          <cell r="Q18">
            <v>511505.97910737386</v>
          </cell>
          <cell r="T18">
            <v>0</v>
          </cell>
        </row>
        <row r="20">
          <cell r="C20" t="str">
            <v>We</v>
          </cell>
          <cell r="D20" t="str">
            <v>PT Astra Otoparts Tbk. - Div. Winteq</v>
          </cell>
          <cell r="E20" t="str">
            <v>PEB 1</v>
          </cell>
          <cell r="G20">
            <v>11.475598817318229</v>
          </cell>
          <cell r="H20">
            <v>2511.749378973032</v>
          </cell>
          <cell r="I20">
            <v>0.08</v>
          </cell>
          <cell r="J20">
            <v>0.1</v>
          </cell>
          <cell r="K20">
            <v>0.08</v>
          </cell>
          <cell r="L20">
            <v>10.616302079990536</v>
          </cell>
          <cell r="M20">
            <v>480383</v>
          </cell>
          <cell r="N20">
            <v>24065</v>
          </cell>
          <cell r="O20">
            <v>3341</v>
          </cell>
          <cell r="P20">
            <v>25810</v>
          </cell>
          <cell r="Q20">
            <v>32243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11.475598817318229</v>
          </cell>
          <cell r="AL20">
            <v>0</v>
          </cell>
          <cell r="AM20">
            <v>0.08</v>
          </cell>
          <cell r="AN20" t="str">
            <v>N/A</v>
          </cell>
          <cell r="AO20">
            <v>0.08</v>
          </cell>
          <cell r="AP20">
            <v>10.616302079990536</v>
          </cell>
          <cell r="AQ20">
            <v>136752.77181125947</v>
          </cell>
          <cell r="AR20">
            <v>6698.2633638276156</v>
          </cell>
          <cell r="AS20">
            <v>0</v>
          </cell>
          <cell r="AT20">
            <v>7234.1244329338251</v>
          </cell>
          <cell r="AU20">
            <v>9035.7718112594739</v>
          </cell>
          <cell r="AV20">
            <v>0</v>
          </cell>
          <cell r="AW20">
            <v>0</v>
          </cell>
          <cell r="AX20">
            <v>0</v>
          </cell>
          <cell r="AZ20">
            <v>20.295510381282355</v>
          </cell>
          <cell r="BA20">
            <v>0</v>
          </cell>
          <cell r="BB20">
            <v>0.09</v>
          </cell>
          <cell r="BC20" t="str">
            <v>N/A</v>
          </cell>
          <cell r="BD20">
            <v>0.08</v>
          </cell>
          <cell r="BE20">
            <v>19.908522785830691</v>
          </cell>
          <cell r="BF20">
            <v>395333.76732485741</v>
          </cell>
          <cell r="BG20">
            <v>38519.453206614955</v>
          </cell>
          <cell r="BH20">
            <v>0</v>
          </cell>
          <cell r="BI20">
            <v>41986.203995210293</v>
          </cell>
          <cell r="BJ20">
            <v>-12049.232675142586</v>
          </cell>
          <cell r="BK20">
            <v>0</v>
          </cell>
          <cell r="BL20">
            <v>0</v>
          </cell>
          <cell r="BM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S20">
            <v>20.015513188775557</v>
          </cell>
          <cell r="CT20">
            <v>9497.7016228097964</v>
          </cell>
          <cell r="CU20">
            <v>0.08</v>
          </cell>
          <cell r="CV20" t="str">
            <v>N/A</v>
          </cell>
          <cell r="CW20">
            <v>0.08</v>
          </cell>
          <cell r="CX20">
            <v>19.60385981186872</v>
          </cell>
          <cell r="CY20">
            <v>107209.35074228901</v>
          </cell>
          <cell r="CZ20">
            <v>13380.671108972798</v>
          </cell>
          <cell r="DA20">
            <v>11383.32220861359</v>
          </cell>
          <cell r="DB20">
            <v>13062.078647791663</v>
          </cell>
          <cell r="DC20">
            <v>5698.3507422890107</v>
          </cell>
          <cell r="DD20">
            <v>0</v>
          </cell>
          <cell r="DE20">
            <v>0</v>
          </cell>
          <cell r="DF20">
            <v>0</v>
          </cell>
          <cell r="DH20">
            <v>20.015513188775557</v>
          </cell>
          <cell r="DI20">
            <v>0</v>
          </cell>
          <cell r="DJ20">
            <v>0.09</v>
          </cell>
          <cell r="DK20" t="str">
            <v>N/A</v>
          </cell>
          <cell r="DL20">
            <v>0.08</v>
          </cell>
          <cell r="DM20">
            <v>19.60385981186872</v>
          </cell>
          <cell r="DN20">
            <v>103035.71428352942</v>
          </cell>
          <cell r="DO20">
            <v>8843.3751430617795</v>
          </cell>
          <cell r="DP20">
            <v>0</v>
          </cell>
          <cell r="DQ20">
            <v>9639.2789059373463</v>
          </cell>
          <cell r="DR20">
            <v>-839.28571647057834</v>
          </cell>
          <cell r="DS20">
            <v>0</v>
          </cell>
          <cell r="DT20">
            <v>0</v>
          </cell>
          <cell r="DU20">
            <v>0</v>
          </cell>
          <cell r="DW20">
            <v>20.015513188775557</v>
          </cell>
          <cell r="DX20">
            <v>10713.526842773841</v>
          </cell>
          <cell r="DY20">
            <v>0.09</v>
          </cell>
          <cell r="DZ20" t="str">
            <v>N/A</v>
          </cell>
          <cell r="EA20">
            <v>0.08</v>
          </cell>
          <cell r="EB20">
            <v>19.60385981186872</v>
          </cell>
          <cell r="EC20">
            <v>251826.49908177226</v>
          </cell>
          <cell r="ED20">
            <v>25156.111308302894</v>
          </cell>
          <cell r="EE20">
            <v>14828.099971195916</v>
          </cell>
          <cell r="EF20">
            <v>26018.313003443349</v>
          </cell>
          <cell r="EG20">
            <v>-2435.5009182277427</v>
          </cell>
          <cell r="EH20">
            <v>0</v>
          </cell>
          <cell r="EI20">
            <v>0</v>
          </cell>
          <cell r="EJ20">
            <v>1431.4990817722573</v>
          </cell>
          <cell r="EL20">
            <v>20.015513188775557</v>
          </cell>
          <cell r="EM20">
            <v>119467.9568797236</v>
          </cell>
          <cell r="EN20">
            <v>0.08</v>
          </cell>
          <cell r="EO20" t="str">
            <v>N/A</v>
          </cell>
          <cell r="EP20">
            <v>0.08</v>
          </cell>
          <cell r="EQ20">
            <v>1.9146339562818964</v>
          </cell>
          <cell r="ER20">
            <v>330423.38191757374</v>
          </cell>
          <cell r="ES20">
            <v>94645.30644539179</v>
          </cell>
          <cell r="ET20">
            <v>118370.16</v>
          </cell>
          <cell r="EU20">
            <v>98853.592646833917</v>
          </cell>
          <cell r="EV20">
            <v>28.381917573744431</v>
          </cell>
          <cell r="EW20">
            <v>0</v>
          </cell>
          <cell r="EX20">
            <v>0</v>
          </cell>
          <cell r="EY20">
            <v>-28794.551032381656</v>
          </cell>
          <cell r="FA20">
            <v>20.015513188775557</v>
          </cell>
          <cell r="FB20">
            <v>11350</v>
          </cell>
          <cell r="FC20">
            <v>0.08</v>
          </cell>
          <cell r="FD20" t="str">
            <v>N/A</v>
          </cell>
          <cell r="FE20">
            <v>0.08</v>
          </cell>
          <cell r="FF20">
            <v>19.288646706345251</v>
          </cell>
          <cell r="FG20">
            <v>362932.67648773961</v>
          </cell>
          <cell r="FH20">
            <v>54823.896119120516</v>
          </cell>
          <cell r="FI20">
            <v>12800</v>
          </cell>
          <cell r="FJ20">
            <v>60306.285731032571</v>
          </cell>
          <cell r="FK20">
            <v>53196.676487739605</v>
          </cell>
          <cell r="FL20">
            <v>0</v>
          </cell>
          <cell r="FM20">
            <v>0</v>
          </cell>
          <cell r="FN20">
            <v>0</v>
          </cell>
        </row>
        <row r="21">
          <cell r="C21" t="str">
            <v>We</v>
          </cell>
          <cell r="D21" t="str">
            <v>PT Astra Otoparts Tbk. - Div. Winteq</v>
          </cell>
          <cell r="E21" t="str">
            <v>PEB 2</v>
          </cell>
          <cell r="G21">
            <v>0</v>
          </cell>
          <cell r="H21">
            <v>0</v>
          </cell>
          <cell r="T21">
            <v>0</v>
          </cell>
        </row>
        <row r="22">
          <cell r="C22" t="str">
            <v>We</v>
          </cell>
          <cell r="D22" t="str">
            <v>PT Astra Otoparts Tbk. - Div. Winteq</v>
          </cell>
          <cell r="E22" t="str">
            <v>PEB 3</v>
          </cell>
          <cell r="G22">
            <v>11.475598817318229</v>
          </cell>
          <cell r="H22">
            <v>0</v>
          </cell>
          <cell r="I22">
            <v>0.08</v>
          </cell>
          <cell r="J22" t="str">
            <v>N/A</v>
          </cell>
          <cell r="K22">
            <v>0.08</v>
          </cell>
          <cell r="L22">
            <v>10.616302079990536</v>
          </cell>
          <cell r="M22">
            <v>136752.77181125947</v>
          </cell>
          <cell r="N22">
            <v>6698.2633638276156</v>
          </cell>
          <cell r="O22">
            <v>0</v>
          </cell>
          <cell r="P22">
            <v>7234.1244329338251</v>
          </cell>
          <cell r="Q22">
            <v>9035.7718112594739</v>
          </cell>
          <cell r="R22">
            <v>0</v>
          </cell>
          <cell r="S22">
            <v>0</v>
          </cell>
          <cell r="T22">
            <v>0</v>
          </cell>
        </row>
        <row r="23">
          <cell r="C23" t="str">
            <v>We</v>
          </cell>
          <cell r="D23" t="str">
            <v>PT Astra Otoparts Tbk. - Div. Winteq</v>
          </cell>
          <cell r="E23" t="str">
            <v>PEB 4</v>
          </cell>
          <cell r="G23">
            <v>20.295510381282355</v>
          </cell>
          <cell r="H23">
            <v>0</v>
          </cell>
          <cell r="I23">
            <v>0.09</v>
          </cell>
          <cell r="J23" t="str">
            <v>N/A</v>
          </cell>
          <cell r="K23">
            <v>0.08</v>
          </cell>
          <cell r="L23">
            <v>19.908522785830691</v>
          </cell>
          <cell r="M23">
            <v>395333.76732485741</v>
          </cell>
          <cell r="N23">
            <v>38519.453206614955</v>
          </cell>
          <cell r="O23">
            <v>0</v>
          </cell>
          <cell r="P23">
            <v>41986.203995210293</v>
          </cell>
          <cell r="Q23">
            <v>-12049.232675142586</v>
          </cell>
          <cell r="R23">
            <v>0</v>
          </cell>
          <cell r="S23">
            <v>0</v>
          </cell>
          <cell r="T23">
            <v>0</v>
          </cell>
        </row>
        <row r="24">
          <cell r="C24" t="str">
            <v>We</v>
          </cell>
          <cell r="D24" t="str">
            <v>PT Astra Otoparts Tbk. - Div. Winteq</v>
          </cell>
          <cell r="E24" t="str">
            <v>PEB 5</v>
          </cell>
          <cell r="G24">
            <v>0</v>
          </cell>
          <cell r="H24">
            <v>0</v>
          </cell>
          <cell r="T24">
            <v>0</v>
          </cell>
        </row>
        <row r="25">
          <cell r="C25" t="str">
            <v>We</v>
          </cell>
          <cell r="D25" t="str">
            <v>PT Astra Otoparts Tbk. - Div. Winteq</v>
          </cell>
          <cell r="E25" t="str">
            <v>PEB 6</v>
          </cell>
          <cell r="G25">
            <v>0</v>
          </cell>
          <cell r="H25">
            <v>0</v>
          </cell>
          <cell r="T25">
            <v>0</v>
          </cell>
        </row>
        <row r="26">
          <cell r="C26" t="str">
            <v>We</v>
          </cell>
          <cell r="D26" t="str">
            <v>PT Astra Otoparts Tbk. - Div. Winteq</v>
          </cell>
          <cell r="E26" t="str">
            <v>PEB 7</v>
          </cell>
          <cell r="G26">
            <v>20.015513188775557</v>
          </cell>
          <cell r="H26">
            <v>9497.7016228097964</v>
          </cell>
          <cell r="I26">
            <v>0.08</v>
          </cell>
          <cell r="J26" t="str">
            <v>N/A</v>
          </cell>
          <cell r="K26">
            <v>0.08</v>
          </cell>
          <cell r="L26">
            <v>19.60385981186872</v>
          </cell>
          <cell r="M26">
            <v>107209.35074228901</v>
          </cell>
          <cell r="N26">
            <v>13380.671108972798</v>
          </cell>
          <cell r="O26">
            <v>11383.32220861359</v>
          </cell>
          <cell r="P26">
            <v>13062.078647791663</v>
          </cell>
          <cell r="Q26">
            <v>5698.3507422890107</v>
          </cell>
          <cell r="R26">
            <v>0</v>
          </cell>
          <cell r="S26">
            <v>0</v>
          </cell>
          <cell r="T26">
            <v>0</v>
          </cell>
        </row>
        <row r="27">
          <cell r="C27" t="str">
            <v>We</v>
          </cell>
          <cell r="D27" t="str">
            <v>PT Astra Otoparts Tbk. - Div. Winteq</v>
          </cell>
          <cell r="E27" t="str">
            <v>MPP</v>
          </cell>
          <cell r="G27">
            <v>20.015513188775557</v>
          </cell>
          <cell r="H27">
            <v>0</v>
          </cell>
          <cell r="I27">
            <v>0.09</v>
          </cell>
          <cell r="J27" t="str">
            <v>N/A</v>
          </cell>
          <cell r="K27">
            <v>0.08</v>
          </cell>
          <cell r="L27">
            <v>19.60385981186872</v>
          </cell>
          <cell r="M27">
            <v>103035.71428352942</v>
          </cell>
          <cell r="N27">
            <v>8843.3751430617795</v>
          </cell>
          <cell r="O27">
            <v>0</v>
          </cell>
          <cell r="P27">
            <v>9639.2789059373463</v>
          </cell>
          <cell r="Q27">
            <v>-839.28571647057834</v>
          </cell>
          <cell r="R27">
            <v>0</v>
          </cell>
          <cell r="S27">
            <v>0</v>
          </cell>
          <cell r="T27">
            <v>0</v>
          </cell>
        </row>
        <row r="28">
          <cell r="C28" t="str">
            <v>We</v>
          </cell>
          <cell r="D28" t="str">
            <v>PT Astra Otoparts Tbk. - Div. Winteq</v>
          </cell>
          <cell r="E28" t="str">
            <v>ID</v>
          </cell>
          <cell r="G28">
            <v>20.015513188775557</v>
          </cell>
          <cell r="H28">
            <v>10713.526842773841</v>
          </cell>
          <cell r="I28">
            <v>0.09</v>
          </cell>
          <cell r="J28" t="str">
            <v>N/A</v>
          </cell>
          <cell r="K28">
            <v>0.08</v>
          </cell>
          <cell r="L28">
            <v>19.60385981186872</v>
          </cell>
          <cell r="M28">
            <v>251826.49908177226</v>
          </cell>
          <cell r="N28">
            <v>25156.111308302894</v>
          </cell>
          <cell r="O28">
            <v>14828.099971195916</v>
          </cell>
          <cell r="P28">
            <v>26018.313003443349</v>
          </cell>
          <cell r="Q28">
            <v>-2435.5009182277427</v>
          </cell>
          <cell r="R28">
            <v>0</v>
          </cell>
          <cell r="S28">
            <v>0</v>
          </cell>
          <cell r="T28">
            <v>1431.4990817722573</v>
          </cell>
        </row>
        <row r="29">
          <cell r="C29" t="str">
            <v>We</v>
          </cell>
          <cell r="D29" t="str">
            <v>PT Astra Otoparts Tbk. - Div. Winteq</v>
          </cell>
          <cell r="E29" t="str">
            <v>LL</v>
          </cell>
          <cell r="G29">
            <v>20.015513188775557</v>
          </cell>
          <cell r="H29">
            <v>119467.9568797236</v>
          </cell>
          <cell r="I29">
            <v>0.08</v>
          </cell>
          <cell r="J29" t="str">
            <v>N/A</v>
          </cell>
          <cell r="K29">
            <v>0.08</v>
          </cell>
          <cell r="L29">
            <v>1.9146339562818964</v>
          </cell>
          <cell r="M29">
            <v>330423.38191757374</v>
          </cell>
          <cell r="N29">
            <v>94645.30644539179</v>
          </cell>
          <cell r="O29">
            <v>118370.16</v>
          </cell>
          <cell r="P29">
            <v>98853.592646833917</v>
          </cell>
          <cell r="Q29">
            <v>28.381917573744431</v>
          </cell>
          <cell r="T29">
            <v>-28794.551032381656</v>
          </cell>
        </row>
        <row r="30">
          <cell r="C30" t="str">
            <v>We</v>
          </cell>
          <cell r="D30" t="str">
            <v>PT Astra Otoparts Tbk. - Div. Winteq</v>
          </cell>
          <cell r="E30" t="str">
            <v>PMK</v>
          </cell>
          <cell r="G30">
            <v>20.015513188775557</v>
          </cell>
          <cell r="H30">
            <v>11350</v>
          </cell>
          <cell r="I30">
            <v>0.08</v>
          </cell>
          <cell r="J30" t="str">
            <v>N/A</v>
          </cell>
          <cell r="K30">
            <v>0.08</v>
          </cell>
          <cell r="L30">
            <v>19.288646706345251</v>
          </cell>
          <cell r="M30">
            <v>362932.67648773961</v>
          </cell>
          <cell r="N30">
            <v>54823.896119120516</v>
          </cell>
          <cell r="O30">
            <v>12800</v>
          </cell>
          <cell r="P30">
            <v>60306.285731032571</v>
          </cell>
          <cell r="Q30">
            <v>53196.676487739605</v>
          </cell>
          <cell r="T30">
            <v>0</v>
          </cell>
        </row>
        <row r="32">
          <cell r="C32" t="str">
            <v>Ap</v>
          </cell>
          <cell r="D32" t="str">
            <v>PT Astra Otoparts Tbk. - Div. Adiwira</v>
          </cell>
          <cell r="E32" t="str">
            <v>PEB 1</v>
          </cell>
          <cell r="G32">
            <v>0</v>
          </cell>
          <cell r="H32">
            <v>0</v>
          </cell>
          <cell r="I32">
            <v>0.08</v>
          </cell>
          <cell r="J32">
            <v>0.1</v>
          </cell>
          <cell r="K32">
            <v>0.08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Z32">
            <v>19.020932668514149</v>
          </cell>
          <cell r="BA32">
            <v>73276.288922000007</v>
          </cell>
          <cell r="BB32">
            <v>0.09</v>
          </cell>
          <cell r="BC32" t="str">
            <v>N/A</v>
          </cell>
          <cell r="BD32">
            <v>0.08</v>
          </cell>
          <cell r="BE32">
            <v>18.867495717794426</v>
          </cell>
          <cell r="BF32">
            <v>2272415.3566893903</v>
          </cell>
          <cell r="BG32">
            <v>249717.91770164651</v>
          </cell>
          <cell r="BH32">
            <v>55267.439998509049</v>
          </cell>
          <cell r="BI32">
            <v>272192.53029479465</v>
          </cell>
          <cell r="BJ32">
            <v>-75195.643310609739</v>
          </cell>
          <cell r="BK32">
            <v>0</v>
          </cell>
          <cell r="BL32">
            <v>0</v>
          </cell>
          <cell r="BM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S32">
            <v>19.020932668514149</v>
          </cell>
          <cell r="CT32">
            <v>76422.793254462929</v>
          </cell>
          <cell r="CU32">
            <v>0.08</v>
          </cell>
          <cell r="CV32" t="str">
            <v>N/A</v>
          </cell>
          <cell r="CW32">
            <v>0.08</v>
          </cell>
          <cell r="CX32">
            <v>18.867495717794426</v>
          </cell>
          <cell r="CY32">
            <v>1018703.3104565965</v>
          </cell>
          <cell r="CZ32">
            <v>106374.05991365192</v>
          </cell>
          <cell r="DA32">
            <v>105362.24257483901</v>
          </cell>
          <cell r="DB32">
            <v>104090.11176118148</v>
          </cell>
          <cell r="DC32">
            <v>54930.310456596548</v>
          </cell>
          <cell r="DD32">
            <v>0</v>
          </cell>
          <cell r="DE32">
            <v>0</v>
          </cell>
          <cell r="DF32">
            <v>132874.31045659655</v>
          </cell>
          <cell r="DH32">
            <v>19.020932668514149</v>
          </cell>
          <cell r="DI32">
            <v>16382.668935000002</v>
          </cell>
          <cell r="DJ32">
            <v>0.09</v>
          </cell>
          <cell r="DK32" t="str">
            <v>N/A</v>
          </cell>
          <cell r="DL32">
            <v>0.08</v>
          </cell>
          <cell r="DM32">
            <v>18.867495717794426</v>
          </cell>
          <cell r="DN32">
            <v>718341.06920352369</v>
          </cell>
          <cell r="DO32">
            <v>65502.448523666484</v>
          </cell>
          <cell r="DP32">
            <v>9053.5812083959463</v>
          </cell>
          <cell r="DQ32">
            <v>71397.668890796456</v>
          </cell>
          <cell r="DR32">
            <v>-4188.9307964763138</v>
          </cell>
          <cell r="DS32">
            <v>0</v>
          </cell>
          <cell r="DT32">
            <v>0</v>
          </cell>
          <cell r="DU32">
            <v>0</v>
          </cell>
          <cell r="DW32">
            <v>19.020932668514149</v>
          </cell>
          <cell r="DX32">
            <v>87199.095068908282</v>
          </cell>
          <cell r="DY32">
            <v>0.09</v>
          </cell>
          <cell r="DZ32" t="str">
            <v>N/A</v>
          </cell>
          <cell r="EA32">
            <v>0.08</v>
          </cell>
          <cell r="EB32">
            <v>18.867495717794426</v>
          </cell>
          <cell r="EC32">
            <v>1720582.1255336364</v>
          </cell>
          <cell r="ED32">
            <v>158675.67940948391</v>
          </cell>
          <cell r="EE32">
            <v>109339.10572508273</v>
          </cell>
          <cell r="EF32">
            <v>163030.35482032658</v>
          </cell>
          <cell r="EG32">
            <v>-17337.874466363573</v>
          </cell>
          <cell r="EH32">
            <v>0</v>
          </cell>
          <cell r="EI32">
            <v>0</v>
          </cell>
          <cell r="EJ32">
            <v>0</v>
          </cell>
          <cell r="EL32">
            <v>19.020932668514149</v>
          </cell>
          <cell r="EM32">
            <v>670718.37961527158</v>
          </cell>
          <cell r="EN32">
            <v>0.08</v>
          </cell>
          <cell r="EO32" t="str">
            <v>N/A</v>
          </cell>
          <cell r="EP32">
            <v>0.08</v>
          </cell>
          <cell r="EQ32">
            <v>2.0458835978006871</v>
          </cell>
          <cell r="ER32">
            <v>1701205.5054131981</v>
          </cell>
          <cell r="ES32">
            <v>694429.21863202238</v>
          </cell>
          <cell r="ET32">
            <v>615171.28536000033</v>
          </cell>
          <cell r="EU32">
            <v>726932.42150259798</v>
          </cell>
          <cell r="EV32">
            <v>3014.5054131981451</v>
          </cell>
          <cell r="EW32">
            <v>0</v>
          </cell>
          <cell r="EX32">
            <v>0</v>
          </cell>
          <cell r="EY32">
            <v>0</v>
          </cell>
          <cell r="FA32">
            <v>19.020932668514149</v>
          </cell>
          <cell r="FB32">
            <v>492800</v>
          </cell>
          <cell r="FC32">
            <v>0.08</v>
          </cell>
          <cell r="FD32" t="str">
            <v>N/A</v>
          </cell>
          <cell r="FE32">
            <v>0.08</v>
          </cell>
          <cell r="FF32">
            <v>18.5370435350783</v>
          </cell>
          <cell r="FG32">
            <v>5494357.8552256878</v>
          </cell>
          <cell r="FH32">
            <v>704448.60767159262</v>
          </cell>
          <cell r="FI32">
            <v>370145</v>
          </cell>
          <cell r="FJ32">
            <v>774893.468438752</v>
          </cell>
          <cell r="FK32">
            <v>421405.85522568785</v>
          </cell>
          <cell r="FL32">
            <v>0</v>
          </cell>
          <cell r="FM32">
            <v>0</v>
          </cell>
          <cell r="FN32">
            <v>0</v>
          </cell>
        </row>
        <row r="33">
          <cell r="C33" t="str">
            <v>Ap</v>
          </cell>
          <cell r="D33" t="str">
            <v>PT Astra Otoparts Tbk. - Div. Adiwira</v>
          </cell>
          <cell r="E33" t="str">
            <v>PEB 2</v>
          </cell>
          <cell r="G33">
            <v>0</v>
          </cell>
          <cell r="H33">
            <v>0</v>
          </cell>
          <cell r="T33">
            <v>0</v>
          </cell>
        </row>
        <row r="34">
          <cell r="C34" t="str">
            <v>Ap</v>
          </cell>
          <cell r="D34" t="str">
            <v>PT Astra Otoparts Tbk. - Div. Adiwira</v>
          </cell>
          <cell r="E34" t="str">
            <v>PEB 3</v>
          </cell>
          <cell r="G34">
            <v>0</v>
          </cell>
          <cell r="H34">
            <v>0</v>
          </cell>
          <cell r="I34">
            <v>0.08</v>
          </cell>
          <cell r="J34" t="str">
            <v>N/A</v>
          </cell>
          <cell r="K34">
            <v>0.08</v>
          </cell>
          <cell r="R34">
            <v>0</v>
          </cell>
          <cell r="S34">
            <v>0</v>
          </cell>
          <cell r="T34">
            <v>0</v>
          </cell>
        </row>
        <row r="35">
          <cell r="C35" t="str">
            <v>Ap</v>
          </cell>
          <cell r="D35" t="str">
            <v>PT Astra Otoparts Tbk. - Div. Adiwira</v>
          </cell>
          <cell r="E35" t="str">
            <v>PEB 4</v>
          </cell>
          <cell r="G35">
            <v>19.020932668514149</v>
          </cell>
          <cell r="H35">
            <v>73276.288922000007</v>
          </cell>
          <cell r="I35">
            <v>0.09</v>
          </cell>
          <cell r="J35" t="str">
            <v>N/A</v>
          </cell>
          <cell r="K35">
            <v>0.08</v>
          </cell>
          <cell r="L35">
            <v>18.867495717794426</v>
          </cell>
          <cell r="M35">
            <v>2272415.3566893903</v>
          </cell>
          <cell r="N35">
            <v>249717.91770164651</v>
          </cell>
          <cell r="O35">
            <v>55267.439998509049</v>
          </cell>
          <cell r="P35">
            <v>272192.53029479465</v>
          </cell>
          <cell r="Q35">
            <v>-75195.643310609739</v>
          </cell>
          <cell r="R35">
            <v>0</v>
          </cell>
          <cell r="S35">
            <v>0</v>
          </cell>
          <cell r="T35">
            <v>0</v>
          </cell>
        </row>
        <row r="36">
          <cell r="C36" t="str">
            <v>Ap</v>
          </cell>
          <cell r="D36" t="str">
            <v>PT Astra Otoparts Tbk. - Div. Adiwira</v>
          </cell>
          <cell r="E36" t="str">
            <v>PEB 5</v>
          </cell>
          <cell r="G36">
            <v>0</v>
          </cell>
          <cell r="H36">
            <v>0</v>
          </cell>
          <cell r="T36">
            <v>0</v>
          </cell>
        </row>
        <row r="37">
          <cell r="C37" t="str">
            <v>Ap</v>
          </cell>
          <cell r="D37" t="str">
            <v>PT Astra Otoparts Tbk. - Div. Adiwira</v>
          </cell>
          <cell r="E37" t="str">
            <v>PEB 6</v>
          </cell>
          <cell r="G37">
            <v>0</v>
          </cell>
          <cell r="H37">
            <v>0</v>
          </cell>
          <cell r="T37">
            <v>0</v>
          </cell>
        </row>
        <row r="38">
          <cell r="C38" t="str">
            <v>Ap</v>
          </cell>
          <cell r="D38" t="str">
            <v>PT Astra Otoparts Tbk. - Div. Adiwira</v>
          </cell>
          <cell r="E38" t="str">
            <v>PEB 7</v>
          </cell>
          <cell r="G38">
            <v>19.020932668514149</v>
          </cell>
          <cell r="H38">
            <v>76422.793254462929</v>
          </cell>
          <cell r="I38">
            <v>0.08</v>
          </cell>
          <cell r="J38" t="str">
            <v>N/A</v>
          </cell>
          <cell r="K38">
            <v>0.08</v>
          </cell>
          <cell r="L38">
            <v>18.867495717794426</v>
          </cell>
          <cell r="M38">
            <v>1018703.3104565965</v>
          </cell>
          <cell r="N38">
            <v>106374.05991365192</v>
          </cell>
          <cell r="O38">
            <v>105362.24257483901</v>
          </cell>
          <cell r="P38">
            <v>104090.11176118148</v>
          </cell>
          <cell r="Q38">
            <v>54930.310456596548</v>
          </cell>
          <cell r="R38">
            <v>0</v>
          </cell>
          <cell r="S38">
            <v>0</v>
          </cell>
          <cell r="T38">
            <v>132874.31045659655</v>
          </cell>
        </row>
        <row r="39">
          <cell r="C39" t="str">
            <v>Ap</v>
          </cell>
          <cell r="D39" t="str">
            <v>PT Astra Otoparts Tbk. - Div. Adiwira</v>
          </cell>
          <cell r="E39" t="str">
            <v>MPP</v>
          </cell>
          <cell r="G39">
            <v>19.020932668514149</v>
          </cell>
          <cell r="H39">
            <v>16382.668935000002</v>
          </cell>
          <cell r="I39">
            <v>0.09</v>
          </cell>
          <cell r="J39" t="str">
            <v>N/A</v>
          </cell>
          <cell r="K39">
            <v>0.08</v>
          </cell>
          <cell r="L39">
            <v>18.867495717794426</v>
          </cell>
          <cell r="M39">
            <v>718341.06920352369</v>
          </cell>
          <cell r="N39">
            <v>65502.448523666484</v>
          </cell>
          <cell r="O39">
            <v>9053.5812083959463</v>
          </cell>
          <cell r="P39">
            <v>71397.668890796456</v>
          </cell>
          <cell r="Q39">
            <v>-4188.9307964763138</v>
          </cell>
          <cell r="R39">
            <v>0</v>
          </cell>
          <cell r="S39">
            <v>0</v>
          </cell>
          <cell r="T39">
            <v>0</v>
          </cell>
        </row>
        <row r="40">
          <cell r="C40" t="str">
            <v>Ap</v>
          </cell>
          <cell r="D40" t="str">
            <v>PT Astra Otoparts Tbk. - Div. Adiwira</v>
          </cell>
          <cell r="E40" t="str">
            <v>ID</v>
          </cell>
          <cell r="G40">
            <v>19.020932668514149</v>
          </cell>
          <cell r="H40">
            <v>87199.095068908282</v>
          </cell>
          <cell r="I40">
            <v>0.09</v>
          </cell>
          <cell r="J40" t="str">
            <v>N/A</v>
          </cell>
          <cell r="K40">
            <v>0.08</v>
          </cell>
          <cell r="L40">
            <v>18.867495717794426</v>
          </cell>
          <cell r="M40">
            <v>1720582.1255336364</v>
          </cell>
          <cell r="N40">
            <v>158675.67940948391</v>
          </cell>
          <cell r="O40">
            <v>109339.10572508273</v>
          </cell>
          <cell r="P40">
            <v>163030.35482032658</v>
          </cell>
          <cell r="Q40">
            <v>-17337.874466363573</v>
          </cell>
          <cell r="R40">
            <v>0</v>
          </cell>
          <cell r="S40">
            <v>0</v>
          </cell>
          <cell r="T40">
            <v>0</v>
          </cell>
        </row>
        <row r="41">
          <cell r="C41" t="str">
            <v>Ap</v>
          </cell>
          <cell r="D41" t="str">
            <v>PT Astra Otoparts Tbk. - Div. Adiwira</v>
          </cell>
          <cell r="E41" t="str">
            <v>LL</v>
          </cell>
          <cell r="G41">
            <v>19.020932668514149</v>
          </cell>
          <cell r="H41">
            <v>670718.37961527158</v>
          </cell>
          <cell r="I41">
            <v>0.08</v>
          </cell>
          <cell r="J41" t="str">
            <v>N/A</v>
          </cell>
          <cell r="K41">
            <v>0.08</v>
          </cell>
          <cell r="L41">
            <v>2.0458835978006871</v>
          </cell>
          <cell r="M41">
            <v>1701205.5054131981</v>
          </cell>
          <cell r="N41">
            <v>694429.21863202238</v>
          </cell>
          <cell r="O41">
            <v>615171.28536000033</v>
          </cell>
          <cell r="P41">
            <v>726932.42150259798</v>
          </cell>
          <cell r="Q41">
            <v>3014.5054131981451</v>
          </cell>
          <cell r="T41">
            <v>0</v>
          </cell>
        </row>
        <row r="42">
          <cell r="C42" t="str">
            <v>Ap</v>
          </cell>
          <cell r="D42" t="str">
            <v>PT Astra Otoparts Tbk. - Div. Adiwira</v>
          </cell>
          <cell r="E42" t="str">
            <v>PMK</v>
          </cell>
          <cell r="G42">
            <v>19.020932668514149</v>
          </cell>
          <cell r="H42">
            <v>492800</v>
          </cell>
          <cell r="I42">
            <v>0.08</v>
          </cell>
          <cell r="J42" t="str">
            <v>N/A</v>
          </cell>
          <cell r="K42">
            <v>0.08</v>
          </cell>
          <cell r="L42">
            <v>18.5370435350783</v>
          </cell>
          <cell r="M42">
            <v>5494357.8552256878</v>
          </cell>
          <cell r="N42">
            <v>704448.60767159262</v>
          </cell>
          <cell r="O42">
            <v>370145</v>
          </cell>
          <cell r="P42">
            <v>774893.468438752</v>
          </cell>
          <cell r="Q42">
            <v>421405.85522568785</v>
          </cell>
          <cell r="T42">
            <v>0</v>
          </cell>
        </row>
        <row r="44">
          <cell r="C44" t="str">
            <v>Nm</v>
          </cell>
          <cell r="D44" t="str">
            <v>PT Astra Otoparts Tbk. - Div. Nusametal</v>
          </cell>
          <cell r="E44" t="str">
            <v>PEB 1</v>
          </cell>
          <cell r="G44">
            <v>10.461913014186306</v>
          </cell>
          <cell r="H44">
            <v>42324.314330448753</v>
          </cell>
          <cell r="I44">
            <v>0.08</v>
          </cell>
          <cell r="J44">
            <v>0.1</v>
          </cell>
          <cell r="K44">
            <v>0.08</v>
          </cell>
          <cell r="L44">
            <v>10.261101589828261</v>
          </cell>
          <cell r="M44">
            <v>5825105</v>
          </cell>
          <cell r="N44">
            <v>257680</v>
          </cell>
          <cell r="O44">
            <v>517762</v>
          </cell>
          <cell r="P44">
            <v>262004</v>
          </cell>
          <cell r="Q44">
            <v>392215</v>
          </cell>
          <cell r="T44">
            <v>0</v>
          </cell>
          <cell r="V44">
            <v>17.552860447454673</v>
          </cell>
          <cell r="W44">
            <v>26400</v>
          </cell>
          <cell r="X44">
            <v>0.09</v>
          </cell>
          <cell r="Y44" t="str">
            <v>N/A</v>
          </cell>
          <cell r="Z44">
            <v>0.08</v>
          </cell>
          <cell r="AA44">
            <v>17.30313880214327</v>
          </cell>
          <cell r="AB44">
            <v>2277945.1158735822</v>
          </cell>
          <cell r="AC44">
            <v>169997.67610287646</v>
          </cell>
          <cell r="AD44">
            <v>30510</v>
          </cell>
          <cell r="AE44">
            <v>183591.77751332929</v>
          </cell>
          <cell r="AF44">
            <v>337971.1158735822</v>
          </cell>
          <cell r="AG44">
            <v>0</v>
          </cell>
          <cell r="AH44">
            <v>0</v>
          </cell>
          <cell r="AI44">
            <v>0</v>
          </cell>
          <cell r="AK44">
            <v>10.461913014186306</v>
          </cell>
          <cell r="AL44">
            <v>0</v>
          </cell>
          <cell r="AM44">
            <v>0.08</v>
          </cell>
          <cell r="AN44" t="str">
            <v>N/A</v>
          </cell>
          <cell r="AO44">
            <v>0.08</v>
          </cell>
          <cell r="AP44">
            <v>10.261101589828261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Z44">
            <v>17.991812752115131</v>
          </cell>
          <cell r="BA44">
            <v>20292.64102000001</v>
          </cell>
          <cell r="BB44">
            <v>0.09</v>
          </cell>
          <cell r="BC44" t="str">
            <v>N/A</v>
          </cell>
          <cell r="BD44">
            <v>0.08</v>
          </cell>
          <cell r="BE44">
            <v>17.688697279848029</v>
          </cell>
          <cell r="BF44">
            <v>982943.17372821982</v>
          </cell>
          <cell r="BG44">
            <v>79743.932192934619</v>
          </cell>
          <cell r="BH44">
            <v>20652.017659933495</v>
          </cell>
          <cell r="BI44">
            <v>85044.566395908783</v>
          </cell>
          <cell r="BJ44">
            <v>-49417.276571797789</v>
          </cell>
          <cell r="BK44">
            <v>0</v>
          </cell>
          <cell r="BL44">
            <v>0</v>
          </cell>
          <cell r="BM44">
            <v>0</v>
          </cell>
          <cell r="BO44">
            <v>14.388550205238886</v>
          </cell>
          <cell r="BP44">
            <v>59331.915500000003</v>
          </cell>
          <cell r="BQ44">
            <v>0.09</v>
          </cell>
          <cell r="BR44" t="str">
            <v>N/A</v>
          </cell>
          <cell r="BS44">
            <v>0.08</v>
          </cell>
          <cell r="BT44">
            <v>23.810323533555902</v>
          </cell>
          <cell r="BU44">
            <v>3467.377774099552</v>
          </cell>
          <cell r="BV44">
            <v>2191.1068027506253</v>
          </cell>
          <cell r="BW44">
            <v>0</v>
          </cell>
          <cell r="BX44">
            <v>2388.3064149981819</v>
          </cell>
          <cell r="BY44">
            <v>-40.622225900448029</v>
          </cell>
          <cell r="BZ44">
            <v>0</v>
          </cell>
          <cell r="CA44">
            <v>0</v>
          </cell>
          <cell r="CB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S44">
            <v>17.552860447454673</v>
          </cell>
          <cell r="CT44">
            <v>79167.180642144987</v>
          </cell>
          <cell r="CU44">
            <v>0.08</v>
          </cell>
          <cell r="CV44" t="str">
            <v>N/A</v>
          </cell>
          <cell r="CW44">
            <v>0.08</v>
          </cell>
          <cell r="CX44">
            <v>17.30313880214327</v>
          </cell>
          <cell r="CY44">
            <v>808646.10357782862</v>
          </cell>
          <cell r="CZ44">
            <v>64707.975177624081</v>
          </cell>
          <cell r="DA44">
            <v>84103.98479054097</v>
          </cell>
          <cell r="DB44">
            <v>63279.159867222974</v>
          </cell>
          <cell r="DC44">
            <v>40721.103577828617</v>
          </cell>
          <cell r="DD44">
            <v>0</v>
          </cell>
          <cell r="DE44">
            <v>0</v>
          </cell>
          <cell r="DF44">
            <v>0</v>
          </cell>
          <cell r="DH44">
            <v>17.552860447454673</v>
          </cell>
          <cell r="DI44">
            <v>7507.92</v>
          </cell>
          <cell r="DJ44">
            <v>0.09</v>
          </cell>
          <cell r="DK44" t="str">
            <v>N/A</v>
          </cell>
          <cell r="DL44">
            <v>0.08</v>
          </cell>
          <cell r="DM44">
            <v>17.30313880214327</v>
          </cell>
          <cell r="DN44">
            <v>730207.90319173643</v>
          </cell>
          <cell r="DO44">
            <v>49636.193668744432</v>
          </cell>
          <cell r="DP44">
            <v>16989.75</v>
          </cell>
          <cell r="DQ44">
            <v>53395.52139687867</v>
          </cell>
          <cell r="DR44">
            <v>-4979.0968082635663</v>
          </cell>
          <cell r="DS44">
            <v>0</v>
          </cell>
          <cell r="DT44">
            <v>0</v>
          </cell>
          <cell r="DU44">
            <v>0</v>
          </cell>
          <cell r="DW44">
            <v>17.552860447454673</v>
          </cell>
          <cell r="DX44">
            <v>90894.167776667411</v>
          </cell>
          <cell r="DY44">
            <v>0.09</v>
          </cell>
          <cell r="DZ44" t="str">
            <v>N/A</v>
          </cell>
          <cell r="EA44">
            <v>0.08</v>
          </cell>
          <cell r="EB44">
            <v>17.30313880214327</v>
          </cell>
          <cell r="EC44">
            <v>1986325.0671707378</v>
          </cell>
          <cell r="ED44">
            <v>146982.81848759172</v>
          </cell>
          <cell r="EE44">
            <v>118131.31425738207</v>
          </cell>
          <cell r="EF44">
            <v>151782.30464401486</v>
          </cell>
          <cell r="EG44">
            <v>-19926.932829262223</v>
          </cell>
          <cell r="EH44">
            <v>0</v>
          </cell>
          <cell r="EI44">
            <v>0</v>
          </cell>
          <cell r="EJ44">
            <v>266336.06717073778</v>
          </cell>
          <cell r="EL44">
            <v>17.552860447454673</v>
          </cell>
          <cell r="EM44">
            <v>664059.53347936715</v>
          </cell>
          <cell r="EN44">
            <v>0.08</v>
          </cell>
          <cell r="EO44" t="str">
            <v>N/A</v>
          </cell>
          <cell r="EP44">
            <v>0.08</v>
          </cell>
          <cell r="EQ44">
            <v>2.3377092962511128</v>
          </cell>
          <cell r="ER44">
            <v>1857218.6326013231</v>
          </cell>
          <cell r="ES44">
            <v>593919.58665799524</v>
          </cell>
          <cell r="ET44">
            <v>513150.12</v>
          </cell>
          <cell r="EU44">
            <v>620951.32741077489</v>
          </cell>
          <cell r="EV44">
            <v>3254.6326013230719</v>
          </cell>
          <cell r="EW44">
            <v>0</v>
          </cell>
          <cell r="EX44">
            <v>0</v>
          </cell>
          <cell r="EY44">
            <v>0</v>
          </cell>
          <cell r="FA44">
            <v>17.552860447454673</v>
          </cell>
          <cell r="FB44">
            <v>474750</v>
          </cell>
          <cell r="FC44">
            <v>0.08</v>
          </cell>
          <cell r="FD44" t="str">
            <v>N/A</v>
          </cell>
          <cell r="FE44">
            <v>0.08</v>
          </cell>
          <cell r="FF44">
            <v>16.990115997529941</v>
          </cell>
          <cell r="FG44">
            <v>4557895.0429084906</v>
          </cell>
          <cell r="FH44">
            <v>513579.82158008748</v>
          </cell>
          <cell r="FI44">
            <v>392075</v>
          </cell>
          <cell r="FJ44">
            <v>564937.80373809626</v>
          </cell>
          <cell r="FK44">
            <v>334559.04290849064</v>
          </cell>
          <cell r="FL44">
            <v>0</v>
          </cell>
          <cell r="FM44">
            <v>0</v>
          </cell>
          <cell r="FN44">
            <v>0</v>
          </cell>
        </row>
        <row r="45">
          <cell r="C45" t="str">
            <v>Nm</v>
          </cell>
          <cell r="D45" t="str">
            <v>PT Astra Otoparts Tbk. - Div. Nusametal</v>
          </cell>
          <cell r="E45" t="str">
            <v>PEB 2</v>
          </cell>
          <cell r="G45">
            <v>17.552860447454673</v>
          </cell>
          <cell r="H45">
            <v>26400</v>
          </cell>
          <cell r="I45">
            <v>0.09</v>
          </cell>
          <cell r="J45" t="str">
            <v>N/A</v>
          </cell>
          <cell r="K45">
            <v>0.08</v>
          </cell>
          <cell r="L45">
            <v>17.30313880214327</v>
          </cell>
          <cell r="M45">
            <v>2277945.1158735822</v>
          </cell>
          <cell r="N45">
            <v>169997.67610287646</v>
          </cell>
          <cell r="O45">
            <v>30510</v>
          </cell>
          <cell r="P45">
            <v>183591.77751332929</v>
          </cell>
          <cell r="Q45">
            <v>337971.1158735822</v>
          </cell>
          <cell r="T45">
            <v>0</v>
          </cell>
        </row>
        <row r="46">
          <cell r="C46" t="str">
            <v>Nm</v>
          </cell>
          <cell r="D46" t="str">
            <v>PT Astra Otoparts Tbk. - Div. Nusametal</v>
          </cell>
          <cell r="E46" t="str">
            <v>PEB 3</v>
          </cell>
          <cell r="G46">
            <v>10.461913014186306</v>
          </cell>
          <cell r="H46">
            <v>0</v>
          </cell>
          <cell r="I46">
            <v>0.08</v>
          </cell>
          <cell r="J46" t="str">
            <v>N/A</v>
          </cell>
          <cell r="K46">
            <v>0.08</v>
          </cell>
          <cell r="L46">
            <v>10.261101589828261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T46">
            <v>0</v>
          </cell>
        </row>
        <row r="47">
          <cell r="C47" t="str">
            <v>Nm</v>
          </cell>
          <cell r="D47" t="str">
            <v>PT Astra Otoparts Tbk. - Div. Nusametal</v>
          </cell>
          <cell r="E47" t="str">
            <v>PEB 4</v>
          </cell>
          <cell r="G47">
            <v>17.991812752115131</v>
          </cell>
          <cell r="H47">
            <v>20292.64102000001</v>
          </cell>
          <cell r="I47">
            <v>0.09</v>
          </cell>
          <cell r="J47" t="str">
            <v>N/A</v>
          </cell>
          <cell r="K47">
            <v>0.08</v>
          </cell>
          <cell r="L47">
            <v>17.688697279848029</v>
          </cell>
          <cell r="M47">
            <v>982943.17372821982</v>
          </cell>
          <cell r="N47">
            <v>79743.932192934619</v>
          </cell>
          <cell r="O47">
            <v>20652.017659933495</v>
          </cell>
          <cell r="P47">
            <v>85044.566395908783</v>
          </cell>
          <cell r="Q47">
            <v>-49417.276571797789</v>
          </cell>
          <cell r="T47">
            <v>0</v>
          </cell>
        </row>
        <row r="48">
          <cell r="C48" t="str">
            <v>Nm</v>
          </cell>
          <cell r="D48" t="str">
            <v>PT Astra Otoparts Tbk. - Div. Nusametal</v>
          </cell>
          <cell r="E48" t="str">
            <v>PEB 5</v>
          </cell>
          <cell r="G48">
            <v>14.388550205238886</v>
          </cell>
          <cell r="H48">
            <v>59331.915500000003</v>
          </cell>
          <cell r="I48">
            <v>0.09</v>
          </cell>
          <cell r="J48" t="str">
            <v>N/A</v>
          </cell>
          <cell r="K48">
            <v>0.08</v>
          </cell>
          <cell r="L48">
            <v>23.810323533555902</v>
          </cell>
          <cell r="M48">
            <v>3467.377774099552</v>
          </cell>
          <cell r="N48">
            <v>2191.1068027506253</v>
          </cell>
          <cell r="O48">
            <v>0</v>
          </cell>
          <cell r="P48">
            <v>2388.3064149981819</v>
          </cell>
          <cell r="Q48">
            <v>-40.622225900448029</v>
          </cell>
          <cell r="T48">
            <v>0</v>
          </cell>
        </row>
        <row r="49">
          <cell r="C49" t="str">
            <v>Nm</v>
          </cell>
          <cell r="D49" t="str">
            <v>PT Astra Otoparts Tbk. - Div. Nusametal</v>
          </cell>
          <cell r="E49" t="str">
            <v>PEB 6</v>
          </cell>
          <cell r="G49">
            <v>0</v>
          </cell>
          <cell r="H49">
            <v>0</v>
          </cell>
          <cell r="T49">
            <v>0</v>
          </cell>
        </row>
        <row r="50">
          <cell r="C50" t="str">
            <v>Nm</v>
          </cell>
          <cell r="D50" t="str">
            <v>PT Astra Otoparts Tbk. - Div. Nusametal</v>
          </cell>
          <cell r="E50" t="str">
            <v>PEB 7</v>
          </cell>
          <cell r="G50">
            <v>17.552860447454673</v>
          </cell>
          <cell r="H50">
            <v>79167.180642144987</v>
          </cell>
          <cell r="I50">
            <v>0.08</v>
          </cell>
          <cell r="J50" t="str">
            <v>N/A</v>
          </cell>
          <cell r="K50">
            <v>0.08</v>
          </cell>
          <cell r="L50">
            <v>17.30313880214327</v>
          </cell>
          <cell r="M50">
            <v>808646.10357782862</v>
          </cell>
          <cell r="N50">
            <v>64707.975177624081</v>
          </cell>
          <cell r="O50">
            <v>84103.98479054097</v>
          </cell>
          <cell r="P50">
            <v>63279.159867222974</v>
          </cell>
          <cell r="Q50">
            <v>40721.103577828617</v>
          </cell>
          <cell r="T50">
            <v>0</v>
          </cell>
        </row>
        <row r="51">
          <cell r="C51" t="str">
            <v>Nm</v>
          </cell>
          <cell r="D51" t="str">
            <v>PT Astra Otoparts Tbk. - Div. Nusametal</v>
          </cell>
          <cell r="E51" t="str">
            <v>MPP</v>
          </cell>
          <cell r="G51">
            <v>17.552860447454673</v>
          </cell>
          <cell r="H51">
            <v>7507.92</v>
          </cell>
          <cell r="I51">
            <v>0.09</v>
          </cell>
          <cell r="J51" t="str">
            <v>N/A</v>
          </cell>
          <cell r="K51">
            <v>0.08</v>
          </cell>
          <cell r="L51">
            <v>17.30313880214327</v>
          </cell>
          <cell r="M51">
            <v>730207.90319173643</v>
          </cell>
          <cell r="N51">
            <v>49636.193668744432</v>
          </cell>
          <cell r="O51">
            <v>16989.75</v>
          </cell>
          <cell r="P51">
            <v>53395.52139687867</v>
          </cell>
          <cell r="Q51">
            <v>-4979.0968082635663</v>
          </cell>
          <cell r="T51">
            <v>0</v>
          </cell>
        </row>
        <row r="52">
          <cell r="C52" t="str">
            <v>Nm</v>
          </cell>
          <cell r="D52" t="str">
            <v>PT Astra Otoparts Tbk. - Div. Nusametal</v>
          </cell>
          <cell r="E52" t="str">
            <v>ID</v>
          </cell>
          <cell r="G52">
            <v>17.552860447454673</v>
          </cell>
          <cell r="H52">
            <v>90894.167776667411</v>
          </cell>
          <cell r="I52">
            <v>0.09</v>
          </cell>
          <cell r="J52" t="str">
            <v>N/A</v>
          </cell>
          <cell r="K52">
            <v>0.08</v>
          </cell>
          <cell r="L52">
            <v>17.30313880214327</v>
          </cell>
          <cell r="M52">
            <v>1986325.0671707378</v>
          </cell>
          <cell r="N52">
            <v>146982.81848759172</v>
          </cell>
          <cell r="O52">
            <v>118131.31425738207</v>
          </cell>
          <cell r="P52">
            <v>151782.30464401486</v>
          </cell>
          <cell r="Q52">
            <v>-19926.932829262223</v>
          </cell>
          <cell r="T52">
            <v>266336.06717073778</v>
          </cell>
        </row>
        <row r="53">
          <cell r="C53" t="str">
            <v>Nm</v>
          </cell>
          <cell r="D53" t="str">
            <v>PT Astra Otoparts Tbk. - Div. Nusametal</v>
          </cell>
          <cell r="E53" t="str">
            <v>LL</v>
          </cell>
          <cell r="G53">
            <v>17.552860447454673</v>
          </cell>
          <cell r="H53">
            <v>664059.53347936715</v>
          </cell>
          <cell r="I53">
            <v>0.08</v>
          </cell>
          <cell r="J53" t="str">
            <v>N/A</v>
          </cell>
          <cell r="K53">
            <v>0.08</v>
          </cell>
          <cell r="L53">
            <v>2.3377092962511128</v>
          </cell>
          <cell r="M53">
            <v>1857218.6326013231</v>
          </cell>
          <cell r="N53">
            <v>593919.58665799524</v>
          </cell>
          <cell r="O53">
            <v>513150.12</v>
          </cell>
          <cell r="P53">
            <v>620951.32741077489</v>
          </cell>
          <cell r="Q53">
            <v>3254.6326013230719</v>
          </cell>
          <cell r="T53">
            <v>0</v>
          </cell>
        </row>
        <row r="54">
          <cell r="C54" t="str">
            <v>Nm</v>
          </cell>
          <cell r="D54" t="str">
            <v>PT Astra Otoparts Tbk. - Div. Nusametal</v>
          </cell>
          <cell r="E54" t="str">
            <v>PMK</v>
          </cell>
          <cell r="G54">
            <v>17.552860447454673</v>
          </cell>
          <cell r="H54">
            <v>474750</v>
          </cell>
          <cell r="I54">
            <v>0.08</v>
          </cell>
          <cell r="J54" t="str">
            <v>N/A</v>
          </cell>
          <cell r="K54">
            <v>0.08</v>
          </cell>
          <cell r="L54">
            <v>16.990115997529941</v>
          </cell>
          <cell r="M54">
            <v>4557895.0429084906</v>
          </cell>
          <cell r="N54">
            <v>513579.82158008748</v>
          </cell>
          <cell r="O54">
            <v>392075</v>
          </cell>
          <cell r="P54">
            <v>564937.80373809626</v>
          </cell>
          <cell r="Q54">
            <v>334559.04290849064</v>
          </cell>
          <cell r="T54">
            <v>0</v>
          </cell>
        </row>
        <row r="56">
          <cell r="C56" t="str">
            <v>A0096</v>
          </cell>
          <cell r="D56" t="str">
            <v>PT Menara Terus Makmur</v>
          </cell>
          <cell r="E56" t="str">
            <v>PEB 1</v>
          </cell>
          <cell r="G56">
            <v>11.07583948945209</v>
          </cell>
          <cell r="H56">
            <v>36309.74133260447</v>
          </cell>
          <cell r="I56">
            <v>0.08</v>
          </cell>
          <cell r="J56">
            <v>0.1</v>
          </cell>
          <cell r="K56">
            <v>0.08</v>
          </cell>
          <cell r="L56">
            <v>10.699565788277885</v>
          </cell>
          <cell r="M56">
            <v>7623478.0967613431</v>
          </cell>
          <cell r="N56">
            <v>368738</v>
          </cell>
          <cell r="O56">
            <v>143856</v>
          </cell>
          <cell r="P56">
            <v>395913</v>
          </cell>
          <cell r="Q56">
            <v>644488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11.07583948945209</v>
          </cell>
          <cell r="AL56">
            <v>0</v>
          </cell>
          <cell r="AM56">
            <v>0.08</v>
          </cell>
          <cell r="AN56" t="str">
            <v>N/A</v>
          </cell>
          <cell r="AO56">
            <v>0.08</v>
          </cell>
          <cell r="AP56">
            <v>10.699565788277891</v>
          </cell>
          <cell r="AQ56">
            <v>71672.772449973141</v>
          </cell>
          <cell r="AR56">
            <v>3473.4115753052333</v>
          </cell>
          <cell r="AS56">
            <v>9559.0597979582108</v>
          </cell>
          <cell r="AT56">
            <v>3751.2845013296524</v>
          </cell>
          <cell r="AU56">
            <v>9888.7724499731412</v>
          </cell>
          <cell r="AV56">
            <v>0</v>
          </cell>
          <cell r="AW56">
            <v>0</v>
          </cell>
          <cell r="AX56">
            <v>-3508.420311128124</v>
          </cell>
          <cell r="AZ56">
            <v>19.425565900824214</v>
          </cell>
          <cell r="BA56">
            <v>0</v>
          </cell>
          <cell r="BB56">
            <v>0.09</v>
          </cell>
          <cell r="BC56" t="str">
            <v>N/A</v>
          </cell>
          <cell r="BD56">
            <v>0.08</v>
          </cell>
          <cell r="BE56">
            <v>19.304654466020352</v>
          </cell>
          <cell r="BF56">
            <v>387089.97229604231</v>
          </cell>
          <cell r="BG56">
            <v>62366.199201499949</v>
          </cell>
          <cell r="BH56">
            <v>0</v>
          </cell>
          <cell r="BI56">
            <v>67979.157129634972</v>
          </cell>
          <cell r="BJ56">
            <v>-20504.02770395769</v>
          </cell>
          <cell r="BK56">
            <v>0</v>
          </cell>
          <cell r="BL56">
            <v>0</v>
          </cell>
          <cell r="BM56">
            <v>-140337.15992883098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S56">
            <v>18.223069805068835</v>
          </cell>
          <cell r="CT56">
            <v>60382.289594587557</v>
          </cell>
          <cell r="CU56">
            <v>0.08</v>
          </cell>
          <cell r="CV56" t="str">
            <v>N/A</v>
          </cell>
          <cell r="CW56">
            <v>0.08</v>
          </cell>
          <cell r="CX56">
            <v>18.147244877785962</v>
          </cell>
          <cell r="CY56">
            <v>777517.82582349877</v>
          </cell>
          <cell r="CZ56">
            <v>77115.385455500829</v>
          </cell>
          <cell r="DA56">
            <v>80974.859020955148</v>
          </cell>
          <cell r="DB56">
            <v>75429.712313326265</v>
          </cell>
          <cell r="DC56">
            <v>39717.825823498773</v>
          </cell>
          <cell r="DD56">
            <v>0</v>
          </cell>
          <cell r="DE56">
            <v>0</v>
          </cell>
          <cell r="DF56">
            <v>101415.82582349877</v>
          </cell>
          <cell r="DH56">
            <v>18.223069805068835</v>
          </cell>
          <cell r="DI56">
            <v>0</v>
          </cell>
          <cell r="DJ56">
            <v>0.09</v>
          </cell>
          <cell r="DK56" t="str">
            <v>N/A</v>
          </cell>
          <cell r="DL56">
            <v>0.08</v>
          </cell>
          <cell r="DM56">
            <v>18.147244877785962</v>
          </cell>
          <cell r="DN56">
            <v>620799.40131610679</v>
          </cell>
          <cell r="DO56">
            <v>45480.819190643764</v>
          </cell>
          <cell r="DP56">
            <v>4736.9371713535775</v>
          </cell>
          <cell r="DQ56">
            <v>49574.09291780171</v>
          </cell>
          <cell r="DR56">
            <v>-3934.5986838932149</v>
          </cell>
          <cell r="DS56">
            <v>0</v>
          </cell>
          <cell r="DT56">
            <v>0</v>
          </cell>
          <cell r="DU56">
            <v>0</v>
          </cell>
          <cell r="DW56">
            <v>18.223069805068835</v>
          </cell>
          <cell r="DX56">
            <v>73743.944635807071</v>
          </cell>
          <cell r="DY56">
            <v>0.09</v>
          </cell>
          <cell r="DZ56" t="str">
            <v>N/A</v>
          </cell>
          <cell r="EA56">
            <v>0.08</v>
          </cell>
          <cell r="EB56">
            <v>18.147244877785962</v>
          </cell>
          <cell r="EC56">
            <v>1598136.5600103156</v>
          </cell>
          <cell r="ED56">
            <v>132292.17585310288</v>
          </cell>
          <cell r="EE56">
            <v>99812.955214470319</v>
          </cell>
          <cell r="EF56">
            <v>136288.06026857038</v>
          </cell>
          <cell r="EG56">
            <v>-15986.439989684382</v>
          </cell>
          <cell r="EH56">
            <v>0</v>
          </cell>
          <cell r="EI56">
            <v>0</v>
          </cell>
          <cell r="EJ56">
            <v>136846.56001031562</v>
          </cell>
          <cell r="EL56">
            <v>18.223069805068835</v>
          </cell>
          <cell r="EM56">
            <v>642824.26590565173</v>
          </cell>
          <cell r="EN56">
            <v>0.08</v>
          </cell>
          <cell r="EO56" t="str">
            <v>N/A</v>
          </cell>
          <cell r="EP56">
            <v>0.08</v>
          </cell>
          <cell r="EQ56">
            <v>17.834863588507126</v>
          </cell>
          <cell r="ER56">
            <v>1574320.9654428838</v>
          </cell>
          <cell r="ES56">
            <v>676655.27377927676</v>
          </cell>
          <cell r="ET56">
            <v>423127.21604595863</v>
          </cell>
          <cell r="EU56">
            <v>0</v>
          </cell>
          <cell r="EV56">
            <v>8607.9654428837821</v>
          </cell>
          <cell r="EW56">
            <v>0</v>
          </cell>
          <cell r="EX56">
            <v>0</v>
          </cell>
          <cell r="EY56">
            <v>285852.96544288378</v>
          </cell>
          <cell r="FA56">
            <v>18.223069805068835</v>
          </cell>
          <cell r="FB56">
            <v>239700</v>
          </cell>
          <cell r="FC56">
            <v>0.08</v>
          </cell>
          <cell r="FD56" t="str">
            <v>N/A</v>
          </cell>
          <cell r="FE56">
            <v>0.08</v>
          </cell>
          <cell r="FF56">
            <v>17.834863588507126</v>
          </cell>
          <cell r="FG56">
            <v>1842263.1634207736</v>
          </cell>
          <cell r="FH56">
            <v>280034.07540009398</v>
          </cell>
          <cell r="FI56">
            <v>115593.75</v>
          </cell>
          <cell r="FJ56">
            <v>308037.48294010339</v>
          </cell>
          <cell r="FK56">
            <v>260835.16342077358</v>
          </cell>
          <cell r="FL56">
            <v>0</v>
          </cell>
          <cell r="FM56">
            <v>0</v>
          </cell>
          <cell r="FN56">
            <v>0</v>
          </cell>
        </row>
        <row r="57">
          <cell r="C57" t="str">
            <v>A0096</v>
          </cell>
          <cell r="D57" t="str">
            <v>PT Menara Terus Makmur</v>
          </cell>
          <cell r="E57" t="str">
            <v>PEB 2</v>
          </cell>
          <cell r="G57">
            <v>0</v>
          </cell>
          <cell r="H57">
            <v>0</v>
          </cell>
          <cell r="T57">
            <v>0</v>
          </cell>
        </row>
        <row r="58">
          <cell r="C58" t="str">
            <v>A0096</v>
          </cell>
          <cell r="D58" t="str">
            <v>PT Menara Terus Makmur</v>
          </cell>
          <cell r="E58" t="str">
            <v>PEB 3</v>
          </cell>
          <cell r="G58">
            <v>11.07583948945209</v>
          </cell>
          <cell r="H58">
            <v>0</v>
          </cell>
          <cell r="I58">
            <v>0.08</v>
          </cell>
          <cell r="J58" t="str">
            <v>N/A</v>
          </cell>
          <cell r="K58">
            <v>0.08</v>
          </cell>
          <cell r="L58">
            <v>10.699565788277891</v>
          </cell>
          <cell r="M58">
            <v>71672.772449973141</v>
          </cell>
          <cell r="N58">
            <v>3473.4115753052333</v>
          </cell>
          <cell r="O58">
            <v>9559.0597979582108</v>
          </cell>
          <cell r="P58">
            <v>3751.2845013296524</v>
          </cell>
          <cell r="Q58">
            <v>9888.7724499731412</v>
          </cell>
          <cell r="R58">
            <v>0</v>
          </cell>
          <cell r="S58">
            <v>0</v>
          </cell>
          <cell r="T58">
            <v>-3508.420311128124</v>
          </cell>
        </row>
        <row r="59">
          <cell r="C59" t="str">
            <v>A0096</v>
          </cell>
          <cell r="D59" t="str">
            <v>PT Menara Terus Makmur</v>
          </cell>
          <cell r="E59" t="str">
            <v>PEB 4</v>
          </cell>
          <cell r="G59">
            <v>19.425565900824214</v>
          </cell>
          <cell r="H59">
            <v>0</v>
          </cell>
          <cell r="I59">
            <v>0.09</v>
          </cell>
          <cell r="J59" t="str">
            <v>N/A</v>
          </cell>
          <cell r="K59">
            <v>0.08</v>
          </cell>
          <cell r="L59">
            <v>19.304654466020352</v>
          </cell>
          <cell r="M59">
            <v>387089.97229604231</v>
          </cell>
          <cell r="N59">
            <v>62366.199201499949</v>
          </cell>
          <cell r="O59">
            <v>0</v>
          </cell>
          <cell r="P59">
            <v>67979.157129634972</v>
          </cell>
          <cell r="Q59">
            <v>-20504.02770395769</v>
          </cell>
          <cell r="R59">
            <v>0</v>
          </cell>
          <cell r="S59">
            <v>0</v>
          </cell>
          <cell r="T59">
            <v>-140337.15992883098</v>
          </cell>
        </row>
        <row r="60">
          <cell r="C60" t="str">
            <v>A0096</v>
          </cell>
          <cell r="D60" t="str">
            <v>PT Menara Terus Makmur</v>
          </cell>
          <cell r="E60" t="str">
            <v>PEB 5</v>
          </cell>
          <cell r="G60">
            <v>0</v>
          </cell>
          <cell r="H60">
            <v>0</v>
          </cell>
          <cell r="T60">
            <v>0</v>
          </cell>
        </row>
        <row r="61">
          <cell r="C61" t="str">
            <v>A0096</v>
          </cell>
          <cell r="D61" t="str">
            <v>PT Menara Terus Makmur</v>
          </cell>
          <cell r="E61" t="str">
            <v>PEB 6</v>
          </cell>
          <cell r="G61">
            <v>0</v>
          </cell>
          <cell r="H61">
            <v>0</v>
          </cell>
          <cell r="T61">
            <v>0</v>
          </cell>
        </row>
        <row r="62">
          <cell r="C62" t="str">
            <v>A0096</v>
          </cell>
          <cell r="D62" t="str">
            <v>PT Menara Terus Makmur</v>
          </cell>
          <cell r="E62" t="str">
            <v>PEB 7</v>
          </cell>
          <cell r="G62">
            <v>18.223069805068835</v>
          </cell>
          <cell r="H62">
            <v>60382.289594587557</v>
          </cell>
          <cell r="I62">
            <v>0.08</v>
          </cell>
          <cell r="J62" t="str">
            <v>N/A</v>
          </cell>
          <cell r="K62">
            <v>0.08</v>
          </cell>
          <cell r="L62">
            <v>18.147244877785962</v>
          </cell>
          <cell r="M62">
            <v>777517.82582349877</v>
          </cell>
          <cell r="N62">
            <v>77115.385455500829</v>
          </cell>
          <cell r="O62">
            <v>80974.859020955148</v>
          </cell>
          <cell r="P62">
            <v>75429.712313326265</v>
          </cell>
          <cell r="Q62">
            <v>39717.825823498773</v>
          </cell>
          <cell r="R62">
            <v>0</v>
          </cell>
          <cell r="S62">
            <v>0</v>
          </cell>
          <cell r="T62">
            <v>101415.82582349877</v>
          </cell>
        </row>
        <row r="63">
          <cell r="C63" t="str">
            <v>A0096</v>
          </cell>
          <cell r="D63" t="str">
            <v>PT Menara Terus Makmur</v>
          </cell>
          <cell r="E63" t="str">
            <v>MPP</v>
          </cell>
          <cell r="G63">
            <v>18.223069805068835</v>
          </cell>
          <cell r="H63">
            <v>0</v>
          </cell>
          <cell r="I63">
            <v>0.09</v>
          </cell>
          <cell r="J63" t="str">
            <v>N/A</v>
          </cell>
          <cell r="K63">
            <v>0.08</v>
          </cell>
          <cell r="L63">
            <v>18.147244877785962</v>
          </cell>
          <cell r="M63">
            <v>620799.40131610679</v>
          </cell>
          <cell r="N63">
            <v>45480.819190643764</v>
          </cell>
          <cell r="O63">
            <v>4736.9371713535775</v>
          </cell>
          <cell r="P63">
            <v>49574.09291780171</v>
          </cell>
          <cell r="Q63">
            <v>-3934.5986838932149</v>
          </cell>
          <cell r="R63">
            <v>0</v>
          </cell>
          <cell r="S63">
            <v>0</v>
          </cell>
          <cell r="T63">
            <v>0</v>
          </cell>
        </row>
        <row r="64">
          <cell r="C64" t="str">
            <v>A0096</v>
          </cell>
          <cell r="D64" t="str">
            <v>PT Menara Terus Makmur</v>
          </cell>
          <cell r="E64" t="str">
            <v>ID</v>
          </cell>
          <cell r="G64">
            <v>18.223069805068835</v>
          </cell>
          <cell r="H64">
            <v>73743.944635807071</v>
          </cell>
          <cell r="I64">
            <v>0.09</v>
          </cell>
          <cell r="J64" t="str">
            <v>N/A</v>
          </cell>
          <cell r="K64">
            <v>0.08</v>
          </cell>
          <cell r="L64">
            <v>18.147244877785962</v>
          </cell>
          <cell r="M64">
            <v>1598136.5600103156</v>
          </cell>
          <cell r="N64">
            <v>132292.17585310288</v>
          </cell>
          <cell r="O64">
            <v>99812.955214470319</v>
          </cell>
          <cell r="P64">
            <v>136288.06026857038</v>
          </cell>
          <cell r="Q64">
            <v>-15986.439989684382</v>
          </cell>
          <cell r="R64">
            <v>0</v>
          </cell>
          <cell r="S64">
            <v>0</v>
          </cell>
          <cell r="T64">
            <v>136846.56001031562</v>
          </cell>
        </row>
        <row r="65">
          <cell r="C65" t="str">
            <v>A0096</v>
          </cell>
          <cell r="D65" t="str">
            <v>PT Menara Terus Makmur</v>
          </cell>
          <cell r="E65" t="str">
            <v>LL</v>
          </cell>
          <cell r="G65">
            <v>18.223069805068835</v>
          </cell>
          <cell r="H65">
            <v>642824.26590565173</v>
          </cell>
          <cell r="I65">
            <v>0.08</v>
          </cell>
          <cell r="J65" t="str">
            <v>N/A</v>
          </cell>
          <cell r="K65">
            <v>0.08</v>
          </cell>
          <cell r="L65">
            <v>17.834863588507126</v>
          </cell>
          <cell r="M65">
            <v>1574320.9654428838</v>
          </cell>
          <cell r="N65">
            <v>676655.27377927676</v>
          </cell>
          <cell r="O65">
            <v>423127.21604595863</v>
          </cell>
          <cell r="P65">
            <v>0</v>
          </cell>
          <cell r="Q65">
            <v>8607.9654428837821</v>
          </cell>
          <cell r="T65">
            <v>285852.96544288378</v>
          </cell>
        </row>
        <row r="66">
          <cell r="C66" t="str">
            <v>A0096</v>
          </cell>
          <cell r="D66" t="str">
            <v>PT Menara Terus Makmur</v>
          </cell>
          <cell r="E66" t="str">
            <v>PMK</v>
          </cell>
          <cell r="G66">
            <v>18.223069805068835</v>
          </cell>
          <cell r="H66">
            <v>239700</v>
          </cell>
          <cell r="I66">
            <v>0.08</v>
          </cell>
          <cell r="J66" t="str">
            <v>N/A</v>
          </cell>
          <cell r="K66">
            <v>0.08</v>
          </cell>
          <cell r="L66">
            <v>17.834863588507126</v>
          </cell>
          <cell r="M66">
            <v>1842263.1634207736</v>
          </cell>
          <cell r="N66">
            <v>280034.07540009398</v>
          </cell>
          <cell r="O66">
            <v>115593.75</v>
          </cell>
          <cell r="P66">
            <v>308037.48294010339</v>
          </cell>
          <cell r="Q66">
            <v>260835.16342077358</v>
          </cell>
          <cell r="T66">
            <v>0</v>
          </cell>
        </row>
        <row r="68">
          <cell r="C68" t="str">
            <v>A0239</v>
          </cell>
          <cell r="D68" t="str">
            <v>PT Astra Daido Steel Indonesia</v>
          </cell>
          <cell r="E68" t="str">
            <v>PEB 1</v>
          </cell>
          <cell r="G68">
            <v>0</v>
          </cell>
          <cell r="H68">
            <v>1382151.1733333333</v>
          </cell>
          <cell r="I68">
            <v>0.08</v>
          </cell>
          <cell r="J68">
            <v>0.1</v>
          </cell>
          <cell r="K68">
            <v>0.08</v>
          </cell>
          <cell r="T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K68">
            <v>0</v>
          </cell>
          <cell r="AL68">
            <v>176980.6221440002</v>
          </cell>
          <cell r="AM68">
            <v>0.08</v>
          </cell>
          <cell r="AN68" t="str">
            <v>N/A</v>
          </cell>
          <cell r="AO68">
            <v>0.08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Z68">
            <v>18.453971683432634</v>
          </cell>
          <cell r="BA68">
            <v>12444.603240000004</v>
          </cell>
          <cell r="BB68">
            <v>0.09</v>
          </cell>
          <cell r="BC68" t="str">
            <v>N/A</v>
          </cell>
          <cell r="BD68">
            <v>0.08</v>
          </cell>
          <cell r="BE68">
            <v>18.430082365918206</v>
          </cell>
          <cell r="BF68">
            <v>68246.42156720077</v>
          </cell>
          <cell r="BG68">
            <v>9961.1773363132143</v>
          </cell>
          <cell r="BH68">
            <v>0</v>
          </cell>
          <cell r="BI68">
            <v>10857.683296581401</v>
          </cell>
          <cell r="BJ68">
            <v>-6077.5784327992296</v>
          </cell>
          <cell r="BK68">
            <v>0</v>
          </cell>
          <cell r="BL68">
            <v>0</v>
          </cell>
          <cell r="BM68">
            <v>-300249.68140477018</v>
          </cell>
          <cell r="BO68">
            <v>24.51</v>
          </cell>
          <cell r="BP68">
            <v>0</v>
          </cell>
          <cell r="BQ68">
            <v>0.09</v>
          </cell>
          <cell r="BR68" t="str">
            <v>N/A</v>
          </cell>
          <cell r="BS68">
            <v>0.08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S68">
            <v>18.299894755771327</v>
          </cell>
          <cell r="CT68">
            <v>6916.1304658024328</v>
          </cell>
          <cell r="CU68">
            <v>0.08</v>
          </cell>
          <cell r="CV68" t="str">
            <v>N/A</v>
          </cell>
          <cell r="CW68">
            <v>0.08</v>
          </cell>
          <cell r="CX68">
            <v>18.430082365918206</v>
          </cell>
          <cell r="CY68">
            <v>107424.3488495685</v>
          </cell>
          <cell r="CZ68">
            <v>12082.498269243382</v>
          </cell>
          <cell r="DA68">
            <v>10807.725368432708</v>
          </cell>
          <cell r="DB68">
            <v>11850.189331513646</v>
          </cell>
          <cell r="DC68">
            <v>5755.3488495685015</v>
          </cell>
          <cell r="DD68">
            <v>0</v>
          </cell>
          <cell r="DE68">
            <v>0</v>
          </cell>
          <cell r="DF68">
            <v>13850.773199534</v>
          </cell>
          <cell r="DH68">
            <v>0</v>
          </cell>
          <cell r="DI68">
            <v>0</v>
          </cell>
          <cell r="DJ68">
            <v>0.09</v>
          </cell>
          <cell r="DK68" t="str">
            <v>N/A</v>
          </cell>
          <cell r="DL68">
            <v>0.08</v>
          </cell>
          <cell r="DM68">
            <v>18.430082365918206</v>
          </cell>
          <cell r="DN68">
            <v>74025.592082649891</v>
          </cell>
          <cell r="DO68">
            <v>6686.5331800137883</v>
          </cell>
          <cell r="DP68">
            <v>0</v>
          </cell>
          <cell r="DQ68">
            <v>7288.321166215027</v>
          </cell>
          <cell r="DR68">
            <v>0</v>
          </cell>
          <cell r="DS68">
            <v>0</v>
          </cell>
          <cell r="DT68">
            <v>74025.592082649891</v>
          </cell>
          <cell r="DU68">
            <v>0</v>
          </cell>
          <cell r="DW68">
            <v>18.299894755771327</v>
          </cell>
          <cell r="DX68">
            <v>9229.7881156224721</v>
          </cell>
          <cell r="DY68">
            <v>0.09</v>
          </cell>
          <cell r="DZ68" t="str">
            <v>N/A</v>
          </cell>
          <cell r="EA68">
            <v>0.08</v>
          </cell>
          <cell r="EB68">
            <v>18.430082365918206</v>
          </cell>
          <cell r="EC68">
            <v>197561.87561713863</v>
          </cell>
          <cell r="ED68">
            <v>19487.039906105332</v>
          </cell>
          <cell r="EE68">
            <v>11312.453088192786</v>
          </cell>
          <cell r="EF68">
            <v>20164.834927732096</v>
          </cell>
          <cell r="EG68">
            <v>-1761.124382861366</v>
          </cell>
          <cell r="EH68">
            <v>0</v>
          </cell>
          <cell r="EI68">
            <v>0</v>
          </cell>
          <cell r="EJ68">
            <v>3404.8214927138761</v>
          </cell>
          <cell r="EL68">
            <v>18.299894755771327</v>
          </cell>
          <cell r="EM68">
            <v>73326.689149705635</v>
          </cell>
          <cell r="EN68">
            <v>0.08</v>
          </cell>
          <cell r="EO68" t="str">
            <v>N/A</v>
          </cell>
          <cell r="EP68">
            <v>0.08</v>
          </cell>
          <cell r="EQ68">
            <v>2.2277101932348331</v>
          </cell>
          <cell r="ER68">
            <v>248140.89045933587</v>
          </cell>
          <cell r="ES68">
            <v>79695.946625350043</v>
          </cell>
          <cell r="ET68">
            <v>86736.960000000006</v>
          </cell>
          <cell r="EU68">
            <v>83526.063454682429</v>
          </cell>
          <cell r="EV68">
            <v>135.89045933587477</v>
          </cell>
          <cell r="EW68">
            <v>0</v>
          </cell>
          <cell r="EX68">
            <v>0</v>
          </cell>
          <cell r="EY68">
            <v>0</v>
          </cell>
          <cell r="FA68">
            <v>18.299894755771327</v>
          </cell>
          <cell r="FB68">
            <v>54250</v>
          </cell>
          <cell r="FC68">
            <v>0.08</v>
          </cell>
          <cell r="FD68" t="str">
            <v>N/A</v>
          </cell>
          <cell r="FE68">
            <v>0.08</v>
          </cell>
          <cell r="FF68">
            <v>18.146677967473575</v>
          </cell>
          <cell r="FG68">
            <v>441141.70904766605</v>
          </cell>
          <cell r="FH68">
            <v>58310.78265552684</v>
          </cell>
          <cell r="FI68">
            <v>28500</v>
          </cell>
          <cell r="FJ68">
            <v>64141.860921079533</v>
          </cell>
          <cell r="FK68">
            <v>58378.709047666052</v>
          </cell>
          <cell r="FL68">
            <v>0</v>
          </cell>
          <cell r="FM68">
            <v>0</v>
          </cell>
          <cell r="FN68">
            <v>-121202.9797069208</v>
          </cell>
        </row>
        <row r="69">
          <cell r="C69" t="str">
            <v>A0239</v>
          </cell>
          <cell r="D69" t="str">
            <v>PT Astra Daido Steel Indonesia</v>
          </cell>
          <cell r="E69" t="str">
            <v>PEB 2</v>
          </cell>
          <cell r="G69">
            <v>0</v>
          </cell>
          <cell r="H69">
            <v>0</v>
          </cell>
          <cell r="T69">
            <v>0</v>
          </cell>
        </row>
        <row r="70">
          <cell r="C70" t="str">
            <v>A0239</v>
          </cell>
          <cell r="D70" t="str">
            <v>PT Astra Daido Steel Indonesia</v>
          </cell>
          <cell r="E70" t="str">
            <v>PEB 3</v>
          </cell>
          <cell r="G70">
            <v>0</v>
          </cell>
          <cell r="H70">
            <v>176980.6221440002</v>
          </cell>
          <cell r="I70">
            <v>0.08</v>
          </cell>
          <cell r="J70" t="str">
            <v>N/A</v>
          </cell>
          <cell r="K70">
            <v>0.08</v>
          </cell>
          <cell r="T70">
            <v>0</v>
          </cell>
        </row>
        <row r="71">
          <cell r="C71" t="str">
            <v>A0239</v>
          </cell>
          <cell r="D71" t="str">
            <v>PT Astra Daido Steel Indonesia</v>
          </cell>
          <cell r="E71" t="str">
            <v>PEB 4</v>
          </cell>
          <cell r="G71">
            <v>18.453971683432634</v>
          </cell>
          <cell r="H71">
            <v>12444.603240000004</v>
          </cell>
          <cell r="I71">
            <v>0.09</v>
          </cell>
          <cell r="J71" t="str">
            <v>N/A</v>
          </cell>
          <cell r="K71">
            <v>0.08</v>
          </cell>
          <cell r="L71">
            <v>18.430082365918206</v>
          </cell>
          <cell r="M71">
            <v>68246.42156720077</v>
          </cell>
          <cell r="N71">
            <v>9961.1773363132143</v>
          </cell>
          <cell r="O71">
            <v>0</v>
          </cell>
          <cell r="P71">
            <v>10857.683296581401</v>
          </cell>
          <cell r="Q71">
            <v>-6077.5784327992296</v>
          </cell>
          <cell r="T71">
            <v>-300249.68140477018</v>
          </cell>
        </row>
        <row r="72">
          <cell r="C72" t="str">
            <v>A0239</v>
          </cell>
          <cell r="D72" t="str">
            <v>PT Astra Daido Steel Indonesia</v>
          </cell>
          <cell r="E72" t="str">
            <v>PEB 5</v>
          </cell>
          <cell r="G72">
            <v>24.51</v>
          </cell>
          <cell r="H72">
            <v>0</v>
          </cell>
          <cell r="I72">
            <v>0.09</v>
          </cell>
          <cell r="J72" t="str">
            <v>N/A</v>
          </cell>
          <cell r="K72">
            <v>0.08</v>
          </cell>
          <cell r="T72">
            <v>0</v>
          </cell>
        </row>
        <row r="73">
          <cell r="C73" t="str">
            <v>A0239</v>
          </cell>
          <cell r="D73" t="str">
            <v>PT Astra Daido Steel Indonesia</v>
          </cell>
          <cell r="E73" t="str">
            <v>PEB 6</v>
          </cell>
          <cell r="G73">
            <v>0</v>
          </cell>
          <cell r="H73">
            <v>0</v>
          </cell>
          <cell r="T73">
            <v>0</v>
          </cell>
        </row>
        <row r="74">
          <cell r="C74" t="str">
            <v>A0239</v>
          </cell>
          <cell r="D74" t="str">
            <v>PT Astra Daido Steel Indonesia</v>
          </cell>
          <cell r="E74" t="str">
            <v>PEB 7</v>
          </cell>
          <cell r="G74">
            <v>18.299894755771327</v>
          </cell>
          <cell r="H74">
            <v>6916.1304658024328</v>
          </cell>
          <cell r="I74">
            <v>0.08</v>
          </cell>
          <cell r="J74" t="str">
            <v>N/A</v>
          </cell>
          <cell r="K74">
            <v>0.08</v>
          </cell>
          <cell r="L74">
            <v>18.430082365918206</v>
          </cell>
          <cell r="M74">
            <v>107424.3488495685</v>
          </cell>
          <cell r="N74">
            <v>12082.498269243382</v>
          </cell>
          <cell r="O74">
            <v>10807.725368432708</v>
          </cell>
          <cell r="P74">
            <v>11850.189331513646</v>
          </cell>
          <cell r="Q74">
            <v>5755.3488495685015</v>
          </cell>
          <cell r="T74">
            <v>13850.773199534</v>
          </cell>
        </row>
        <row r="75">
          <cell r="C75" t="str">
            <v>A0239</v>
          </cell>
          <cell r="D75" t="str">
            <v>PT Astra Daido Steel Indonesia</v>
          </cell>
          <cell r="E75" t="str">
            <v>MPP</v>
          </cell>
          <cell r="G75">
            <v>0</v>
          </cell>
          <cell r="H75">
            <v>0</v>
          </cell>
          <cell r="I75">
            <v>0.09</v>
          </cell>
          <cell r="J75" t="str">
            <v>N/A</v>
          </cell>
          <cell r="K75">
            <v>0.08</v>
          </cell>
          <cell r="L75">
            <v>18.430082365918206</v>
          </cell>
          <cell r="M75">
            <v>74025.592082649891</v>
          </cell>
          <cell r="N75">
            <v>6686.5331800137883</v>
          </cell>
          <cell r="O75">
            <v>0</v>
          </cell>
          <cell r="P75">
            <v>7288.321166215027</v>
          </cell>
          <cell r="S75">
            <v>74025.592082649891</v>
          </cell>
          <cell r="T75">
            <v>0</v>
          </cell>
        </row>
        <row r="76">
          <cell r="C76" t="str">
            <v>A0239</v>
          </cell>
          <cell r="D76" t="str">
            <v>PT Astra Daido Steel Indonesia</v>
          </cell>
          <cell r="E76" t="str">
            <v>ID</v>
          </cell>
          <cell r="G76">
            <v>18.299894755771327</v>
          </cell>
          <cell r="H76">
            <v>9229.7881156224721</v>
          </cell>
          <cell r="I76">
            <v>0.09</v>
          </cell>
          <cell r="J76" t="str">
            <v>N/A</v>
          </cell>
          <cell r="K76">
            <v>0.08</v>
          </cell>
          <cell r="L76">
            <v>18.430082365918206</v>
          </cell>
          <cell r="M76">
            <v>197561.87561713863</v>
          </cell>
          <cell r="N76">
            <v>19487.039906105332</v>
          </cell>
          <cell r="O76">
            <v>11312.453088192786</v>
          </cell>
          <cell r="P76">
            <v>20164.834927732096</v>
          </cell>
          <cell r="Q76">
            <v>-1761.124382861366</v>
          </cell>
          <cell r="T76">
            <v>3404.8214927138761</v>
          </cell>
        </row>
        <row r="77">
          <cell r="C77" t="str">
            <v>A0239</v>
          </cell>
          <cell r="D77" t="str">
            <v>PT Astra Daido Steel Indonesia</v>
          </cell>
          <cell r="E77" t="str">
            <v>LL</v>
          </cell>
          <cell r="G77">
            <v>18.299894755771327</v>
          </cell>
          <cell r="H77">
            <v>73326.689149705635</v>
          </cell>
          <cell r="I77">
            <v>0.08</v>
          </cell>
          <cell r="J77" t="str">
            <v>N/A</v>
          </cell>
          <cell r="K77">
            <v>0.08</v>
          </cell>
          <cell r="L77">
            <v>2.2277101932348331</v>
          </cell>
          <cell r="M77">
            <v>248140.89045933587</v>
          </cell>
          <cell r="N77">
            <v>79695.946625350043</v>
          </cell>
          <cell r="O77">
            <v>86736.960000000006</v>
          </cell>
          <cell r="P77">
            <v>83526.063454682429</v>
          </cell>
          <cell r="Q77">
            <v>135.89045933587477</v>
          </cell>
          <cell r="T77">
            <v>0</v>
          </cell>
        </row>
        <row r="78">
          <cell r="C78" t="str">
            <v>A0239</v>
          </cell>
          <cell r="D78" t="str">
            <v>PT Astra Daido Steel Indonesia</v>
          </cell>
          <cell r="E78" t="str">
            <v>PMK</v>
          </cell>
          <cell r="G78">
            <v>18.299894755771327</v>
          </cell>
          <cell r="H78">
            <v>54250</v>
          </cell>
          <cell r="I78">
            <v>0.08</v>
          </cell>
          <cell r="J78" t="str">
            <v>N/A</v>
          </cell>
          <cell r="K78">
            <v>0.08</v>
          </cell>
          <cell r="L78">
            <v>18.146677967473575</v>
          </cell>
          <cell r="M78">
            <v>441141.70904766605</v>
          </cell>
          <cell r="N78">
            <v>58310.78265552684</v>
          </cell>
          <cell r="O78">
            <v>28500</v>
          </cell>
          <cell r="P78">
            <v>64141.860921079533</v>
          </cell>
          <cell r="Q78">
            <v>58378.709047666052</v>
          </cell>
          <cell r="T78">
            <v>-121202.9797069208</v>
          </cell>
        </row>
        <row r="80">
          <cell r="C80" t="str">
            <v>A0316</v>
          </cell>
          <cell r="D80" t="str">
            <v>PT Astra Komponen Indonesia</v>
          </cell>
          <cell r="E80" t="str">
            <v>PEB 1</v>
          </cell>
          <cell r="G80">
            <v>7.3407825809045946</v>
          </cell>
          <cell r="H80">
            <v>55353.318823683301</v>
          </cell>
          <cell r="I80">
            <v>0.08</v>
          </cell>
          <cell r="J80">
            <v>0.1</v>
          </cell>
          <cell r="K80">
            <v>0.08</v>
          </cell>
          <cell r="V80">
            <v>17.463602144748901</v>
          </cell>
          <cell r="W80">
            <v>16500</v>
          </cell>
          <cell r="X80">
            <v>0.09</v>
          </cell>
          <cell r="Y80" t="str">
            <v>N/A</v>
          </cell>
          <cell r="Z80">
            <v>0.08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7.3407825809045946</v>
          </cell>
          <cell r="AL80">
            <v>0</v>
          </cell>
          <cell r="AM80">
            <v>0.08</v>
          </cell>
          <cell r="AN80" t="str">
            <v>N/A</v>
          </cell>
          <cell r="AO80">
            <v>0.08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Z80">
            <v>17.461739987007991</v>
          </cell>
          <cell r="BA80">
            <v>0</v>
          </cell>
          <cell r="BB80">
            <v>0.09</v>
          </cell>
          <cell r="BC80" t="str">
            <v>N/A</v>
          </cell>
          <cell r="BD80">
            <v>0.08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O80">
            <v>22.751226438420179</v>
          </cell>
          <cell r="BP80">
            <v>854009.55</v>
          </cell>
          <cell r="BQ80">
            <v>0.09</v>
          </cell>
          <cell r="BR80" t="str">
            <v>N/A</v>
          </cell>
          <cell r="BS80">
            <v>0.08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S80">
            <v>17.463602144748901</v>
          </cell>
          <cell r="CT80">
            <v>22193.154268725404</v>
          </cell>
          <cell r="CU80">
            <v>0.08</v>
          </cell>
          <cell r="CV80" t="str">
            <v>N/A</v>
          </cell>
          <cell r="CW80">
            <v>0.08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H80">
            <v>17.463602144748901</v>
          </cell>
          <cell r="DI80">
            <v>111392.55</v>
          </cell>
          <cell r="DJ80">
            <v>0.09</v>
          </cell>
          <cell r="DK80" t="str">
            <v>N/A</v>
          </cell>
          <cell r="DL80">
            <v>0.08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W80">
            <v>17.463602144748901</v>
          </cell>
          <cell r="DX80">
            <v>50710.431866507701</v>
          </cell>
          <cell r="DY80">
            <v>0.09</v>
          </cell>
          <cell r="DZ80" t="str">
            <v>N/A</v>
          </cell>
          <cell r="EA80">
            <v>0.08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L80">
            <v>17.463602144748901</v>
          </cell>
          <cell r="EM80">
            <v>156193.83661107384</v>
          </cell>
          <cell r="EN80">
            <v>0.08</v>
          </cell>
          <cell r="EO80" t="str">
            <v>N/A</v>
          </cell>
          <cell r="EP80">
            <v>0.08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FA80">
            <v>17.463602144748901</v>
          </cell>
          <cell r="FB80">
            <v>37665</v>
          </cell>
          <cell r="FC80">
            <v>0.08</v>
          </cell>
          <cell r="FD80" t="str">
            <v>N/A</v>
          </cell>
          <cell r="FE80">
            <v>0.08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</row>
        <row r="81">
          <cell r="C81" t="str">
            <v>A0316</v>
          </cell>
          <cell r="D81" t="str">
            <v>PT Astra Komponen Indonesia</v>
          </cell>
          <cell r="E81" t="str">
            <v>PEB 2</v>
          </cell>
          <cell r="G81">
            <v>17.463602144748901</v>
          </cell>
          <cell r="H81">
            <v>16500</v>
          </cell>
          <cell r="I81">
            <v>0.09</v>
          </cell>
          <cell r="J81" t="str">
            <v>N/A</v>
          </cell>
          <cell r="K81">
            <v>0.08</v>
          </cell>
        </row>
        <row r="82">
          <cell r="C82" t="str">
            <v>A0316</v>
          </cell>
          <cell r="D82" t="str">
            <v>PT Astra Komponen Indonesia</v>
          </cell>
          <cell r="E82" t="str">
            <v>PEB 3</v>
          </cell>
          <cell r="G82">
            <v>7.3407825809045946</v>
          </cell>
          <cell r="H82">
            <v>0</v>
          </cell>
          <cell r="I82">
            <v>0.08</v>
          </cell>
          <cell r="J82" t="str">
            <v>N/A</v>
          </cell>
          <cell r="K82">
            <v>0.08</v>
          </cell>
        </row>
        <row r="83">
          <cell r="C83" t="str">
            <v>A0316</v>
          </cell>
          <cell r="D83" t="str">
            <v>PT Astra Komponen Indonesia</v>
          </cell>
          <cell r="E83" t="str">
            <v>PEB 4</v>
          </cell>
          <cell r="G83">
            <v>17.461739987007991</v>
          </cell>
          <cell r="H83">
            <v>0</v>
          </cell>
          <cell r="I83">
            <v>0.09</v>
          </cell>
          <cell r="J83" t="str">
            <v>N/A</v>
          </cell>
          <cell r="K83">
            <v>0.08</v>
          </cell>
        </row>
        <row r="84">
          <cell r="C84" t="str">
            <v>A0316</v>
          </cell>
          <cell r="D84" t="str">
            <v>PT Astra Komponen Indonesia</v>
          </cell>
          <cell r="E84" t="str">
            <v>PEB 5</v>
          </cell>
          <cell r="G84">
            <v>22.751226438420179</v>
          </cell>
          <cell r="H84">
            <v>854009.55</v>
          </cell>
          <cell r="I84">
            <v>0.09</v>
          </cell>
          <cell r="J84" t="str">
            <v>N/A</v>
          </cell>
          <cell r="K84">
            <v>0.08</v>
          </cell>
        </row>
        <row r="85">
          <cell r="C85" t="str">
            <v>A0316</v>
          </cell>
          <cell r="D85" t="str">
            <v>PT Astra Komponen Indonesia</v>
          </cell>
          <cell r="E85" t="str">
            <v>PEB 6</v>
          </cell>
          <cell r="G85">
            <v>0</v>
          </cell>
          <cell r="H85">
            <v>0</v>
          </cell>
        </row>
        <row r="86">
          <cell r="C86" t="str">
            <v>A0316</v>
          </cell>
          <cell r="D86" t="str">
            <v>PT Astra Komponen Indonesia</v>
          </cell>
          <cell r="E86" t="str">
            <v>PEB 7</v>
          </cell>
          <cell r="G86">
            <v>17.463602144748901</v>
          </cell>
          <cell r="H86">
            <v>22193.154268725404</v>
          </cell>
          <cell r="I86">
            <v>0.08</v>
          </cell>
          <cell r="J86" t="str">
            <v>N/A</v>
          </cell>
          <cell r="K86">
            <v>0.08</v>
          </cell>
        </row>
        <row r="87">
          <cell r="C87" t="str">
            <v>A0316</v>
          </cell>
          <cell r="D87" t="str">
            <v>PT Astra Komponen Indonesia</v>
          </cell>
          <cell r="E87" t="str">
            <v>MPP</v>
          </cell>
          <cell r="G87">
            <v>17.463602144748901</v>
          </cell>
          <cell r="H87">
            <v>111392.55</v>
          </cell>
          <cell r="I87">
            <v>0.09</v>
          </cell>
          <cell r="J87" t="str">
            <v>N/A</v>
          </cell>
          <cell r="K87">
            <v>0.08</v>
          </cell>
        </row>
        <row r="88">
          <cell r="C88" t="str">
            <v>A0316</v>
          </cell>
          <cell r="D88" t="str">
            <v>PT Astra Komponen Indonesia</v>
          </cell>
          <cell r="E88" t="str">
            <v>ID</v>
          </cell>
          <cell r="G88">
            <v>17.463602144748901</v>
          </cell>
          <cell r="H88">
            <v>50710.431866507701</v>
          </cell>
          <cell r="I88">
            <v>0.09</v>
          </cell>
          <cell r="J88" t="str">
            <v>N/A</v>
          </cell>
          <cell r="K88">
            <v>0.08</v>
          </cell>
        </row>
        <row r="89">
          <cell r="C89" t="str">
            <v>A0316</v>
          </cell>
          <cell r="D89" t="str">
            <v>PT Astra Komponen Indonesia</v>
          </cell>
          <cell r="E89" t="str">
            <v>LL</v>
          </cell>
          <cell r="G89">
            <v>17.463602144748901</v>
          </cell>
          <cell r="H89">
            <v>156193.83661107384</v>
          </cell>
          <cell r="I89">
            <v>0.08</v>
          </cell>
          <cell r="J89" t="str">
            <v>N/A</v>
          </cell>
          <cell r="K89">
            <v>0.08</v>
          </cell>
        </row>
        <row r="90">
          <cell r="C90" t="str">
            <v>A0316</v>
          </cell>
          <cell r="D90" t="str">
            <v>PT Astra Komponen Indonesia</v>
          </cell>
          <cell r="E90" t="str">
            <v>PMK</v>
          </cell>
          <cell r="G90">
            <v>17.463602144748901</v>
          </cell>
          <cell r="H90">
            <v>37665</v>
          </cell>
          <cell r="I90">
            <v>0.08</v>
          </cell>
          <cell r="J90" t="str">
            <v>N/A</v>
          </cell>
          <cell r="K90">
            <v>0.08</v>
          </cell>
        </row>
        <row r="92">
          <cell r="C92" t="str">
            <v>A0077</v>
          </cell>
          <cell r="D92" t="str">
            <v>PT Indokarlo Perkasa</v>
          </cell>
          <cell r="E92" t="str">
            <v>PEB 1</v>
          </cell>
          <cell r="G92">
            <v>11.257827910271978</v>
          </cell>
          <cell r="H92">
            <v>831.00653198468808</v>
          </cell>
          <cell r="I92">
            <v>0.08</v>
          </cell>
          <cell r="J92">
            <v>0.1</v>
          </cell>
          <cell r="K92">
            <v>0.08</v>
          </cell>
          <cell r="T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11.257827910271978</v>
          </cell>
          <cell r="AL92">
            <v>0</v>
          </cell>
          <cell r="AM92">
            <v>0.08</v>
          </cell>
          <cell r="AN92" t="str">
            <v>N/A</v>
          </cell>
          <cell r="AO92">
            <v>0.08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Z92">
            <v>18.385563375923034</v>
          </cell>
          <cell r="BA92">
            <v>31542.638719999995</v>
          </cell>
          <cell r="BB92">
            <v>0.09</v>
          </cell>
          <cell r="BC92" t="str">
            <v>N/A</v>
          </cell>
          <cell r="BD92">
            <v>0.08</v>
          </cell>
          <cell r="BE92">
            <v>19.119023683904178</v>
          </cell>
          <cell r="BF92">
            <v>237273.67913367535</v>
          </cell>
          <cell r="BG92">
            <v>43446.165327057992</v>
          </cell>
          <cell r="BH92">
            <v>0</v>
          </cell>
          <cell r="BI92">
            <v>47356.320206493219</v>
          </cell>
          <cell r="BJ92">
            <v>-12926.320866324648</v>
          </cell>
          <cell r="BK92">
            <v>0</v>
          </cell>
          <cell r="BL92">
            <v>0</v>
          </cell>
          <cell r="BM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S92">
            <v>18.369828860546324</v>
          </cell>
          <cell r="CT92">
            <v>37117.891359347122</v>
          </cell>
          <cell r="CU92">
            <v>0.08</v>
          </cell>
          <cell r="CV92" t="str">
            <v>N/A</v>
          </cell>
          <cell r="CW92">
            <v>0.08</v>
          </cell>
          <cell r="CX92">
            <v>19.119023683904178</v>
          </cell>
          <cell r="CY92">
            <v>414986.20496776869</v>
          </cell>
          <cell r="CZ92">
            <v>54558.629923435132</v>
          </cell>
          <cell r="DA92">
            <v>43890.563421182502</v>
          </cell>
          <cell r="DB92">
            <v>55860.043536428529</v>
          </cell>
          <cell r="DC92">
            <v>21153.204967768688</v>
          </cell>
          <cell r="DD92">
            <v>0</v>
          </cell>
          <cell r="DE92">
            <v>0</v>
          </cell>
          <cell r="DF92">
            <v>0</v>
          </cell>
          <cell r="DH92">
            <v>0</v>
          </cell>
          <cell r="DI92">
            <v>0</v>
          </cell>
          <cell r="DJ92">
            <v>0.09</v>
          </cell>
          <cell r="DK92" t="str">
            <v>N/A</v>
          </cell>
          <cell r="DL92">
            <v>0.08</v>
          </cell>
          <cell r="DM92">
            <v>19.119023683904178</v>
          </cell>
          <cell r="DN92">
            <v>422748.80322774587</v>
          </cell>
          <cell r="DO92">
            <v>36554.367664051417</v>
          </cell>
          <cell r="DP92">
            <v>0</v>
          </cell>
          <cell r="DQ92">
            <v>40227.298377960855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W92">
            <v>18.369828860546324</v>
          </cell>
          <cell r="DX92">
            <v>54842.143567067913</v>
          </cell>
          <cell r="DY92">
            <v>0.09</v>
          </cell>
          <cell r="DZ92" t="str">
            <v>N/A</v>
          </cell>
          <cell r="EA92">
            <v>0.08</v>
          </cell>
          <cell r="EB92">
            <v>19.119023683904178</v>
          </cell>
          <cell r="EC92">
            <v>997146.72623689577</v>
          </cell>
          <cell r="ED92">
            <v>105431.03926818755</v>
          </cell>
          <cell r="EE92">
            <v>70376.133920879089</v>
          </cell>
          <cell r="EF92">
            <v>110143.10929289671</v>
          </cell>
          <cell r="EG92">
            <v>-9952.2737631042255</v>
          </cell>
          <cell r="EH92">
            <v>0</v>
          </cell>
          <cell r="EI92">
            <v>0</v>
          </cell>
          <cell r="EJ92">
            <v>60582.726236895774</v>
          </cell>
          <cell r="EL92">
            <v>18.369828860546324</v>
          </cell>
          <cell r="EM92">
            <v>406200.82064997504</v>
          </cell>
          <cell r="EN92">
            <v>0.08</v>
          </cell>
          <cell r="EO92" t="str">
            <v>N/A</v>
          </cell>
          <cell r="EP92">
            <v>0.08</v>
          </cell>
          <cell r="EQ92">
            <v>2.4605000680134514</v>
          </cell>
          <cell r="ER92">
            <v>1324434.9656661858</v>
          </cell>
          <cell r="ES92">
            <v>412774.23569857987</v>
          </cell>
          <cell r="ET92">
            <v>212818.10399999999</v>
          </cell>
          <cell r="EU92">
            <v>430169.85677546001</v>
          </cell>
          <cell r="EV92">
            <v>4703.9656661858317</v>
          </cell>
          <cell r="EW92">
            <v>0</v>
          </cell>
          <cell r="EX92">
            <v>0</v>
          </cell>
          <cell r="EY92">
            <v>0</v>
          </cell>
          <cell r="FA92">
            <v>18.369828860546324</v>
          </cell>
          <cell r="FB92">
            <v>176637.1</v>
          </cell>
          <cell r="FC92">
            <v>0.08</v>
          </cell>
          <cell r="FD92" t="str">
            <v>N/A</v>
          </cell>
          <cell r="FE92">
            <v>0.08</v>
          </cell>
          <cell r="FF92">
            <v>18.78391474977558</v>
          </cell>
          <cell r="FG92">
            <v>1279620.7524492706</v>
          </cell>
          <cell r="FH92">
            <v>242856.82198973661</v>
          </cell>
          <cell r="FI92">
            <v>109858.75</v>
          </cell>
          <cell r="FJ92">
            <v>267142.5041887103</v>
          </cell>
          <cell r="FK92">
            <v>131017.75244927057</v>
          </cell>
          <cell r="FL92">
            <v>0</v>
          </cell>
          <cell r="FM92">
            <v>0</v>
          </cell>
          <cell r="FN92">
            <v>0</v>
          </cell>
        </row>
        <row r="93">
          <cell r="C93" t="str">
            <v>A0077</v>
          </cell>
          <cell r="D93" t="str">
            <v>PT Indokarlo Perkasa</v>
          </cell>
          <cell r="E93" t="str">
            <v>PEB 2</v>
          </cell>
          <cell r="G93">
            <v>0</v>
          </cell>
          <cell r="H93">
            <v>0</v>
          </cell>
          <cell r="T93">
            <v>0</v>
          </cell>
        </row>
        <row r="94">
          <cell r="C94" t="str">
            <v>A0077</v>
          </cell>
          <cell r="D94" t="str">
            <v>PT Indokarlo Perkasa</v>
          </cell>
          <cell r="E94" t="str">
            <v>PEB 3</v>
          </cell>
          <cell r="G94">
            <v>11.257827910271978</v>
          </cell>
          <cell r="H94">
            <v>0</v>
          </cell>
          <cell r="I94">
            <v>0.08</v>
          </cell>
          <cell r="J94" t="str">
            <v>N/A</v>
          </cell>
          <cell r="K94">
            <v>0.08</v>
          </cell>
          <cell r="T94">
            <v>0</v>
          </cell>
        </row>
        <row r="95">
          <cell r="C95" t="str">
            <v>A0077</v>
          </cell>
          <cell r="D95" t="str">
            <v>PT Indokarlo Perkasa</v>
          </cell>
          <cell r="E95" t="str">
            <v>PEB 4</v>
          </cell>
          <cell r="G95">
            <v>18.385563375923034</v>
          </cell>
          <cell r="H95">
            <v>31542.638719999995</v>
          </cell>
          <cell r="I95">
            <v>0.09</v>
          </cell>
          <cell r="J95" t="str">
            <v>N/A</v>
          </cell>
          <cell r="K95">
            <v>0.08</v>
          </cell>
          <cell r="L95">
            <v>19.119023683904178</v>
          </cell>
          <cell r="M95">
            <v>237273.67913367535</v>
          </cell>
          <cell r="N95">
            <v>43446.165327057992</v>
          </cell>
          <cell r="O95">
            <v>0</v>
          </cell>
          <cell r="P95">
            <v>47356.320206493219</v>
          </cell>
          <cell r="Q95">
            <v>-12926.320866324648</v>
          </cell>
          <cell r="T95">
            <v>0</v>
          </cell>
        </row>
        <row r="96">
          <cell r="C96" t="str">
            <v>A0077</v>
          </cell>
          <cell r="D96" t="str">
            <v>PT Indokarlo Perkasa</v>
          </cell>
          <cell r="E96" t="str">
            <v>PEB 5</v>
          </cell>
          <cell r="G96">
            <v>0</v>
          </cell>
          <cell r="H96">
            <v>0</v>
          </cell>
          <cell r="T96">
            <v>0</v>
          </cell>
        </row>
        <row r="97">
          <cell r="C97" t="str">
            <v>A0077</v>
          </cell>
          <cell r="D97" t="str">
            <v>PT Indokarlo Perkasa</v>
          </cell>
          <cell r="E97" t="str">
            <v>PEB 6</v>
          </cell>
          <cell r="G97">
            <v>0</v>
          </cell>
          <cell r="H97">
            <v>0</v>
          </cell>
          <cell r="T97">
            <v>0</v>
          </cell>
        </row>
        <row r="98">
          <cell r="C98" t="str">
            <v>A0077</v>
          </cell>
          <cell r="D98" t="str">
            <v>PT Indokarlo Perkasa</v>
          </cell>
          <cell r="E98" t="str">
            <v>PEB 7</v>
          </cell>
          <cell r="G98">
            <v>18.369828860546324</v>
          </cell>
          <cell r="H98">
            <v>37117.891359347122</v>
          </cell>
          <cell r="I98">
            <v>0.08</v>
          </cell>
          <cell r="J98" t="str">
            <v>N/A</v>
          </cell>
          <cell r="K98">
            <v>0.08</v>
          </cell>
          <cell r="L98">
            <v>19.119023683904178</v>
          </cell>
          <cell r="M98">
            <v>414986.20496776869</v>
          </cell>
          <cell r="N98">
            <v>54558.629923435132</v>
          </cell>
          <cell r="O98">
            <v>43890.563421182502</v>
          </cell>
          <cell r="P98">
            <v>55860.043536428529</v>
          </cell>
          <cell r="Q98">
            <v>21153.204967768688</v>
          </cell>
          <cell r="T98">
            <v>0</v>
          </cell>
        </row>
        <row r="99">
          <cell r="C99" t="str">
            <v>A0077</v>
          </cell>
          <cell r="D99" t="str">
            <v>PT Indokarlo Perkasa</v>
          </cell>
          <cell r="E99" t="str">
            <v>MPP</v>
          </cell>
          <cell r="G99">
            <v>0</v>
          </cell>
          <cell r="H99">
            <v>0</v>
          </cell>
          <cell r="I99">
            <v>0.09</v>
          </cell>
          <cell r="J99" t="str">
            <v>N/A</v>
          </cell>
          <cell r="K99">
            <v>0.08</v>
          </cell>
          <cell r="L99">
            <v>19.119023683904178</v>
          </cell>
          <cell r="M99">
            <v>422748.80322774587</v>
          </cell>
          <cell r="N99">
            <v>36554.367664051417</v>
          </cell>
          <cell r="O99">
            <v>0</v>
          </cell>
          <cell r="P99">
            <v>40227.298377960855</v>
          </cell>
          <cell r="Q99">
            <v>0</v>
          </cell>
          <cell r="T99">
            <v>0</v>
          </cell>
        </row>
        <row r="100">
          <cell r="C100" t="str">
            <v>A0077</v>
          </cell>
          <cell r="D100" t="str">
            <v>PT Indokarlo Perkasa</v>
          </cell>
          <cell r="E100" t="str">
            <v>ID</v>
          </cell>
          <cell r="G100">
            <v>18.369828860546324</v>
          </cell>
          <cell r="H100">
            <v>54842.143567067913</v>
          </cell>
          <cell r="I100">
            <v>0.09</v>
          </cell>
          <cell r="J100" t="str">
            <v>N/A</v>
          </cell>
          <cell r="K100">
            <v>0.08</v>
          </cell>
          <cell r="L100">
            <v>19.119023683904178</v>
          </cell>
          <cell r="M100">
            <v>997146.72623689577</v>
          </cell>
          <cell r="N100">
            <v>105431.03926818755</v>
          </cell>
          <cell r="O100">
            <v>70376.133920879089</v>
          </cell>
          <cell r="P100">
            <v>110143.10929289671</v>
          </cell>
          <cell r="Q100">
            <v>-9952.2737631042255</v>
          </cell>
          <cell r="T100">
            <v>60582.726236895774</v>
          </cell>
        </row>
        <row r="101">
          <cell r="C101" t="str">
            <v>A0077</v>
          </cell>
          <cell r="D101" t="str">
            <v>PT Indokarlo Perkasa</v>
          </cell>
          <cell r="E101" t="str">
            <v>LL</v>
          </cell>
          <cell r="G101">
            <v>18.369828860546324</v>
          </cell>
          <cell r="H101">
            <v>406200.82064997504</v>
          </cell>
          <cell r="I101">
            <v>0.08</v>
          </cell>
          <cell r="J101" t="str">
            <v>N/A</v>
          </cell>
          <cell r="K101">
            <v>0.08</v>
          </cell>
          <cell r="L101">
            <v>2.4605000680134514</v>
          </cell>
          <cell r="M101">
            <v>1324434.9656661858</v>
          </cell>
          <cell r="N101">
            <v>412774.23569857987</v>
          </cell>
          <cell r="O101">
            <v>212818.10399999999</v>
          </cell>
          <cell r="P101">
            <v>430169.85677546001</v>
          </cell>
          <cell r="Q101">
            <v>4703.9656661858317</v>
          </cell>
          <cell r="T101">
            <v>0</v>
          </cell>
        </row>
        <row r="102">
          <cell r="C102" t="str">
            <v>A0077</v>
          </cell>
          <cell r="D102" t="str">
            <v>PT Indokarlo Perkasa</v>
          </cell>
          <cell r="E102" t="str">
            <v>PMK</v>
          </cell>
          <cell r="G102">
            <v>18.369828860546324</v>
          </cell>
          <cell r="H102">
            <v>176637.1</v>
          </cell>
          <cell r="I102">
            <v>0.08</v>
          </cell>
          <cell r="J102" t="str">
            <v>N/A</v>
          </cell>
          <cell r="K102">
            <v>0.08</v>
          </cell>
          <cell r="L102">
            <v>18.78391474977558</v>
          </cell>
          <cell r="M102">
            <v>1279620.7524492706</v>
          </cell>
          <cell r="N102">
            <v>242856.82198973661</v>
          </cell>
          <cell r="O102">
            <v>109858.75</v>
          </cell>
          <cell r="P102">
            <v>267142.5041887103</v>
          </cell>
          <cell r="Q102">
            <v>131017.75244927057</v>
          </cell>
          <cell r="T102">
            <v>0</v>
          </cell>
        </row>
        <row r="104">
          <cell r="C104" t="str">
            <v>A0062</v>
          </cell>
          <cell r="D104" t="str">
            <v>PT FSCM Manufacturing Indonesia</v>
          </cell>
          <cell r="E104" t="str">
            <v>PEB 1</v>
          </cell>
          <cell r="G104">
            <v>8.9852814413948892</v>
          </cell>
          <cell r="H104">
            <v>603606.65507572936</v>
          </cell>
          <cell r="I104">
            <v>0.08</v>
          </cell>
          <cell r="J104">
            <v>0.1</v>
          </cell>
          <cell r="K104">
            <v>0.08</v>
          </cell>
          <cell r="L104">
            <v>8.9821293415857202</v>
          </cell>
          <cell r="M104">
            <v>13013357.4612683</v>
          </cell>
          <cell r="N104">
            <v>550269</v>
          </cell>
          <cell r="O104">
            <v>266998</v>
          </cell>
          <cell r="P104">
            <v>585666</v>
          </cell>
          <cell r="Q104">
            <v>821366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K104">
            <v>8.9852814413948892</v>
          </cell>
          <cell r="AL104">
            <v>21539.757777343351</v>
          </cell>
          <cell r="AM104">
            <v>0.08</v>
          </cell>
          <cell r="AN104" t="str">
            <v>N/A</v>
          </cell>
          <cell r="AO104">
            <v>0.08</v>
          </cell>
          <cell r="AP104">
            <v>8.9763218341942022</v>
          </cell>
          <cell r="AQ104">
            <v>722918.62965152517</v>
          </cell>
          <cell r="AR104">
            <v>34018.175976681501</v>
          </cell>
          <cell r="AS104">
            <v>74178.589099593752</v>
          </cell>
          <cell r="AT104">
            <v>35042.955523277567</v>
          </cell>
          <cell r="AU104">
            <v>100671.62965152517</v>
          </cell>
          <cell r="AV104">
            <v>0</v>
          </cell>
          <cell r="AW104">
            <v>0</v>
          </cell>
          <cell r="AX104">
            <v>533978.62965152517</v>
          </cell>
          <cell r="AZ104">
            <v>18.806508760532161</v>
          </cell>
          <cell r="BA104">
            <v>0</v>
          </cell>
          <cell r="BB104">
            <v>0.09</v>
          </cell>
          <cell r="BC104" t="str">
            <v>N/A</v>
          </cell>
          <cell r="BD104">
            <v>0.08</v>
          </cell>
          <cell r="BE104">
            <v>18.434330061076832</v>
          </cell>
          <cell r="BF104">
            <v>3533841.3437942443</v>
          </cell>
          <cell r="BG104">
            <v>305941.14673034137</v>
          </cell>
          <cell r="BH104">
            <v>0</v>
          </cell>
          <cell r="BI104">
            <v>333475.84993607173</v>
          </cell>
          <cell r="BJ104">
            <v>-90582.656205755658</v>
          </cell>
          <cell r="BK104">
            <v>0</v>
          </cell>
          <cell r="BL104">
            <v>0</v>
          </cell>
          <cell r="BM104">
            <v>1455561.3437942443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S104">
            <v>17.178207547062602</v>
          </cell>
          <cell r="CT104">
            <v>67952.728320360591</v>
          </cell>
          <cell r="CU104">
            <v>0.08</v>
          </cell>
          <cell r="CV104" t="str">
            <v>N/A</v>
          </cell>
          <cell r="CW104">
            <v>0.08</v>
          </cell>
          <cell r="CX104">
            <v>16.902873212951675</v>
          </cell>
          <cell r="CY104">
            <v>145130.83974327141</v>
          </cell>
          <cell r="CZ104">
            <v>13089.914271615769</v>
          </cell>
          <cell r="DA104">
            <v>15869.334079568567</v>
          </cell>
          <cell r="DB104">
            <v>12732.9397762561</v>
          </cell>
          <cell r="DC104">
            <v>7273.8397432714119</v>
          </cell>
          <cell r="DD104">
            <v>0</v>
          </cell>
          <cell r="DE104">
            <v>0</v>
          </cell>
          <cell r="DF104">
            <v>-511613.32051345712</v>
          </cell>
          <cell r="DH104">
            <v>17.178207547062602</v>
          </cell>
          <cell r="DI104">
            <v>20496.502245000003</v>
          </cell>
          <cell r="DJ104">
            <v>0.09</v>
          </cell>
          <cell r="DK104" t="str">
            <v>N/A</v>
          </cell>
          <cell r="DL104">
            <v>0.08</v>
          </cell>
          <cell r="DM104">
            <v>16.902873212951675</v>
          </cell>
          <cell r="DN104">
            <v>2146955.2786529916</v>
          </cell>
          <cell r="DO104">
            <v>148957.751802365</v>
          </cell>
          <cell r="DP104">
            <v>21279.58289217823</v>
          </cell>
          <cell r="DQ104">
            <v>161806.51910152909</v>
          </cell>
          <cell r="DR104">
            <v>-13296.721347008366</v>
          </cell>
          <cell r="DS104">
            <v>0</v>
          </cell>
          <cell r="DT104">
            <v>0</v>
          </cell>
          <cell r="DU104">
            <v>1257006.2786529916</v>
          </cell>
          <cell r="DW104">
            <v>17.178207547062602</v>
          </cell>
          <cell r="DX104">
            <v>113586.49891957265</v>
          </cell>
          <cell r="DY104">
            <v>0.09</v>
          </cell>
          <cell r="DZ104" t="str">
            <v>N/A</v>
          </cell>
          <cell r="EA104">
            <v>0.08</v>
          </cell>
          <cell r="EB104">
            <v>16.902873212951675</v>
          </cell>
          <cell r="EC104">
            <v>2349895.5692980983</v>
          </cell>
          <cell r="ED104">
            <v>190876.49802272418</v>
          </cell>
          <cell r="EE104">
            <v>191158.50425485981</v>
          </cell>
          <cell r="EF104">
            <v>194763.32796770078</v>
          </cell>
          <cell r="EG104">
            <v>-23441.430701901671</v>
          </cell>
          <cell r="EH104">
            <v>0</v>
          </cell>
          <cell r="EI104">
            <v>0</v>
          </cell>
          <cell r="EJ104">
            <v>667789.56929809833</v>
          </cell>
          <cell r="EL104">
            <v>17.178207547062602</v>
          </cell>
          <cell r="EM104">
            <v>765934.60898212623</v>
          </cell>
          <cell r="EN104">
            <v>0.08</v>
          </cell>
          <cell r="EO104" t="str">
            <v>N/A</v>
          </cell>
          <cell r="EP104">
            <v>0.08</v>
          </cell>
          <cell r="EQ104">
            <v>2.1367240256673603</v>
          </cell>
          <cell r="ER104">
            <v>2005407.4503586025</v>
          </cell>
          <cell r="ES104">
            <v>794472.57467309327</v>
          </cell>
          <cell r="ET104">
            <v>924947.08056000026</v>
          </cell>
          <cell r="EU104">
            <v>832193.13902958843</v>
          </cell>
          <cell r="EV104">
            <v>1899.4503586024512</v>
          </cell>
          <cell r="EW104">
            <v>0</v>
          </cell>
          <cell r="EX104">
            <v>0</v>
          </cell>
          <cell r="EY104">
            <v>432025.45035860245</v>
          </cell>
          <cell r="FA104">
            <v>17.178207547062602</v>
          </cell>
          <cell r="FB104">
            <v>689900</v>
          </cell>
          <cell r="FC104">
            <v>0.08</v>
          </cell>
          <cell r="FD104" t="str">
            <v>N/A</v>
          </cell>
          <cell r="FE104">
            <v>0.08</v>
          </cell>
          <cell r="FF104">
            <v>16.54289466602766</v>
          </cell>
          <cell r="FG104">
            <v>4462568.624652396</v>
          </cell>
          <cell r="FH104">
            <v>508560.00119374244</v>
          </cell>
          <cell r="FI104">
            <v>439545</v>
          </cell>
          <cell r="FJ104">
            <v>559416.00131311675</v>
          </cell>
          <cell r="FK104">
            <v>646823.62465239596</v>
          </cell>
          <cell r="FL104">
            <v>0</v>
          </cell>
          <cell r="FM104">
            <v>0</v>
          </cell>
          <cell r="FN104">
            <v>0</v>
          </cell>
        </row>
        <row r="105">
          <cell r="C105" t="str">
            <v>A0062</v>
          </cell>
          <cell r="D105" t="str">
            <v>PT FSCM Manufacturing Indonesia</v>
          </cell>
          <cell r="E105" t="str">
            <v>PEB 2</v>
          </cell>
          <cell r="G105">
            <v>0</v>
          </cell>
          <cell r="H105">
            <v>0</v>
          </cell>
          <cell r="T105">
            <v>0</v>
          </cell>
        </row>
        <row r="106">
          <cell r="C106" t="str">
            <v>A0062</v>
          </cell>
          <cell r="D106" t="str">
            <v>PT FSCM Manufacturing Indonesia</v>
          </cell>
          <cell r="E106" t="str">
            <v>PEB 3</v>
          </cell>
          <cell r="G106">
            <v>8.9852814413948892</v>
          </cell>
          <cell r="H106">
            <v>21539.757777343351</v>
          </cell>
          <cell r="I106">
            <v>0.08</v>
          </cell>
          <cell r="J106" t="str">
            <v>N/A</v>
          </cell>
          <cell r="K106">
            <v>0.08</v>
          </cell>
          <cell r="L106">
            <v>8.9763218341942022</v>
          </cell>
          <cell r="M106">
            <v>722918.62965152517</v>
          </cell>
          <cell r="N106">
            <v>34018.175976681501</v>
          </cell>
          <cell r="O106">
            <v>74178.589099593752</v>
          </cell>
          <cell r="P106">
            <v>35042.955523277567</v>
          </cell>
          <cell r="Q106">
            <v>100671.62965152517</v>
          </cell>
          <cell r="R106">
            <v>0</v>
          </cell>
          <cell r="S106">
            <v>0</v>
          </cell>
          <cell r="T106">
            <v>533978.62965152517</v>
          </cell>
        </row>
        <row r="107">
          <cell r="C107" t="str">
            <v>A0062</v>
          </cell>
          <cell r="D107" t="str">
            <v>PT FSCM Manufacturing Indonesia</v>
          </cell>
          <cell r="E107" t="str">
            <v>PEB 4</v>
          </cell>
          <cell r="G107">
            <v>18.806508760532161</v>
          </cell>
          <cell r="H107">
            <v>0</v>
          </cell>
          <cell r="I107">
            <v>0.09</v>
          </cell>
          <cell r="J107" t="str">
            <v>N/A</v>
          </cell>
          <cell r="K107">
            <v>0.08</v>
          </cell>
          <cell r="L107">
            <v>18.434330061076832</v>
          </cell>
          <cell r="M107">
            <v>3533841.3437942443</v>
          </cell>
          <cell r="N107">
            <v>305941.14673034137</v>
          </cell>
          <cell r="O107">
            <v>0</v>
          </cell>
          <cell r="P107">
            <v>333475.84993607173</v>
          </cell>
          <cell r="Q107">
            <v>-90582.656205755658</v>
          </cell>
          <cell r="R107">
            <v>0</v>
          </cell>
          <cell r="S107">
            <v>0</v>
          </cell>
          <cell r="T107">
            <v>1455561.3437942443</v>
          </cell>
        </row>
        <row r="108">
          <cell r="C108" t="str">
            <v>A0062</v>
          </cell>
          <cell r="D108" t="str">
            <v>PT FSCM Manufacturing Indonesia</v>
          </cell>
          <cell r="E108" t="str">
            <v>PEB 5</v>
          </cell>
          <cell r="G108">
            <v>0</v>
          </cell>
          <cell r="H108">
            <v>0</v>
          </cell>
          <cell r="T108">
            <v>0</v>
          </cell>
        </row>
        <row r="109">
          <cell r="C109" t="str">
            <v>A0062</v>
          </cell>
          <cell r="D109" t="str">
            <v>PT FSCM Manufacturing Indonesia</v>
          </cell>
          <cell r="E109" t="str">
            <v>PEB 6</v>
          </cell>
          <cell r="G109">
            <v>0</v>
          </cell>
          <cell r="H109">
            <v>0</v>
          </cell>
          <cell r="T109">
            <v>0</v>
          </cell>
        </row>
        <row r="110">
          <cell r="C110" t="str">
            <v>A0062</v>
          </cell>
          <cell r="D110" t="str">
            <v>PT FSCM Manufacturing Indonesia</v>
          </cell>
          <cell r="E110" t="str">
            <v>PEB 7</v>
          </cell>
          <cell r="G110">
            <v>17.178207547062602</v>
          </cell>
          <cell r="H110">
            <v>67952.728320360591</v>
          </cell>
          <cell r="I110">
            <v>0.08</v>
          </cell>
          <cell r="J110" t="str">
            <v>N/A</v>
          </cell>
          <cell r="K110">
            <v>0.08</v>
          </cell>
          <cell r="L110">
            <v>16.902873212951675</v>
          </cell>
          <cell r="M110">
            <v>145130.83974327141</v>
          </cell>
          <cell r="N110">
            <v>13089.914271615769</v>
          </cell>
          <cell r="O110">
            <v>15869.334079568567</v>
          </cell>
          <cell r="P110">
            <v>12732.9397762561</v>
          </cell>
          <cell r="Q110">
            <v>7273.8397432714119</v>
          </cell>
          <cell r="R110">
            <v>0</v>
          </cell>
          <cell r="S110">
            <v>0</v>
          </cell>
          <cell r="T110">
            <v>-511613.32051345712</v>
          </cell>
        </row>
        <row r="111">
          <cell r="C111" t="str">
            <v>A0062</v>
          </cell>
          <cell r="D111" t="str">
            <v>PT FSCM Manufacturing Indonesia</v>
          </cell>
          <cell r="E111" t="str">
            <v>MPP</v>
          </cell>
          <cell r="G111">
            <v>17.178207547062602</v>
          </cell>
          <cell r="H111">
            <v>20496.502245000003</v>
          </cell>
          <cell r="I111">
            <v>0.09</v>
          </cell>
          <cell r="J111" t="str">
            <v>N/A</v>
          </cell>
          <cell r="K111">
            <v>0.08</v>
          </cell>
          <cell r="L111">
            <v>16.902873212951675</v>
          </cell>
          <cell r="M111">
            <v>2146955.2786529916</v>
          </cell>
          <cell r="N111">
            <v>148957.751802365</v>
          </cell>
          <cell r="O111">
            <v>21279.58289217823</v>
          </cell>
          <cell r="P111">
            <v>161806.51910152909</v>
          </cell>
          <cell r="Q111">
            <v>-13296.721347008366</v>
          </cell>
          <cell r="T111">
            <v>1257006.2786529916</v>
          </cell>
        </row>
        <row r="112">
          <cell r="C112" t="str">
            <v>A0062</v>
          </cell>
          <cell r="D112" t="str">
            <v>PT FSCM Manufacturing Indonesia</v>
          </cell>
          <cell r="E112" t="str">
            <v>ID</v>
          </cell>
          <cell r="G112">
            <v>17.178207547062602</v>
          </cell>
          <cell r="H112">
            <v>113586.49891957265</v>
          </cell>
          <cell r="I112">
            <v>0.09</v>
          </cell>
          <cell r="J112" t="str">
            <v>N/A</v>
          </cell>
          <cell r="K112">
            <v>0.08</v>
          </cell>
          <cell r="L112">
            <v>16.902873212951675</v>
          </cell>
          <cell r="M112">
            <v>2349895.5692980983</v>
          </cell>
          <cell r="N112">
            <v>190876.49802272418</v>
          </cell>
          <cell r="O112">
            <v>191158.50425485981</v>
          </cell>
          <cell r="P112">
            <v>194763.32796770078</v>
          </cell>
          <cell r="Q112">
            <v>-23441.430701901671</v>
          </cell>
          <cell r="T112">
            <v>667789.56929809833</v>
          </cell>
        </row>
        <row r="113">
          <cell r="C113" t="str">
            <v>A0062</v>
          </cell>
          <cell r="D113" t="str">
            <v>PT FSCM Manufacturing Indonesia</v>
          </cell>
          <cell r="E113" t="str">
            <v>LL</v>
          </cell>
          <cell r="G113">
            <v>17.178207547062602</v>
          </cell>
          <cell r="H113">
            <v>765934.60898212623</v>
          </cell>
          <cell r="I113">
            <v>0.08</v>
          </cell>
          <cell r="J113" t="str">
            <v>N/A</v>
          </cell>
          <cell r="K113">
            <v>0.08</v>
          </cell>
          <cell r="L113">
            <v>2.1367240256673603</v>
          </cell>
          <cell r="M113">
            <v>2005407.4503586025</v>
          </cell>
          <cell r="N113">
            <v>794472.57467309327</v>
          </cell>
          <cell r="O113">
            <v>924947.08056000026</v>
          </cell>
          <cell r="P113">
            <v>832193.13902958843</v>
          </cell>
          <cell r="Q113">
            <v>1899.4503586024512</v>
          </cell>
          <cell r="T113">
            <v>432025.45035860245</v>
          </cell>
        </row>
        <row r="114">
          <cell r="C114" t="str">
            <v>A0062</v>
          </cell>
          <cell r="D114" t="str">
            <v>PT FSCM Manufacturing Indonesia</v>
          </cell>
          <cell r="E114" t="str">
            <v>PMK</v>
          </cell>
          <cell r="G114">
            <v>17.178207547062602</v>
          </cell>
          <cell r="H114">
            <v>689900</v>
          </cell>
          <cell r="I114">
            <v>0.08</v>
          </cell>
          <cell r="J114" t="str">
            <v>N/A</v>
          </cell>
          <cell r="K114">
            <v>0.08</v>
          </cell>
          <cell r="L114">
            <v>16.54289466602766</v>
          </cell>
          <cell r="M114">
            <v>4462568.624652396</v>
          </cell>
          <cell r="N114">
            <v>508560.00119374244</v>
          </cell>
          <cell r="O114">
            <v>439545</v>
          </cell>
          <cell r="P114">
            <v>559416.00131311675</v>
          </cell>
          <cell r="Q114">
            <v>646823.62465239596</v>
          </cell>
          <cell r="T114">
            <v>0</v>
          </cell>
        </row>
        <row r="116">
          <cell r="C116" t="str">
            <v>A0161</v>
          </cell>
          <cell r="D116" t="str">
            <v>PT Ardendi Jaya Sentosa</v>
          </cell>
          <cell r="E116" t="str">
            <v>PEB 1</v>
          </cell>
          <cell r="H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O116">
            <v>19.454839162114304</v>
          </cell>
          <cell r="BP116">
            <v>0</v>
          </cell>
          <cell r="BQ116">
            <v>0.09</v>
          </cell>
          <cell r="BR116" t="str">
            <v>N/A</v>
          </cell>
          <cell r="BS116">
            <v>0.08</v>
          </cell>
          <cell r="BT116">
            <v>19.195175619496311</v>
          </cell>
          <cell r="BU116">
            <v>1766205.3138941962</v>
          </cell>
          <cell r="BV116">
            <v>420029.83039022004</v>
          </cell>
          <cell r="BW116">
            <v>11755.53</v>
          </cell>
          <cell r="BX116">
            <v>452131.9779847493</v>
          </cell>
          <cell r="BY116">
            <v>-11812.686105803819</v>
          </cell>
          <cell r="BZ116">
            <v>0</v>
          </cell>
          <cell r="CA116">
            <v>0</v>
          </cell>
          <cell r="CB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S116">
            <v>19.454839162114304</v>
          </cell>
          <cell r="CT116">
            <v>10707.899681922565</v>
          </cell>
          <cell r="CU116">
            <v>0.08</v>
          </cell>
          <cell r="CV116" t="str">
            <v>N/A</v>
          </cell>
          <cell r="CW116">
            <v>0.08</v>
          </cell>
          <cell r="CX116">
            <v>19.195175619496311</v>
          </cell>
          <cell r="CY116">
            <v>161516.385820778</v>
          </cell>
          <cell r="CZ116">
            <v>39923.941890164766</v>
          </cell>
          <cell r="DA116">
            <v>16505.565023733558</v>
          </cell>
          <cell r="DB116">
            <v>39792.633458909091</v>
          </cell>
          <cell r="DC116">
            <v>9602.3858207779995</v>
          </cell>
          <cell r="DD116">
            <v>0</v>
          </cell>
          <cell r="DE116">
            <v>0</v>
          </cell>
          <cell r="DF116">
            <v>28956.740402877185</v>
          </cell>
          <cell r="DH116">
            <v>19.454839162114304</v>
          </cell>
          <cell r="DI116">
            <v>0</v>
          </cell>
          <cell r="DJ116">
            <v>0.09</v>
          </cell>
          <cell r="DK116" t="str">
            <v>N/A</v>
          </cell>
          <cell r="DL116">
            <v>0.08</v>
          </cell>
          <cell r="DM116">
            <v>19.195175619496311</v>
          </cell>
          <cell r="DN116">
            <v>89844.669541930678</v>
          </cell>
          <cell r="DO116">
            <v>21812.330652270848</v>
          </cell>
          <cell r="DP116">
            <v>2555.5500000000002</v>
          </cell>
          <cell r="DQ116">
            <v>22536.193206499003</v>
          </cell>
          <cell r="DR116">
            <v>9602.3858207779995</v>
          </cell>
          <cell r="DS116">
            <v>0</v>
          </cell>
          <cell r="DT116">
            <v>0</v>
          </cell>
          <cell r="DU116">
            <v>0</v>
          </cell>
          <cell r="DW116">
            <v>19.454839162114304</v>
          </cell>
          <cell r="DX116">
            <v>10086.22486548266</v>
          </cell>
          <cell r="DY116">
            <v>0.09</v>
          </cell>
          <cell r="DZ116" t="str">
            <v>N/A</v>
          </cell>
          <cell r="EA116">
            <v>0.08</v>
          </cell>
          <cell r="EB116">
            <v>19.195175619496311</v>
          </cell>
          <cell r="EC116">
            <v>261993.519299501</v>
          </cell>
          <cell r="ED116">
            <v>63060.367119748669</v>
          </cell>
          <cell r="EE116">
            <v>14832.7972969003</v>
          </cell>
          <cell r="EF116">
            <v>65488.837655362557</v>
          </cell>
          <cell r="EG116">
            <v>-2670.4807004989998</v>
          </cell>
          <cell r="EH116">
            <v>0</v>
          </cell>
          <cell r="EI116">
            <v>0</v>
          </cell>
          <cell r="EJ116">
            <v>0</v>
          </cell>
          <cell r="EL116">
            <v>19.454839162114304</v>
          </cell>
          <cell r="EM116">
            <v>252252.93411140167</v>
          </cell>
          <cell r="EN116">
            <v>0.08</v>
          </cell>
          <cell r="EO116" t="str">
            <v>N/A</v>
          </cell>
          <cell r="EP116">
            <v>0.08</v>
          </cell>
          <cell r="EQ116">
            <v>1.4623259687660999</v>
          </cell>
          <cell r="ER116">
            <v>624824.79358498834</v>
          </cell>
          <cell r="ES116">
            <v>201008.53196138362</v>
          </cell>
          <cell r="ET116">
            <v>462420.79199999972</v>
          </cell>
          <cell r="EU116">
            <v>210646.1015495077</v>
          </cell>
          <cell r="EV116">
            <v>-2813.2064150116639</v>
          </cell>
          <cell r="EW116">
            <v>0</v>
          </cell>
          <cell r="EX116">
            <v>0</v>
          </cell>
          <cell r="EY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</row>
        <row r="117">
          <cell r="C117" t="str">
            <v>A0161</v>
          </cell>
          <cell r="D117" t="str">
            <v>PT Ardendi Jaya Sentosa</v>
          </cell>
          <cell r="E117" t="str">
            <v>PEB 2</v>
          </cell>
          <cell r="H117">
            <v>0</v>
          </cell>
        </row>
        <row r="118">
          <cell r="C118" t="str">
            <v>A0161</v>
          </cell>
          <cell r="D118" t="str">
            <v>PT Ardendi Jaya Sentosa</v>
          </cell>
          <cell r="E118" t="str">
            <v>PEB 3</v>
          </cell>
          <cell r="H118">
            <v>0</v>
          </cell>
        </row>
        <row r="119">
          <cell r="C119" t="str">
            <v>A0161</v>
          </cell>
          <cell r="D119" t="str">
            <v>PT Ardendi Jaya Sentosa</v>
          </cell>
          <cell r="E119" t="str">
            <v>PEB 4</v>
          </cell>
          <cell r="H119">
            <v>0</v>
          </cell>
        </row>
        <row r="120">
          <cell r="C120" t="str">
            <v>A0161</v>
          </cell>
          <cell r="D120" t="str">
            <v>PT Ardendi Jaya Sentosa</v>
          </cell>
          <cell r="E120" t="str">
            <v>PEB 5</v>
          </cell>
          <cell r="G120">
            <v>19.454839162114304</v>
          </cell>
          <cell r="H120">
            <v>0</v>
          </cell>
          <cell r="I120">
            <v>0.09</v>
          </cell>
          <cell r="J120" t="str">
            <v>N/A</v>
          </cell>
          <cell r="K120">
            <v>0.08</v>
          </cell>
          <cell r="L120">
            <v>19.195175619496311</v>
          </cell>
          <cell r="M120">
            <v>1766205.3138941962</v>
          </cell>
          <cell r="N120">
            <v>420029.83039022004</v>
          </cell>
          <cell r="O120">
            <v>11755.53</v>
          </cell>
          <cell r="P120">
            <v>452131.9779847493</v>
          </cell>
          <cell r="Q120">
            <v>-11812.686105803819</v>
          </cell>
          <cell r="R120">
            <v>0</v>
          </cell>
          <cell r="S120">
            <v>0</v>
          </cell>
          <cell r="T120">
            <v>0</v>
          </cell>
        </row>
        <row r="121">
          <cell r="C121" t="str">
            <v>A0161</v>
          </cell>
          <cell r="D121" t="str">
            <v>PT Ardendi Jaya Sentosa</v>
          </cell>
          <cell r="E121" t="str">
            <v>PEB 6</v>
          </cell>
          <cell r="H121">
            <v>0</v>
          </cell>
          <cell r="T121">
            <v>0</v>
          </cell>
        </row>
        <row r="122">
          <cell r="C122" t="str">
            <v>A0161</v>
          </cell>
          <cell r="D122" t="str">
            <v>PT Ardendi Jaya Sentosa</v>
          </cell>
          <cell r="E122" t="str">
            <v>PEB 7</v>
          </cell>
          <cell r="G122">
            <v>19.454839162114304</v>
          </cell>
          <cell r="H122">
            <v>10707.899681922565</v>
          </cell>
          <cell r="I122">
            <v>0.08</v>
          </cell>
          <cell r="J122" t="str">
            <v>N/A</v>
          </cell>
          <cell r="K122">
            <v>0.08</v>
          </cell>
          <cell r="L122">
            <v>19.195175619496311</v>
          </cell>
          <cell r="M122">
            <v>161516.385820778</v>
          </cell>
          <cell r="N122">
            <v>39923.941890164766</v>
          </cell>
          <cell r="O122">
            <v>16505.565023733558</v>
          </cell>
          <cell r="P122">
            <v>39792.633458909091</v>
          </cell>
          <cell r="Q122">
            <v>9602.3858207779995</v>
          </cell>
          <cell r="R122">
            <v>0</v>
          </cell>
          <cell r="S122">
            <v>0</v>
          </cell>
          <cell r="T122">
            <v>28956.740402877185</v>
          </cell>
        </row>
        <row r="123">
          <cell r="C123" t="str">
            <v>A0161</v>
          </cell>
          <cell r="D123" t="str">
            <v>PT Ardendi Jaya Sentosa</v>
          </cell>
          <cell r="E123" t="str">
            <v>MPP</v>
          </cell>
          <cell r="G123">
            <v>19.454839162114304</v>
          </cell>
          <cell r="H123">
            <v>0</v>
          </cell>
          <cell r="I123">
            <v>0.09</v>
          </cell>
          <cell r="J123" t="str">
            <v>N/A</v>
          </cell>
          <cell r="K123">
            <v>0.08</v>
          </cell>
          <cell r="L123">
            <v>19.195175619496311</v>
          </cell>
          <cell r="M123">
            <v>89844.669541930678</v>
          </cell>
          <cell r="N123">
            <v>21812.330652270848</v>
          </cell>
          <cell r="O123">
            <v>2555.5500000000002</v>
          </cell>
          <cell r="P123">
            <v>22536.193206499003</v>
          </cell>
          <cell r="Q123">
            <v>9602.3858207779995</v>
          </cell>
          <cell r="R123">
            <v>0</v>
          </cell>
          <cell r="S123">
            <v>0</v>
          </cell>
          <cell r="T123">
            <v>0</v>
          </cell>
        </row>
        <row r="124">
          <cell r="C124" t="str">
            <v>A0161</v>
          </cell>
          <cell r="D124" t="str">
            <v>PT Ardendi Jaya Sentosa</v>
          </cell>
          <cell r="E124" t="str">
            <v>ID</v>
          </cell>
          <cell r="G124">
            <v>19.454839162114304</v>
          </cell>
          <cell r="H124">
            <v>10086.22486548266</v>
          </cell>
          <cell r="I124">
            <v>0.09</v>
          </cell>
          <cell r="J124" t="str">
            <v>N/A</v>
          </cell>
          <cell r="K124">
            <v>0.08</v>
          </cell>
          <cell r="L124">
            <v>19.195175619496311</v>
          </cell>
          <cell r="M124">
            <v>261993.519299501</v>
          </cell>
          <cell r="N124">
            <v>63060.367119748669</v>
          </cell>
          <cell r="O124">
            <v>14832.7972969003</v>
          </cell>
          <cell r="P124">
            <v>65488.837655362557</v>
          </cell>
          <cell r="Q124">
            <v>-2670.4807004989998</v>
          </cell>
          <cell r="R124">
            <v>0</v>
          </cell>
          <cell r="S124">
            <v>0</v>
          </cell>
          <cell r="T124">
            <v>0</v>
          </cell>
        </row>
        <row r="125">
          <cell r="C125" t="str">
            <v>A0161</v>
          </cell>
          <cell r="D125" t="str">
            <v>PT Ardendi Jaya Sentosa</v>
          </cell>
          <cell r="E125" t="str">
            <v>LL</v>
          </cell>
          <cell r="G125">
            <v>19.454839162114304</v>
          </cell>
          <cell r="H125">
            <v>252252.93411140167</v>
          </cell>
          <cell r="I125">
            <v>0.08</v>
          </cell>
          <cell r="J125" t="str">
            <v>N/A</v>
          </cell>
          <cell r="K125">
            <v>0.08</v>
          </cell>
          <cell r="L125">
            <v>1.4623259687660999</v>
          </cell>
          <cell r="M125">
            <v>624824.79358498834</v>
          </cell>
          <cell r="N125">
            <v>201008.53196138362</v>
          </cell>
          <cell r="O125">
            <v>462420.79199999972</v>
          </cell>
          <cell r="P125">
            <v>210646.1015495077</v>
          </cell>
          <cell r="Q125">
            <v>-2813.2064150116639</v>
          </cell>
          <cell r="T125">
            <v>0</v>
          </cell>
        </row>
        <row r="126">
          <cell r="C126" t="str">
            <v>A0161</v>
          </cell>
          <cell r="D126" t="str">
            <v>PT Ardendi Jaya Sentosa</v>
          </cell>
          <cell r="E126" t="str">
            <v>PMK</v>
          </cell>
          <cell r="G126">
            <v>0</v>
          </cell>
          <cell r="H126">
            <v>0</v>
          </cell>
          <cell r="T126">
            <v>0</v>
          </cell>
        </row>
        <row r="128">
          <cell r="C128" t="str">
            <v>A0059</v>
          </cell>
          <cell r="D128" t="str">
            <v>PT Federal Izumi Manufacturing</v>
          </cell>
          <cell r="E128" t="str">
            <v>PEB 1</v>
          </cell>
          <cell r="G128">
            <v>9.6654470015384124</v>
          </cell>
          <cell r="H128">
            <v>30407.72584652773</v>
          </cell>
          <cell r="I128">
            <v>0.08</v>
          </cell>
          <cell r="J128">
            <v>0.1</v>
          </cell>
          <cell r="K128">
            <v>0.08</v>
          </cell>
          <cell r="L128">
            <v>9.0491463450966929</v>
          </cell>
          <cell r="M128">
            <v>5261029.0466997446</v>
          </cell>
          <cell r="N128">
            <v>230308</v>
          </cell>
          <cell r="O128">
            <v>527422</v>
          </cell>
          <cell r="P128">
            <v>227680</v>
          </cell>
          <cell r="Q128">
            <v>334512</v>
          </cell>
          <cell r="R128">
            <v>0</v>
          </cell>
          <cell r="S128">
            <v>0</v>
          </cell>
          <cell r="T128">
            <v>-274365.85848502349</v>
          </cell>
          <cell r="V128">
            <v>16.26422285596913</v>
          </cell>
          <cell r="W128">
            <v>0</v>
          </cell>
          <cell r="X128">
            <v>0.09</v>
          </cell>
          <cell r="Y128" t="str">
            <v>N/A</v>
          </cell>
          <cell r="Z128">
            <v>0.08</v>
          </cell>
          <cell r="AA128">
            <v>15.840425886390316</v>
          </cell>
          <cell r="AB128">
            <v>2290595.9328965875</v>
          </cell>
          <cell r="AC128">
            <v>151902.88855197633</v>
          </cell>
          <cell r="AD128">
            <v>17000</v>
          </cell>
          <cell r="AE128">
            <v>164979.69961752591</v>
          </cell>
          <cell r="AF128">
            <v>306211.93289658753</v>
          </cell>
          <cell r="AG128">
            <v>0</v>
          </cell>
          <cell r="AH128">
            <v>0</v>
          </cell>
          <cell r="AI128">
            <v>-240842.52328626299</v>
          </cell>
          <cell r="AK128">
            <v>9.6654470015384124</v>
          </cell>
          <cell r="AL128">
            <v>0</v>
          </cell>
          <cell r="AM128">
            <v>0.08</v>
          </cell>
          <cell r="AN128" t="str">
            <v>N/A</v>
          </cell>
          <cell r="AO128">
            <v>0.08</v>
          </cell>
          <cell r="AP128">
            <v>9.1741628492953655</v>
          </cell>
          <cell r="AQ128">
            <v>66375.617020907041</v>
          </cell>
          <cell r="AR128">
            <v>3464.4506448815073</v>
          </cell>
          <cell r="AS128">
            <v>0</v>
          </cell>
          <cell r="AT128">
            <v>3741.6066964720285</v>
          </cell>
          <cell r="AU128">
            <v>3176.6170209070406</v>
          </cell>
          <cell r="AV128">
            <v>0</v>
          </cell>
          <cell r="AW128">
            <v>0</v>
          </cell>
          <cell r="AX128">
            <v>0</v>
          </cell>
          <cell r="AZ128">
            <v>16.802544044093729</v>
          </cell>
          <cell r="BA128">
            <v>0</v>
          </cell>
          <cell r="BB128">
            <v>0.09</v>
          </cell>
          <cell r="BC128" t="str">
            <v>N/A</v>
          </cell>
          <cell r="BD128">
            <v>0.08</v>
          </cell>
          <cell r="BE128">
            <v>17.142769886005279</v>
          </cell>
          <cell r="BF128">
            <v>230717.92808686261</v>
          </cell>
          <cell r="BG128">
            <v>25948.362901768636</v>
          </cell>
          <cell r="BH128">
            <v>0</v>
          </cell>
          <cell r="BI128">
            <v>28283.715562927824</v>
          </cell>
          <cell r="BJ128">
            <v>-15889.071913137392</v>
          </cell>
          <cell r="BK128">
            <v>0</v>
          </cell>
          <cell r="BL128">
            <v>0</v>
          </cell>
          <cell r="BM128">
            <v>-428008.02471929759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S128">
            <v>16.26422285596913</v>
          </cell>
          <cell r="CT128">
            <v>58971.862697219622</v>
          </cell>
          <cell r="CU128">
            <v>0.08</v>
          </cell>
          <cell r="CV128" t="str">
            <v>N/A</v>
          </cell>
          <cell r="CW128">
            <v>0.08</v>
          </cell>
          <cell r="CX128">
            <v>15.840425886390316</v>
          </cell>
          <cell r="CY128">
            <v>691630.31810604478</v>
          </cell>
          <cell r="CZ128">
            <v>49547.373590156174</v>
          </cell>
          <cell r="DA128">
            <v>76617.713179921702</v>
          </cell>
          <cell r="DB128">
            <v>47926.299208023025</v>
          </cell>
          <cell r="DC128">
            <v>32865.318106044782</v>
          </cell>
          <cell r="DD128">
            <v>0</v>
          </cell>
          <cell r="DE128">
            <v>0</v>
          </cell>
          <cell r="DF128">
            <v>90212.318106044782</v>
          </cell>
          <cell r="DH128">
            <v>0</v>
          </cell>
          <cell r="DI128">
            <v>0</v>
          </cell>
          <cell r="DJ128">
            <v>0.09</v>
          </cell>
          <cell r="DK128" t="str">
            <v>N/A</v>
          </cell>
          <cell r="DL128">
            <v>0.08</v>
          </cell>
          <cell r="DM128">
            <v>15.840425886390316</v>
          </cell>
          <cell r="DN128">
            <v>645167.36987247539</v>
          </cell>
          <cell r="DO128">
            <v>39595.121362969359</v>
          </cell>
          <cell r="DP128">
            <v>6298.56</v>
          </cell>
          <cell r="DQ128">
            <v>42931.292736595198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W128">
            <v>16.26422285596913</v>
          </cell>
          <cell r="DX128">
            <v>76449.590844796316</v>
          </cell>
          <cell r="DY128">
            <v>0.09</v>
          </cell>
          <cell r="DZ128" t="str">
            <v>N/A</v>
          </cell>
          <cell r="EA128">
            <v>0.08</v>
          </cell>
          <cell r="EB128">
            <v>15.840425886390316</v>
          </cell>
          <cell r="EC128">
            <v>1527350.1295757524</v>
          </cell>
          <cell r="ED128">
            <v>102159.13239983513</v>
          </cell>
          <cell r="EE128">
            <v>100368.43911894588</v>
          </cell>
          <cell r="EF128">
            <v>105088.85899888031</v>
          </cell>
          <cell r="EG128">
            <v>-15247.87042424758</v>
          </cell>
          <cell r="EH128">
            <v>0</v>
          </cell>
          <cell r="EI128">
            <v>0</v>
          </cell>
          <cell r="EJ128">
            <v>128890.12957575242</v>
          </cell>
          <cell r="EL128">
            <v>16.26422285596913</v>
          </cell>
          <cell r="EM128">
            <v>459657.0690097395</v>
          </cell>
          <cell r="EN128">
            <v>0.08</v>
          </cell>
          <cell r="EO128" t="str">
            <v>N/A</v>
          </cell>
          <cell r="EP128">
            <v>0.08</v>
          </cell>
          <cell r="EQ128">
            <v>1.850009859384443</v>
          </cell>
          <cell r="ER128">
            <v>2215181.505955074</v>
          </cell>
          <cell r="ES128">
            <v>460767.42671824119</v>
          </cell>
          <cell r="ET128">
            <v>817364.08800000057</v>
          </cell>
          <cell r="EU128">
            <v>484650.69731130195</v>
          </cell>
          <cell r="EV128">
            <v>-1060.4940449260175</v>
          </cell>
          <cell r="EW128">
            <v>0</v>
          </cell>
          <cell r="EX128">
            <v>0</v>
          </cell>
          <cell r="EY128">
            <v>0</v>
          </cell>
          <cell r="FA128">
            <v>16.26422285596913</v>
          </cell>
          <cell r="FB128">
            <v>414350</v>
          </cell>
          <cell r="FC128">
            <v>0.08</v>
          </cell>
          <cell r="FD128" t="str">
            <v>N/A</v>
          </cell>
          <cell r="FE128">
            <v>0.08</v>
          </cell>
          <cell r="FF128">
            <v>15.502034216929221</v>
          </cell>
          <cell r="FG128">
            <v>4405278.1198983323</v>
          </cell>
          <cell r="FH128">
            <v>460657.33507020399</v>
          </cell>
          <cell r="FI128">
            <v>716800</v>
          </cell>
          <cell r="FJ128">
            <v>506723.06857722445</v>
          </cell>
          <cell r="FK128">
            <v>280475.11989833228</v>
          </cell>
          <cell r="FL128">
            <v>0</v>
          </cell>
          <cell r="FM128">
            <v>0</v>
          </cell>
          <cell r="FN128">
            <v>0</v>
          </cell>
        </row>
        <row r="129">
          <cell r="C129" t="str">
            <v>A0059</v>
          </cell>
          <cell r="D129" t="str">
            <v>PT Federal Izumi Manufacturing</v>
          </cell>
          <cell r="E129" t="str">
            <v>PEB 2</v>
          </cell>
          <cell r="G129">
            <v>16.26422285596913</v>
          </cell>
          <cell r="H129">
            <v>0</v>
          </cell>
          <cell r="I129">
            <v>0.09</v>
          </cell>
          <cell r="J129" t="str">
            <v>N/A</v>
          </cell>
          <cell r="K129">
            <v>0.08</v>
          </cell>
          <cell r="L129">
            <v>15.840425886390316</v>
          </cell>
          <cell r="M129">
            <v>2290595.9328965875</v>
          </cell>
          <cell r="N129">
            <v>151902.88855197633</v>
          </cell>
          <cell r="O129">
            <v>17000</v>
          </cell>
          <cell r="P129">
            <v>164979.69961752591</v>
          </cell>
          <cell r="Q129">
            <v>306211.93289658753</v>
          </cell>
          <cell r="R129">
            <v>0</v>
          </cell>
          <cell r="S129">
            <v>0</v>
          </cell>
          <cell r="T129">
            <v>-240842.52328626299</v>
          </cell>
        </row>
        <row r="130">
          <cell r="C130" t="str">
            <v>A0059</v>
          </cell>
          <cell r="D130" t="str">
            <v>PT Federal Izumi Manufacturing</v>
          </cell>
          <cell r="E130" t="str">
            <v>PEB 3</v>
          </cell>
          <cell r="G130">
            <v>9.6654470015384124</v>
          </cell>
          <cell r="H130">
            <v>0</v>
          </cell>
          <cell r="I130">
            <v>0.08</v>
          </cell>
          <cell r="J130" t="str">
            <v>N/A</v>
          </cell>
          <cell r="K130">
            <v>0.08</v>
          </cell>
          <cell r="L130">
            <v>9.1741628492953655</v>
          </cell>
          <cell r="M130">
            <v>66375.617020907041</v>
          </cell>
          <cell r="N130">
            <v>3464.4506448815073</v>
          </cell>
          <cell r="O130">
            <v>0</v>
          </cell>
          <cell r="P130">
            <v>3741.6066964720285</v>
          </cell>
          <cell r="Q130">
            <v>3176.6170209070406</v>
          </cell>
          <cell r="R130">
            <v>0</v>
          </cell>
          <cell r="S130">
            <v>0</v>
          </cell>
          <cell r="T130">
            <v>0</v>
          </cell>
        </row>
        <row r="131">
          <cell r="C131" t="str">
            <v>A0059</v>
          </cell>
          <cell r="D131" t="str">
            <v>PT Federal Izumi Manufacturing</v>
          </cell>
          <cell r="E131" t="str">
            <v>PEB 4</v>
          </cell>
          <cell r="G131">
            <v>16.802544044093729</v>
          </cell>
          <cell r="H131">
            <v>0</v>
          </cell>
          <cell r="I131">
            <v>0.09</v>
          </cell>
          <cell r="J131" t="str">
            <v>N/A</v>
          </cell>
          <cell r="K131">
            <v>0.08</v>
          </cell>
          <cell r="L131">
            <v>17.142769886005279</v>
          </cell>
          <cell r="M131">
            <v>230717.92808686261</v>
          </cell>
          <cell r="N131">
            <v>25948.362901768636</v>
          </cell>
          <cell r="O131">
            <v>0</v>
          </cell>
          <cell r="P131">
            <v>28283.715562927824</v>
          </cell>
          <cell r="Q131">
            <v>-15889.071913137392</v>
          </cell>
          <cell r="R131">
            <v>0</v>
          </cell>
          <cell r="S131">
            <v>0</v>
          </cell>
          <cell r="T131">
            <v>-428008.02471929759</v>
          </cell>
        </row>
        <row r="132">
          <cell r="C132" t="str">
            <v>A0059</v>
          </cell>
          <cell r="D132" t="str">
            <v>PT Federal Izumi Manufacturing</v>
          </cell>
          <cell r="E132" t="str">
            <v>PEB 5</v>
          </cell>
          <cell r="G132">
            <v>0</v>
          </cell>
          <cell r="H132">
            <v>0</v>
          </cell>
          <cell r="T132">
            <v>0</v>
          </cell>
        </row>
        <row r="133">
          <cell r="C133" t="str">
            <v>A0059</v>
          </cell>
          <cell r="D133" t="str">
            <v>PT Federal Izumi Manufacturing</v>
          </cell>
          <cell r="E133" t="str">
            <v>PEB 6</v>
          </cell>
          <cell r="G133">
            <v>0</v>
          </cell>
          <cell r="H133">
            <v>0</v>
          </cell>
          <cell r="T133">
            <v>0</v>
          </cell>
        </row>
        <row r="134">
          <cell r="C134" t="str">
            <v>A0059</v>
          </cell>
          <cell r="D134" t="str">
            <v>PT Federal Izumi Manufacturing</v>
          </cell>
          <cell r="E134" t="str">
            <v>PEB 7</v>
          </cell>
          <cell r="G134">
            <v>16.26422285596913</v>
          </cell>
          <cell r="H134">
            <v>58971.862697219622</v>
          </cell>
          <cell r="I134">
            <v>0.08</v>
          </cell>
          <cell r="J134" t="str">
            <v>N/A</v>
          </cell>
          <cell r="K134">
            <v>0.08</v>
          </cell>
          <cell r="L134">
            <v>15.840425886390316</v>
          </cell>
          <cell r="M134">
            <v>691630.31810604478</v>
          </cell>
          <cell r="N134">
            <v>49547.373590156174</v>
          </cell>
          <cell r="O134">
            <v>76617.713179921702</v>
          </cell>
          <cell r="P134">
            <v>47926.299208023025</v>
          </cell>
          <cell r="Q134">
            <v>32865.318106044782</v>
          </cell>
          <cell r="R134">
            <v>0</v>
          </cell>
          <cell r="S134">
            <v>0</v>
          </cell>
          <cell r="T134">
            <v>90212.318106044782</v>
          </cell>
        </row>
        <row r="135">
          <cell r="C135" t="str">
            <v>A0059</v>
          </cell>
          <cell r="D135" t="str">
            <v>PT Federal Izumi Manufacturing</v>
          </cell>
          <cell r="E135" t="str">
            <v>MPP</v>
          </cell>
          <cell r="G135">
            <v>0</v>
          </cell>
          <cell r="H135">
            <v>0</v>
          </cell>
          <cell r="I135">
            <v>0.09</v>
          </cell>
          <cell r="J135" t="str">
            <v>N/A</v>
          </cell>
          <cell r="K135">
            <v>0.08</v>
          </cell>
          <cell r="L135">
            <v>15.840425886390316</v>
          </cell>
          <cell r="M135">
            <v>645167.36987247539</v>
          </cell>
          <cell r="N135">
            <v>39595.121362969359</v>
          </cell>
          <cell r="O135">
            <v>6298.56</v>
          </cell>
          <cell r="P135">
            <v>42931.292736595198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C136" t="str">
            <v>A0059</v>
          </cell>
          <cell r="D136" t="str">
            <v>PT Federal Izumi Manufacturing</v>
          </cell>
          <cell r="E136" t="str">
            <v>ID</v>
          </cell>
          <cell r="G136">
            <v>16.26422285596913</v>
          </cell>
          <cell r="H136">
            <v>76449.590844796316</v>
          </cell>
          <cell r="I136">
            <v>0.09</v>
          </cell>
          <cell r="J136" t="str">
            <v>N/A</v>
          </cell>
          <cell r="K136">
            <v>0.08</v>
          </cell>
          <cell r="L136">
            <v>15.840425886390316</v>
          </cell>
          <cell r="M136">
            <v>1527350.1295757524</v>
          </cell>
          <cell r="N136">
            <v>102159.13239983513</v>
          </cell>
          <cell r="O136">
            <v>100368.43911894588</v>
          </cell>
          <cell r="P136">
            <v>105088.85899888031</v>
          </cell>
          <cell r="Q136">
            <v>-15247.87042424758</v>
          </cell>
          <cell r="R136">
            <v>0</v>
          </cell>
          <cell r="S136">
            <v>0</v>
          </cell>
          <cell r="T136">
            <v>128890.12957575242</v>
          </cell>
        </row>
        <row r="137">
          <cell r="C137" t="str">
            <v>A0059</v>
          </cell>
          <cell r="D137" t="str">
            <v>PT Federal Izumi Manufacturing</v>
          </cell>
          <cell r="E137" t="str">
            <v>LL</v>
          </cell>
          <cell r="G137">
            <v>16.26422285596913</v>
          </cell>
          <cell r="H137">
            <v>459657.0690097395</v>
          </cell>
          <cell r="I137">
            <v>0.08</v>
          </cell>
          <cell r="J137" t="str">
            <v>N/A</v>
          </cell>
          <cell r="K137">
            <v>0.08</v>
          </cell>
          <cell r="L137">
            <v>1.850009859384443</v>
          </cell>
          <cell r="M137">
            <v>2215181.505955074</v>
          </cell>
          <cell r="N137">
            <v>460767.42671824119</v>
          </cell>
          <cell r="O137">
            <v>817364.08800000057</v>
          </cell>
          <cell r="P137">
            <v>484650.69731130195</v>
          </cell>
          <cell r="Q137">
            <v>-1060.4940449260175</v>
          </cell>
          <cell r="T137">
            <v>0</v>
          </cell>
        </row>
        <row r="138">
          <cell r="C138" t="str">
            <v>A0059</v>
          </cell>
          <cell r="D138" t="str">
            <v>PT Federal Izumi Manufacturing</v>
          </cell>
          <cell r="E138" t="str">
            <v>PMK</v>
          </cell>
          <cell r="G138">
            <v>16.26422285596913</v>
          </cell>
          <cell r="H138">
            <v>414350</v>
          </cell>
          <cell r="I138">
            <v>0.08</v>
          </cell>
          <cell r="J138" t="str">
            <v>N/A</v>
          </cell>
          <cell r="K138">
            <v>0.08</v>
          </cell>
          <cell r="L138">
            <v>15.502034216929221</v>
          </cell>
          <cell r="M138">
            <v>4405278.1198983323</v>
          </cell>
          <cell r="N138">
            <v>460657.33507020399</v>
          </cell>
          <cell r="O138">
            <v>716800</v>
          </cell>
          <cell r="P138">
            <v>506723.06857722445</v>
          </cell>
          <cell r="Q138">
            <v>280475.11989833228</v>
          </cell>
          <cell r="T138">
            <v>0</v>
          </cell>
        </row>
        <row r="140">
          <cell r="C140" t="str">
            <v>A0345</v>
          </cell>
          <cell r="D140" t="str">
            <v>PT Nusa Keihin Indonesia</v>
          </cell>
          <cell r="E140" t="str">
            <v>PEB 1</v>
          </cell>
          <cell r="G140">
            <v>13.256017406107439</v>
          </cell>
          <cell r="H140">
            <v>1142.0646632917292</v>
          </cell>
          <cell r="I140">
            <v>0.08</v>
          </cell>
          <cell r="J140">
            <v>0.1</v>
          </cell>
          <cell r="K140">
            <v>0.08</v>
          </cell>
          <cell r="L140">
            <v>12.401564354310141</v>
          </cell>
          <cell r="M140">
            <v>328369</v>
          </cell>
          <cell r="N140">
            <v>17094</v>
          </cell>
          <cell r="O140">
            <v>1635</v>
          </cell>
          <cell r="P140">
            <v>18370</v>
          </cell>
          <cell r="Q140">
            <v>33467</v>
          </cell>
          <cell r="R140">
            <v>0</v>
          </cell>
          <cell r="S140">
            <v>0</v>
          </cell>
          <cell r="T140">
            <v>-33857</v>
          </cell>
          <cell r="V140">
            <v>20.620245421618982</v>
          </cell>
          <cell r="W140">
            <v>0</v>
          </cell>
          <cell r="X140">
            <v>0.09</v>
          </cell>
          <cell r="Y140" t="str">
            <v>N/A</v>
          </cell>
          <cell r="Z140">
            <v>0.08</v>
          </cell>
          <cell r="AA140">
            <v>20.228031600594303</v>
          </cell>
          <cell r="AB140">
            <v>109793.37860982337</v>
          </cell>
          <cell r="AC140">
            <v>10558.281579933478</v>
          </cell>
          <cell r="AD140">
            <v>0</v>
          </cell>
          <cell r="AE140">
            <v>11508.526922127494</v>
          </cell>
          <cell r="AF140">
            <v>19426.27787825909</v>
          </cell>
          <cell r="AG140">
            <v>0</v>
          </cell>
          <cell r="AH140">
            <v>0</v>
          </cell>
          <cell r="AI140">
            <v>0</v>
          </cell>
          <cell r="AK140">
            <v>13.256017406107439</v>
          </cell>
          <cell r="AL140">
            <v>0</v>
          </cell>
          <cell r="AM140">
            <v>0.08</v>
          </cell>
          <cell r="AN140" t="str">
            <v>N/A</v>
          </cell>
          <cell r="AO140">
            <v>0.08</v>
          </cell>
          <cell r="AP140">
            <v>12.401564354310141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Z140">
            <v>21.310641798073185</v>
          </cell>
          <cell r="BA140">
            <v>0</v>
          </cell>
          <cell r="BB140">
            <v>0.09</v>
          </cell>
          <cell r="BC140" t="str">
            <v>N/A</v>
          </cell>
          <cell r="BD140">
            <v>0.08</v>
          </cell>
          <cell r="BE140">
            <v>20.96176290493344</v>
          </cell>
          <cell r="BF140">
            <v>12041.528497506586</v>
          </cell>
          <cell r="BG140">
            <v>1397.714325416812</v>
          </cell>
          <cell r="BH140">
            <v>0</v>
          </cell>
          <cell r="BI140">
            <v>1523.5086147043251</v>
          </cell>
          <cell r="BJ140">
            <v>-1411.4715024934139</v>
          </cell>
          <cell r="BK140">
            <v>0</v>
          </cell>
          <cell r="BL140">
            <v>0</v>
          </cell>
          <cell r="BM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S140">
            <v>20.620245421618982</v>
          </cell>
          <cell r="CT140">
            <v>4456.823596233161</v>
          </cell>
          <cell r="CU140">
            <v>0.08</v>
          </cell>
          <cell r="CV140" t="str">
            <v>N/A</v>
          </cell>
          <cell r="CW140">
            <v>0.08</v>
          </cell>
          <cell r="CX140">
            <v>20.228031600594303</v>
          </cell>
          <cell r="CY140">
            <v>54472.225425673845</v>
          </cell>
          <cell r="CZ140">
            <v>5874.5611195196407</v>
          </cell>
          <cell r="DA140">
            <v>5259.931235376037</v>
          </cell>
          <cell r="DB140">
            <v>5780.406731104812</v>
          </cell>
          <cell r="DC140">
            <v>3139.2254256738452</v>
          </cell>
          <cell r="DD140">
            <v>0</v>
          </cell>
          <cell r="DE140">
            <v>0</v>
          </cell>
          <cell r="DF140">
            <v>0</v>
          </cell>
          <cell r="DH140">
            <v>20.620245421618982</v>
          </cell>
          <cell r="DI140">
            <v>0</v>
          </cell>
          <cell r="DJ140">
            <v>0.09</v>
          </cell>
          <cell r="DK140" t="str">
            <v>N/A</v>
          </cell>
          <cell r="DL140">
            <v>0.08</v>
          </cell>
          <cell r="DM140">
            <v>20.228031600594303</v>
          </cell>
          <cell r="DN140">
            <v>28195.855241329366</v>
          </cell>
          <cell r="DO140">
            <v>2521.5381871937866</v>
          </cell>
          <cell r="DP140">
            <v>0</v>
          </cell>
          <cell r="DQ140">
            <v>2748.4766240412287</v>
          </cell>
          <cell r="DR140">
            <v>-218.47168838104335</v>
          </cell>
          <cell r="DS140">
            <v>0</v>
          </cell>
          <cell r="DT140">
            <v>0</v>
          </cell>
          <cell r="DU140">
            <v>-751.14475867063447</v>
          </cell>
          <cell r="DW140">
            <v>20.620245421618982</v>
          </cell>
          <cell r="DX140">
            <v>3353.7543193918546</v>
          </cell>
          <cell r="DY140">
            <v>0.09</v>
          </cell>
          <cell r="DZ140" t="str">
            <v>N/A</v>
          </cell>
          <cell r="EA140">
            <v>0.08</v>
          </cell>
          <cell r="EB140">
            <v>20.228031600594303</v>
          </cell>
          <cell r="EC140">
            <v>100240.02631357335</v>
          </cell>
          <cell r="ED140">
            <v>9764.9673497454332</v>
          </cell>
          <cell r="EE140">
            <v>4955.9490774883598</v>
          </cell>
          <cell r="EF140">
            <v>10148.681788389136</v>
          </cell>
          <cell r="EG140">
            <v>-1022.9736864266451</v>
          </cell>
          <cell r="EH140">
            <v>0</v>
          </cell>
          <cell r="EI140">
            <v>0</v>
          </cell>
          <cell r="EJ140">
            <v>13396.026313573355</v>
          </cell>
          <cell r="EL140">
            <v>20.620245421618982</v>
          </cell>
          <cell r="EM140">
            <v>21695.655942142537</v>
          </cell>
          <cell r="EN140">
            <v>0.08</v>
          </cell>
          <cell r="EO140" t="str">
            <v>N/A</v>
          </cell>
          <cell r="EP140">
            <v>0.08</v>
          </cell>
          <cell r="EQ140">
            <v>1.4443911339547661</v>
          </cell>
          <cell r="ER140">
            <v>161884.60157924989</v>
          </cell>
          <cell r="ES140">
            <v>36561.57283353158</v>
          </cell>
          <cell r="ET140">
            <v>33955.459199999998</v>
          </cell>
          <cell r="EU140">
            <v>38516.624033700304</v>
          </cell>
          <cell r="EV140">
            <v>-82.398420750105288</v>
          </cell>
          <cell r="EW140">
            <v>0</v>
          </cell>
          <cell r="EX140">
            <v>0</v>
          </cell>
          <cell r="EY140">
            <v>0</v>
          </cell>
          <cell r="FA140">
            <v>20.620245421618982</v>
          </cell>
          <cell r="FB140">
            <v>11050</v>
          </cell>
          <cell r="FC140">
            <v>0.08</v>
          </cell>
          <cell r="FD140" t="str">
            <v>N/A</v>
          </cell>
          <cell r="FE140">
            <v>0.08</v>
          </cell>
          <cell r="FF140">
            <v>19.997504326846133</v>
          </cell>
          <cell r="FG140">
            <v>306340.95011798257</v>
          </cell>
          <cell r="FH140">
            <v>36095.953619511107</v>
          </cell>
          <cell r="FI140">
            <v>20250</v>
          </cell>
          <cell r="FJ140">
            <v>39705.54898146222</v>
          </cell>
          <cell r="FK140">
            <v>44982.950117982575</v>
          </cell>
          <cell r="FL140">
            <v>0</v>
          </cell>
          <cell r="FM140">
            <v>0</v>
          </cell>
          <cell r="FN140">
            <v>0</v>
          </cell>
        </row>
        <row r="141">
          <cell r="C141" t="str">
            <v>A0345</v>
          </cell>
          <cell r="D141" t="str">
            <v>PT Nusa Keihin Indonesia</v>
          </cell>
          <cell r="E141" t="str">
            <v>PEB 2</v>
          </cell>
          <cell r="G141">
            <v>20.620245421618982</v>
          </cell>
          <cell r="H141">
            <v>0</v>
          </cell>
          <cell r="I141">
            <v>0.09</v>
          </cell>
          <cell r="J141" t="str">
            <v>N/A</v>
          </cell>
          <cell r="K141">
            <v>0.08</v>
          </cell>
          <cell r="L141">
            <v>20.228031600594303</v>
          </cell>
          <cell r="M141">
            <v>109793.37860982337</v>
          </cell>
          <cell r="N141">
            <v>10558.281579933478</v>
          </cell>
          <cell r="O141">
            <v>0</v>
          </cell>
          <cell r="P141">
            <v>11508.526922127494</v>
          </cell>
          <cell r="Q141">
            <v>19426.27787825909</v>
          </cell>
          <cell r="R141">
            <v>0</v>
          </cell>
          <cell r="S141">
            <v>0</v>
          </cell>
          <cell r="T141">
            <v>0</v>
          </cell>
        </row>
        <row r="142">
          <cell r="C142" t="str">
            <v>A0345</v>
          </cell>
          <cell r="D142" t="str">
            <v>PT Nusa Keihin Indonesia</v>
          </cell>
          <cell r="E142" t="str">
            <v>PEB 3</v>
          </cell>
          <cell r="G142">
            <v>13.256017406107439</v>
          </cell>
          <cell r="H142">
            <v>0</v>
          </cell>
          <cell r="I142">
            <v>0.08</v>
          </cell>
          <cell r="J142" t="str">
            <v>N/A</v>
          </cell>
          <cell r="K142">
            <v>0.08</v>
          </cell>
          <cell r="L142">
            <v>12.401564354310141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</row>
        <row r="143">
          <cell r="C143" t="str">
            <v>A0345</v>
          </cell>
          <cell r="D143" t="str">
            <v>PT Nusa Keihin Indonesia</v>
          </cell>
          <cell r="E143" t="str">
            <v>PEB 4</v>
          </cell>
          <cell r="G143">
            <v>21.310641798073185</v>
          </cell>
          <cell r="H143">
            <v>0</v>
          </cell>
          <cell r="I143">
            <v>0.09</v>
          </cell>
          <cell r="J143" t="str">
            <v>N/A</v>
          </cell>
          <cell r="K143">
            <v>0.08</v>
          </cell>
          <cell r="L143">
            <v>20.96176290493344</v>
          </cell>
          <cell r="M143">
            <v>12041.528497506586</v>
          </cell>
          <cell r="N143">
            <v>1397.714325416812</v>
          </cell>
          <cell r="O143">
            <v>0</v>
          </cell>
          <cell r="P143">
            <v>1523.5086147043251</v>
          </cell>
          <cell r="Q143">
            <v>-1411.4715024934139</v>
          </cell>
          <cell r="R143">
            <v>0</v>
          </cell>
          <cell r="S143">
            <v>0</v>
          </cell>
          <cell r="T143">
            <v>0</v>
          </cell>
        </row>
        <row r="144">
          <cell r="C144" t="str">
            <v>A0345</v>
          </cell>
          <cell r="D144" t="str">
            <v>PT Nusa Keihin Indonesia</v>
          </cell>
          <cell r="E144" t="str">
            <v>PEB 5</v>
          </cell>
          <cell r="G144">
            <v>0</v>
          </cell>
          <cell r="H144">
            <v>0</v>
          </cell>
          <cell r="T144">
            <v>0</v>
          </cell>
        </row>
        <row r="145">
          <cell r="C145" t="str">
            <v>A0345</v>
          </cell>
          <cell r="D145" t="str">
            <v>PT Nusa Keihin Indonesia</v>
          </cell>
          <cell r="E145" t="str">
            <v>PEB 6</v>
          </cell>
          <cell r="G145">
            <v>0</v>
          </cell>
          <cell r="H145">
            <v>0</v>
          </cell>
          <cell r="T145">
            <v>0</v>
          </cell>
        </row>
        <row r="146">
          <cell r="C146" t="str">
            <v>A0345</v>
          </cell>
          <cell r="D146" t="str">
            <v>PT Nusa Keihin Indonesia</v>
          </cell>
          <cell r="E146" t="str">
            <v>PEB 7</v>
          </cell>
          <cell r="G146">
            <v>20.620245421618982</v>
          </cell>
          <cell r="H146">
            <v>4456.823596233161</v>
          </cell>
          <cell r="I146">
            <v>0.08</v>
          </cell>
          <cell r="J146" t="str">
            <v>N/A</v>
          </cell>
          <cell r="K146">
            <v>0.08</v>
          </cell>
          <cell r="L146">
            <v>20.228031600594303</v>
          </cell>
          <cell r="M146">
            <v>54472.225425673845</v>
          </cell>
          <cell r="N146">
            <v>5874.5611195196407</v>
          </cell>
          <cell r="O146">
            <v>5259.931235376037</v>
          </cell>
          <cell r="P146">
            <v>5780.406731104812</v>
          </cell>
          <cell r="Q146">
            <v>3139.2254256738452</v>
          </cell>
          <cell r="R146">
            <v>0</v>
          </cell>
          <cell r="S146">
            <v>0</v>
          </cell>
          <cell r="T146">
            <v>0</v>
          </cell>
        </row>
        <row r="147">
          <cell r="C147" t="str">
            <v>A0345</v>
          </cell>
          <cell r="D147" t="str">
            <v>PT Nusa Keihin Indonesia</v>
          </cell>
          <cell r="E147" t="str">
            <v>MPP</v>
          </cell>
          <cell r="G147">
            <v>20.620245421618982</v>
          </cell>
          <cell r="H147">
            <v>0</v>
          </cell>
          <cell r="I147">
            <v>0.09</v>
          </cell>
          <cell r="J147" t="str">
            <v>N/A</v>
          </cell>
          <cell r="K147">
            <v>0.08</v>
          </cell>
          <cell r="L147">
            <v>20.228031600594303</v>
          </cell>
          <cell r="M147">
            <v>28195.855241329366</v>
          </cell>
          <cell r="N147">
            <v>2521.5381871937866</v>
          </cell>
          <cell r="O147">
            <v>0</v>
          </cell>
          <cell r="P147">
            <v>2748.4766240412287</v>
          </cell>
          <cell r="Q147">
            <v>-218.47168838104335</v>
          </cell>
          <cell r="R147">
            <v>0</v>
          </cell>
          <cell r="S147">
            <v>0</v>
          </cell>
          <cell r="T147">
            <v>-751.14475867063447</v>
          </cell>
        </row>
        <row r="148">
          <cell r="C148" t="str">
            <v>A0345</v>
          </cell>
          <cell r="D148" t="str">
            <v>PT Nusa Keihin Indonesia</v>
          </cell>
          <cell r="E148" t="str">
            <v>ID</v>
          </cell>
          <cell r="G148">
            <v>20.620245421618982</v>
          </cell>
          <cell r="H148">
            <v>3353.7543193918546</v>
          </cell>
          <cell r="I148">
            <v>0.09</v>
          </cell>
          <cell r="J148" t="str">
            <v>N/A</v>
          </cell>
          <cell r="K148">
            <v>0.08</v>
          </cell>
          <cell r="L148">
            <v>20.228031600594303</v>
          </cell>
          <cell r="M148">
            <v>100240.02631357335</v>
          </cell>
          <cell r="N148">
            <v>9764.9673497454332</v>
          </cell>
          <cell r="O148">
            <v>4955.9490774883598</v>
          </cell>
          <cell r="P148">
            <v>10148.681788389136</v>
          </cell>
          <cell r="Q148">
            <v>-1022.9736864266451</v>
          </cell>
          <cell r="R148">
            <v>0</v>
          </cell>
          <cell r="S148">
            <v>0</v>
          </cell>
          <cell r="T148">
            <v>13396.026313573355</v>
          </cell>
        </row>
        <row r="149">
          <cell r="C149" t="str">
            <v>A0345</v>
          </cell>
          <cell r="D149" t="str">
            <v>PT Nusa Keihin Indonesia</v>
          </cell>
          <cell r="E149" t="str">
            <v>LL</v>
          </cell>
          <cell r="G149">
            <v>20.620245421618982</v>
          </cell>
          <cell r="H149">
            <v>21695.655942142537</v>
          </cell>
          <cell r="I149">
            <v>0.08</v>
          </cell>
          <cell r="J149" t="str">
            <v>N/A</v>
          </cell>
          <cell r="K149">
            <v>0.08</v>
          </cell>
          <cell r="L149">
            <v>1.4443911339547661</v>
          </cell>
          <cell r="M149">
            <v>161884.60157924989</v>
          </cell>
          <cell r="N149">
            <v>36561.57283353158</v>
          </cell>
          <cell r="O149">
            <v>33955.459199999998</v>
          </cell>
          <cell r="P149">
            <v>38516.624033700304</v>
          </cell>
          <cell r="Q149">
            <v>-82.398420750105288</v>
          </cell>
          <cell r="T149">
            <v>0</v>
          </cell>
        </row>
        <row r="150">
          <cell r="C150" t="str">
            <v>A0345</v>
          </cell>
          <cell r="D150" t="str">
            <v>PT Nusa Keihin Indonesia</v>
          </cell>
          <cell r="E150" t="str">
            <v>PMK</v>
          </cell>
          <cell r="G150">
            <v>20.620245421618982</v>
          </cell>
          <cell r="H150">
            <v>11050</v>
          </cell>
          <cell r="I150">
            <v>0.08</v>
          </cell>
          <cell r="J150" t="str">
            <v>N/A</v>
          </cell>
          <cell r="K150">
            <v>0.08</v>
          </cell>
          <cell r="L150">
            <v>19.997504326846133</v>
          </cell>
          <cell r="M150">
            <v>306340.95011798257</v>
          </cell>
          <cell r="N150">
            <v>36095.953619511107</v>
          </cell>
          <cell r="O150">
            <v>20250</v>
          </cell>
          <cell r="P150">
            <v>39705.54898146222</v>
          </cell>
          <cell r="Q150">
            <v>44982.950117982575</v>
          </cell>
          <cell r="T150">
            <v>0</v>
          </cell>
        </row>
        <row r="152">
          <cell r="C152" t="str">
            <v>A0037</v>
          </cell>
          <cell r="D152" t="str">
            <v>PT Century Batteries Indonesia</v>
          </cell>
          <cell r="E152" t="str">
            <v>PEB 1</v>
          </cell>
          <cell r="G152">
            <v>4.3464501132904525</v>
          </cell>
          <cell r="H152">
            <v>1930585.4195793993</v>
          </cell>
          <cell r="I152">
            <v>0.08</v>
          </cell>
          <cell r="J152">
            <v>0.1</v>
          </cell>
          <cell r="K152">
            <v>0.08</v>
          </cell>
          <cell r="L152">
            <v>4.6798122615724029</v>
          </cell>
          <cell r="M152">
            <v>11295058.822266847</v>
          </cell>
          <cell r="N152">
            <v>405788</v>
          </cell>
          <cell r="O152">
            <v>1647957</v>
          </cell>
          <cell r="P152">
            <v>420109</v>
          </cell>
          <cell r="Q152">
            <v>413654</v>
          </cell>
          <cell r="R152">
            <v>0</v>
          </cell>
          <cell r="S152">
            <v>0</v>
          </cell>
          <cell r="T152">
            <v>1579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4.3464501132904525</v>
          </cell>
          <cell r="AL152">
            <v>18120.130293333394</v>
          </cell>
          <cell r="AM152">
            <v>0.08</v>
          </cell>
          <cell r="AN152" t="str">
            <v>N/A</v>
          </cell>
          <cell r="AO152">
            <v>0.08</v>
          </cell>
          <cell r="AP152">
            <v>4.60552952726173</v>
          </cell>
          <cell r="AQ152">
            <v>547674.64978144201</v>
          </cell>
          <cell r="AR152">
            <v>25981.416473044512</v>
          </cell>
          <cell r="AS152">
            <v>44937.974186491236</v>
          </cell>
          <cell r="AT152">
            <v>27552.397044278354</v>
          </cell>
          <cell r="AU152">
            <v>50521.649781442015</v>
          </cell>
          <cell r="AV152">
            <v>0</v>
          </cell>
          <cell r="AW152">
            <v>0</v>
          </cell>
          <cell r="AX152">
            <v>475644.64978144201</v>
          </cell>
          <cell r="AZ152">
            <v>17.241785421646853</v>
          </cell>
          <cell r="BA152">
            <v>56244.139700000029</v>
          </cell>
          <cell r="BB152">
            <v>0.09</v>
          </cell>
          <cell r="BC152" t="str">
            <v>N/A</v>
          </cell>
          <cell r="BD152">
            <v>0.08</v>
          </cell>
          <cell r="BE152">
            <v>17.035452678555281</v>
          </cell>
          <cell r="BF152">
            <v>1198669.8452584338</v>
          </cell>
          <cell r="BG152">
            <v>117294.40295697314</v>
          </cell>
          <cell r="BH152">
            <v>0</v>
          </cell>
          <cell r="BI152">
            <v>127850.8992231007</v>
          </cell>
          <cell r="BJ152">
            <v>-53818.154741566163</v>
          </cell>
          <cell r="BK152">
            <v>0</v>
          </cell>
          <cell r="BL152">
            <v>0</v>
          </cell>
          <cell r="BM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S152">
            <v>14.406365308664874</v>
          </cell>
          <cell r="CT152">
            <v>45600.051883386528</v>
          </cell>
          <cell r="CU152">
            <v>0.08</v>
          </cell>
          <cell r="CV152" t="str">
            <v>N/A</v>
          </cell>
          <cell r="CW152">
            <v>0.08</v>
          </cell>
          <cell r="CX152">
            <v>14.603511192432642</v>
          </cell>
          <cell r="CY152">
            <v>413033.76752905984</v>
          </cell>
          <cell r="CZ152">
            <v>31541.119758935125</v>
          </cell>
          <cell r="DA152">
            <v>49691.540338963001</v>
          </cell>
          <cell r="DB152">
            <v>30468.074381351624</v>
          </cell>
          <cell r="DC152">
            <v>18259.767529059842</v>
          </cell>
          <cell r="DD152">
            <v>0</v>
          </cell>
          <cell r="DE152">
            <v>0</v>
          </cell>
          <cell r="DF152">
            <v>0</v>
          </cell>
          <cell r="DH152">
            <v>14.406365308664874</v>
          </cell>
          <cell r="DI152">
            <v>71129.857500000013</v>
          </cell>
          <cell r="DJ152">
            <v>0.09</v>
          </cell>
          <cell r="DK152" t="str">
            <v>N/A</v>
          </cell>
          <cell r="DL152">
            <v>0.08</v>
          </cell>
          <cell r="DM152">
            <v>14.603511192432642</v>
          </cell>
          <cell r="DN152">
            <v>638429.38495765405</v>
          </cell>
          <cell r="DO152">
            <v>34178.212171710111</v>
          </cell>
          <cell r="DP152">
            <v>48401.228453326337</v>
          </cell>
          <cell r="DQ152">
            <v>36779.000107191234</v>
          </cell>
          <cell r="DR152">
            <v>-3680.0575091864448</v>
          </cell>
          <cell r="DS152">
            <v>0</v>
          </cell>
          <cell r="DT152">
            <v>0</v>
          </cell>
          <cell r="DU152">
            <v>0</v>
          </cell>
          <cell r="DW152">
            <v>14.406365308664874</v>
          </cell>
          <cell r="DX152">
            <v>106157.13959425225</v>
          </cell>
          <cell r="DY152">
            <v>0.09</v>
          </cell>
          <cell r="DZ152" t="str">
            <v>N/A</v>
          </cell>
          <cell r="EA152">
            <v>0.08</v>
          </cell>
          <cell r="EB152">
            <v>14.603511192432642</v>
          </cell>
          <cell r="EC152">
            <v>1408391.1973924369</v>
          </cell>
          <cell r="ED152">
            <v>93857.440930877434</v>
          </cell>
          <cell r="EE152">
            <v>124711.57100012805</v>
          </cell>
          <cell r="EF152">
            <v>95155.93078147294</v>
          </cell>
          <cell r="EG152">
            <v>-13255.802607563091</v>
          </cell>
          <cell r="EH152">
            <v>0</v>
          </cell>
          <cell r="EI152">
            <v>0</v>
          </cell>
          <cell r="EJ152">
            <v>11244.197392436909</v>
          </cell>
          <cell r="EL152">
            <v>14.406365308664874</v>
          </cell>
          <cell r="EM152">
            <v>486224.82822164992</v>
          </cell>
          <cell r="EN152">
            <v>0.08</v>
          </cell>
          <cell r="EO152" t="str">
            <v>N/A</v>
          </cell>
          <cell r="EP152">
            <v>0.08</v>
          </cell>
          <cell r="EQ152">
            <v>1.8339864953265417</v>
          </cell>
          <cell r="ER152">
            <v>1811863.2452303851</v>
          </cell>
          <cell r="ES152">
            <v>451864.70026799839</v>
          </cell>
          <cell r="ET152">
            <v>468872.92799999996</v>
          </cell>
          <cell r="EU152">
            <v>474892.47484154644</v>
          </cell>
          <cell r="EV152">
            <v>2058.2452303851023</v>
          </cell>
          <cell r="EW152">
            <v>0</v>
          </cell>
          <cell r="EX152">
            <v>0</v>
          </cell>
          <cell r="EY152">
            <v>0</v>
          </cell>
          <cell r="FA152">
            <v>14.406365308664874</v>
          </cell>
          <cell r="FB152">
            <v>301640.55100000027</v>
          </cell>
          <cell r="FC152">
            <v>0.08</v>
          </cell>
          <cell r="FD152" t="str">
            <v>N/A</v>
          </cell>
          <cell r="FE152">
            <v>0.08</v>
          </cell>
          <cell r="FF152">
            <v>14.288790405236247</v>
          </cell>
          <cell r="FG152">
            <v>2155092.1089422498</v>
          </cell>
          <cell r="FH152">
            <v>223025.61705332217</v>
          </cell>
          <cell r="FI152">
            <v>157188.92300000001</v>
          </cell>
          <cell r="FJ152">
            <v>245328.17875865442</v>
          </cell>
          <cell r="FK152">
            <v>276011.10894224979</v>
          </cell>
          <cell r="FL152">
            <v>0</v>
          </cell>
          <cell r="FM152">
            <v>0</v>
          </cell>
          <cell r="FN152">
            <v>0</v>
          </cell>
        </row>
        <row r="153">
          <cell r="C153" t="str">
            <v>A0037</v>
          </cell>
          <cell r="D153" t="str">
            <v>PT Century Batteries Indonesia</v>
          </cell>
          <cell r="E153" t="str">
            <v>PEB 2</v>
          </cell>
          <cell r="G153">
            <v>0</v>
          </cell>
          <cell r="H153">
            <v>0</v>
          </cell>
          <cell r="T153">
            <v>0</v>
          </cell>
        </row>
        <row r="154">
          <cell r="C154" t="str">
            <v>A0037</v>
          </cell>
          <cell r="D154" t="str">
            <v>PT Century Batteries Indonesia</v>
          </cell>
          <cell r="E154" t="str">
            <v>PEB 3</v>
          </cell>
          <cell r="G154">
            <v>4.3464501132904525</v>
          </cell>
          <cell r="H154">
            <v>18120.130293333394</v>
          </cell>
          <cell r="I154">
            <v>0.08</v>
          </cell>
          <cell r="J154" t="str">
            <v>N/A</v>
          </cell>
          <cell r="K154">
            <v>0.08</v>
          </cell>
          <cell r="L154">
            <v>4.60552952726173</v>
          </cell>
          <cell r="M154">
            <v>547674.64978144201</v>
          </cell>
          <cell r="N154">
            <v>25981.416473044512</v>
          </cell>
          <cell r="O154">
            <v>44937.974186491236</v>
          </cell>
          <cell r="P154">
            <v>27552.397044278354</v>
          </cell>
          <cell r="Q154">
            <v>50521.649781442015</v>
          </cell>
          <cell r="R154">
            <v>0</v>
          </cell>
          <cell r="S154">
            <v>0</v>
          </cell>
          <cell r="T154">
            <v>475644.64978144201</v>
          </cell>
        </row>
        <row r="155">
          <cell r="C155" t="str">
            <v>A0037</v>
          </cell>
          <cell r="D155" t="str">
            <v>PT Century Batteries Indonesia</v>
          </cell>
          <cell r="E155" t="str">
            <v>PEB 4</v>
          </cell>
          <cell r="G155">
            <v>17.241785421646853</v>
          </cell>
          <cell r="H155">
            <v>56244.139700000029</v>
          </cell>
          <cell r="I155">
            <v>0.09</v>
          </cell>
          <cell r="J155" t="str">
            <v>N/A</v>
          </cell>
          <cell r="K155">
            <v>0.08</v>
          </cell>
          <cell r="L155">
            <v>17.035452678555281</v>
          </cell>
          <cell r="M155">
            <v>1198669.8452584338</v>
          </cell>
          <cell r="N155">
            <v>117294.40295697314</v>
          </cell>
          <cell r="O155">
            <v>0</v>
          </cell>
          <cell r="P155">
            <v>127850.8992231007</v>
          </cell>
          <cell r="Q155">
            <v>-53818.154741566163</v>
          </cell>
          <cell r="R155">
            <v>0</v>
          </cell>
          <cell r="S155">
            <v>0</v>
          </cell>
          <cell r="T155">
            <v>0</v>
          </cell>
        </row>
        <row r="156">
          <cell r="C156" t="str">
            <v>A0037</v>
          </cell>
          <cell r="D156" t="str">
            <v>PT Century Batteries Indonesia</v>
          </cell>
          <cell r="E156" t="str">
            <v>PEB 5</v>
          </cell>
          <cell r="G156">
            <v>0</v>
          </cell>
          <cell r="H156">
            <v>0</v>
          </cell>
          <cell r="T156">
            <v>0</v>
          </cell>
        </row>
        <row r="157">
          <cell r="C157" t="str">
            <v>A0037</v>
          </cell>
          <cell r="D157" t="str">
            <v>PT Century Batteries Indonesia</v>
          </cell>
          <cell r="E157" t="str">
            <v>PEB 6</v>
          </cell>
          <cell r="G157">
            <v>0</v>
          </cell>
          <cell r="H157">
            <v>0</v>
          </cell>
          <cell r="T157">
            <v>0</v>
          </cell>
        </row>
        <row r="158">
          <cell r="C158" t="str">
            <v>A0037</v>
          </cell>
          <cell r="D158" t="str">
            <v>PT Century Batteries Indonesia</v>
          </cell>
          <cell r="E158" t="str">
            <v>PEB 7</v>
          </cell>
          <cell r="G158">
            <v>14.406365308664874</v>
          </cell>
          <cell r="H158">
            <v>45600.051883386528</v>
          </cell>
          <cell r="I158">
            <v>0.08</v>
          </cell>
          <cell r="J158" t="str">
            <v>N/A</v>
          </cell>
          <cell r="K158">
            <v>0.08</v>
          </cell>
          <cell r="L158">
            <v>14.603511192432642</v>
          </cell>
          <cell r="M158">
            <v>413033.76752905984</v>
          </cell>
          <cell r="N158">
            <v>31541.119758935125</v>
          </cell>
          <cell r="O158">
            <v>49691.540338963001</v>
          </cell>
          <cell r="P158">
            <v>30468.074381351624</v>
          </cell>
          <cell r="Q158">
            <v>18259.767529059842</v>
          </cell>
          <cell r="R158">
            <v>0</v>
          </cell>
          <cell r="S158">
            <v>0</v>
          </cell>
          <cell r="T158">
            <v>0</v>
          </cell>
        </row>
        <row r="159">
          <cell r="C159" t="str">
            <v>A0037</v>
          </cell>
          <cell r="D159" t="str">
            <v>PT Century Batteries Indonesia</v>
          </cell>
          <cell r="E159" t="str">
            <v>MPP</v>
          </cell>
          <cell r="G159">
            <v>14.406365308664874</v>
          </cell>
          <cell r="H159">
            <v>71129.857500000013</v>
          </cell>
          <cell r="I159">
            <v>0.09</v>
          </cell>
          <cell r="J159" t="str">
            <v>N/A</v>
          </cell>
          <cell r="K159">
            <v>0.08</v>
          </cell>
          <cell r="L159">
            <v>14.603511192432642</v>
          </cell>
          <cell r="M159">
            <v>638429.38495765405</v>
          </cell>
          <cell r="N159">
            <v>34178.212171710111</v>
          </cell>
          <cell r="O159">
            <v>48401.228453326337</v>
          </cell>
          <cell r="P159">
            <v>36779.000107191234</v>
          </cell>
          <cell r="Q159">
            <v>-3680.0575091864448</v>
          </cell>
          <cell r="R159">
            <v>0</v>
          </cell>
          <cell r="S159">
            <v>0</v>
          </cell>
          <cell r="T159">
            <v>0</v>
          </cell>
        </row>
        <row r="160">
          <cell r="C160" t="str">
            <v>A0037</v>
          </cell>
          <cell r="D160" t="str">
            <v>PT Century Batteries Indonesia</v>
          </cell>
          <cell r="E160" t="str">
            <v>ID</v>
          </cell>
          <cell r="G160">
            <v>14.406365308664874</v>
          </cell>
          <cell r="H160">
            <v>106157.13959425225</v>
          </cell>
          <cell r="I160">
            <v>0.09</v>
          </cell>
          <cell r="J160" t="str">
            <v>N/A</v>
          </cell>
          <cell r="K160">
            <v>0.08</v>
          </cell>
          <cell r="L160">
            <v>14.603511192432642</v>
          </cell>
          <cell r="M160">
            <v>1408391.1973924369</v>
          </cell>
          <cell r="N160">
            <v>93857.440930877434</v>
          </cell>
          <cell r="O160">
            <v>124711.57100012805</v>
          </cell>
          <cell r="P160">
            <v>95155.93078147294</v>
          </cell>
          <cell r="Q160">
            <v>-13255.802607563091</v>
          </cell>
          <cell r="R160">
            <v>0</v>
          </cell>
          <cell r="S160">
            <v>0</v>
          </cell>
          <cell r="T160">
            <v>11244.197392436909</v>
          </cell>
        </row>
        <row r="161">
          <cell r="C161" t="str">
            <v>A0037</v>
          </cell>
          <cell r="D161" t="str">
            <v>PT Century Batteries Indonesia</v>
          </cell>
          <cell r="E161" t="str">
            <v>LL</v>
          </cell>
          <cell r="G161">
            <v>14.406365308664874</v>
          </cell>
          <cell r="H161">
            <v>486224.82822164992</v>
          </cell>
          <cell r="I161">
            <v>0.08</v>
          </cell>
          <cell r="J161" t="str">
            <v>N/A</v>
          </cell>
          <cell r="K161">
            <v>0.08</v>
          </cell>
          <cell r="L161">
            <v>1.8339864953265417</v>
          </cell>
          <cell r="M161">
            <v>1811863.2452303851</v>
          </cell>
          <cell r="N161">
            <v>451864.70026799839</v>
          </cell>
          <cell r="O161">
            <v>468872.92799999996</v>
          </cell>
          <cell r="P161">
            <v>474892.47484154644</v>
          </cell>
          <cell r="Q161">
            <v>2058.2452303851023</v>
          </cell>
          <cell r="T161">
            <v>0</v>
          </cell>
        </row>
        <row r="162">
          <cell r="C162" t="str">
            <v>A0037</v>
          </cell>
          <cell r="D162" t="str">
            <v>PT Century Batteries Indonesia</v>
          </cell>
          <cell r="E162" t="str">
            <v>PMK</v>
          </cell>
          <cell r="G162">
            <v>14.406365308664874</v>
          </cell>
          <cell r="H162">
            <v>301640.55100000027</v>
          </cell>
          <cell r="I162">
            <v>0.08</v>
          </cell>
          <cell r="J162" t="str">
            <v>N/A</v>
          </cell>
          <cell r="K162">
            <v>0.08</v>
          </cell>
          <cell r="L162">
            <v>14.288790405236247</v>
          </cell>
          <cell r="M162">
            <v>2155092.1089422498</v>
          </cell>
          <cell r="N162">
            <v>223025.61705332217</v>
          </cell>
          <cell r="O162">
            <v>157188.92300000001</v>
          </cell>
          <cell r="P162">
            <v>245328.17875865442</v>
          </cell>
          <cell r="Q162">
            <v>276011.10894224979</v>
          </cell>
          <cell r="T162">
            <v>0</v>
          </cell>
        </row>
        <row r="164">
          <cell r="C164" t="str">
            <v>A0070</v>
          </cell>
          <cell r="D164" t="str">
            <v>PT GS Battery</v>
          </cell>
          <cell r="E164" t="str">
            <v>PEB 1</v>
          </cell>
          <cell r="G164">
            <v>6.5541293552357205</v>
          </cell>
          <cell r="H164">
            <v>8287125.4576545572</v>
          </cell>
          <cell r="I164">
            <v>0.08</v>
          </cell>
          <cell r="J164">
            <v>0.1</v>
          </cell>
          <cell r="K164">
            <v>0.08</v>
          </cell>
          <cell r="L164">
            <v>6.4724818137924904</v>
          </cell>
          <cell r="M164">
            <v>42949539.347056307</v>
          </cell>
          <cell r="N164">
            <v>1581040</v>
          </cell>
          <cell r="O164">
            <v>4621394</v>
          </cell>
          <cell r="P164">
            <v>1631773</v>
          </cell>
          <cell r="Q164">
            <v>1849628</v>
          </cell>
          <cell r="R164">
            <v>0</v>
          </cell>
          <cell r="S164">
            <v>0</v>
          </cell>
          <cell r="T164">
            <v>8364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6.5541293552357205</v>
          </cell>
          <cell r="AL164">
            <v>379751.14439540077</v>
          </cell>
          <cell r="AM164">
            <v>0.08</v>
          </cell>
          <cell r="AN164" t="str">
            <v>N/A</v>
          </cell>
          <cell r="AO164">
            <v>0.08</v>
          </cell>
          <cell r="AP164">
            <v>6.4340989358096703</v>
          </cell>
          <cell r="AQ164">
            <v>365126.34898892755</v>
          </cell>
          <cell r="AR164">
            <v>17176.473705723838</v>
          </cell>
          <cell r="AS164">
            <v>2873.0596726387157</v>
          </cell>
          <cell r="AT164">
            <v>18441.617001310035</v>
          </cell>
          <cell r="AU164">
            <v>77653.348988927552</v>
          </cell>
          <cell r="AV164">
            <v>0</v>
          </cell>
          <cell r="AW164">
            <v>0</v>
          </cell>
          <cell r="AX164">
            <v>0</v>
          </cell>
          <cell r="AZ164">
            <v>18.57006738453499</v>
          </cell>
          <cell r="BA164">
            <v>42088.265980000026</v>
          </cell>
          <cell r="BB164">
            <v>0.09</v>
          </cell>
          <cell r="BC164" t="str">
            <v>N/A</v>
          </cell>
          <cell r="BD164">
            <v>0.08</v>
          </cell>
          <cell r="BE164">
            <v>18.523629094858894</v>
          </cell>
          <cell r="BF164">
            <v>2413451.5515801581</v>
          </cell>
          <cell r="BG164">
            <v>284455.4155817646</v>
          </cell>
          <cell r="BH164">
            <v>0</v>
          </cell>
          <cell r="BI164">
            <v>310056.40298412368</v>
          </cell>
          <cell r="BJ164">
            <v>-104160.44841984194</v>
          </cell>
          <cell r="BK164">
            <v>0</v>
          </cell>
          <cell r="BL164">
            <v>0</v>
          </cell>
          <cell r="BM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S164">
            <v>15.878213912974932</v>
          </cell>
          <cell r="CT164">
            <v>168879.08887442717</v>
          </cell>
          <cell r="CU164">
            <v>0.08</v>
          </cell>
          <cell r="CV164" t="str">
            <v>N/A</v>
          </cell>
          <cell r="CW164">
            <v>0.08</v>
          </cell>
          <cell r="CX164">
            <v>15.979388350211391</v>
          </cell>
          <cell r="CY164">
            <v>1648852.6684266222</v>
          </cell>
          <cell r="CZ164">
            <v>140169.84691581037</v>
          </cell>
          <cell r="DA164">
            <v>190404.55267281545</v>
          </cell>
          <cell r="DB164">
            <v>136169.53371868317</v>
          </cell>
          <cell r="DC164">
            <v>77609.668426622171</v>
          </cell>
          <cell r="DD164">
            <v>0</v>
          </cell>
          <cell r="DE164">
            <v>0</v>
          </cell>
          <cell r="DF164">
            <v>0</v>
          </cell>
          <cell r="DH164">
            <v>15.878213912974932</v>
          </cell>
          <cell r="DI164">
            <v>346287.60450000002</v>
          </cell>
          <cell r="DJ164">
            <v>0.09</v>
          </cell>
          <cell r="DK164" t="str">
            <v>N/A</v>
          </cell>
          <cell r="DL164">
            <v>0.08</v>
          </cell>
          <cell r="DM164">
            <v>15.979388350211391</v>
          </cell>
          <cell r="DN164">
            <v>2640236.393202404</v>
          </cell>
          <cell r="DO164">
            <v>149149.52289790558</v>
          </cell>
          <cell r="DP164">
            <v>157133.46326379493</v>
          </cell>
          <cell r="DQ164">
            <v>160367.18420091877</v>
          </cell>
          <cell r="DR164">
            <v>-16017.494263644796</v>
          </cell>
          <cell r="DS164">
            <v>0</v>
          </cell>
          <cell r="DT164">
            <v>0</v>
          </cell>
          <cell r="DU164">
            <v>0</v>
          </cell>
          <cell r="DW164">
            <v>15.878213912974932</v>
          </cell>
          <cell r="DX164">
            <v>369020.28628664883</v>
          </cell>
          <cell r="DY164">
            <v>0.09</v>
          </cell>
          <cell r="DZ164" t="str">
            <v>N/A</v>
          </cell>
          <cell r="EA164">
            <v>0.08</v>
          </cell>
          <cell r="EB164">
            <v>15.979388350211391</v>
          </cell>
          <cell r="EC164">
            <v>4776832.9881149763</v>
          </cell>
          <cell r="ED164">
            <v>337894.65655720554</v>
          </cell>
          <cell r="EE164">
            <v>415606.61657183705</v>
          </cell>
          <cell r="EF164">
            <v>343727.2795192661</v>
          </cell>
          <cell r="EG164">
            <v>-44557.065866734833</v>
          </cell>
          <cell r="EH164">
            <v>0</v>
          </cell>
          <cell r="EI164">
            <v>0</v>
          </cell>
          <cell r="EJ164">
            <v>47683.988114976324</v>
          </cell>
          <cell r="EL164">
            <v>15.878213912974932</v>
          </cell>
          <cell r="EM164">
            <v>1378375.4150453191</v>
          </cell>
          <cell r="EN164">
            <v>0.08</v>
          </cell>
          <cell r="EO164" t="str">
            <v>N/A</v>
          </cell>
          <cell r="EP164">
            <v>0.08</v>
          </cell>
          <cell r="EQ164">
            <v>1.5322909853893134</v>
          </cell>
          <cell r="ER164">
            <v>6922879.0702072326</v>
          </cell>
          <cell r="ES164">
            <v>1692590.1351317563</v>
          </cell>
          <cell r="ET164">
            <v>2896252.4160000011</v>
          </cell>
          <cell r="EU164">
            <v>1782000.2057444272</v>
          </cell>
          <cell r="EV164">
            <v>-7238.9297927673906</v>
          </cell>
          <cell r="EW164">
            <v>0</v>
          </cell>
          <cell r="EX164">
            <v>0</v>
          </cell>
          <cell r="EY164">
            <v>0</v>
          </cell>
          <cell r="FA164">
            <v>15.878213912974932</v>
          </cell>
          <cell r="FB164">
            <v>707887.5</v>
          </cell>
          <cell r="FC164">
            <v>0.08</v>
          </cell>
          <cell r="FD164" t="str">
            <v>N/A</v>
          </cell>
          <cell r="FE164">
            <v>0.08</v>
          </cell>
          <cell r="FF164">
            <v>15.626116575345371</v>
          </cell>
          <cell r="FG164">
            <v>9215775.4020073265</v>
          </cell>
          <cell r="FH164">
            <v>976612.8180168604</v>
          </cell>
          <cell r="FI164">
            <v>1443897.5349999748</v>
          </cell>
          <cell r="FJ164">
            <v>1074274.0998185466</v>
          </cell>
          <cell r="FK164">
            <v>610177.40200732648</v>
          </cell>
          <cell r="FL164">
            <v>0</v>
          </cell>
          <cell r="FM164">
            <v>0</v>
          </cell>
          <cell r="FN164">
            <v>0</v>
          </cell>
        </row>
        <row r="165">
          <cell r="C165" t="str">
            <v>A0070</v>
          </cell>
          <cell r="D165" t="str">
            <v>PT GS Battery</v>
          </cell>
          <cell r="E165" t="str">
            <v>PEB 2</v>
          </cell>
          <cell r="G165">
            <v>0</v>
          </cell>
          <cell r="H165">
            <v>0</v>
          </cell>
          <cell r="T165">
            <v>0</v>
          </cell>
        </row>
        <row r="166">
          <cell r="C166" t="str">
            <v>A0070</v>
          </cell>
          <cell r="D166" t="str">
            <v>PT GS Battery</v>
          </cell>
          <cell r="E166" t="str">
            <v>PEB 3</v>
          </cell>
          <cell r="G166">
            <v>6.5541293552357205</v>
          </cell>
          <cell r="H166">
            <v>379751.14439540077</v>
          </cell>
          <cell r="I166">
            <v>0.08</v>
          </cell>
          <cell r="J166" t="str">
            <v>N/A</v>
          </cell>
          <cell r="K166">
            <v>0.08</v>
          </cell>
          <cell r="L166">
            <v>6.4340989358096703</v>
          </cell>
          <cell r="M166">
            <v>365126.34898892755</v>
          </cell>
          <cell r="N166">
            <v>17176.473705723838</v>
          </cell>
          <cell r="O166">
            <v>2873.0596726387157</v>
          </cell>
          <cell r="P166">
            <v>18441.617001310035</v>
          </cell>
          <cell r="Q166">
            <v>77653.348988927552</v>
          </cell>
          <cell r="R166">
            <v>0</v>
          </cell>
          <cell r="S166">
            <v>0</v>
          </cell>
          <cell r="T166">
            <v>0</v>
          </cell>
        </row>
        <row r="167">
          <cell r="C167" t="str">
            <v>A0070</v>
          </cell>
          <cell r="D167" t="str">
            <v>PT GS Battery</v>
          </cell>
          <cell r="E167" t="str">
            <v>PEB 4</v>
          </cell>
          <cell r="G167">
            <v>18.57006738453499</v>
          </cell>
          <cell r="H167">
            <v>42088.265980000026</v>
          </cell>
          <cell r="I167">
            <v>0.09</v>
          </cell>
          <cell r="J167" t="str">
            <v>N/A</v>
          </cell>
          <cell r="K167">
            <v>0.08</v>
          </cell>
          <cell r="L167">
            <v>18.523629094858894</v>
          </cell>
          <cell r="M167">
            <v>2413451.5515801581</v>
          </cell>
          <cell r="N167">
            <v>284455.4155817646</v>
          </cell>
          <cell r="O167">
            <v>0</v>
          </cell>
          <cell r="P167">
            <v>310056.40298412368</v>
          </cell>
          <cell r="Q167">
            <v>-104160.44841984194</v>
          </cell>
          <cell r="R167">
            <v>0</v>
          </cell>
          <cell r="S167">
            <v>0</v>
          </cell>
          <cell r="T167">
            <v>0</v>
          </cell>
        </row>
        <row r="168">
          <cell r="C168" t="str">
            <v>A0070</v>
          </cell>
          <cell r="D168" t="str">
            <v>PT GS Battery</v>
          </cell>
          <cell r="E168" t="str">
            <v>PEB 5</v>
          </cell>
          <cell r="G168">
            <v>0</v>
          </cell>
          <cell r="H168">
            <v>0</v>
          </cell>
          <cell r="T168">
            <v>0</v>
          </cell>
        </row>
        <row r="169">
          <cell r="C169" t="str">
            <v>A0070</v>
          </cell>
          <cell r="D169" t="str">
            <v>PT GS Battery</v>
          </cell>
          <cell r="E169" t="str">
            <v>PEB 6</v>
          </cell>
          <cell r="G169">
            <v>0</v>
          </cell>
          <cell r="H169">
            <v>0</v>
          </cell>
          <cell r="T169">
            <v>0</v>
          </cell>
        </row>
        <row r="170">
          <cell r="C170" t="str">
            <v>A0070</v>
          </cell>
          <cell r="D170" t="str">
            <v>PT GS Battery</v>
          </cell>
          <cell r="E170" t="str">
            <v>PEB 7</v>
          </cell>
          <cell r="G170">
            <v>15.878213912974932</v>
          </cell>
          <cell r="H170">
            <v>168879.08887442717</v>
          </cell>
          <cell r="I170">
            <v>0.08</v>
          </cell>
          <cell r="J170" t="str">
            <v>N/A</v>
          </cell>
          <cell r="K170">
            <v>0.08</v>
          </cell>
          <cell r="L170">
            <v>15.979388350211391</v>
          </cell>
          <cell r="M170">
            <v>1648852.6684266222</v>
          </cell>
          <cell r="N170">
            <v>140169.84691581037</v>
          </cell>
          <cell r="O170">
            <v>190404.55267281545</v>
          </cell>
          <cell r="P170">
            <v>136169.53371868317</v>
          </cell>
          <cell r="Q170">
            <v>77609.668426622171</v>
          </cell>
          <cell r="R170">
            <v>0</v>
          </cell>
          <cell r="S170">
            <v>0</v>
          </cell>
          <cell r="T170">
            <v>0</v>
          </cell>
        </row>
        <row r="171">
          <cell r="C171" t="str">
            <v>A0070</v>
          </cell>
          <cell r="D171" t="str">
            <v>PT GS Battery</v>
          </cell>
          <cell r="E171" t="str">
            <v>MPP</v>
          </cell>
          <cell r="G171">
            <v>15.878213912974932</v>
          </cell>
          <cell r="H171">
            <v>346287.60450000002</v>
          </cell>
          <cell r="I171">
            <v>0.09</v>
          </cell>
          <cell r="J171" t="str">
            <v>N/A</v>
          </cell>
          <cell r="K171">
            <v>0.08</v>
          </cell>
          <cell r="L171">
            <v>15.979388350211391</v>
          </cell>
          <cell r="M171">
            <v>2640236.393202404</v>
          </cell>
          <cell r="N171">
            <v>149149.52289790558</v>
          </cell>
          <cell r="O171">
            <v>157133.46326379493</v>
          </cell>
          <cell r="P171">
            <v>160367.18420091877</v>
          </cell>
          <cell r="Q171">
            <v>-16017.494263644796</v>
          </cell>
          <cell r="R171">
            <v>0</v>
          </cell>
          <cell r="S171">
            <v>0</v>
          </cell>
          <cell r="T171">
            <v>0</v>
          </cell>
        </row>
        <row r="172">
          <cell r="C172" t="str">
            <v>A0070</v>
          </cell>
          <cell r="D172" t="str">
            <v>PT GS Battery</v>
          </cell>
          <cell r="E172" t="str">
            <v>ID</v>
          </cell>
          <cell r="G172">
            <v>15.878213912974932</v>
          </cell>
          <cell r="H172">
            <v>369020.28628664883</v>
          </cell>
          <cell r="I172">
            <v>0.09</v>
          </cell>
          <cell r="J172" t="str">
            <v>N/A</v>
          </cell>
          <cell r="K172">
            <v>0.08</v>
          </cell>
          <cell r="L172">
            <v>15.979388350211391</v>
          </cell>
          <cell r="M172">
            <v>4776832.9881149763</v>
          </cell>
          <cell r="N172">
            <v>337894.65655720554</v>
          </cell>
          <cell r="O172">
            <v>415606.61657183705</v>
          </cell>
          <cell r="P172">
            <v>343727.2795192661</v>
          </cell>
          <cell r="Q172">
            <v>-44557.065866734833</v>
          </cell>
          <cell r="R172">
            <v>0</v>
          </cell>
          <cell r="S172">
            <v>0</v>
          </cell>
          <cell r="T172">
            <v>47683.988114976324</v>
          </cell>
        </row>
        <row r="173">
          <cell r="C173" t="str">
            <v>A0070</v>
          </cell>
          <cell r="D173" t="str">
            <v>PT GS Battery</v>
          </cell>
          <cell r="E173" t="str">
            <v>LL</v>
          </cell>
          <cell r="G173">
            <v>15.878213912974932</v>
          </cell>
          <cell r="H173">
            <v>1378375.4150453191</v>
          </cell>
          <cell r="I173">
            <v>0.08</v>
          </cell>
          <cell r="J173" t="str">
            <v>N/A</v>
          </cell>
          <cell r="K173">
            <v>0.08</v>
          </cell>
          <cell r="L173">
            <v>1.5322909853893134</v>
          </cell>
          <cell r="M173">
            <v>6922879.0702072326</v>
          </cell>
          <cell r="N173">
            <v>1692590.1351317563</v>
          </cell>
          <cell r="O173">
            <v>2896252.4160000011</v>
          </cell>
          <cell r="P173">
            <v>1782000.2057444272</v>
          </cell>
          <cell r="Q173">
            <v>-7238.9297927673906</v>
          </cell>
          <cell r="T173">
            <v>0</v>
          </cell>
        </row>
        <row r="174">
          <cell r="C174" t="str">
            <v>A0070</v>
          </cell>
          <cell r="D174" t="str">
            <v>PT GS Battery</v>
          </cell>
          <cell r="E174" t="str">
            <v>PMK</v>
          </cell>
          <cell r="G174">
            <v>15.878213912974932</v>
          </cell>
          <cell r="H174">
            <v>707887.5</v>
          </cell>
          <cell r="I174">
            <v>0.08</v>
          </cell>
          <cell r="J174" t="str">
            <v>N/A</v>
          </cell>
          <cell r="K174">
            <v>0.08</v>
          </cell>
          <cell r="L174">
            <v>15.626116575345371</v>
          </cell>
          <cell r="M174">
            <v>9215775.4020073265</v>
          </cell>
          <cell r="N174">
            <v>976612.8180168604</v>
          </cell>
          <cell r="O174">
            <v>1443897.5349999748</v>
          </cell>
          <cell r="P174">
            <v>1074274.0998185466</v>
          </cell>
          <cell r="Q174">
            <v>610177.40200732648</v>
          </cell>
          <cell r="T174">
            <v>0</v>
          </cell>
        </row>
        <row r="176">
          <cell r="C176" t="str">
            <v>A0084</v>
          </cell>
          <cell r="D176" t="str">
            <v>PT Kayaba Indonesia</v>
          </cell>
          <cell r="E176" t="str">
            <v>PEB 1</v>
          </cell>
          <cell r="G176">
            <v>5.372031893986339</v>
          </cell>
          <cell r="H176">
            <v>4260466.1628342913</v>
          </cell>
          <cell r="I176">
            <v>0.08</v>
          </cell>
          <cell r="J176">
            <v>0.1</v>
          </cell>
          <cell r="K176">
            <v>0.08</v>
          </cell>
          <cell r="L176">
            <v>5.4085924099395246</v>
          </cell>
          <cell r="M176">
            <v>24844517.183117498</v>
          </cell>
          <cell r="N176">
            <v>923698</v>
          </cell>
          <cell r="O176">
            <v>6209069</v>
          </cell>
          <cell r="P176">
            <v>827027</v>
          </cell>
          <cell r="Q176">
            <v>714504</v>
          </cell>
          <cell r="R176">
            <v>0</v>
          </cell>
          <cell r="S176">
            <v>0</v>
          </cell>
          <cell r="T176">
            <v>0</v>
          </cell>
          <cell r="V176">
            <v>17.608314825173132</v>
          </cell>
          <cell r="W176">
            <v>706522.74</v>
          </cell>
          <cell r="X176">
            <v>0.09</v>
          </cell>
          <cell r="Y176" t="str">
            <v>N/A</v>
          </cell>
          <cell r="Z176">
            <v>0.08</v>
          </cell>
          <cell r="AA176">
            <v>18.444753611890288</v>
          </cell>
          <cell r="AB176">
            <v>8645553.4053856507</v>
          </cell>
          <cell r="AC176">
            <v>629391.00259513233</v>
          </cell>
          <cell r="AD176">
            <v>969053.89114448836</v>
          </cell>
          <cell r="AE176">
            <v>673510.91500147164</v>
          </cell>
          <cell r="AF176">
            <v>115994.40538565069</v>
          </cell>
          <cell r="AG176">
            <v>0</v>
          </cell>
          <cell r="AH176">
            <v>0</v>
          </cell>
          <cell r="AI176">
            <v>0</v>
          </cell>
          <cell r="AK176">
            <v>5.372031893986339</v>
          </cell>
          <cell r="AL176">
            <v>60354.419558666763</v>
          </cell>
          <cell r="AM176">
            <v>0.08</v>
          </cell>
          <cell r="AN176" t="str">
            <v>N/A</v>
          </cell>
          <cell r="AO176">
            <v>0.08</v>
          </cell>
          <cell r="AP176">
            <v>5.4224727596363866</v>
          </cell>
          <cell r="AQ176">
            <v>600726.78585362749</v>
          </cell>
          <cell r="AR176">
            <v>27990.001162049964</v>
          </cell>
          <cell r="AS176">
            <v>41650.389507781918</v>
          </cell>
          <cell r="AT176">
            <v>29585.310765040191</v>
          </cell>
          <cell r="AU176">
            <v>83274.785853627487</v>
          </cell>
          <cell r="AV176">
            <v>0</v>
          </cell>
          <cell r="AW176">
            <v>0</v>
          </cell>
          <cell r="AX176">
            <v>0</v>
          </cell>
          <cell r="AZ176">
            <v>19.49655340947815</v>
          </cell>
          <cell r="BA176">
            <v>44829.120660000008</v>
          </cell>
          <cell r="BB176">
            <v>0.09</v>
          </cell>
          <cell r="BC176" t="str">
            <v>N/A</v>
          </cell>
          <cell r="BD176">
            <v>0.08</v>
          </cell>
          <cell r="BE176">
            <v>20.004714338983248</v>
          </cell>
          <cell r="BF176">
            <v>3027464.5137373898</v>
          </cell>
          <cell r="BG176">
            <v>370098.39341933175</v>
          </cell>
          <cell r="BH176">
            <v>81810.201057943501</v>
          </cell>
          <cell r="BI176">
            <v>403407.24882707174</v>
          </cell>
          <cell r="BJ176">
            <v>-135463.48626261018</v>
          </cell>
          <cell r="BK176">
            <v>0</v>
          </cell>
          <cell r="BL176">
            <v>0</v>
          </cell>
          <cell r="BM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S176">
            <v>17.608314825173132</v>
          </cell>
          <cell r="CT176">
            <v>81866</v>
          </cell>
          <cell r="CU176">
            <v>0.08</v>
          </cell>
          <cell r="CV176" t="str">
            <v>N/A</v>
          </cell>
          <cell r="CW176">
            <v>0.08</v>
          </cell>
          <cell r="CX176">
            <v>18.444753611890288</v>
          </cell>
          <cell r="CY176">
            <v>824089.19230510737</v>
          </cell>
          <cell r="CZ176">
            <v>128584.93941268619</v>
          </cell>
          <cell r="DA176">
            <v>128349.08276192896</v>
          </cell>
          <cell r="DB176">
            <v>130809.26218338263</v>
          </cell>
          <cell r="DC176">
            <v>31891.192305107368</v>
          </cell>
          <cell r="DD176">
            <v>0</v>
          </cell>
          <cell r="DE176">
            <v>0</v>
          </cell>
          <cell r="DF176">
            <v>23635.452961522504</v>
          </cell>
          <cell r="DH176">
            <v>17.608314825173132</v>
          </cell>
          <cell r="DI176">
            <v>133416.65400000001</v>
          </cell>
          <cell r="DJ176">
            <v>0.09</v>
          </cell>
          <cell r="DK176" t="str">
            <v>N/A</v>
          </cell>
          <cell r="DL176">
            <v>0.08</v>
          </cell>
          <cell r="DM176">
            <v>18.444753611890288</v>
          </cell>
          <cell r="DN176">
            <v>1547610.2712778798</v>
          </cell>
          <cell r="DO176">
            <v>104091.5464494553</v>
          </cell>
          <cell r="DP176">
            <v>219439.39372207239</v>
          </cell>
          <cell r="DQ176">
            <v>109221.2193945153</v>
          </cell>
          <cell r="DR176">
            <v>-9850.7287221201696</v>
          </cell>
          <cell r="DS176">
            <v>0</v>
          </cell>
          <cell r="DT176">
            <v>0</v>
          </cell>
          <cell r="DU176">
            <v>0</v>
          </cell>
          <cell r="DW176">
            <v>17.608314825173132</v>
          </cell>
          <cell r="DX176">
            <v>276886.00298063114</v>
          </cell>
          <cell r="DY176">
            <v>0.09</v>
          </cell>
          <cell r="DZ176" t="str">
            <v>N/A</v>
          </cell>
          <cell r="EA176">
            <v>0.08</v>
          </cell>
          <cell r="EB176">
            <v>18.444753611890288</v>
          </cell>
          <cell r="EC176">
            <v>3237224.1055655521</v>
          </cell>
          <cell r="ED176">
            <v>330547.47929382185</v>
          </cell>
          <cell r="EE176">
            <v>277625.57749796461</v>
          </cell>
          <cell r="EF176">
            <v>349437.53353391541</v>
          </cell>
          <cell r="EG176">
            <v>-32429.98789176112</v>
          </cell>
          <cell r="EH176">
            <v>0</v>
          </cell>
          <cell r="EI176">
            <v>0</v>
          </cell>
          <cell r="EJ176">
            <v>0</v>
          </cell>
          <cell r="EL176">
            <v>17.608314825173132</v>
          </cell>
          <cell r="EM176">
            <v>949711.01897504111</v>
          </cell>
          <cell r="EN176">
            <v>0.08</v>
          </cell>
          <cell r="EO176" t="str">
            <v>N/A</v>
          </cell>
          <cell r="EP176">
            <v>0.08</v>
          </cell>
          <cell r="EQ176">
            <v>1.8910442940736527</v>
          </cell>
          <cell r="ER176">
            <v>3873975.1194513706</v>
          </cell>
          <cell r="ES176">
            <v>1086049.7397894445</v>
          </cell>
          <cell r="ET176">
            <v>1151920.0728000002</v>
          </cell>
          <cell r="EU176">
            <v>1138130.6447329836</v>
          </cell>
          <cell r="EV176">
            <v>1131.1194513705559</v>
          </cell>
          <cell r="EW176">
            <v>0</v>
          </cell>
          <cell r="EX176">
            <v>0</v>
          </cell>
          <cell r="EY176">
            <v>0</v>
          </cell>
          <cell r="FA176">
            <v>17.608314825173132</v>
          </cell>
          <cell r="FB176">
            <v>214325</v>
          </cell>
          <cell r="FC176">
            <v>0.08</v>
          </cell>
          <cell r="FD176" t="str">
            <v>N/A</v>
          </cell>
          <cell r="FE176">
            <v>0.08</v>
          </cell>
          <cell r="FF176">
            <v>18.141502472528643</v>
          </cell>
          <cell r="FG176">
            <v>3144807.9227520968</v>
          </cell>
          <cell r="FH176">
            <v>497976.28358894796</v>
          </cell>
          <cell r="FI176">
            <v>470440</v>
          </cell>
          <cell r="FJ176">
            <v>547773.9119478428</v>
          </cell>
          <cell r="FK176">
            <v>335452.92275209678</v>
          </cell>
          <cell r="FL176">
            <v>0</v>
          </cell>
          <cell r="FM176">
            <v>0</v>
          </cell>
          <cell r="FN176">
            <v>1082515.9520832656</v>
          </cell>
        </row>
        <row r="177">
          <cell r="C177" t="str">
            <v>A0084</v>
          </cell>
          <cell r="D177" t="str">
            <v>PT Kayaba Indonesia</v>
          </cell>
          <cell r="E177" t="str">
            <v>PEB 2</v>
          </cell>
          <cell r="G177">
            <v>17.608314825173132</v>
          </cell>
          <cell r="H177">
            <v>706522.74</v>
          </cell>
          <cell r="I177">
            <v>0.09</v>
          </cell>
          <cell r="J177" t="str">
            <v>N/A</v>
          </cell>
          <cell r="K177">
            <v>0.08</v>
          </cell>
          <cell r="L177">
            <v>18.444753611890288</v>
          </cell>
          <cell r="M177">
            <v>8645553.4053856507</v>
          </cell>
          <cell r="N177">
            <v>629391.00259513233</v>
          </cell>
          <cell r="O177">
            <v>969053.89114448836</v>
          </cell>
          <cell r="P177">
            <v>673510.91500147164</v>
          </cell>
          <cell r="Q177">
            <v>115994.40538565069</v>
          </cell>
          <cell r="R177">
            <v>0</v>
          </cell>
          <cell r="S177">
            <v>0</v>
          </cell>
          <cell r="T177">
            <v>0</v>
          </cell>
        </row>
        <row r="178">
          <cell r="C178" t="str">
            <v>A0084</v>
          </cell>
          <cell r="D178" t="str">
            <v>PT Kayaba Indonesia</v>
          </cell>
          <cell r="E178" t="str">
            <v>PEB 3</v>
          </cell>
          <cell r="G178">
            <v>5.372031893986339</v>
          </cell>
          <cell r="H178">
            <v>60354.419558666763</v>
          </cell>
          <cell r="I178">
            <v>0.08</v>
          </cell>
          <cell r="J178" t="str">
            <v>N/A</v>
          </cell>
          <cell r="K178">
            <v>0.08</v>
          </cell>
          <cell r="L178">
            <v>5.4224727596363866</v>
          </cell>
          <cell r="M178">
            <v>600726.78585362749</v>
          </cell>
          <cell r="N178">
            <v>27990.001162049964</v>
          </cell>
          <cell r="O178">
            <v>41650.389507781918</v>
          </cell>
          <cell r="P178">
            <v>29585.310765040191</v>
          </cell>
          <cell r="Q178">
            <v>83274.785853627487</v>
          </cell>
          <cell r="R178">
            <v>0</v>
          </cell>
          <cell r="S178">
            <v>0</v>
          </cell>
          <cell r="T178">
            <v>0</v>
          </cell>
        </row>
        <row r="179">
          <cell r="C179" t="str">
            <v>A0084</v>
          </cell>
          <cell r="D179" t="str">
            <v>PT Kayaba Indonesia</v>
          </cell>
          <cell r="E179" t="str">
            <v>PEB 4</v>
          </cell>
          <cell r="G179">
            <v>19.49655340947815</v>
          </cell>
          <cell r="H179">
            <v>44829.120660000008</v>
          </cell>
          <cell r="I179">
            <v>0.09</v>
          </cell>
          <cell r="J179" t="str">
            <v>N/A</v>
          </cell>
          <cell r="K179">
            <v>0.08</v>
          </cell>
          <cell r="L179">
            <v>20.004714338983248</v>
          </cell>
          <cell r="M179">
            <v>3027464.5137373898</v>
          </cell>
          <cell r="N179">
            <v>370098.39341933175</v>
          </cell>
          <cell r="O179">
            <v>81810.201057943501</v>
          </cell>
          <cell r="P179">
            <v>403407.24882707174</v>
          </cell>
          <cell r="Q179">
            <v>-135463.48626261018</v>
          </cell>
          <cell r="R179">
            <v>0</v>
          </cell>
          <cell r="S179">
            <v>0</v>
          </cell>
          <cell r="T179">
            <v>0</v>
          </cell>
        </row>
        <row r="180">
          <cell r="C180" t="str">
            <v>A0084</v>
          </cell>
          <cell r="D180" t="str">
            <v>PT Kayaba Indonesia</v>
          </cell>
          <cell r="E180" t="str">
            <v>PEB 5</v>
          </cell>
          <cell r="G180">
            <v>0</v>
          </cell>
          <cell r="H180">
            <v>0</v>
          </cell>
          <cell r="T180">
            <v>0</v>
          </cell>
        </row>
        <row r="181">
          <cell r="C181" t="str">
            <v>A0084</v>
          </cell>
          <cell r="D181" t="str">
            <v>PT Kayaba Indonesia</v>
          </cell>
          <cell r="E181" t="str">
            <v>PEB 6</v>
          </cell>
          <cell r="G181">
            <v>0</v>
          </cell>
          <cell r="H181">
            <v>0</v>
          </cell>
          <cell r="T181">
            <v>0</v>
          </cell>
        </row>
        <row r="182">
          <cell r="C182" t="str">
            <v>A0084</v>
          </cell>
          <cell r="D182" t="str">
            <v>PT Kayaba Indonesia</v>
          </cell>
          <cell r="E182" t="str">
            <v>PEB 7</v>
          </cell>
          <cell r="G182">
            <v>17.608314825173132</v>
          </cell>
          <cell r="H182">
            <v>81866</v>
          </cell>
          <cell r="I182">
            <v>0.08</v>
          </cell>
          <cell r="J182" t="str">
            <v>N/A</v>
          </cell>
          <cell r="K182">
            <v>0.08</v>
          </cell>
          <cell r="L182">
            <v>18.444753611890288</v>
          </cell>
          <cell r="M182">
            <v>824089.19230510737</v>
          </cell>
          <cell r="N182">
            <v>128584.93941268619</v>
          </cell>
          <cell r="O182">
            <v>128349.08276192896</v>
          </cell>
          <cell r="P182">
            <v>130809.26218338263</v>
          </cell>
          <cell r="Q182">
            <v>31891.192305107368</v>
          </cell>
          <cell r="R182">
            <v>0</v>
          </cell>
          <cell r="S182">
            <v>0</v>
          </cell>
          <cell r="T182">
            <v>23635.452961522504</v>
          </cell>
        </row>
        <row r="183">
          <cell r="C183" t="str">
            <v>A0084</v>
          </cell>
          <cell r="D183" t="str">
            <v>PT Kayaba Indonesia</v>
          </cell>
          <cell r="E183" t="str">
            <v>MPP</v>
          </cell>
          <cell r="G183">
            <v>17.608314825173132</v>
          </cell>
          <cell r="H183">
            <v>133416.65400000001</v>
          </cell>
          <cell r="I183">
            <v>0.09</v>
          </cell>
          <cell r="J183" t="str">
            <v>N/A</v>
          </cell>
          <cell r="K183">
            <v>0.08</v>
          </cell>
          <cell r="L183">
            <v>18.444753611890288</v>
          </cell>
          <cell r="M183">
            <v>1547610.2712778798</v>
          </cell>
          <cell r="N183">
            <v>104091.5464494553</v>
          </cell>
          <cell r="O183">
            <v>219439.39372207239</v>
          </cell>
          <cell r="P183">
            <v>109221.2193945153</v>
          </cell>
          <cell r="Q183">
            <v>-9850.7287221201696</v>
          </cell>
          <cell r="R183">
            <v>0</v>
          </cell>
          <cell r="S183">
            <v>0</v>
          </cell>
          <cell r="T183">
            <v>0</v>
          </cell>
        </row>
        <row r="184">
          <cell r="C184" t="str">
            <v>A0084</v>
          </cell>
          <cell r="D184" t="str">
            <v>PT Kayaba Indonesia</v>
          </cell>
          <cell r="E184" t="str">
            <v>ID</v>
          </cell>
          <cell r="G184">
            <v>17.608314825173132</v>
          </cell>
          <cell r="H184">
            <v>276886.00298063114</v>
          </cell>
          <cell r="I184">
            <v>0.09</v>
          </cell>
          <cell r="J184" t="str">
            <v>N/A</v>
          </cell>
          <cell r="K184">
            <v>0.08</v>
          </cell>
          <cell r="L184">
            <v>18.444753611890288</v>
          </cell>
          <cell r="M184">
            <v>3237224.1055655521</v>
          </cell>
          <cell r="N184">
            <v>330547.47929382185</v>
          </cell>
          <cell r="O184">
            <v>277625.57749796461</v>
          </cell>
          <cell r="P184">
            <v>349437.53353391541</v>
          </cell>
          <cell r="Q184">
            <v>-32429.98789176112</v>
          </cell>
          <cell r="R184">
            <v>0</v>
          </cell>
          <cell r="S184">
            <v>0</v>
          </cell>
          <cell r="T184">
            <v>0</v>
          </cell>
        </row>
        <row r="185">
          <cell r="C185" t="str">
            <v>A0084</v>
          </cell>
          <cell r="D185" t="str">
            <v>PT Kayaba Indonesia</v>
          </cell>
          <cell r="E185" t="str">
            <v>LL</v>
          </cell>
          <cell r="G185">
            <v>17.608314825173132</v>
          </cell>
          <cell r="H185">
            <v>949711.01897504111</v>
          </cell>
          <cell r="I185">
            <v>0.08</v>
          </cell>
          <cell r="J185" t="str">
            <v>N/A</v>
          </cell>
          <cell r="K185">
            <v>0.08</v>
          </cell>
          <cell r="L185">
            <v>1.8910442940736527</v>
          </cell>
          <cell r="M185">
            <v>3873975.1194513706</v>
          </cell>
          <cell r="N185">
            <v>1086049.7397894445</v>
          </cell>
          <cell r="O185">
            <v>1151920.0728000002</v>
          </cell>
          <cell r="P185">
            <v>1138130.6447329836</v>
          </cell>
          <cell r="Q185">
            <v>1131.1194513705559</v>
          </cell>
          <cell r="T185">
            <v>0</v>
          </cell>
        </row>
        <row r="186">
          <cell r="C186" t="str">
            <v>A0084</v>
          </cell>
          <cell r="D186" t="str">
            <v>PT Kayaba Indonesia</v>
          </cell>
          <cell r="E186" t="str">
            <v>PMK</v>
          </cell>
          <cell r="G186">
            <v>17.608314825173132</v>
          </cell>
          <cell r="H186">
            <v>214325</v>
          </cell>
          <cell r="I186">
            <v>0.08</v>
          </cell>
          <cell r="J186" t="str">
            <v>N/A</v>
          </cell>
          <cell r="K186">
            <v>0.08</v>
          </cell>
          <cell r="L186">
            <v>18.141502472528643</v>
          </cell>
          <cell r="M186">
            <v>3144807.9227520968</v>
          </cell>
          <cell r="N186">
            <v>497976.28358894796</v>
          </cell>
          <cell r="O186">
            <v>470440</v>
          </cell>
          <cell r="P186">
            <v>547773.9119478428</v>
          </cell>
          <cell r="Q186">
            <v>335452.92275209678</v>
          </cell>
          <cell r="T186">
            <v>1082515.9520832656</v>
          </cell>
        </row>
        <row r="188">
          <cell r="C188" t="str">
            <v>A0038</v>
          </cell>
          <cell r="D188" t="str">
            <v>PT AT Indonesia</v>
          </cell>
          <cell r="E188" t="str">
            <v>PEB 1</v>
          </cell>
          <cell r="G188">
            <v>10.149362033162571</v>
          </cell>
          <cell r="H188">
            <v>211425.12214899692</v>
          </cell>
          <cell r="I188">
            <v>0.08</v>
          </cell>
          <cell r="J188">
            <v>0.1</v>
          </cell>
          <cell r="K188">
            <v>0.08</v>
          </cell>
          <cell r="L188">
            <v>9.8098531250939409</v>
          </cell>
          <cell r="M188">
            <v>7717711</v>
          </cell>
          <cell r="N188">
            <v>335296</v>
          </cell>
          <cell r="O188">
            <v>61076</v>
          </cell>
          <cell r="P188">
            <v>359670</v>
          </cell>
          <cell r="Q188">
            <v>528388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10.149362033162571</v>
          </cell>
          <cell r="AL188">
            <v>0</v>
          </cell>
          <cell r="AM188">
            <v>0.08</v>
          </cell>
          <cell r="AN188" t="str">
            <v>N/A</v>
          </cell>
          <cell r="AO188">
            <v>0.08</v>
          </cell>
          <cell r="AP188">
            <v>9.8942702614032552</v>
          </cell>
          <cell r="AQ188">
            <v>282593.07334449922</v>
          </cell>
          <cell r="AR188">
            <v>14116.235778392867</v>
          </cell>
          <cell r="AS188">
            <v>0</v>
          </cell>
          <cell r="AT188">
            <v>15245.5346406643</v>
          </cell>
          <cell r="AU188">
            <v>27862.073344499222</v>
          </cell>
          <cell r="AV188">
            <v>0</v>
          </cell>
          <cell r="AW188">
            <v>0</v>
          </cell>
          <cell r="AX188">
            <v>0</v>
          </cell>
          <cell r="AZ188">
            <v>19.685238163615434</v>
          </cell>
          <cell r="BA188">
            <v>0</v>
          </cell>
          <cell r="BB188">
            <v>0.09</v>
          </cell>
          <cell r="BC188" t="str">
            <v>N/A</v>
          </cell>
          <cell r="BD188">
            <v>0.08</v>
          </cell>
          <cell r="BE188">
            <v>19.399282090744613</v>
          </cell>
          <cell r="BF188">
            <v>1313041.631828954</v>
          </cell>
          <cell r="BG188">
            <v>132555.61625074965</v>
          </cell>
          <cell r="BH188">
            <v>0</v>
          </cell>
          <cell r="BI188">
            <v>144485.62171331714</v>
          </cell>
          <cell r="BJ188">
            <v>-38331.368171046022</v>
          </cell>
          <cell r="BK188">
            <v>0</v>
          </cell>
          <cell r="BL188">
            <v>0</v>
          </cell>
          <cell r="BM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H188">
            <v>18.656035673764805</v>
          </cell>
          <cell r="DI188">
            <v>5953.1985000000004</v>
          </cell>
          <cell r="DJ188">
            <v>0.09</v>
          </cell>
          <cell r="DK188" t="str">
            <v>N/A</v>
          </cell>
          <cell r="DL188">
            <v>0.08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W188">
            <v>18.656035673764805</v>
          </cell>
          <cell r="DX188">
            <v>68797.103268352468</v>
          </cell>
          <cell r="DY188">
            <v>0.09</v>
          </cell>
          <cell r="DZ188" t="str">
            <v>N/A</v>
          </cell>
          <cell r="EA188">
            <v>0.08</v>
          </cell>
          <cell r="EB188">
            <v>18.389900303557919</v>
          </cell>
          <cell r="EC188">
            <v>1450577.5011253408</v>
          </cell>
          <cell r="ED188">
            <v>125490.98973734445</v>
          </cell>
          <cell r="EE188">
            <v>92906.322119712786</v>
          </cell>
          <cell r="EF188">
            <v>129444.68685222551</v>
          </cell>
          <cell r="EG188">
            <v>-14566.498874659184</v>
          </cell>
          <cell r="EH188">
            <v>0</v>
          </cell>
          <cell r="EI188">
            <v>0</v>
          </cell>
          <cell r="EJ188">
            <v>125264.50112534082</v>
          </cell>
          <cell r="EL188">
            <v>18.656035673764805</v>
          </cell>
          <cell r="EM188">
            <v>557161.12079552677</v>
          </cell>
          <cell r="EN188">
            <v>0.08</v>
          </cell>
          <cell r="EO188" t="str">
            <v>N/A</v>
          </cell>
          <cell r="EP188">
            <v>0.08</v>
          </cell>
          <cell r="EQ188">
            <v>2.0182206830188427</v>
          </cell>
          <cell r="ER188">
            <v>1382914.6457653767</v>
          </cell>
          <cell r="ES188">
            <v>481039.27269191726</v>
          </cell>
          <cell r="ET188">
            <v>488552.25600000023</v>
          </cell>
          <cell r="EU188">
            <v>502807.74881934188</v>
          </cell>
          <cell r="EV188">
            <v>2389.6457653767429</v>
          </cell>
          <cell r="EW188">
            <v>0</v>
          </cell>
          <cell r="EX188">
            <v>0</v>
          </cell>
          <cell r="EY188">
            <v>0</v>
          </cell>
          <cell r="FA188">
            <v>18.656035673764805</v>
          </cell>
          <cell r="FB188">
            <v>150300</v>
          </cell>
          <cell r="FC188">
            <v>0.08</v>
          </cell>
          <cell r="FD188" t="str">
            <v>N/A</v>
          </cell>
          <cell r="FE188">
            <v>0.08</v>
          </cell>
          <cell r="FF188">
            <v>18.080256378858902</v>
          </cell>
          <cell r="FG188">
            <v>1371080.102289502</v>
          </cell>
          <cell r="FH188">
            <v>205566.92544809054</v>
          </cell>
          <cell r="FI188">
            <v>157622.5</v>
          </cell>
          <cell r="FJ188">
            <v>226123.61799289961</v>
          </cell>
          <cell r="FK188">
            <v>93854.102289502043</v>
          </cell>
          <cell r="FL188">
            <v>0</v>
          </cell>
          <cell r="FM188">
            <v>0</v>
          </cell>
          <cell r="FN188">
            <v>0</v>
          </cell>
        </row>
        <row r="189">
          <cell r="C189" t="str">
            <v>A0038</v>
          </cell>
          <cell r="D189" t="str">
            <v>PT AT Indonesia</v>
          </cell>
          <cell r="E189" t="str">
            <v>PEB 2</v>
          </cell>
          <cell r="G189">
            <v>0</v>
          </cell>
          <cell r="H189">
            <v>0</v>
          </cell>
          <cell r="T189">
            <v>0</v>
          </cell>
        </row>
        <row r="190">
          <cell r="C190" t="str">
            <v>A0038</v>
          </cell>
          <cell r="D190" t="str">
            <v>PT AT Indonesia</v>
          </cell>
          <cell r="E190" t="str">
            <v>PEB 3</v>
          </cell>
          <cell r="G190">
            <v>10.149362033162571</v>
          </cell>
          <cell r="H190">
            <v>0</v>
          </cell>
          <cell r="I190">
            <v>0.08</v>
          </cell>
          <cell r="J190" t="str">
            <v>N/A</v>
          </cell>
          <cell r="K190">
            <v>0.08</v>
          </cell>
          <cell r="L190">
            <v>9.8942702614032552</v>
          </cell>
          <cell r="M190">
            <v>282593.07334449922</v>
          </cell>
          <cell r="N190">
            <v>14116.235778392867</v>
          </cell>
          <cell r="O190">
            <v>0</v>
          </cell>
          <cell r="P190">
            <v>15245.5346406643</v>
          </cell>
          <cell r="Q190">
            <v>27862.073344499222</v>
          </cell>
          <cell r="R190">
            <v>0</v>
          </cell>
          <cell r="S190">
            <v>0</v>
          </cell>
          <cell r="T190">
            <v>0</v>
          </cell>
        </row>
        <row r="191">
          <cell r="C191" t="str">
            <v>A0038</v>
          </cell>
          <cell r="D191" t="str">
            <v>PT AT Indonesia</v>
          </cell>
          <cell r="E191" t="str">
            <v>PEB 4</v>
          </cell>
          <cell r="G191">
            <v>19.685238163615434</v>
          </cell>
          <cell r="H191">
            <v>0</v>
          </cell>
          <cell r="I191">
            <v>0.09</v>
          </cell>
          <cell r="J191" t="str">
            <v>N/A</v>
          </cell>
          <cell r="K191">
            <v>0.08</v>
          </cell>
          <cell r="L191">
            <v>19.399282090744613</v>
          </cell>
          <cell r="M191">
            <v>1313041.631828954</v>
          </cell>
          <cell r="N191">
            <v>132555.61625074965</v>
          </cell>
          <cell r="O191">
            <v>0</v>
          </cell>
          <cell r="P191">
            <v>144485.62171331714</v>
          </cell>
          <cell r="Q191">
            <v>-38331.368171046022</v>
          </cell>
          <cell r="R191">
            <v>0</v>
          </cell>
          <cell r="S191">
            <v>0</v>
          </cell>
          <cell r="T191">
            <v>0</v>
          </cell>
        </row>
        <row r="192">
          <cell r="C192" t="str">
            <v>A0038</v>
          </cell>
          <cell r="D192" t="str">
            <v>PT AT Indonesia</v>
          </cell>
          <cell r="E192" t="str">
            <v>PEB 5</v>
          </cell>
          <cell r="G192">
            <v>0</v>
          </cell>
          <cell r="H192">
            <v>0</v>
          </cell>
          <cell r="T192">
            <v>0</v>
          </cell>
        </row>
        <row r="193">
          <cell r="C193" t="str">
            <v>A0038</v>
          </cell>
          <cell r="D193" t="str">
            <v>PT AT Indonesia</v>
          </cell>
          <cell r="E193" t="str">
            <v>PEB 6</v>
          </cell>
          <cell r="G193">
            <v>0</v>
          </cell>
          <cell r="H193">
            <v>0</v>
          </cell>
          <cell r="T193">
            <v>0</v>
          </cell>
        </row>
        <row r="194">
          <cell r="C194" t="str">
            <v>A0038</v>
          </cell>
          <cell r="D194" t="str">
            <v>PT AT Indonesia</v>
          </cell>
          <cell r="E194" t="str">
            <v>PEB 7</v>
          </cell>
          <cell r="G194">
            <v>0</v>
          </cell>
          <cell r="H194">
            <v>0</v>
          </cell>
          <cell r="I194">
            <v>0.08</v>
          </cell>
          <cell r="J194" t="str">
            <v>N/A</v>
          </cell>
          <cell r="K194">
            <v>0.08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</row>
        <row r="195">
          <cell r="C195" t="str">
            <v>A0038</v>
          </cell>
          <cell r="D195" t="str">
            <v>PT AT Indonesia</v>
          </cell>
          <cell r="E195" t="str">
            <v>MPP</v>
          </cell>
          <cell r="G195">
            <v>18.656035673764805</v>
          </cell>
          <cell r="H195">
            <v>5953.1985000000004</v>
          </cell>
          <cell r="I195">
            <v>0.09</v>
          </cell>
          <cell r="J195" t="str">
            <v>N/A</v>
          </cell>
          <cell r="K195">
            <v>0.08</v>
          </cell>
          <cell r="R195">
            <v>0</v>
          </cell>
          <cell r="S195">
            <v>0</v>
          </cell>
          <cell r="T195">
            <v>0</v>
          </cell>
        </row>
        <row r="196">
          <cell r="C196" t="str">
            <v>A0038</v>
          </cell>
          <cell r="D196" t="str">
            <v>PT AT Indonesia</v>
          </cell>
          <cell r="E196" t="str">
            <v>ID</v>
          </cell>
          <cell r="G196">
            <v>18.656035673764805</v>
          </cell>
          <cell r="H196">
            <v>68797.103268352468</v>
          </cell>
          <cell r="I196">
            <v>0.09</v>
          </cell>
          <cell r="J196" t="str">
            <v>N/A</v>
          </cell>
          <cell r="K196">
            <v>0.08</v>
          </cell>
          <cell r="L196">
            <v>18.389900303557919</v>
          </cell>
          <cell r="M196">
            <v>1450577.5011253408</v>
          </cell>
          <cell r="N196">
            <v>125490.98973734445</v>
          </cell>
          <cell r="O196">
            <v>92906.322119712786</v>
          </cell>
          <cell r="P196">
            <v>129444.68685222551</v>
          </cell>
          <cell r="Q196">
            <v>-14566.498874659184</v>
          </cell>
          <cell r="R196">
            <v>0</v>
          </cell>
          <cell r="S196">
            <v>0</v>
          </cell>
          <cell r="T196">
            <v>125264.50112534082</v>
          </cell>
        </row>
        <row r="197">
          <cell r="C197" t="str">
            <v>A0038</v>
          </cell>
          <cell r="D197" t="str">
            <v>PT AT Indonesia</v>
          </cell>
          <cell r="E197" t="str">
            <v>LL</v>
          </cell>
          <cell r="G197">
            <v>18.656035673764805</v>
          </cell>
          <cell r="H197">
            <v>557161.12079552677</v>
          </cell>
          <cell r="I197">
            <v>0.08</v>
          </cell>
          <cell r="J197" t="str">
            <v>N/A</v>
          </cell>
          <cell r="K197">
            <v>0.08</v>
          </cell>
          <cell r="L197">
            <v>2.0182206830188427</v>
          </cell>
          <cell r="M197">
            <v>1382914.6457653767</v>
          </cell>
          <cell r="N197">
            <v>481039.27269191726</v>
          </cell>
          <cell r="O197">
            <v>488552.25600000023</v>
          </cell>
          <cell r="P197">
            <v>502807.74881934188</v>
          </cell>
          <cell r="Q197">
            <v>2389.6457653767429</v>
          </cell>
          <cell r="T197">
            <v>0</v>
          </cell>
        </row>
        <row r="198">
          <cell r="C198" t="str">
            <v>A0038</v>
          </cell>
          <cell r="D198" t="str">
            <v>PT AT Indonesia</v>
          </cell>
          <cell r="E198" t="str">
            <v>PMK</v>
          </cell>
          <cell r="G198">
            <v>18.656035673764805</v>
          </cell>
          <cell r="H198">
            <v>150300</v>
          </cell>
          <cell r="I198">
            <v>0.08</v>
          </cell>
          <cell r="J198" t="str">
            <v>N/A</v>
          </cell>
          <cell r="K198">
            <v>0.08</v>
          </cell>
          <cell r="L198">
            <v>18.080256378858902</v>
          </cell>
          <cell r="M198">
            <v>1371080.102289502</v>
          </cell>
          <cell r="N198">
            <v>205566.92544809054</v>
          </cell>
          <cell r="O198">
            <v>157622.5</v>
          </cell>
          <cell r="P198">
            <v>226123.61799289961</v>
          </cell>
          <cell r="Q198">
            <v>93854.102289502043</v>
          </cell>
          <cell r="T198">
            <v>0</v>
          </cell>
        </row>
        <row r="200">
          <cell r="C200" t="str">
            <v>A0051</v>
          </cell>
          <cell r="D200" t="str">
            <v>PT DIC Astra Chemicals</v>
          </cell>
          <cell r="E200" t="str">
            <v>PEB 1</v>
          </cell>
          <cell r="G200">
            <v>10.804471015179768</v>
          </cell>
          <cell r="H200">
            <v>35231.616414462493</v>
          </cell>
          <cell r="I200">
            <v>0.08</v>
          </cell>
          <cell r="J200">
            <v>0.1</v>
          </cell>
          <cell r="K200">
            <v>0.08</v>
          </cell>
          <cell r="L200">
            <v>10.488162214783999</v>
          </cell>
          <cell r="M200">
            <v>5835130.078441699</v>
          </cell>
          <cell r="N200">
            <v>267900</v>
          </cell>
          <cell r="O200">
            <v>269425</v>
          </cell>
          <cell r="P200">
            <v>287325</v>
          </cell>
          <cell r="Q200">
            <v>369879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0.09</v>
          </cell>
          <cell r="Y200" t="str">
            <v>N/A</v>
          </cell>
          <cell r="Z200">
            <v>0.08</v>
          </cell>
          <cell r="AA200">
            <v>15.613697263739098</v>
          </cell>
          <cell r="AB200">
            <v>2258442.6230030805</v>
          </cell>
          <cell r="AC200">
            <v>153808.51428122839</v>
          </cell>
          <cell r="AD200">
            <v>37279.009072228459</v>
          </cell>
          <cell r="AE200">
            <v>167965.06026038036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10.804471015179768</v>
          </cell>
          <cell r="AL200">
            <v>0</v>
          </cell>
          <cell r="AM200">
            <v>0.08</v>
          </cell>
          <cell r="AN200" t="str">
            <v>N/A</v>
          </cell>
          <cell r="AO200">
            <v>0.08</v>
          </cell>
          <cell r="AP200">
            <v>10.462814989966585</v>
          </cell>
          <cell r="AQ200">
            <v>12749.290662857722</v>
          </cell>
          <cell r="AR200">
            <v>665.32058766006901</v>
          </cell>
          <cell r="AS200">
            <v>0</v>
          </cell>
          <cell r="AT200">
            <v>718.54623467287456</v>
          </cell>
          <cell r="AU200">
            <v>2529.2906628577221</v>
          </cell>
          <cell r="AV200">
            <v>0</v>
          </cell>
          <cell r="AW200">
            <v>0</v>
          </cell>
          <cell r="AX200">
            <v>0</v>
          </cell>
          <cell r="AZ200">
            <v>17.025397087640016</v>
          </cell>
          <cell r="BA200">
            <v>7370.3241000000053</v>
          </cell>
          <cell r="BB200">
            <v>0.09</v>
          </cell>
          <cell r="BC200" t="str">
            <v>N/A</v>
          </cell>
          <cell r="BD200">
            <v>0.08</v>
          </cell>
          <cell r="BE200">
            <v>16.715143787690465</v>
          </cell>
          <cell r="BF200">
            <v>65779.767378026983</v>
          </cell>
          <cell r="BG200">
            <v>6980.9781574291064</v>
          </cell>
          <cell r="BH200">
            <v>0</v>
          </cell>
          <cell r="BI200">
            <v>7609.266191597726</v>
          </cell>
          <cell r="BJ200">
            <v>-4668.8040454942238</v>
          </cell>
          <cell r="BK200">
            <v>0</v>
          </cell>
          <cell r="BL200">
            <v>0</v>
          </cell>
          <cell r="BM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S200">
            <v>15.942151254127035</v>
          </cell>
          <cell r="CT200">
            <v>27324.249950673249</v>
          </cell>
          <cell r="CU200">
            <v>0.08</v>
          </cell>
          <cell r="CV200" t="str">
            <v>N/A</v>
          </cell>
          <cell r="CW200">
            <v>0.08</v>
          </cell>
          <cell r="CX200">
            <v>15.613697263739112</v>
          </cell>
          <cell r="CY200">
            <v>301664.09838782862</v>
          </cell>
          <cell r="CZ200">
            <v>22643.409621050097</v>
          </cell>
          <cell r="DA200">
            <v>33913.139467273686</v>
          </cell>
          <cell r="DB200">
            <v>22144.364478122574</v>
          </cell>
          <cell r="DC200">
            <v>13736.098387828621</v>
          </cell>
          <cell r="DD200">
            <v>0</v>
          </cell>
          <cell r="DE200">
            <v>0</v>
          </cell>
          <cell r="DF200">
            <v>39347.098387828621</v>
          </cell>
          <cell r="DH200">
            <v>15.942151254127035</v>
          </cell>
          <cell r="DI200">
            <v>2430.5909999999999</v>
          </cell>
          <cell r="DJ200">
            <v>0.09</v>
          </cell>
          <cell r="DK200" t="str">
            <v>N/A</v>
          </cell>
          <cell r="DL200">
            <v>0.08</v>
          </cell>
          <cell r="DM200">
            <v>15.613697263739112</v>
          </cell>
          <cell r="DN200">
            <v>337941.00595769729</v>
          </cell>
          <cell r="DO200">
            <v>20576.730184208824</v>
          </cell>
          <cell r="DP200">
            <v>7148.6227796905268</v>
          </cell>
          <cell r="DQ200">
            <v>22484.551442230168</v>
          </cell>
          <cell r="DR200">
            <v>-2266.5386098050512</v>
          </cell>
          <cell r="DS200">
            <v>0</v>
          </cell>
          <cell r="DT200">
            <v>0</v>
          </cell>
          <cell r="DU200">
            <v>0</v>
          </cell>
          <cell r="DW200">
            <v>15.942151254127035</v>
          </cell>
          <cell r="DX200">
            <v>46474.539328947962</v>
          </cell>
          <cell r="DY200">
            <v>0.09</v>
          </cell>
          <cell r="DZ200" t="str">
            <v>N/A</v>
          </cell>
          <cell r="EA200">
            <v>0.08</v>
          </cell>
          <cell r="EB200">
            <v>15.613697263739112</v>
          </cell>
          <cell r="EC200">
            <v>732347.36273567425</v>
          </cell>
          <cell r="ED200">
            <v>49650.899361122669</v>
          </cell>
          <cell r="EE200">
            <v>54649.359451016826</v>
          </cell>
          <cell r="EF200">
            <v>50891.01828714626</v>
          </cell>
          <cell r="EG200">
            <v>-7257.6372643257491</v>
          </cell>
          <cell r="EH200">
            <v>0</v>
          </cell>
          <cell r="EI200">
            <v>0</v>
          </cell>
          <cell r="EJ200">
            <v>62039.254964845022</v>
          </cell>
          <cell r="EL200">
            <v>15.942151254127035</v>
          </cell>
          <cell r="EM200">
            <v>208354.09089503926</v>
          </cell>
          <cell r="EN200">
            <v>0.08</v>
          </cell>
          <cell r="EO200" t="str">
            <v>N/A</v>
          </cell>
          <cell r="EP200">
            <v>0.08</v>
          </cell>
          <cell r="EQ200">
            <v>1.4534247911615268</v>
          </cell>
          <cell r="ER200">
            <v>1075834.8736846943</v>
          </cell>
          <cell r="ES200">
            <v>221476.01038987361</v>
          </cell>
          <cell r="ET200">
            <v>294882.98400000005</v>
          </cell>
          <cell r="EU200">
            <v>233411.9799381161</v>
          </cell>
          <cell r="EV200">
            <v>-85.126315305707976</v>
          </cell>
          <cell r="EW200">
            <v>0</v>
          </cell>
          <cell r="EX200">
            <v>0</v>
          </cell>
          <cell r="EY200">
            <v>0</v>
          </cell>
          <cell r="FA200">
            <v>15.942151254127035</v>
          </cell>
          <cell r="FB200">
            <v>52000</v>
          </cell>
          <cell r="FC200">
            <v>0.08</v>
          </cell>
          <cell r="FD200" t="str">
            <v>N/A</v>
          </cell>
          <cell r="FE200">
            <v>0.08</v>
          </cell>
          <cell r="FF200">
            <v>15.2</v>
          </cell>
          <cell r="FG200">
            <v>1662375</v>
          </cell>
          <cell r="FH200">
            <v>160022</v>
          </cell>
          <cell r="FI200">
            <v>277375</v>
          </cell>
          <cell r="FJ200">
            <v>176024</v>
          </cell>
          <cell r="FK200">
            <v>199657</v>
          </cell>
          <cell r="FL200">
            <v>0</v>
          </cell>
          <cell r="FM200">
            <v>0</v>
          </cell>
          <cell r="FN200">
            <v>969080.65368675836</v>
          </cell>
        </row>
        <row r="201">
          <cell r="C201" t="str">
            <v>A0051</v>
          </cell>
          <cell r="D201" t="str">
            <v>PT DIC Astra Chemicals</v>
          </cell>
          <cell r="E201" t="str">
            <v>PEB 2</v>
          </cell>
          <cell r="G201">
            <v>0</v>
          </cell>
          <cell r="H201">
            <v>0</v>
          </cell>
          <cell r="I201">
            <v>0.09</v>
          </cell>
          <cell r="J201" t="str">
            <v>N/A</v>
          </cell>
          <cell r="K201">
            <v>0.08</v>
          </cell>
          <cell r="L201">
            <v>15.613697263739098</v>
          </cell>
          <cell r="M201">
            <v>2258442.6230030805</v>
          </cell>
          <cell r="N201">
            <v>153808.51428122839</v>
          </cell>
          <cell r="O201">
            <v>37279.009072228459</v>
          </cell>
          <cell r="P201">
            <v>167965.06026038036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</row>
        <row r="202">
          <cell r="C202" t="str">
            <v>A0051</v>
          </cell>
          <cell r="D202" t="str">
            <v>PT DIC Astra Chemicals</v>
          </cell>
          <cell r="E202" t="str">
            <v>PEB 3</v>
          </cell>
          <cell r="G202">
            <v>10.804471015179768</v>
          </cell>
          <cell r="H202">
            <v>0</v>
          </cell>
          <cell r="I202">
            <v>0.08</v>
          </cell>
          <cell r="J202" t="str">
            <v>N/A</v>
          </cell>
          <cell r="K202">
            <v>0.08</v>
          </cell>
          <cell r="L202">
            <v>10.462814989966585</v>
          </cell>
          <cell r="M202">
            <v>12749.290662857722</v>
          </cell>
          <cell r="N202">
            <v>665.32058766006901</v>
          </cell>
          <cell r="O202">
            <v>0</v>
          </cell>
          <cell r="P202">
            <v>718.54623467287456</v>
          </cell>
          <cell r="Q202">
            <v>2529.2906628577221</v>
          </cell>
          <cell r="R202">
            <v>0</v>
          </cell>
          <cell r="S202">
            <v>0</v>
          </cell>
          <cell r="T202">
            <v>0</v>
          </cell>
        </row>
        <row r="203">
          <cell r="C203" t="str">
            <v>A0051</v>
          </cell>
          <cell r="D203" t="str">
            <v>PT DIC Astra Chemicals</v>
          </cell>
          <cell r="E203" t="str">
            <v>PEB 4</v>
          </cell>
          <cell r="G203">
            <v>17.025397087640016</v>
          </cell>
          <cell r="H203">
            <v>7370.3241000000053</v>
          </cell>
          <cell r="I203">
            <v>0.09</v>
          </cell>
          <cell r="J203" t="str">
            <v>N/A</v>
          </cell>
          <cell r="K203">
            <v>0.08</v>
          </cell>
          <cell r="L203">
            <v>16.715143787690465</v>
          </cell>
          <cell r="M203">
            <v>65779.767378026983</v>
          </cell>
          <cell r="N203">
            <v>6980.9781574291064</v>
          </cell>
          <cell r="O203">
            <v>0</v>
          </cell>
          <cell r="P203">
            <v>7609.266191597726</v>
          </cell>
          <cell r="Q203">
            <v>-4668.8040454942238</v>
          </cell>
          <cell r="R203">
            <v>0</v>
          </cell>
          <cell r="S203">
            <v>0</v>
          </cell>
          <cell r="T203">
            <v>0</v>
          </cell>
        </row>
        <row r="204">
          <cell r="C204" t="str">
            <v>A0051</v>
          </cell>
          <cell r="D204" t="str">
            <v>PT DIC Astra Chemicals</v>
          </cell>
          <cell r="E204" t="str">
            <v>PEB 5</v>
          </cell>
          <cell r="G204">
            <v>0</v>
          </cell>
          <cell r="H204">
            <v>0</v>
          </cell>
          <cell r="T204">
            <v>0</v>
          </cell>
        </row>
        <row r="205">
          <cell r="C205" t="str">
            <v>A0051</v>
          </cell>
          <cell r="D205" t="str">
            <v>PT DIC Astra Chemicals</v>
          </cell>
          <cell r="E205" t="str">
            <v>PEB 6</v>
          </cell>
          <cell r="G205">
            <v>0</v>
          </cell>
          <cell r="H205">
            <v>0</v>
          </cell>
          <cell r="T205">
            <v>0</v>
          </cell>
        </row>
        <row r="206">
          <cell r="C206" t="str">
            <v>A0051</v>
          </cell>
          <cell r="D206" t="str">
            <v>PT DIC Astra Chemicals</v>
          </cell>
          <cell r="E206" t="str">
            <v>PEB 7</v>
          </cell>
          <cell r="G206">
            <v>15.942151254127035</v>
          </cell>
          <cell r="H206">
            <v>27324.249950673249</v>
          </cell>
          <cell r="I206">
            <v>0.08</v>
          </cell>
          <cell r="J206" t="str">
            <v>N/A</v>
          </cell>
          <cell r="K206">
            <v>0.08</v>
          </cell>
          <cell r="L206">
            <v>15.613697263739112</v>
          </cell>
          <cell r="M206">
            <v>301664.09838782862</v>
          </cell>
          <cell r="N206">
            <v>22643.409621050097</v>
          </cell>
          <cell r="O206">
            <v>33913.139467273686</v>
          </cell>
          <cell r="P206">
            <v>22144.364478122574</v>
          </cell>
          <cell r="Q206">
            <v>13736.098387828621</v>
          </cell>
          <cell r="R206">
            <v>0</v>
          </cell>
          <cell r="S206">
            <v>0</v>
          </cell>
          <cell r="T206">
            <v>39347.098387828621</v>
          </cell>
        </row>
        <row r="207">
          <cell r="C207" t="str">
            <v>A0051</v>
          </cell>
          <cell r="D207" t="str">
            <v>PT DIC Astra Chemicals</v>
          </cell>
          <cell r="E207" t="str">
            <v>MPP</v>
          </cell>
          <cell r="G207">
            <v>15.942151254127035</v>
          </cell>
          <cell r="H207">
            <v>2430.5909999999999</v>
          </cell>
          <cell r="I207">
            <v>0.09</v>
          </cell>
          <cell r="J207" t="str">
            <v>N/A</v>
          </cell>
          <cell r="K207">
            <v>0.08</v>
          </cell>
          <cell r="L207">
            <v>15.613697263739112</v>
          </cell>
          <cell r="M207">
            <v>337941.00595769729</v>
          </cell>
          <cell r="N207">
            <v>20576.730184208824</v>
          </cell>
          <cell r="O207">
            <v>7148.6227796905268</v>
          </cell>
          <cell r="P207">
            <v>22484.551442230168</v>
          </cell>
          <cell r="Q207">
            <v>-2266.5386098050512</v>
          </cell>
          <cell r="R207">
            <v>0</v>
          </cell>
          <cell r="S207">
            <v>0</v>
          </cell>
          <cell r="T207">
            <v>0</v>
          </cell>
        </row>
        <row r="208">
          <cell r="C208" t="str">
            <v>A0051</v>
          </cell>
          <cell r="D208" t="str">
            <v>PT DIC Astra Chemicals</v>
          </cell>
          <cell r="E208" t="str">
            <v>ID</v>
          </cell>
          <cell r="G208">
            <v>15.942151254127035</v>
          </cell>
          <cell r="H208">
            <v>46474.539328947962</v>
          </cell>
          <cell r="I208">
            <v>0.09</v>
          </cell>
          <cell r="J208" t="str">
            <v>N/A</v>
          </cell>
          <cell r="K208">
            <v>0.08</v>
          </cell>
          <cell r="L208">
            <v>15.613697263739112</v>
          </cell>
          <cell r="M208">
            <v>732347.36273567425</v>
          </cell>
          <cell r="N208">
            <v>49650.899361122669</v>
          </cell>
          <cell r="O208">
            <v>54649.359451016826</v>
          </cell>
          <cell r="P208">
            <v>50891.01828714626</v>
          </cell>
          <cell r="Q208">
            <v>-7257.6372643257491</v>
          </cell>
          <cell r="R208">
            <v>0</v>
          </cell>
          <cell r="S208">
            <v>0</v>
          </cell>
          <cell r="T208">
            <v>62039.254964845022</v>
          </cell>
        </row>
        <row r="209">
          <cell r="C209" t="str">
            <v>A0051</v>
          </cell>
          <cell r="D209" t="str">
            <v>PT DIC Astra Chemicals</v>
          </cell>
          <cell r="E209" t="str">
            <v>LL</v>
          </cell>
          <cell r="G209">
            <v>15.942151254127035</v>
          </cell>
          <cell r="H209">
            <v>208354.09089503926</v>
          </cell>
          <cell r="I209">
            <v>0.08</v>
          </cell>
          <cell r="J209" t="str">
            <v>N/A</v>
          </cell>
          <cell r="K209">
            <v>0.08</v>
          </cell>
          <cell r="L209">
            <v>1.4534247911615268</v>
          </cell>
          <cell r="M209">
            <v>1075834.8736846943</v>
          </cell>
          <cell r="N209">
            <v>221476.01038987361</v>
          </cell>
          <cell r="O209">
            <v>294882.98400000005</v>
          </cell>
          <cell r="P209">
            <v>233411.9799381161</v>
          </cell>
          <cell r="Q209">
            <v>-85.126315305707976</v>
          </cell>
          <cell r="T209">
            <v>0</v>
          </cell>
        </row>
        <row r="210">
          <cell r="C210" t="str">
            <v>A0051</v>
          </cell>
          <cell r="D210" t="str">
            <v>PT DIC Astra Chemicals</v>
          </cell>
          <cell r="E210" t="str">
            <v>PMK</v>
          </cell>
          <cell r="G210">
            <v>15.942151254127035</v>
          </cell>
          <cell r="H210">
            <v>52000</v>
          </cell>
          <cell r="I210">
            <v>0.08</v>
          </cell>
          <cell r="J210" t="str">
            <v>N/A</v>
          </cell>
          <cell r="K210">
            <v>0.08</v>
          </cell>
          <cell r="L210">
            <v>15.2</v>
          </cell>
          <cell r="M210">
            <v>1662375</v>
          </cell>
          <cell r="N210">
            <v>160022</v>
          </cell>
          <cell r="O210">
            <v>277375</v>
          </cell>
          <cell r="P210">
            <v>176024</v>
          </cell>
          <cell r="Q210">
            <v>199657</v>
          </cell>
          <cell r="T210">
            <v>969080.65368675836</v>
          </cell>
        </row>
        <row r="212">
          <cell r="C212" t="str">
            <v>A0306</v>
          </cell>
          <cell r="D212" t="str">
            <v>PT Astra Nippon Gasket Indonesia</v>
          </cell>
          <cell r="E212" t="str">
            <v>PEB 1</v>
          </cell>
          <cell r="G212">
            <v>10.045266969106462</v>
          </cell>
          <cell r="H212">
            <v>10825.197409768189</v>
          </cell>
          <cell r="I212">
            <v>0.08</v>
          </cell>
          <cell r="J212">
            <v>0.1</v>
          </cell>
          <cell r="K212">
            <v>0.08</v>
          </cell>
          <cell r="L212">
            <v>9.632084366633574</v>
          </cell>
          <cell r="M212">
            <v>2391169.1831174958</v>
          </cell>
          <cell r="N212">
            <v>109079</v>
          </cell>
          <cell r="O212">
            <v>16168</v>
          </cell>
          <cell r="P212">
            <v>117070</v>
          </cell>
          <cell r="Q212">
            <v>181722</v>
          </cell>
          <cell r="R212">
            <v>0</v>
          </cell>
          <cell r="S212">
            <v>0</v>
          </cell>
          <cell r="T212">
            <v>5750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10.045266969106462</v>
          </cell>
          <cell r="AL212">
            <v>0</v>
          </cell>
          <cell r="AM212">
            <v>0.08</v>
          </cell>
          <cell r="AN212" t="str">
            <v>N/A</v>
          </cell>
          <cell r="AO212">
            <v>0.08</v>
          </cell>
          <cell r="AP212">
            <v>9.6320843666335705</v>
          </cell>
          <cell r="AQ212">
            <v>38645.514926091295</v>
          </cell>
          <cell r="AR212">
            <v>1827.9762171181922</v>
          </cell>
          <cell r="AS212">
            <v>0</v>
          </cell>
          <cell r="AT212">
            <v>1974.2143144876477</v>
          </cell>
          <cell r="AU212">
            <v>4969.5149260912949</v>
          </cell>
          <cell r="AV212">
            <v>0</v>
          </cell>
          <cell r="AW212">
            <v>0</v>
          </cell>
          <cell r="AX212">
            <v>0</v>
          </cell>
          <cell r="AZ212">
            <v>18.87672135855648</v>
          </cell>
          <cell r="BA212">
            <v>743650.98057000013</v>
          </cell>
          <cell r="BB212">
            <v>0.09</v>
          </cell>
          <cell r="BC212" t="str">
            <v>N/A</v>
          </cell>
          <cell r="BD212">
            <v>0.08</v>
          </cell>
          <cell r="BE212">
            <v>18.820597735834731</v>
          </cell>
          <cell r="BF212">
            <v>131759.46360472665</v>
          </cell>
          <cell r="BG212">
            <v>20134.661803766507</v>
          </cell>
          <cell r="BH212">
            <v>0</v>
          </cell>
          <cell r="BI212">
            <v>21946.781366105497</v>
          </cell>
          <cell r="BJ212">
            <v>-8421.536395273346</v>
          </cell>
          <cell r="BK212">
            <v>0</v>
          </cell>
          <cell r="BL212">
            <v>0</v>
          </cell>
          <cell r="BM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S212">
            <v>17.415879279098576</v>
          </cell>
          <cell r="CT212">
            <v>18940.91772633246</v>
          </cell>
          <cell r="CU212">
            <v>0.08</v>
          </cell>
          <cell r="CV212" t="str">
            <v>N/A</v>
          </cell>
          <cell r="CW212">
            <v>0.08</v>
          </cell>
          <cell r="CX212">
            <v>17.312035839398707</v>
          </cell>
          <cell r="CY212">
            <v>171260.91106305158</v>
          </cell>
          <cell r="CZ212">
            <v>16855.313142816769</v>
          </cell>
          <cell r="DA212">
            <v>18007.026576718676</v>
          </cell>
          <cell r="DB212">
            <v>16403.25586604722</v>
          </cell>
          <cell r="DC212">
            <v>8550.9110630515788</v>
          </cell>
          <cell r="DD212">
            <v>0</v>
          </cell>
          <cell r="DE212">
            <v>0</v>
          </cell>
          <cell r="DF212">
            <v>-25689.088936948421</v>
          </cell>
          <cell r="DH212">
            <v>17.415879279098576</v>
          </cell>
          <cell r="DI212">
            <v>43164</v>
          </cell>
          <cell r="DJ212">
            <v>0.09</v>
          </cell>
          <cell r="DK212" t="str">
            <v>N/A</v>
          </cell>
          <cell r="DL212">
            <v>0.08</v>
          </cell>
          <cell r="DM212">
            <v>17.312035839398707</v>
          </cell>
          <cell r="DN212">
            <v>165626.9381015402</v>
          </cell>
          <cell r="DO212">
            <v>12847.825255120935</v>
          </cell>
          <cell r="DP212">
            <v>0</v>
          </cell>
          <cell r="DQ212">
            <v>14004.129528081821</v>
          </cell>
          <cell r="DR212">
            <v>-1194.0618984597968</v>
          </cell>
          <cell r="DS212">
            <v>0</v>
          </cell>
          <cell r="DT212">
            <v>0</v>
          </cell>
          <cell r="DU212">
            <v>0</v>
          </cell>
          <cell r="DW212">
            <v>17.415879279098576</v>
          </cell>
          <cell r="DX212">
            <v>20327.624252826292</v>
          </cell>
          <cell r="DY212">
            <v>0.09</v>
          </cell>
          <cell r="DZ212" t="str">
            <v>N/A</v>
          </cell>
          <cell r="EA212">
            <v>0.08</v>
          </cell>
          <cell r="EB212">
            <v>17.312035839398707</v>
          </cell>
          <cell r="EC212">
            <v>421159.27597875526</v>
          </cell>
          <cell r="ED212">
            <v>36609.489823576441</v>
          </cell>
          <cell r="EE212">
            <v>26641.110751016979</v>
          </cell>
          <cell r="EF212">
            <v>37707.671235373899</v>
          </cell>
          <cell r="EG212">
            <v>-4211.7240212447359</v>
          </cell>
          <cell r="EH212">
            <v>0</v>
          </cell>
          <cell r="EI212">
            <v>0</v>
          </cell>
          <cell r="EJ212">
            <v>36421.275978755264</v>
          </cell>
          <cell r="EL212">
            <v>17.415879279098576</v>
          </cell>
          <cell r="EM212">
            <v>146199.78537267394</v>
          </cell>
          <cell r="EN212">
            <v>0.08</v>
          </cell>
          <cell r="EO212" t="str">
            <v>N/A</v>
          </cell>
          <cell r="EP212">
            <v>0.08</v>
          </cell>
          <cell r="EQ212">
            <v>1.9153835953951348</v>
          </cell>
          <cell r="ER212">
            <v>412411.51075902162</v>
          </cell>
          <cell r="ES212">
            <v>144572.02325160298</v>
          </cell>
          <cell r="ET212">
            <v>124997.04</v>
          </cell>
          <cell r="EU212">
            <v>151826.94592749982</v>
          </cell>
          <cell r="EV212">
            <v>669.5107590216212</v>
          </cell>
          <cell r="EW212">
            <v>0</v>
          </cell>
          <cell r="EX212">
            <v>0</v>
          </cell>
          <cell r="EY212">
            <v>0</v>
          </cell>
          <cell r="FA212">
            <v>17.415879279098576</v>
          </cell>
          <cell r="FB212">
            <v>57108</v>
          </cell>
          <cell r="FC212">
            <v>0.08</v>
          </cell>
          <cell r="FD212" t="str">
            <v>N/A</v>
          </cell>
          <cell r="FE212">
            <v>0.08</v>
          </cell>
          <cell r="FF212">
            <v>17.002661413084411</v>
          </cell>
          <cell r="FG212">
            <v>470416.91384908604</v>
          </cell>
          <cell r="FH212">
            <v>70885.810900640485</v>
          </cell>
          <cell r="FI212">
            <v>46939</v>
          </cell>
          <cell r="FJ212">
            <v>77974.391990704535</v>
          </cell>
          <cell r="FK212">
            <v>57371.913849086035</v>
          </cell>
          <cell r="FL212">
            <v>0</v>
          </cell>
          <cell r="FM212">
            <v>0</v>
          </cell>
          <cell r="FN212">
            <v>0</v>
          </cell>
        </row>
        <row r="213">
          <cell r="C213" t="str">
            <v>A0306</v>
          </cell>
          <cell r="D213" t="str">
            <v>PT Astra Nippon Gasket Indonesia</v>
          </cell>
          <cell r="E213" t="str">
            <v>PEB 2</v>
          </cell>
          <cell r="G213">
            <v>0</v>
          </cell>
          <cell r="H213">
            <v>0</v>
          </cell>
          <cell r="T213">
            <v>0</v>
          </cell>
        </row>
        <row r="214">
          <cell r="C214" t="str">
            <v>A0306</v>
          </cell>
          <cell r="D214" t="str">
            <v>PT Astra Nippon Gasket Indonesia</v>
          </cell>
          <cell r="E214" t="str">
            <v>PEB 3</v>
          </cell>
          <cell r="G214">
            <v>10.045266969106462</v>
          </cell>
          <cell r="H214">
            <v>0</v>
          </cell>
          <cell r="I214">
            <v>0.08</v>
          </cell>
          <cell r="J214" t="str">
            <v>N/A</v>
          </cell>
          <cell r="K214">
            <v>0.08</v>
          </cell>
          <cell r="L214">
            <v>9.6320843666335705</v>
          </cell>
          <cell r="M214">
            <v>38645.514926091295</v>
          </cell>
          <cell r="N214">
            <v>1827.9762171181922</v>
          </cell>
          <cell r="O214">
            <v>0</v>
          </cell>
          <cell r="P214">
            <v>1974.2143144876477</v>
          </cell>
          <cell r="Q214">
            <v>4969.5149260912949</v>
          </cell>
          <cell r="R214">
            <v>0</v>
          </cell>
          <cell r="S214">
            <v>0</v>
          </cell>
          <cell r="T214">
            <v>0</v>
          </cell>
        </row>
        <row r="215">
          <cell r="C215" t="str">
            <v>A0306</v>
          </cell>
          <cell r="D215" t="str">
            <v>PT Astra Nippon Gasket Indonesia</v>
          </cell>
          <cell r="E215" t="str">
            <v>PEB 4</v>
          </cell>
          <cell r="G215">
            <v>18.87672135855648</v>
          </cell>
          <cell r="H215">
            <v>743650.98057000013</v>
          </cell>
          <cell r="I215">
            <v>0.09</v>
          </cell>
          <cell r="J215" t="str">
            <v>N/A</v>
          </cell>
          <cell r="K215">
            <v>0.08</v>
          </cell>
          <cell r="L215">
            <v>18.820597735834731</v>
          </cell>
          <cell r="M215">
            <v>131759.46360472665</v>
          </cell>
          <cell r="N215">
            <v>20134.661803766507</v>
          </cell>
          <cell r="O215">
            <v>0</v>
          </cell>
          <cell r="P215">
            <v>21946.781366105497</v>
          </cell>
          <cell r="Q215">
            <v>-8421.536395273346</v>
          </cell>
          <cell r="R215">
            <v>0</v>
          </cell>
          <cell r="S215">
            <v>0</v>
          </cell>
          <cell r="T215">
            <v>0</v>
          </cell>
        </row>
        <row r="216">
          <cell r="C216" t="str">
            <v>A0306</v>
          </cell>
          <cell r="D216" t="str">
            <v>PT Astra Nippon Gasket Indonesia</v>
          </cell>
          <cell r="E216" t="str">
            <v>PEB 5</v>
          </cell>
          <cell r="G216">
            <v>0</v>
          </cell>
          <cell r="H216">
            <v>0</v>
          </cell>
          <cell r="T216">
            <v>0</v>
          </cell>
        </row>
        <row r="217">
          <cell r="C217" t="str">
            <v>A0306</v>
          </cell>
          <cell r="D217" t="str">
            <v>PT Astra Nippon Gasket Indonesia</v>
          </cell>
          <cell r="E217" t="str">
            <v>PEB 6</v>
          </cell>
          <cell r="G217">
            <v>0</v>
          </cell>
          <cell r="H217">
            <v>0</v>
          </cell>
          <cell r="T217">
            <v>0</v>
          </cell>
        </row>
        <row r="218">
          <cell r="C218" t="str">
            <v>A0306</v>
          </cell>
          <cell r="D218" t="str">
            <v>PT Astra Nippon Gasket Indonesia</v>
          </cell>
          <cell r="E218" t="str">
            <v>PEB 7</v>
          </cell>
          <cell r="G218">
            <v>17.415879279098576</v>
          </cell>
          <cell r="H218">
            <v>18940.91772633246</v>
          </cell>
          <cell r="I218">
            <v>0.08</v>
          </cell>
          <cell r="J218" t="str">
            <v>N/A</v>
          </cell>
          <cell r="K218">
            <v>0.08</v>
          </cell>
          <cell r="L218">
            <v>17.312035839398707</v>
          </cell>
          <cell r="M218">
            <v>171260.91106305158</v>
          </cell>
          <cell r="N218">
            <v>16855.313142816769</v>
          </cell>
          <cell r="O218">
            <v>18007.026576718676</v>
          </cell>
          <cell r="P218">
            <v>16403.25586604722</v>
          </cell>
          <cell r="Q218">
            <v>8550.9110630515788</v>
          </cell>
          <cell r="R218">
            <v>0</v>
          </cell>
          <cell r="S218">
            <v>0</v>
          </cell>
          <cell r="T218">
            <v>-25689.088936948421</v>
          </cell>
        </row>
        <row r="219">
          <cell r="C219" t="str">
            <v>A0306</v>
          </cell>
          <cell r="D219" t="str">
            <v>PT Astra Nippon Gasket Indonesia</v>
          </cell>
          <cell r="E219" t="str">
            <v>MPP</v>
          </cell>
          <cell r="G219">
            <v>17.415879279098576</v>
          </cell>
          <cell r="H219">
            <v>43164</v>
          </cell>
          <cell r="I219">
            <v>0.09</v>
          </cell>
          <cell r="J219" t="str">
            <v>N/A</v>
          </cell>
          <cell r="K219">
            <v>0.08</v>
          </cell>
          <cell r="L219">
            <v>17.312035839398707</v>
          </cell>
          <cell r="M219">
            <v>165626.9381015402</v>
          </cell>
          <cell r="N219">
            <v>12847.825255120935</v>
          </cell>
          <cell r="O219">
            <v>0</v>
          </cell>
          <cell r="P219">
            <v>14004.129528081821</v>
          </cell>
          <cell r="Q219">
            <v>-1194.0618984597968</v>
          </cell>
          <cell r="R219">
            <v>0</v>
          </cell>
          <cell r="S219">
            <v>0</v>
          </cell>
          <cell r="T219">
            <v>0</v>
          </cell>
        </row>
        <row r="220">
          <cell r="C220" t="str">
            <v>A0306</v>
          </cell>
          <cell r="D220" t="str">
            <v>PT Astra Nippon Gasket Indonesia</v>
          </cell>
          <cell r="E220" t="str">
            <v>ID</v>
          </cell>
          <cell r="G220">
            <v>17.415879279098576</v>
          </cell>
          <cell r="H220">
            <v>20327.624252826292</v>
          </cell>
          <cell r="I220">
            <v>0.09</v>
          </cell>
          <cell r="J220" t="str">
            <v>N/A</v>
          </cell>
          <cell r="K220">
            <v>0.08</v>
          </cell>
          <cell r="L220">
            <v>17.312035839398707</v>
          </cell>
          <cell r="M220">
            <v>421159.27597875526</v>
          </cell>
          <cell r="N220">
            <v>36609.489823576441</v>
          </cell>
          <cell r="O220">
            <v>26641.110751016979</v>
          </cell>
          <cell r="P220">
            <v>37707.671235373899</v>
          </cell>
          <cell r="Q220">
            <v>-4211.7240212447359</v>
          </cell>
          <cell r="R220">
            <v>0</v>
          </cell>
          <cell r="S220">
            <v>0</v>
          </cell>
          <cell r="T220">
            <v>36421.275978755264</v>
          </cell>
        </row>
        <row r="221">
          <cell r="C221" t="str">
            <v>A0306</v>
          </cell>
          <cell r="D221" t="str">
            <v>PT Astra Nippon Gasket Indonesia</v>
          </cell>
          <cell r="E221" t="str">
            <v>LL</v>
          </cell>
          <cell r="G221">
            <v>17.415879279098576</v>
          </cell>
          <cell r="H221">
            <v>146199.78537267394</v>
          </cell>
          <cell r="I221">
            <v>0.08</v>
          </cell>
          <cell r="J221" t="str">
            <v>N/A</v>
          </cell>
          <cell r="K221">
            <v>0.08</v>
          </cell>
          <cell r="L221">
            <v>1.9153835953951348</v>
          </cell>
          <cell r="M221">
            <v>412411.51075902162</v>
          </cell>
          <cell r="N221">
            <v>144572.02325160298</v>
          </cell>
          <cell r="O221">
            <v>124997.04</v>
          </cell>
          <cell r="P221">
            <v>151826.94592749982</v>
          </cell>
          <cell r="Q221">
            <v>669.5107590216212</v>
          </cell>
          <cell r="T221">
            <v>0</v>
          </cell>
        </row>
        <row r="222">
          <cell r="C222" t="str">
            <v>A0306</v>
          </cell>
          <cell r="D222" t="str">
            <v>PT Astra Nippon Gasket Indonesia</v>
          </cell>
          <cell r="E222" t="str">
            <v>PMK</v>
          </cell>
          <cell r="G222">
            <v>17.415879279098576</v>
          </cell>
          <cell r="H222">
            <v>57108</v>
          </cell>
          <cell r="I222">
            <v>0.08</v>
          </cell>
          <cell r="J222" t="str">
            <v>N/A</v>
          </cell>
          <cell r="K222">
            <v>0.08</v>
          </cell>
          <cell r="L222">
            <v>17.002661413084411</v>
          </cell>
          <cell r="M222">
            <v>470416.91384908604</v>
          </cell>
          <cell r="N222">
            <v>70885.810900640485</v>
          </cell>
          <cell r="O222">
            <v>46939</v>
          </cell>
          <cell r="P222">
            <v>77974.391990704535</v>
          </cell>
          <cell r="Q222">
            <v>57371.913849086035</v>
          </cell>
          <cell r="T222">
            <v>0</v>
          </cell>
        </row>
        <row r="224">
          <cell r="C224" t="str">
            <v>A0107</v>
          </cell>
          <cell r="D224" t="str">
            <v>PT Denso Indonesia</v>
          </cell>
          <cell r="E224" t="str">
            <v>PEB 1</v>
          </cell>
          <cell r="Q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</row>
        <row r="225">
          <cell r="C225" t="str">
            <v>A0107</v>
          </cell>
          <cell r="D225" t="str">
            <v>PT Denso Indonesia</v>
          </cell>
          <cell r="E225" t="str">
            <v>PEB 2</v>
          </cell>
          <cell r="Q225">
            <v>0</v>
          </cell>
        </row>
        <row r="226">
          <cell r="C226" t="str">
            <v>A0107</v>
          </cell>
          <cell r="D226" t="str">
            <v>PT Denso Indonesia</v>
          </cell>
          <cell r="E226" t="str">
            <v>PEB 3</v>
          </cell>
          <cell r="Q226">
            <v>0</v>
          </cell>
        </row>
        <row r="227">
          <cell r="C227" t="str">
            <v>A0107</v>
          </cell>
          <cell r="D227" t="str">
            <v>PT Denso Indonesia</v>
          </cell>
          <cell r="E227" t="str">
            <v>PEB 4</v>
          </cell>
          <cell r="G227">
            <v>2.9226559664294292</v>
          </cell>
          <cell r="I227">
            <v>0.09</v>
          </cell>
          <cell r="J227" t="str">
            <v>N/A</v>
          </cell>
          <cell r="K227">
            <v>0.08</v>
          </cell>
          <cell r="L227">
            <v>2.9226559664294292</v>
          </cell>
          <cell r="M227">
            <v>498657.08255152014</v>
          </cell>
          <cell r="N227">
            <v>19365.709665278333</v>
          </cell>
          <cell r="O227">
            <v>0</v>
          </cell>
          <cell r="P227">
            <v>21108.623535153383</v>
          </cell>
          <cell r="Q227">
            <v>-6837.4965937031084</v>
          </cell>
          <cell r="R227">
            <v>0</v>
          </cell>
          <cell r="S227">
            <v>0</v>
          </cell>
          <cell r="T227">
            <v>0</v>
          </cell>
        </row>
        <row r="228">
          <cell r="C228" t="str">
            <v>A0107</v>
          </cell>
          <cell r="D228" t="str">
            <v>PT Denso Indonesia</v>
          </cell>
          <cell r="E228" t="str">
            <v>PEB 5</v>
          </cell>
          <cell r="G228">
            <v>15.06</v>
          </cell>
          <cell r="I228">
            <v>0.09</v>
          </cell>
          <cell r="J228" t="str">
            <v>N/A</v>
          </cell>
          <cell r="K228">
            <v>0.08</v>
          </cell>
          <cell r="L228">
            <v>16.235159429827899</v>
          </cell>
          <cell r="M228">
            <v>84440857.626097649</v>
          </cell>
          <cell r="N228">
            <v>4792685.6987614501</v>
          </cell>
          <cell r="O228">
            <v>5913924.8856658014</v>
          </cell>
          <cell r="P228">
            <v>5174964.5247919997</v>
          </cell>
          <cell r="Q228">
            <v>2947325.5008661151</v>
          </cell>
          <cell r="R228">
            <v>0</v>
          </cell>
          <cell r="S228">
            <v>0</v>
          </cell>
          <cell r="T228">
            <v>0</v>
          </cell>
        </row>
        <row r="229">
          <cell r="C229" t="str">
            <v>A0107</v>
          </cell>
          <cell r="D229" t="str">
            <v>PT Denso Indonesia</v>
          </cell>
          <cell r="E229" t="str">
            <v>PEB 6</v>
          </cell>
        </row>
        <row r="230">
          <cell r="C230" t="str">
            <v>A0107</v>
          </cell>
          <cell r="D230" t="str">
            <v>PT Denso Indonesia</v>
          </cell>
          <cell r="E230" t="str">
            <v>PEB 7</v>
          </cell>
          <cell r="G230">
            <v>15.06</v>
          </cell>
          <cell r="I230">
            <v>0.08</v>
          </cell>
          <cell r="J230" t="str">
            <v>N/A</v>
          </cell>
          <cell r="K230">
            <v>0.08</v>
          </cell>
          <cell r="L230">
            <v>16.235159429827899</v>
          </cell>
          <cell r="M230">
            <v>4453993.9280272145</v>
          </cell>
          <cell r="N230">
            <v>350876.91575146362</v>
          </cell>
          <cell r="O230">
            <v>497815.68698580517</v>
          </cell>
          <cell r="P230">
            <v>343214.31077693816</v>
          </cell>
          <cell r="Q230">
            <v>2290221.4252398964</v>
          </cell>
          <cell r="R230">
            <v>0</v>
          </cell>
          <cell r="S230">
            <v>0</v>
          </cell>
          <cell r="T230">
            <v>0</v>
          </cell>
        </row>
        <row r="231">
          <cell r="C231" t="str">
            <v>A0107</v>
          </cell>
          <cell r="D231" t="str">
            <v>PT Denso Indonesia</v>
          </cell>
          <cell r="E231" t="str">
            <v>MPP</v>
          </cell>
          <cell r="G231">
            <v>15.06</v>
          </cell>
          <cell r="I231">
            <v>0.09</v>
          </cell>
          <cell r="J231" t="str">
            <v>N/A</v>
          </cell>
          <cell r="K231">
            <v>0.08</v>
          </cell>
          <cell r="L231">
            <v>16.235159429827899</v>
          </cell>
          <cell r="M231">
            <v>4019355.203488762</v>
          </cell>
          <cell r="N231">
            <v>228440.22176093975</v>
          </cell>
          <cell r="O231">
            <v>281386.59038446622</v>
          </cell>
          <cell r="P231">
            <v>246714.30351175493</v>
          </cell>
          <cell r="Q231">
            <v>137707.63980741892</v>
          </cell>
          <cell r="R231">
            <v>0</v>
          </cell>
          <cell r="S231">
            <v>0</v>
          </cell>
          <cell r="T231">
            <v>0</v>
          </cell>
        </row>
        <row r="232">
          <cell r="C232" t="str">
            <v>A0107</v>
          </cell>
          <cell r="D232" t="str">
            <v>PT Denso Indonesia</v>
          </cell>
          <cell r="E232" t="str">
            <v>ID</v>
          </cell>
          <cell r="G232">
            <v>15.06</v>
          </cell>
          <cell r="I232">
            <v>0.09</v>
          </cell>
          <cell r="J232" t="str">
            <v>N/A</v>
          </cell>
          <cell r="K232">
            <v>0.08</v>
          </cell>
          <cell r="L232">
            <v>16.235159429827899</v>
          </cell>
          <cell r="M232">
            <v>9672213.7224958837</v>
          </cell>
          <cell r="N232">
            <v>667304.19221124868</v>
          </cell>
          <cell r="O232">
            <v>808333.58616135537</v>
          </cell>
          <cell r="P232">
            <v>677235.80832791829</v>
          </cell>
          <cell r="Q232">
            <v>-1756913.5607533343</v>
          </cell>
          <cell r="R232">
            <v>0</v>
          </cell>
          <cell r="S232">
            <v>0</v>
          </cell>
          <cell r="T232">
            <v>0</v>
          </cell>
        </row>
        <row r="233">
          <cell r="C233" t="str">
            <v>A0107</v>
          </cell>
          <cell r="D233" t="str">
            <v>PT Denso Indonesia</v>
          </cell>
          <cell r="E233" t="str">
            <v>LL</v>
          </cell>
          <cell r="G233">
            <v>15.06</v>
          </cell>
          <cell r="I233">
            <v>0.08</v>
          </cell>
          <cell r="J233" t="str">
            <v>N/A</v>
          </cell>
          <cell r="K233">
            <v>0.08</v>
          </cell>
          <cell r="L233">
            <v>2.2099442026205698</v>
          </cell>
          <cell r="M233">
            <v>6658081.7989950897</v>
          </cell>
          <cell r="N233">
            <v>1949236.7813378235</v>
          </cell>
          <cell r="O233">
            <v>1916853.5519999987</v>
          </cell>
          <cell r="P233">
            <v>2043287.5289795941</v>
          </cell>
          <cell r="Q233">
            <v>13974.036577266641</v>
          </cell>
          <cell r="R233">
            <v>0</v>
          </cell>
          <cell r="S233">
            <v>0</v>
          </cell>
          <cell r="T233">
            <v>0</v>
          </cell>
        </row>
        <row r="234">
          <cell r="C234" t="str">
            <v>A0107</v>
          </cell>
          <cell r="D234" t="str">
            <v>PT Denso Indonesia</v>
          </cell>
          <cell r="E234" t="str">
            <v>PMK</v>
          </cell>
          <cell r="G234">
            <v>15.06</v>
          </cell>
          <cell r="I234">
            <v>0.08</v>
          </cell>
          <cell r="J234" t="str">
            <v>N/A</v>
          </cell>
          <cell r="K234">
            <v>0.08</v>
          </cell>
          <cell r="L234">
            <v>15.86935698017647</v>
          </cell>
          <cell r="M234">
            <v>769789.31955292134</v>
          </cell>
          <cell r="R234">
            <v>769789.31955292134</v>
          </cell>
          <cell r="S234">
            <v>0</v>
          </cell>
          <cell r="T234">
            <v>0</v>
          </cell>
        </row>
        <row r="236">
          <cell r="C236" t="str">
            <v>A0361</v>
          </cell>
          <cell r="D236" t="str">
            <v>PT Denso Sales Indonesia</v>
          </cell>
          <cell r="E236" t="str">
            <v>PEB 1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</row>
        <row r="237">
          <cell r="C237" t="str">
            <v>A0361</v>
          </cell>
          <cell r="D237" t="str">
            <v>PT Denso Sales Indonesia</v>
          </cell>
          <cell r="E237" t="str">
            <v>PEB 2</v>
          </cell>
        </row>
        <row r="238">
          <cell r="C238" t="str">
            <v>A0361</v>
          </cell>
          <cell r="D238" t="str">
            <v>PT Denso Sales Indonesia</v>
          </cell>
          <cell r="E238" t="str">
            <v>PEB 3</v>
          </cell>
        </row>
        <row r="239">
          <cell r="C239" t="str">
            <v>A0361</v>
          </cell>
          <cell r="D239" t="str">
            <v>PT Denso Sales Indonesia</v>
          </cell>
          <cell r="E239" t="str">
            <v>PEB 4</v>
          </cell>
        </row>
        <row r="240">
          <cell r="C240" t="str">
            <v>A0361</v>
          </cell>
          <cell r="D240" t="str">
            <v>PT Denso Sales Indonesia</v>
          </cell>
          <cell r="E240" t="str">
            <v>PEB 5</v>
          </cell>
          <cell r="G240">
            <v>9.48</v>
          </cell>
          <cell r="I240">
            <v>0.09</v>
          </cell>
          <cell r="J240" t="str">
            <v>N/A</v>
          </cell>
          <cell r="K240">
            <v>0.08</v>
          </cell>
          <cell r="L240">
            <v>13.872170717115331</v>
          </cell>
          <cell r="M240">
            <v>5907570.311448317</v>
          </cell>
          <cell r="N240">
            <v>613313.58360976237</v>
          </cell>
          <cell r="O240">
            <v>377383.45984669699</v>
          </cell>
          <cell r="P240">
            <v>629293.70250837598</v>
          </cell>
          <cell r="Q240">
            <v>183652.43430691212</v>
          </cell>
          <cell r="R240">
            <v>0</v>
          </cell>
          <cell r="S240">
            <v>0</v>
          </cell>
          <cell r="T240">
            <v>0</v>
          </cell>
        </row>
        <row r="241">
          <cell r="C241" t="str">
            <v>A0361</v>
          </cell>
          <cell r="D241" t="str">
            <v>PT Denso Sales Indonesia</v>
          </cell>
          <cell r="E241" t="str">
            <v>PEB 6</v>
          </cell>
        </row>
        <row r="242">
          <cell r="C242" t="str">
            <v>A0361</v>
          </cell>
          <cell r="D242" t="str">
            <v>PT Denso Sales Indonesia</v>
          </cell>
          <cell r="E242" t="str">
            <v>PEB 7</v>
          </cell>
          <cell r="G242">
            <v>9.48</v>
          </cell>
          <cell r="I242">
            <v>0.08</v>
          </cell>
          <cell r="J242" t="str">
            <v>N/A</v>
          </cell>
          <cell r="K242">
            <v>0.08</v>
          </cell>
          <cell r="L242">
            <v>13.872170717115331</v>
          </cell>
          <cell r="M242">
            <v>215876.2364854406</v>
          </cell>
          <cell r="N242">
            <v>24267.160744798668</v>
          </cell>
          <cell r="O242">
            <v>25671.940590654845</v>
          </cell>
          <cell r="P242">
            <v>23688.701951825169</v>
          </cell>
          <cell r="Q242">
            <v>114238.35551067954</v>
          </cell>
          <cell r="R242">
            <v>0</v>
          </cell>
          <cell r="S242">
            <v>0</v>
          </cell>
          <cell r="T242">
            <v>0</v>
          </cell>
        </row>
        <row r="243">
          <cell r="C243" t="str">
            <v>A0361</v>
          </cell>
          <cell r="D243" t="str">
            <v>PT Denso Sales Indonesia</v>
          </cell>
          <cell r="E243" t="str">
            <v>MPP</v>
          </cell>
          <cell r="G243">
            <v>9.48</v>
          </cell>
          <cell r="I243">
            <v>0.09</v>
          </cell>
          <cell r="J243" t="str">
            <v>N/A</v>
          </cell>
          <cell r="K243">
            <v>0.08</v>
          </cell>
          <cell r="L243">
            <v>13.872170717115331</v>
          </cell>
          <cell r="M243">
            <v>313726.91967400187</v>
          </cell>
          <cell r="N243">
            <v>35002.371570145617</v>
          </cell>
          <cell r="O243">
            <v>32498.935967777274</v>
          </cell>
          <cell r="P243">
            <v>34498.724425160741</v>
          </cell>
          <cell r="Q243">
            <v>8788.3116556737805</v>
          </cell>
          <cell r="R243">
            <v>0</v>
          </cell>
          <cell r="S243">
            <v>0</v>
          </cell>
          <cell r="T243">
            <v>0</v>
          </cell>
        </row>
        <row r="244">
          <cell r="C244" t="str">
            <v>A0361</v>
          </cell>
          <cell r="D244" t="str">
            <v>PT Denso Sales Indonesia</v>
          </cell>
          <cell r="E244" t="str">
            <v>ID</v>
          </cell>
          <cell r="G244">
            <v>9.48</v>
          </cell>
          <cell r="I244">
            <v>0.09</v>
          </cell>
          <cell r="J244" t="str">
            <v>N/A</v>
          </cell>
          <cell r="K244">
            <v>0.08</v>
          </cell>
          <cell r="L244">
            <v>13.872170717115331</v>
          </cell>
          <cell r="M244">
            <v>619091.2909987662</v>
          </cell>
          <cell r="N244">
            <v>67955.59062263841</v>
          </cell>
          <cell r="O244">
            <v>68395.875469120263</v>
          </cell>
          <cell r="P244">
            <v>66487.391769623981</v>
          </cell>
          <cell r="Q244">
            <v>-109753.21935714479</v>
          </cell>
          <cell r="R244">
            <v>0</v>
          </cell>
          <cell r="S244">
            <v>0</v>
          </cell>
          <cell r="T244">
            <v>0</v>
          </cell>
        </row>
        <row r="245">
          <cell r="C245" t="str">
            <v>A0361</v>
          </cell>
          <cell r="D245" t="str">
            <v>PT Denso Sales Indonesia</v>
          </cell>
          <cell r="E245" t="str">
            <v>LL</v>
          </cell>
          <cell r="G245">
            <v>9.48</v>
          </cell>
          <cell r="I245">
            <v>0.08</v>
          </cell>
          <cell r="J245" t="str">
            <v>N/A</v>
          </cell>
          <cell r="K245">
            <v>0.08</v>
          </cell>
          <cell r="L245">
            <v>2.6002764700471568</v>
          </cell>
          <cell r="M245">
            <v>610378</v>
          </cell>
          <cell r="N245">
            <v>156613</v>
          </cell>
          <cell r="O245">
            <v>69822</v>
          </cell>
          <cell r="P245">
            <v>163710</v>
          </cell>
          <cell r="Q245">
            <v>2655.4336488856934</v>
          </cell>
          <cell r="R245">
            <v>0</v>
          </cell>
          <cell r="S245">
            <v>0</v>
          </cell>
          <cell r="T245">
            <v>0</v>
          </cell>
        </row>
        <row r="246">
          <cell r="C246" t="str">
            <v>A0361</v>
          </cell>
          <cell r="D246" t="str">
            <v>PT Denso Sales Indonesia</v>
          </cell>
          <cell r="E246" t="str">
            <v>PMK</v>
          </cell>
          <cell r="G246">
            <v>9.48</v>
          </cell>
          <cell r="I246">
            <v>0.08</v>
          </cell>
          <cell r="J246" t="str">
            <v>N/A</v>
          </cell>
          <cell r="K246">
            <v>0.08</v>
          </cell>
          <cell r="L246">
            <v>13.447882008922255</v>
          </cell>
          <cell r="M246">
            <v>30341.777756218649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30341.777756218649</v>
          </cell>
          <cell r="S246">
            <v>0</v>
          </cell>
          <cell r="T246">
            <v>0</v>
          </cell>
        </row>
        <row r="248">
          <cell r="C248" t="str">
            <v>A0353</v>
          </cell>
          <cell r="D248" t="str">
            <v>PT Hamaden Indonesia</v>
          </cell>
          <cell r="E248" t="str">
            <v>PEB 1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</row>
        <row r="249">
          <cell r="C249" t="str">
            <v>A0353</v>
          </cell>
          <cell r="D249" t="str">
            <v>PT Hamaden Indonesia</v>
          </cell>
          <cell r="E249" t="str">
            <v>PEB 2</v>
          </cell>
        </row>
        <row r="250">
          <cell r="C250" t="str">
            <v>A0353</v>
          </cell>
          <cell r="D250" t="str">
            <v>PT Hamaden Indonesia</v>
          </cell>
          <cell r="E250" t="str">
            <v>PEB 3</v>
          </cell>
        </row>
        <row r="251">
          <cell r="C251" t="str">
            <v>A0353</v>
          </cell>
          <cell r="D251" t="str">
            <v>PT Hamaden Indonesia</v>
          </cell>
          <cell r="E251" t="str">
            <v>PEB 4</v>
          </cell>
        </row>
        <row r="252">
          <cell r="C252" t="str">
            <v>A0353</v>
          </cell>
          <cell r="D252" t="str">
            <v>PT Hamaden Indonesia</v>
          </cell>
          <cell r="E252" t="str">
            <v>PEB 5</v>
          </cell>
          <cell r="G252">
            <v>17.54</v>
          </cell>
          <cell r="I252">
            <v>0.09</v>
          </cell>
          <cell r="J252" t="str">
            <v>N/A</v>
          </cell>
          <cell r="K252">
            <v>0.08</v>
          </cell>
          <cell r="L252">
            <v>18.740662361231006</v>
          </cell>
          <cell r="M252">
            <v>4551296.4175511282</v>
          </cell>
          <cell r="N252">
            <v>302711.38150111056</v>
          </cell>
          <cell r="O252">
            <v>0</v>
          </cell>
          <cell r="P252">
            <v>329955.40583621064</v>
          </cell>
          <cell r="Q252">
            <v>205560.90115782991</v>
          </cell>
          <cell r="R252">
            <v>0</v>
          </cell>
          <cell r="S252">
            <v>0</v>
          </cell>
          <cell r="T252">
            <v>0</v>
          </cell>
        </row>
        <row r="253">
          <cell r="C253" t="str">
            <v>A0353</v>
          </cell>
          <cell r="D253" t="str">
            <v>PT Hamaden Indonesia</v>
          </cell>
          <cell r="E253" t="str">
            <v>PEB 6</v>
          </cell>
        </row>
        <row r="254">
          <cell r="C254" t="str">
            <v>A0353</v>
          </cell>
          <cell r="D254" t="str">
            <v>PT Hamaden Indonesia</v>
          </cell>
          <cell r="E254" t="str">
            <v>PEB 7</v>
          </cell>
          <cell r="G254">
            <v>17.54</v>
          </cell>
          <cell r="I254">
            <v>0.08</v>
          </cell>
          <cell r="J254" t="str">
            <v>N/A</v>
          </cell>
          <cell r="K254">
            <v>0.08</v>
          </cell>
          <cell r="L254">
            <v>18.740662361231006</v>
          </cell>
          <cell r="M254">
            <v>410940.10303246527</v>
          </cell>
          <cell r="N254">
            <v>34666.791644815094</v>
          </cell>
          <cell r="O254">
            <v>42481.342453709745</v>
          </cell>
          <cell r="P254">
            <v>34014.981612966658</v>
          </cell>
          <cell r="Q254">
            <v>201655.88870046445</v>
          </cell>
          <cell r="R254">
            <v>0</v>
          </cell>
          <cell r="S254">
            <v>0</v>
          </cell>
          <cell r="T254">
            <v>0</v>
          </cell>
        </row>
        <row r="255">
          <cell r="C255" t="str">
            <v>A0353</v>
          </cell>
          <cell r="D255" t="str">
            <v>PT Hamaden Indonesia</v>
          </cell>
          <cell r="E255" t="str">
            <v>MPP</v>
          </cell>
          <cell r="G255">
            <v>17.54</v>
          </cell>
          <cell r="I255">
            <v>0.09</v>
          </cell>
          <cell r="J255" t="str">
            <v>N/A</v>
          </cell>
          <cell r="K255">
            <v>0.08</v>
          </cell>
          <cell r="L255">
            <v>18.740662361231006</v>
          </cell>
          <cell r="M255">
            <v>212016.91386107737</v>
          </cell>
          <cell r="N255">
            <v>14101.46187116974</v>
          </cell>
          <cell r="O255">
            <v>0</v>
          </cell>
          <cell r="P255">
            <v>15370.593439575028</v>
          </cell>
          <cell r="Q255">
            <v>9575.8183769176831</v>
          </cell>
          <cell r="R255">
            <v>0</v>
          </cell>
          <cell r="S255">
            <v>0</v>
          </cell>
          <cell r="T255">
            <v>0</v>
          </cell>
        </row>
        <row r="256">
          <cell r="C256" t="str">
            <v>A0353</v>
          </cell>
          <cell r="D256" t="str">
            <v>PT Hamaden Indonesia</v>
          </cell>
          <cell r="E256" t="str">
            <v>ID</v>
          </cell>
          <cell r="G256">
            <v>17.54</v>
          </cell>
          <cell r="I256">
            <v>0.09</v>
          </cell>
          <cell r="J256" t="str">
            <v>N/A</v>
          </cell>
          <cell r="K256">
            <v>0.08</v>
          </cell>
          <cell r="L256">
            <v>18.740662361231006</v>
          </cell>
          <cell r="M256">
            <v>700347.8421107555</v>
          </cell>
          <cell r="N256">
            <v>53635.261638919612</v>
          </cell>
          <cell r="O256">
            <v>45732.39752278907</v>
          </cell>
          <cell r="P256">
            <v>55450.039632132568</v>
          </cell>
          <cell r="Q256">
            <v>-141839.87126668962</v>
          </cell>
          <cell r="R256">
            <v>0</v>
          </cell>
          <cell r="S256">
            <v>0</v>
          </cell>
          <cell r="T256">
            <v>0</v>
          </cell>
        </row>
        <row r="257">
          <cell r="C257" t="str">
            <v>A0353</v>
          </cell>
          <cell r="D257" t="str">
            <v>PT Hamaden Indonesia</v>
          </cell>
          <cell r="E257" t="str">
            <v>LL</v>
          </cell>
          <cell r="G257">
            <v>17.54</v>
          </cell>
          <cell r="I257">
            <v>0.08</v>
          </cell>
          <cell r="J257" t="str">
            <v>N/A</v>
          </cell>
          <cell r="K257">
            <v>0.08</v>
          </cell>
          <cell r="L257">
            <v>2.2704504641934724</v>
          </cell>
          <cell r="M257">
            <v>541957.98027352348</v>
          </cell>
          <cell r="N257">
            <v>148944.33795636136</v>
          </cell>
          <cell r="O257">
            <v>100194.62400000001</v>
          </cell>
          <cell r="P257">
            <v>155373.73751284363</v>
          </cell>
          <cell r="Q257">
            <v>1290.3670384505531</v>
          </cell>
          <cell r="R257">
            <v>0</v>
          </cell>
          <cell r="S257">
            <v>0</v>
          </cell>
          <cell r="T257">
            <v>0</v>
          </cell>
        </row>
        <row r="258">
          <cell r="C258" t="str">
            <v>A0353</v>
          </cell>
          <cell r="D258" t="str">
            <v>PT Hamaden Indonesia</v>
          </cell>
          <cell r="E258" t="str">
            <v>PMK</v>
          </cell>
          <cell r="G258">
            <v>17.54</v>
          </cell>
          <cell r="I258">
            <v>0.08</v>
          </cell>
          <cell r="J258" t="str">
            <v>N/A</v>
          </cell>
          <cell r="K258">
            <v>0.08</v>
          </cell>
          <cell r="L258">
            <v>18.347108768935968</v>
          </cell>
          <cell r="M258">
            <v>63697.996181697155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63697.996181697155</v>
          </cell>
          <cell r="S258">
            <v>0</v>
          </cell>
          <cell r="T258">
            <v>0</v>
          </cell>
        </row>
        <row r="260">
          <cell r="C260" t="str">
            <v>A0049</v>
          </cell>
          <cell r="D260" t="str">
            <v>PT Aisin Indonesia</v>
          </cell>
          <cell r="E260" t="str">
            <v>PEB 1</v>
          </cell>
          <cell r="G260">
            <v>10.576647196279399</v>
          </cell>
          <cell r="H260">
            <v>55147.207470768626</v>
          </cell>
          <cell r="I260">
            <v>0.08</v>
          </cell>
          <cell r="J260">
            <v>0.1</v>
          </cell>
          <cell r="K260">
            <v>0.08</v>
          </cell>
          <cell r="L260">
            <v>10.105226583824514</v>
          </cell>
          <cell r="M260">
            <v>13144016</v>
          </cell>
          <cell r="N260">
            <v>615473</v>
          </cell>
          <cell r="O260">
            <v>81775</v>
          </cell>
          <cell r="P260">
            <v>660904</v>
          </cell>
          <cell r="Q260">
            <v>1004236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K260">
            <v>10.576647196279399</v>
          </cell>
          <cell r="AL260">
            <v>0</v>
          </cell>
          <cell r="AM260">
            <v>0.08</v>
          </cell>
          <cell r="AN260" t="str">
            <v>N/A</v>
          </cell>
          <cell r="AO260">
            <v>0.08</v>
          </cell>
          <cell r="AP260">
            <v>10.100327257652332</v>
          </cell>
          <cell r="AQ260">
            <v>86684.812745541043</v>
          </cell>
          <cell r="AR260">
            <v>4392.0030285008133</v>
          </cell>
          <cell r="AS260">
            <v>0</v>
          </cell>
          <cell r="AT260">
            <v>4743.3632707808783</v>
          </cell>
          <cell r="AU260">
            <v>8005.8127455410431</v>
          </cell>
          <cell r="AV260">
            <v>0</v>
          </cell>
          <cell r="AW260">
            <v>0</v>
          </cell>
          <cell r="AX260">
            <v>-93458.787432229758</v>
          </cell>
          <cell r="AZ260">
            <v>20.375807114700756</v>
          </cell>
          <cell r="BA260">
            <v>1565527</v>
          </cell>
          <cell r="BB260">
            <v>0.09</v>
          </cell>
          <cell r="BC260" t="str">
            <v>N/A</v>
          </cell>
          <cell r="BD260">
            <v>0.08</v>
          </cell>
          <cell r="BE260">
            <v>20.110244696224026</v>
          </cell>
          <cell r="BF260">
            <v>1003109.0990479738</v>
          </cell>
          <cell r="BG260">
            <v>117071.20193082241</v>
          </cell>
          <cell r="BH260">
            <v>0</v>
          </cell>
          <cell r="BI260">
            <v>127607.61010459643</v>
          </cell>
          <cell r="BJ260">
            <v>-71891.680324609159</v>
          </cell>
          <cell r="BK260">
            <v>0</v>
          </cell>
          <cell r="BL260">
            <v>0</v>
          </cell>
          <cell r="BM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S260">
            <v>19.747357428721227</v>
          </cell>
          <cell r="CT260">
            <v>95557.679864116071</v>
          </cell>
          <cell r="CU260">
            <v>0.08</v>
          </cell>
          <cell r="CV260" t="str">
            <v>N/A</v>
          </cell>
          <cell r="CW260">
            <v>0.08</v>
          </cell>
          <cell r="CX260">
            <v>19.478666572123629</v>
          </cell>
          <cell r="CY260">
            <v>1165704.2247061727</v>
          </cell>
          <cell r="CZ260">
            <v>130818.10845622176</v>
          </cell>
          <cell r="DA260">
            <v>120185.02926627762</v>
          </cell>
          <cell r="DB260">
            <v>128362.18436173021</v>
          </cell>
          <cell r="DC260">
            <v>62145.061346579809</v>
          </cell>
          <cell r="DD260">
            <v>0</v>
          </cell>
          <cell r="DE260">
            <v>0</v>
          </cell>
          <cell r="DF260">
            <v>0</v>
          </cell>
          <cell r="DH260">
            <v>19.747357428721227</v>
          </cell>
          <cell r="DI260">
            <v>112947.59850000002</v>
          </cell>
          <cell r="DJ260">
            <v>0.09</v>
          </cell>
          <cell r="DK260" t="str">
            <v>N/A</v>
          </cell>
          <cell r="DL260">
            <v>0.08</v>
          </cell>
          <cell r="DM260">
            <v>19.478666572123629</v>
          </cell>
          <cell r="DN260">
            <v>984650.55708364735</v>
          </cell>
          <cell r="DO260">
            <v>75716.016023413351</v>
          </cell>
          <cell r="DP260">
            <v>0</v>
          </cell>
          <cell r="DQ260">
            <v>82530.45746552058</v>
          </cell>
          <cell r="DR260">
            <v>-6569.22259001981</v>
          </cell>
          <cell r="DS260">
            <v>0</v>
          </cell>
          <cell r="DT260">
            <v>0</v>
          </cell>
          <cell r="DU260">
            <v>-58209.930895415717</v>
          </cell>
          <cell r="DW260">
            <v>19.747357428721227</v>
          </cell>
          <cell r="DX260">
            <v>114521.82140054071</v>
          </cell>
          <cell r="DY260">
            <v>0.09</v>
          </cell>
          <cell r="DZ260" t="str">
            <v>N/A</v>
          </cell>
          <cell r="EA260">
            <v>0.08</v>
          </cell>
          <cell r="EB260">
            <v>19.478666572123629</v>
          </cell>
          <cell r="EC260">
            <v>2336614.7337955786</v>
          </cell>
          <cell r="ED260">
            <v>212000.8179200693</v>
          </cell>
          <cell r="EE260">
            <v>149783.7011743297</v>
          </cell>
          <cell r="EF260">
            <v>218787.36485306689</v>
          </cell>
          <cell r="EG260">
            <v>-23446.543972847983</v>
          </cell>
          <cell r="EH260">
            <v>0</v>
          </cell>
          <cell r="EI260">
            <v>0</v>
          </cell>
          <cell r="EJ260">
            <v>0</v>
          </cell>
          <cell r="EL260">
            <v>19.747357428721227</v>
          </cell>
          <cell r="EM260">
            <v>1009199.9869709262</v>
          </cell>
          <cell r="EN260">
            <v>0.08</v>
          </cell>
          <cell r="EO260" t="str">
            <v>N/A</v>
          </cell>
          <cell r="EP260">
            <v>0.08</v>
          </cell>
          <cell r="EQ260">
            <v>9.5810794954532312</v>
          </cell>
          <cell r="ER260">
            <v>2173701.2236247184</v>
          </cell>
          <cell r="ES260">
            <v>941553.62024564575</v>
          </cell>
          <cell r="ET260">
            <v>855233.14752000023</v>
          </cell>
          <cell r="EU260">
            <v>981175.25382953824</v>
          </cell>
          <cell r="EV260">
            <v>6971.2236247183755</v>
          </cell>
          <cell r="EW260">
            <v>0</v>
          </cell>
          <cell r="EX260">
            <v>0</v>
          </cell>
          <cell r="EY260">
            <v>-688.00151778571308</v>
          </cell>
          <cell r="FA260">
            <v>19.747357428721227</v>
          </cell>
          <cell r="FB260">
            <v>264046.69999999949</v>
          </cell>
          <cell r="FC260">
            <v>0.08</v>
          </cell>
          <cell r="FD260" t="str">
            <v>N/A</v>
          </cell>
          <cell r="FE260">
            <v>0.08</v>
          </cell>
          <cell r="FF260">
            <v>19.023140609906736</v>
          </cell>
          <cell r="FG260">
            <v>2052861.7843464212</v>
          </cell>
          <cell r="FH260">
            <v>382604.3482119831</v>
          </cell>
          <cell r="FI260">
            <v>269620</v>
          </cell>
          <cell r="FJ260">
            <v>420864.78303318145</v>
          </cell>
          <cell r="FK260">
            <v>231897.78434642125</v>
          </cell>
          <cell r="FL260">
            <v>0</v>
          </cell>
          <cell r="FM260">
            <v>0</v>
          </cell>
          <cell r="FN260">
            <v>0</v>
          </cell>
        </row>
        <row r="261">
          <cell r="C261" t="str">
            <v>A0049</v>
          </cell>
          <cell r="D261" t="str">
            <v>PT Aisin Indonesia</v>
          </cell>
          <cell r="E261" t="str">
            <v>PEB 2</v>
          </cell>
          <cell r="G261">
            <v>0</v>
          </cell>
          <cell r="H261">
            <v>0</v>
          </cell>
        </row>
        <row r="262">
          <cell r="C262" t="str">
            <v>A0049</v>
          </cell>
          <cell r="D262" t="str">
            <v>PT Aisin Indonesia</v>
          </cell>
          <cell r="E262" t="str">
            <v>PEB 3</v>
          </cell>
          <cell r="G262">
            <v>10.576647196279399</v>
          </cell>
          <cell r="H262">
            <v>0</v>
          </cell>
          <cell r="I262">
            <v>0.08</v>
          </cell>
          <cell r="J262" t="str">
            <v>N/A</v>
          </cell>
          <cell r="K262">
            <v>0.08</v>
          </cell>
          <cell r="L262">
            <v>10.100327257652332</v>
          </cell>
          <cell r="M262">
            <v>86684.812745541043</v>
          </cell>
          <cell r="N262">
            <v>4392.0030285008133</v>
          </cell>
          <cell r="O262">
            <v>0</v>
          </cell>
          <cell r="P262">
            <v>4743.3632707808783</v>
          </cell>
          <cell r="Q262">
            <v>8005.8127455410431</v>
          </cell>
          <cell r="R262">
            <v>0</v>
          </cell>
          <cell r="S262">
            <v>0</v>
          </cell>
          <cell r="T262">
            <v>-93458.787432229758</v>
          </cell>
        </row>
        <row r="263">
          <cell r="C263" t="str">
            <v>A0049</v>
          </cell>
          <cell r="D263" t="str">
            <v>PT Aisin Indonesia</v>
          </cell>
          <cell r="E263" t="str">
            <v>PEB 4</v>
          </cell>
          <cell r="G263">
            <v>20.375807114700756</v>
          </cell>
          <cell r="H263">
            <v>1565527</v>
          </cell>
          <cell r="I263">
            <v>0.09</v>
          </cell>
          <cell r="J263" t="str">
            <v>N/A</v>
          </cell>
          <cell r="K263">
            <v>0.08</v>
          </cell>
          <cell r="L263">
            <v>20.110244696224026</v>
          </cell>
          <cell r="M263">
            <v>1003109.0990479738</v>
          </cell>
          <cell r="N263">
            <v>117071.20193082241</v>
          </cell>
          <cell r="O263">
            <v>0</v>
          </cell>
          <cell r="P263">
            <v>127607.61010459643</v>
          </cell>
          <cell r="Q263">
            <v>-71891.680324609159</v>
          </cell>
          <cell r="R263">
            <v>0</v>
          </cell>
          <cell r="S263">
            <v>0</v>
          </cell>
          <cell r="T263">
            <v>0</v>
          </cell>
        </row>
        <row r="264">
          <cell r="C264" t="str">
            <v>A0049</v>
          </cell>
          <cell r="D264" t="str">
            <v>PT Aisin Indonesia</v>
          </cell>
          <cell r="E264" t="str">
            <v>PEB 5</v>
          </cell>
          <cell r="G264">
            <v>0</v>
          </cell>
          <cell r="H264">
            <v>0</v>
          </cell>
        </row>
        <row r="265">
          <cell r="C265" t="str">
            <v>A0049</v>
          </cell>
          <cell r="D265" t="str">
            <v>PT Aisin Indonesia</v>
          </cell>
          <cell r="E265" t="str">
            <v>PEB 6</v>
          </cell>
          <cell r="G265">
            <v>0</v>
          </cell>
          <cell r="H265">
            <v>0</v>
          </cell>
        </row>
        <row r="266">
          <cell r="C266" t="str">
            <v>A0049</v>
          </cell>
          <cell r="D266" t="str">
            <v>PT Aisin Indonesia</v>
          </cell>
          <cell r="E266" t="str">
            <v>PEB 7</v>
          </cell>
          <cell r="G266">
            <v>19.747357428721227</v>
          </cell>
          <cell r="H266">
            <v>95557.679864116071</v>
          </cell>
          <cell r="I266">
            <v>0.08</v>
          </cell>
          <cell r="J266" t="str">
            <v>N/A</v>
          </cell>
          <cell r="K266">
            <v>0.08</v>
          </cell>
          <cell r="L266">
            <v>19.478666572123629</v>
          </cell>
          <cell r="M266">
            <v>1165704.2247061727</v>
          </cell>
          <cell r="N266">
            <v>130818.10845622176</v>
          </cell>
          <cell r="O266">
            <v>120185.02926627762</v>
          </cell>
          <cell r="P266">
            <v>128362.18436173021</v>
          </cell>
          <cell r="Q266">
            <v>62145.061346579809</v>
          </cell>
          <cell r="R266">
            <v>0</v>
          </cell>
          <cell r="S266">
            <v>0</v>
          </cell>
          <cell r="T266">
            <v>0</v>
          </cell>
        </row>
        <row r="267">
          <cell r="C267" t="str">
            <v>A0049</v>
          </cell>
          <cell r="D267" t="str">
            <v>PT Aisin Indonesia</v>
          </cell>
          <cell r="E267" t="str">
            <v>MPP</v>
          </cell>
          <cell r="G267">
            <v>19.747357428721227</v>
          </cell>
          <cell r="H267">
            <v>112947.59850000002</v>
          </cell>
          <cell r="I267">
            <v>0.09</v>
          </cell>
          <cell r="J267" t="str">
            <v>N/A</v>
          </cell>
          <cell r="K267">
            <v>0.08</v>
          </cell>
          <cell r="L267">
            <v>19.478666572123629</v>
          </cell>
          <cell r="M267">
            <v>984650.55708364735</v>
          </cell>
          <cell r="N267">
            <v>75716.016023413351</v>
          </cell>
          <cell r="O267">
            <v>0</v>
          </cell>
          <cell r="P267">
            <v>82530.45746552058</v>
          </cell>
          <cell r="Q267">
            <v>-6569.22259001981</v>
          </cell>
          <cell r="R267">
            <v>0</v>
          </cell>
          <cell r="S267">
            <v>0</v>
          </cell>
          <cell r="T267">
            <v>-58209.930895415717</v>
          </cell>
        </row>
        <row r="268">
          <cell r="C268" t="str">
            <v>A0049</v>
          </cell>
          <cell r="D268" t="str">
            <v>PT Aisin Indonesia</v>
          </cell>
          <cell r="E268" t="str">
            <v>ID</v>
          </cell>
          <cell r="G268">
            <v>19.747357428721227</v>
          </cell>
          <cell r="H268">
            <v>114521.82140054071</v>
          </cell>
          <cell r="I268">
            <v>0.09</v>
          </cell>
          <cell r="J268" t="str">
            <v>N/A</v>
          </cell>
          <cell r="K268">
            <v>0.08</v>
          </cell>
          <cell r="L268">
            <v>19.478666572123629</v>
          </cell>
          <cell r="M268">
            <v>2336614.7337955786</v>
          </cell>
          <cell r="N268">
            <v>212000.8179200693</v>
          </cell>
          <cell r="O268">
            <v>149783.7011743297</v>
          </cell>
          <cell r="P268">
            <v>218787.36485306689</v>
          </cell>
          <cell r="Q268">
            <v>-23446.543972847983</v>
          </cell>
          <cell r="R268">
            <v>0</v>
          </cell>
          <cell r="S268">
            <v>0</v>
          </cell>
          <cell r="T268">
            <v>0</v>
          </cell>
        </row>
        <row r="269">
          <cell r="C269" t="str">
            <v>A0049</v>
          </cell>
          <cell r="D269" t="str">
            <v>PT Aisin Indonesia</v>
          </cell>
          <cell r="E269" t="str">
            <v>LL</v>
          </cell>
          <cell r="G269">
            <v>19.747357428721227</v>
          </cell>
          <cell r="H269">
            <v>1009199.9869709262</v>
          </cell>
          <cell r="I269">
            <v>0.08</v>
          </cell>
          <cell r="J269" t="str">
            <v>N/A</v>
          </cell>
          <cell r="K269">
            <v>0.08</v>
          </cell>
          <cell r="L269">
            <v>9.5810794954532312</v>
          </cell>
          <cell r="M269">
            <v>2173701.2236247184</v>
          </cell>
          <cell r="N269">
            <v>941553.62024564575</v>
          </cell>
          <cell r="O269">
            <v>855233.14752000023</v>
          </cell>
          <cell r="P269">
            <v>981175.25382953824</v>
          </cell>
          <cell r="Q269">
            <v>6971.2236247183755</v>
          </cell>
          <cell r="R269">
            <v>0</v>
          </cell>
          <cell r="S269">
            <v>0</v>
          </cell>
          <cell r="T269">
            <v>-688.00151778571308</v>
          </cell>
        </row>
        <row r="270">
          <cell r="C270" t="str">
            <v>A0049</v>
          </cell>
          <cell r="D270" t="str">
            <v>PT Aisin Indonesia</v>
          </cell>
          <cell r="E270" t="str">
            <v>PMK</v>
          </cell>
          <cell r="G270">
            <v>19.747357428721227</v>
          </cell>
          <cell r="H270">
            <v>264046.69999999949</v>
          </cell>
          <cell r="I270">
            <v>0.08</v>
          </cell>
          <cell r="J270" t="str">
            <v>N/A</v>
          </cell>
          <cell r="K270">
            <v>0.08</v>
          </cell>
          <cell r="L270">
            <v>19.023140609906736</v>
          </cell>
          <cell r="M270">
            <v>2052861.7843464212</v>
          </cell>
          <cell r="N270">
            <v>382604.3482119831</v>
          </cell>
          <cell r="O270">
            <v>269620</v>
          </cell>
          <cell r="P270">
            <v>420864.78303318145</v>
          </cell>
          <cell r="Q270">
            <v>231897.78434642125</v>
          </cell>
          <cell r="R270">
            <v>0</v>
          </cell>
          <cell r="S270">
            <v>0</v>
          </cell>
          <cell r="T270">
            <v>0</v>
          </cell>
        </row>
        <row r="272">
          <cell r="C272" t="str">
            <v>A0274</v>
          </cell>
          <cell r="D272" t="str">
            <v>PT Federal Nittan Industries</v>
          </cell>
          <cell r="E272" t="str">
            <v>PEB 1</v>
          </cell>
          <cell r="G272">
            <v>9.6842393258984085</v>
          </cell>
          <cell r="H272">
            <v>19024.129751982236</v>
          </cell>
          <cell r="I272">
            <v>0.08</v>
          </cell>
          <cell r="J272">
            <v>0.1</v>
          </cell>
          <cell r="K272">
            <v>0.08</v>
          </cell>
          <cell r="L272">
            <v>8.8190431303825996</v>
          </cell>
          <cell r="M272">
            <v>3624456.7050535823</v>
          </cell>
          <cell r="N272">
            <v>165429</v>
          </cell>
          <cell r="O272">
            <v>27028</v>
          </cell>
          <cell r="P272">
            <v>177570</v>
          </cell>
          <cell r="Q272">
            <v>255857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9.6842393258984085</v>
          </cell>
          <cell r="AL272">
            <v>0</v>
          </cell>
          <cell r="AM272">
            <v>0.08</v>
          </cell>
          <cell r="AN272" t="str">
            <v>N/A</v>
          </cell>
          <cell r="AO272">
            <v>0.08</v>
          </cell>
          <cell r="AP272">
            <v>8.4044398646326908</v>
          </cell>
          <cell r="AQ272">
            <v>115402.05819529314</v>
          </cell>
          <cell r="AR272">
            <v>5728.914470968838</v>
          </cell>
          <cell r="AS272">
            <v>0</v>
          </cell>
          <cell r="AT272">
            <v>6187.2276286463457</v>
          </cell>
          <cell r="AU272">
            <v>29198.058195293139</v>
          </cell>
          <cell r="AV272">
            <v>0</v>
          </cell>
          <cell r="AW272">
            <v>0</v>
          </cell>
          <cell r="AX272">
            <v>-16072.3759614751</v>
          </cell>
          <cell r="AZ272">
            <v>21.303593346189821</v>
          </cell>
          <cell r="BA272">
            <v>0</v>
          </cell>
          <cell r="BB272">
            <v>0.09</v>
          </cell>
          <cell r="BC272" t="str">
            <v>N/A</v>
          </cell>
          <cell r="BD272">
            <v>0.08</v>
          </cell>
          <cell r="BE272">
            <v>21.066420889101867</v>
          </cell>
          <cell r="BF272">
            <v>288016.87456954835</v>
          </cell>
          <cell r="BG272">
            <v>26716.176339183352</v>
          </cell>
          <cell r="BH272">
            <v>0</v>
          </cell>
          <cell r="BI272">
            <v>29120.632209709856</v>
          </cell>
          <cell r="BJ272">
            <v>-20229.125430451648</v>
          </cell>
          <cell r="BK272">
            <v>0</v>
          </cell>
          <cell r="BL272">
            <v>0</v>
          </cell>
          <cell r="BM272">
            <v>-357290.74063832441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S272">
            <v>20.97903038472916</v>
          </cell>
          <cell r="CT272">
            <v>34955.306410913487</v>
          </cell>
          <cell r="CU272">
            <v>0.08</v>
          </cell>
          <cell r="CV272" t="str">
            <v>N/A</v>
          </cell>
          <cell r="CW272">
            <v>0.08</v>
          </cell>
          <cell r="CX272">
            <v>20.781881989675597</v>
          </cell>
          <cell r="CY272">
            <v>416215.23855864565</v>
          </cell>
          <cell r="CZ272">
            <v>51097.18965634911</v>
          </cell>
          <cell r="DA272">
            <v>41784.958057090924</v>
          </cell>
          <cell r="DB272">
            <v>50480.71839671248</v>
          </cell>
          <cell r="DC272">
            <v>23289.238558645651</v>
          </cell>
          <cell r="DD272">
            <v>0</v>
          </cell>
          <cell r="DE272">
            <v>0</v>
          </cell>
          <cell r="DF272">
            <v>14634.947048937145</v>
          </cell>
          <cell r="DH272">
            <v>20.97903038472916</v>
          </cell>
          <cell r="DI272">
            <v>0</v>
          </cell>
          <cell r="DJ272">
            <v>0.09</v>
          </cell>
          <cell r="DK272" t="str">
            <v>N/A</v>
          </cell>
          <cell r="DL272">
            <v>0.08</v>
          </cell>
          <cell r="DM272">
            <v>20.781881989675597</v>
          </cell>
          <cell r="DN272">
            <v>307439.08970527304</v>
          </cell>
          <cell r="DO272">
            <v>25657.749848945237</v>
          </cell>
          <cell r="DP272">
            <v>0</v>
          </cell>
          <cell r="DQ272">
            <v>28003.049718857685</v>
          </cell>
          <cell r="DR272">
            <v>-1906.9102947269566</v>
          </cell>
          <cell r="DS272">
            <v>0</v>
          </cell>
          <cell r="DT272">
            <v>0</v>
          </cell>
          <cell r="DU272">
            <v>0</v>
          </cell>
          <cell r="DW272">
            <v>20.97903038472916</v>
          </cell>
          <cell r="DX272">
            <v>40166.232913056359</v>
          </cell>
          <cell r="DY272">
            <v>0.09</v>
          </cell>
          <cell r="DZ272" t="str">
            <v>N/A</v>
          </cell>
          <cell r="EA272">
            <v>0.08</v>
          </cell>
          <cell r="EB272">
            <v>20.781881989675597</v>
          </cell>
          <cell r="EC272">
            <v>783714.93946535396</v>
          </cell>
          <cell r="ED272">
            <v>78584.82561406678</v>
          </cell>
          <cell r="EE272">
            <v>49228.792856231237</v>
          </cell>
          <cell r="EF272">
            <v>81456.735834848907</v>
          </cell>
          <cell r="EG272">
            <v>-7465.0605346460361</v>
          </cell>
          <cell r="EH272">
            <v>0</v>
          </cell>
          <cell r="EI272">
            <v>0</v>
          </cell>
          <cell r="EJ272">
            <v>6351.9394653539603</v>
          </cell>
          <cell r="EL272">
            <v>20.97903038472916</v>
          </cell>
          <cell r="EM272">
            <v>400504.74093421904</v>
          </cell>
          <cell r="EN272">
            <v>0.08</v>
          </cell>
          <cell r="EO272" t="str">
            <v>N/A</v>
          </cell>
          <cell r="EP272">
            <v>0.08</v>
          </cell>
          <cell r="EQ272">
            <v>2.0007784784886384</v>
          </cell>
          <cell r="ER272">
            <v>1318897.8161944384</v>
          </cell>
          <cell r="ES272">
            <v>330549.23574409715</v>
          </cell>
          <cell r="ET272">
            <v>201380.04</v>
          </cell>
          <cell r="EU272">
            <v>345245.89568415983</v>
          </cell>
          <cell r="EV272">
            <v>2268.9816982895136</v>
          </cell>
          <cell r="EW272">
            <v>0</v>
          </cell>
          <cell r="EX272">
            <v>0</v>
          </cell>
          <cell r="EY272">
            <v>-15157.370025378186</v>
          </cell>
          <cell r="FA272">
            <v>20.97903038472916</v>
          </cell>
          <cell r="FB272">
            <v>66918.75</v>
          </cell>
          <cell r="FC272">
            <v>0.08</v>
          </cell>
          <cell r="FD272" t="str">
            <v>N/A</v>
          </cell>
          <cell r="FE272">
            <v>0.08</v>
          </cell>
          <cell r="FF272">
            <v>20.514367015794956</v>
          </cell>
          <cell r="FG272">
            <v>1592774.223781148</v>
          </cell>
          <cell r="FH272">
            <v>221204.49234957414</v>
          </cell>
          <cell r="FI272">
            <v>46250</v>
          </cell>
          <cell r="FJ272">
            <v>243324.94158453157</v>
          </cell>
          <cell r="FK272">
            <v>237659.87591121579</v>
          </cell>
          <cell r="FL272">
            <v>0</v>
          </cell>
          <cell r="FM272">
            <v>0</v>
          </cell>
          <cell r="FN272">
            <v>0</v>
          </cell>
        </row>
        <row r="273">
          <cell r="C273" t="str">
            <v>A0274</v>
          </cell>
          <cell r="D273" t="str">
            <v>PT Federal Nittan Industries</v>
          </cell>
          <cell r="E273" t="str">
            <v>PEB 2</v>
          </cell>
          <cell r="G273">
            <v>0</v>
          </cell>
          <cell r="H273">
            <v>0</v>
          </cell>
          <cell r="T273">
            <v>0</v>
          </cell>
        </row>
        <row r="274">
          <cell r="C274" t="str">
            <v>A0274</v>
          </cell>
          <cell r="D274" t="str">
            <v>PT Federal Nittan Industries</v>
          </cell>
          <cell r="E274" t="str">
            <v>PEB 3</v>
          </cell>
          <cell r="G274">
            <v>9.6842393258984085</v>
          </cell>
          <cell r="H274">
            <v>0</v>
          </cell>
          <cell r="I274">
            <v>0.08</v>
          </cell>
          <cell r="J274" t="str">
            <v>N/A</v>
          </cell>
          <cell r="K274">
            <v>0.08</v>
          </cell>
          <cell r="L274">
            <v>8.4044398646326908</v>
          </cell>
          <cell r="M274">
            <v>115402.05819529314</v>
          </cell>
          <cell r="N274">
            <v>5728.914470968838</v>
          </cell>
          <cell r="O274">
            <v>0</v>
          </cell>
          <cell r="P274">
            <v>6187.2276286463457</v>
          </cell>
          <cell r="Q274">
            <v>29198.058195293139</v>
          </cell>
          <cell r="R274">
            <v>0</v>
          </cell>
          <cell r="S274">
            <v>0</v>
          </cell>
          <cell r="T274">
            <v>-16072.3759614751</v>
          </cell>
        </row>
        <row r="275">
          <cell r="C275" t="str">
            <v>A0274</v>
          </cell>
          <cell r="D275" t="str">
            <v>PT Federal Nittan Industries</v>
          </cell>
          <cell r="E275" t="str">
            <v>PEB 4</v>
          </cell>
          <cell r="G275">
            <v>21.303593346189821</v>
          </cell>
          <cell r="H275">
            <v>0</v>
          </cell>
          <cell r="I275">
            <v>0.09</v>
          </cell>
          <cell r="J275" t="str">
            <v>N/A</v>
          </cell>
          <cell r="K275">
            <v>0.08</v>
          </cell>
          <cell r="L275">
            <v>21.066420889101867</v>
          </cell>
          <cell r="M275">
            <v>288016.87456954835</v>
          </cell>
          <cell r="N275">
            <v>26716.176339183352</v>
          </cell>
          <cell r="O275">
            <v>0</v>
          </cell>
          <cell r="P275">
            <v>29120.632209709856</v>
          </cell>
          <cell r="Q275">
            <v>-20229.125430451648</v>
          </cell>
          <cell r="R275">
            <v>0</v>
          </cell>
          <cell r="S275">
            <v>0</v>
          </cell>
          <cell r="T275">
            <v>-357290.74063832441</v>
          </cell>
        </row>
        <row r="276">
          <cell r="C276" t="str">
            <v>A0274</v>
          </cell>
          <cell r="D276" t="str">
            <v>PT Federal Nittan Industries</v>
          </cell>
          <cell r="E276" t="str">
            <v>PEB 5</v>
          </cell>
          <cell r="G276">
            <v>0</v>
          </cell>
          <cell r="H276">
            <v>0</v>
          </cell>
          <cell r="T276">
            <v>0</v>
          </cell>
        </row>
        <row r="277">
          <cell r="C277" t="str">
            <v>A0274</v>
          </cell>
          <cell r="D277" t="str">
            <v>PT Federal Nittan Industries</v>
          </cell>
          <cell r="E277" t="str">
            <v>PEB 6</v>
          </cell>
          <cell r="G277">
            <v>0</v>
          </cell>
          <cell r="H277">
            <v>0</v>
          </cell>
          <cell r="T277">
            <v>0</v>
          </cell>
        </row>
        <row r="278">
          <cell r="C278" t="str">
            <v>A0274</v>
          </cell>
          <cell r="D278" t="str">
            <v>PT Federal Nittan Industries</v>
          </cell>
          <cell r="E278" t="str">
            <v>PEB 7</v>
          </cell>
          <cell r="G278">
            <v>20.97903038472916</v>
          </cell>
          <cell r="H278">
            <v>34955.306410913487</v>
          </cell>
          <cell r="I278">
            <v>0.08</v>
          </cell>
          <cell r="J278" t="str">
            <v>N/A</v>
          </cell>
          <cell r="K278">
            <v>0.08</v>
          </cell>
          <cell r="L278">
            <v>20.781881989675597</v>
          </cell>
          <cell r="M278">
            <v>416215.23855864565</v>
          </cell>
          <cell r="N278">
            <v>51097.18965634911</v>
          </cell>
          <cell r="O278">
            <v>41784.958057090924</v>
          </cell>
          <cell r="P278">
            <v>50480.71839671248</v>
          </cell>
          <cell r="Q278">
            <v>23289.238558645651</v>
          </cell>
          <cell r="R278">
            <v>0</v>
          </cell>
          <cell r="S278">
            <v>0</v>
          </cell>
          <cell r="T278">
            <v>14634.947048937145</v>
          </cell>
        </row>
        <row r="279">
          <cell r="C279" t="str">
            <v>A0274</v>
          </cell>
          <cell r="D279" t="str">
            <v>PT Federal Nittan Industries</v>
          </cell>
          <cell r="E279" t="str">
            <v>MPP</v>
          </cell>
          <cell r="G279">
            <v>20.97903038472916</v>
          </cell>
          <cell r="H279">
            <v>0</v>
          </cell>
          <cell r="I279">
            <v>0.09</v>
          </cell>
          <cell r="J279" t="str">
            <v>N/A</v>
          </cell>
          <cell r="K279">
            <v>0.08</v>
          </cell>
          <cell r="L279">
            <v>20.781881989675597</v>
          </cell>
          <cell r="M279">
            <v>307439.08970527304</v>
          </cell>
          <cell r="N279">
            <v>25657.749848945237</v>
          </cell>
          <cell r="O279">
            <v>0</v>
          </cell>
          <cell r="P279">
            <v>28003.049718857685</v>
          </cell>
          <cell r="Q279">
            <v>-1906.9102947269566</v>
          </cell>
          <cell r="R279">
            <v>0</v>
          </cell>
          <cell r="S279">
            <v>0</v>
          </cell>
          <cell r="T279">
            <v>0</v>
          </cell>
        </row>
        <row r="280">
          <cell r="C280" t="str">
            <v>A0274</v>
          </cell>
          <cell r="D280" t="str">
            <v>PT Federal Nittan Industries</v>
          </cell>
          <cell r="E280" t="str">
            <v>ID</v>
          </cell>
          <cell r="G280">
            <v>20.97903038472916</v>
          </cell>
          <cell r="H280">
            <v>40166.232913056359</v>
          </cell>
          <cell r="I280">
            <v>0.09</v>
          </cell>
          <cell r="J280" t="str">
            <v>N/A</v>
          </cell>
          <cell r="K280">
            <v>0.08</v>
          </cell>
          <cell r="L280">
            <v>20.781881989675597</v>
          </cell>
          <cell r="M280">
            <v>783714.93946535396</v>
          </cell>
          <cell r="N280">
            <v>78584.82561406678</v>
          </cell>
          <cell r="O280">
            <v>49228.792856231237</v>
          </cell>
          <cell r="P280">
            <v>81456.735834848907</v>
          </cell>
          <cell r="Q280">
            <v>-7465.0605346460361</v>
          </cell>
          <cell r="R280">
            <v>0</v>
          </cell>
          <cell r="S280">
            <v>0</v>
          </cell>
          <cell r="T280">
            <v>6351.9394653539603</v>
          </cell>
        </row>
        <row r="281">
          <cell r="C281" t="str">
            <v>A0274</v>
          </cell>
          <cell r="D281" t="str">
            <v>PT Federal Nittan Industries</v>
          </cell>
          <cell r="E281" t="str">
            <v>LL</v>
          </cell>
          <cell r="G281">
            <v>20.97903038472916</v>
          </cell>
          <cell r="H281">
            <v>400504.74093421904</v>
          </cell>
          <cell r="I281">
            <v>0.08</v>
          </cell>
          <cell r="J281" t="str">
            <v>N/A</v>
          </cell>
          <cell r="K281">
            <v>0.08</v>
          </cell>
          <cell r="L281">
            <v>2.0007784784886384</v>
          </cell>
          <cell r="M281">
            <v>1318897.8161944384</v>
          </cell>
          <cell r="N281">
            <v>330549.23574409715</v>
          </cell>
          <cell r="O281">
            <v>201380.04</v>
          </cell>
          <cell r="P281">
            <v>345245.89568415983</v>
          </cell>
          <cell r="Q281">
            <v>2268.9816982895136</v>
          </cell>
          <cell r="T281">
            <v>-15157.370025378186</v>
          </cell>
        </row>
        <row r="282">
          <cell r="C282" t="str">
            <v>A0274</v>
          </cell>
          <cell r="D282" t="str">
            <v>PT Federal Nittan Industries</v>
          </cell>
          <cell r="E282" t="str">
            <v>PMK</v>
          </cell>
          <cell r="G282">
            <v>20.97903038472916</v>
          </cell>
          <cell r="H282">
            <v>66918.75</v>
          </cell>
          <cell r="I282">
            <v>0.08</v>
          </cell>
          <cell r="J282" t="str">
            <v>N/A</v>
          </cell>
          <cell r="K282">
            <v>0.08</v>
          </cell>
          <cell r="L282">
            <v>20.514367015794956</v>
          </cell>
          <cell r="M282">
            <v>1592774.223781148</v>
          </cell>
          <cell r="N282">
            <v>221204.49234957414</v>
          </cell>
          <cell r="O282">
            <v>46250</v>
          </cell>
          <cell r="P282">
            <v>243324.94158453157</v>
          </cell>
          <cell r="Q282">
            <v>237659.87591121579</v>
          </cell>
          <cell r="T282">
            <v>0</v>
          </cell>
        </row>
        <row r="284">
          <cell r="C284" t="str">
            <v>A0364</v>
          </cell>
          <cell r="D284" t="str">
            <v>PT Toyoda Gosei Safety System Indonesia</v>
          </cell>
          <cell r="E284" t="str">
            <v>PEB 1</v>
          </cell>
          <cell r="G284">
            <v>0</v>
          </cell>
          <cell r="H284">
            <v>0</v>
          </cell>
          <cell r="T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Z284">
            <v>18.376312296888862</v>
          </cell>
          <cell r="BA284">
            <v>0</v>
          </cell>
          <cell r="BB284">
            <v>0.09</v>
          </cell>
          <cell r="BC284" t="str">
            <v>N/A</v>
          </cell>
          <cell r="BD284">
            <v>0.08</v>
          </cell>
          <cell r="BE284">
            <v>18.397086953116723</v>
          </cell>
          <cell r="BF284">
            <v>416735.63042622199</v>
          </cell>
          <cell r="BG284">
            <v>65056.400060129112</v>
          </cell>
          <cell r="BH284">
            <v>0</v>
          </cell>
          <cell r="BI284">
            <v>70911.476065540715</v>
          </cell>
          <cell r="BJ284">
            <v>70911.476065540715</v>
          </cell>
          <cell r="BK284">
            <v>0</v>
          </cell>
          <cell r="BL284">
            <v>0</v>
          </cell>
          <cell r="BM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S284">
            <v>18.376312296888862</v>
          </cell>
          <cell r="CT284">
            <v>3590.5135864307172</v>
          </cell>
          <cell r="CU284">
            <v>0.08</v>
          </cell>
          <cell r="CV284" t="str">
            <v>N/A</v>
          </cell>
          <cell r="CW284">
            <v>0.08</v>
          </cell>
          <cell r="CX284">
            <v>18.397086953116723</v>
          </cell>
          <cell r="CY284">
            <v>40057.488898691903</v>
          </cell>
          <cell r="CZ284">
            <v>6337.1609272253809</v>
          </cell>
          <cell r="DA284">
            <v>4215.3295459949923</v>
          </cell>
          <cell r="DB284">
            <v>6185.5746652542257</v>
          </cell>
          <cell r="DC284">
            <v>2220.4888986919032</v>
          </cell>
          <cell r="DD284">
            <v>0</v>
          </cell>
          <cell r="DE284">
            <v>0</v>
          </cell>
          <cell r="DF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W284">
            <v>18.376312296888862</v>
          </cell>
          <cell r="DX284">
            <v>4203.8543811387481</v>
          </cell>
          <cell r="DY284">
            <v>0.09</v>
          </cell>
          <cell r="DZ284" t="str">
            <v>N/A</v>
          </cell>
          <cell r="EA284">
            <v>0.08</v>
          </cell>
          <cell r="EB284">
            <v>18.397086953116723</v>
          </cell>
          <cell r="EC284">
            <v>93026.954565131484</v>
          </cell>
          <cell r="ED284">
            <v>14429.680298634605</v>
          </cell>
          <cell r="EE284">
            <v>5869.1383630102137</v>
          </cell>
          <cell r="EF284">
            <v>14865.983725216496</v>
          </cell>
          <cell r="EG284">
            <v>-905.00291784263391</v>
          </cell>
          <cell r="EH284">
            <v>0</v>
          </cell>
          <cell r="EI284">
            <v>0</v>
          </cell>
          <cell r="EJ284">
            <v>511.95456513148383</v>
          </cell>
          <cell r="EL284">
            <v>18.376312296888862</v>
          </cell>
          <cell r="EM284">
            <v>22881.59865207129</v>
          </cell>
          <cell r="EN284">
            <v>0.08</v>
          </cell>
          <cell r="EO284" t="str">
            <v>N/A</v>
          </cell>
          <cell r="EP284">
            <v>0.08</v>
          </cell>
          <cell r="EQ284">
            <v>1.9091968247458095</v>
          </cell>
          <cell r="ER284">
            <v>204911.66998352768</v>
          </cell>
          <cell r="ES284">
            <v>49554.824431442641</v>
          </cell>
          <cell r="ET284">
            <v>32766.876000000004</v>
          </cell>
          <cell r="EU284">
            <v>51903.065002533462</v>
          </cell>
          <cell r="EV284">
            <v>728.11316534588696</v>
          </cell>
          <cell r="EW284">
            <v>0</v>
          </cell>
          <cell r="EX284">
            <v>0</v>
          </cell>
          <cell r="EY284">
            <v>0</v>
          </cell>
          <cell r="FA284">
            <v>18.376312296888862</v>
          </cell>
          <cell r="FB284">
            <v>0</v>
          </cell>
          <cell r="FC284">
            <v>0.08</v>
          </cell>
          <cell r="FD284" t="str">
            <v>N/A</v>
          </cell>
          <cell r="FE284">
            <v>0.08</v>
          </cell>
          <cell r="FF284">
            <v>18.047580642161517</v>
          </cell>
          <cell r="FG284">
            <v>315896.06668818259</v>
          </cell>
          <cell r="FH284">
            <v>47731.527062128953</v>
          </cell>
          <cell r="FI284">
            <v>0</v>
          </cell>
          <cell r="FJ284">
            <v>52504.679768341855</v>
          </cell>
          <cell r="FK284">
            <v>27008.066688182589</v>
          </cell>
          <cell r="FL284">
            <v>0</v>
          </cell>
          <cell r="FM284">
            <v>0</v>
          </cell>
          <cell r="FN284">
            <v>37026.066688182589</v>
          </cell>
        </row>
        <row r="285">
          <cell r="C285" t="str">
            <v>A0364</v>
          </cell>
          <cell r="D285" t="str">
            <v>PT Toyoda Gosei Safety System Indonesia</v>
          </cell>
          <cell r="E285" t="str">
            <v>PEB 2</v>
          </cell>
          <cell r="G285">
            <v>0</v>
          </cell>
          <cell r="H285">
            <v>0</v>
          </cell>
          <cell r="T285">
            <v>0</v>
          </cell>
        </row>
        <row r="286">
          <cell r="C286" t="str">
            <v>A0364</v>
          </cell>
          <cell r="D286" t="str">
            <v>PT Toyoda Gosei Safety System Indonesia</v>
          </cell>
          <cell r="E286" t="str">
            <v>PEB 3</v>
          </cell>
          <cell r="G286">
            <v>0</v>
          </cell>
          <cell r="H286">
            <v>0</v>
          </cell>
          <cell r="T286">
            <v>0</v>
          </cell>
        </row>
        <row r="287">
          <cell r="C287" t="str">
            <v>A0364</v>
          </cell>
          <cell r="D287" t="str">
            <v>PT Toyoda Gosei Safety System Indonesia</v>
          </cell>
          <cell r="E287" t="str">
            <v>PEB 4</v>
          </cell>
          <cell r="G287">
            <v>18.376312296888862</v>
          </cell>
          <cell r="H287">
            <v>0</v>
          </cell>
          <cell r="I287">
            <v>0.09</v>
          </cell>
          <cell r="J287" t="str">
            <v>N/A</v>
          </cell>
          <cell r="K287">
            <v>0.08</v>
          </cell>
          <cell r="L287">
            <v>18.397086953116723</v>
          </cell>
          <cell r="M287">
            <v>416735.63042622199</v>
          </cell>
          <cell r="N287">
            <v>65056.400060129112</v>
          </cell>
          <cell r="O287">
            <v>0</v>
          </cell>
          <cell r="P287">
            <v>70911.476065540715</v>
          </cell>
          <cell r="Q287">
            <v>70911.476065540715</v>
          </cell>
          <cell r="T287">
            <v>0</v>
          </cell>
        </row>
        <row r="288">
          <cell r="C288" t="str">
            <v>A0364</v>
          </cell>
          <cell r="D288" t="str">
            <v>PT Toyoda Gosei Safety System Indonesia</v>
          </cell>
          <cell r="E288" t="str">
            <v>PEB 5</v>
          </cell>
          <cell r="G288">
            <v>0</v>
          </cell>
          <cell r="H288">
            <v>0</v>
          </cell>
          <cell r="T288">
            <v>0</v>
          </cell>
        </row>
        <row r="289">
          <cell r="C289" t="str">
            <v>A0364</v>
          </cell>
          <cell r="D289" t="str">
            <v>PT Toyoda Gosei Safety System Indonesia</v>
          </cell>
          <cell r="E289" t="str">
            <v>PEB 6</v>
          </cell>
          <cell r="G289">
            <v>0</v>
          </cell>
          <cell r="H289">
            <v>0</v>
          </cell>
          <cell r="T289">
            <v>0</v>
          </cell>
        </row>
        <row r="290">
          <cell r="C290" t="str">
            <v>A0364</v>
          </cell>
          <cell r="D290" t="str">
            <v>PT Toyoda Gosei Safety System Indonesia</v>
          </cell>
          <cell r="E290" t="str">
            <v>PEB 7</v>
          </cell>
          <cell r="G290">
            <v>18.376312296888862</v>
          </cell>
          <cell r="H290">
            <v>3590.5135864307172</v>
          </cell>
          <cell r="I290">
            <v>0.08</v>
          </cell>
          <cell r="J290" t="str">
            <v>N/A</v>
          </cell>
          <cell r="K290">
            <v>0.08</v>
          </cell>
          <cell r="L290">
            <v>18.397086953116723</v>
          </cell>
          <cell r="M290">
            <v>40057.488898691903</v>
          </cell>
          <cell r="N290">
            <v>6337.1609272253809</v>
          </cell>
          <cell r="O290">
            <v>4215.3295459949923</v>
          </cell>
          <cell r="P290">
            <v>6185.5746652542257</v>
          </cell>
          <cell r="Q290">
            <v>2220.4888986919032</v>
          </cell>
          <cell r="T290">
            <v>0</v>
          </cell>
        </row>
        <row r="291">
          <cell r="C291" t="str">
            <v>A0364</v>
          </cell>
          <cell r="D291" t="str">
            <v>PT Toyoda Gosei Safety System Indonesia</v>
          </cell>
          <cell r="E291" t="str">
            <v>MPP</v>
          </cell>
          <cell r="G291">
            <v>0</v>
          </cell>
          <cell r="H291">
            <v>0</v>
          </cell>
          <cell r="T291">
            <v>0</v>
          </cell>
        </row>
        <row r="292">
          <cell r="C292" t="str">
            <v>A0364</v>
          </cell>
          <cell r="D292" t="str">
            <v>PT Toyoda Gosei Safety System Indonesia</v>
          </cell>
          <cell r="E292" t="str">
            <v>ID</v>
          </cell>
          <cell r="G292">
            <v>18.376312296888862</v>
          </cell>
          <cell r="H292">
            <v>4203.8543811387481</v>
          </cell>
          <cell r="I292">
            <v>0.09</v>
          </cell>
          <cell r="J292" t="str">
            <v>N/A</v>
          </cell>
          <cell r="K292">
            <v>0.08</v>
          </cell>
          <cell r="L292">
            <v>18.397086953116723</v>
          </cell>
          <cell r="M292">
            <v>93026.954565131484</v>
          </cell>
          <cell r="N292">
            <v>14429.680298634605</v>
          </cell>
          <cell r="O292">
            <v>5869.1383630102137</v>
          </cell>
          <cell r="P292">
            <v>14865.983725216496</v>
          </cell>
          <cell r="Q292">
            <v>-905.00291784263391</v>
          </cell>
          <cell r="T292">
            <v>511.95456513148383</v>
          </cell>
        </row>
        <row r="293">
          <cell r="C293" t="str">
            <v>A0364</v>
          </cell>
          <cell r="D293" t="str">
            <v>PT Toyoda Gosei Safety System Indonesia</v>
          </cell>
          <cell r="E293" t="str">
            <v>LL</v>
          </cell>
          <cell r="G293">
            <v>18.376312296888862</v>
          </cell>
          <cell r="H293">
            <v>22881.59865207129</v>
          </cell>
          <cell r="I293">
            <v>0.08</v>
          </cell>
          <cell r="J293" t="str">
            <v>N/A</v>
          </cell>
          <cell r="K293">
            <v>0.08</v>
          </cell>
          <cell r="L293">
            <v>1.9091968247458095</v>
          </cell>
          <cell r="M293">
            <v>204911.66998352768</v>
          </cell>
          <cell r="N293">
            <v>49554.824431442641</v>
          </cell>
          <cell r="O293">
            <v>32766.876000000004</v>
          </cell>
          <cell r="P293">
            <v>51903.065002533462</v>
          </cell>
          <cell r="Q293">
            <v>728.11316534588696</v>
          </cell>
          <cell r="T293">
            <v>0</v>
          </cell>
        </row>
        <row r="294">
          <cell r="C294" t="str">
            <v>A0364</v>
          </cell>
          <cell r="D294" t="str">
            <v>PT Toyoda Gosei Safety System Indonesia</v>
          </cell>
          <cell r="E294" t="str">
            <v>PMK</v>
          </cell>
          <cell r="G294">
            <v>18.376312296888862</v>
          </cell>
          <cell r="H294">
            <v>0</v>
          </cell>
          <cell r="I294">
            <v>0.08</v>
          </cell>
          <cell r="J294" t="str">
            <v>N/A</v>
          </cell>
          <cell r="K294">
            <v>0.08</v>
          </cell>
          <cell r="L294">
            <v>18.047580642161517</v>
          </cell>
          <cell r="M294">
            <v>315896.06668818259</v>
          </cell>
          <cell r="N294">
            <v>47731.527062128953</v>
          </cell>
          <cell r="O294">
            <v>0</v>
          </cell>
          <cell r="P294">
            <v>52504.679768341855</v>
          </cell>
          <cell r="Q294">
            <v>27008.066688182589</v>
          </cell>
          <cell r="T294">
            <v>37026.066688182589</v>
          </cell>
        </row>
      </sheetData>
      <sheetData sheetId="11">
        <row r="8">
          <cell r="C8" t="str">
            <v>A0317</v>
          </cell>
          <cell r="D8" t="str">
            <v>PT Astra Otoparts Tbk. - Head Office</v>
          </cell>
          <cell r="E8" t="str">
            <v>PEB 1</v>
          </cell>
          <cell r="G8">
            <v>0</v>
          </cell>
          <cell r="H8">
            <v>33324.358999999997</v>
          </cell>
          <cell r="I8">
            <v>4335360.2378304191</v>
          </cell>
          <cell r="J8">
            <v>4368684.5968304193</v>
          </cell>
          <cell r="K8">
            <v>-185117.17861677633</v>
          </cell>
          <cell r="L8">
            <v>1864819.6946081761</v>
          </cell>
          <cell r="M8">
            <v>455105.65634101059</v>
          </cell>
          <cell r="N8">
            <v>2134808.1723324102</v>
          </cell>
          <cell r="O8">
            <v>-30226.538508550533</v>
          </cell>
          <cell r="P8">
            <v>181351.69077181959</v>
          </cell>
          <cell r="Q8">
            <v>159780.63512090355</v>
          </cell>
          <cell r="R8">
            <v>310905.78738417261</v>
          </cell>
          <cell r="S8">
            <v>31734849.747393399</v>
          </cell>
          <cell r="Y8">
            <v>0</v>
          </cell>
          <cell r="Z8">
            <v>8427783</v>
          </cell>
          <cell r="AA8">
            <v>6715585.1394163519</v>
          </cell>
          <cell r="AB8">
            <v>300659.29297263647</v>
          </cell>
          <cell r="AF8">
            <v>0</v>
          </cell>
          <cell r="AG8">
            <v>64000</v>
          </cell>
          <cell r="AH8">
            <v>0</v>
          </cell>
          <cell r="AI8">
            <v>384046.9643942297</v>
          </cell>
          <cell r="AJ8">
            <v>33669.824590654884</v>
          </cell>
          <cell r="AK8">
            <v>0</v>
          </cell>
          <cell r="AL8">
            <v>0</v>
          </cell>
          <cell r="AN8">
            <v>0</v>
          </cell>
          <cell r="AO8">
            <v>533584.59466666693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V8">
            <v>0</v>
          </cell>
          <cell r="AW8">
            <v>0</v>
          </cell>
          <cell r="AX8">
            <v>0</v>
          </cell>
          <cell r="AY8">
            <v>424757.2349183379</v>
          </cell>
          <cell r="AZ8">
            <v>49110.847610746379</v>
          </cell>
          <cell r="BA8">
            <v>0</v>
          </cell>
          <cell r="BB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T8">
            <v>0</v>
          </cell>
          <cell r="BU8">
            <v>0</v>
          </cell>
          <cell r="BV8">
            <v>0</v>
          </cell>
          <cell r="BW8">
            <v>197984.27531930237</v>
          </cell>
          <cell r="BX8">
            <v>17337.852760821403</v>
          </cell>
          <cell r="BY8">
            <v>0</v>
          </cell>
          <cell r="BZ8">
            <v>0</v>
          </cell>
          <cell r="CB8">
            <v>0</v>
          </cell>
          <cell r="CC8">
            <v>0</v>
          </cell>
          <cell r="CD8">
            <v>0</v>
          </cell>
          <cell r="CE8">
            <v>322659.53955329943</v>
          </cell>
          <cell r="CF8">
            <v>20718.164890092925</v>
          </cell>
          <cell r="CG8">
            <v>0</v>
          </cell>
          <cell r="CH8">
            <v>0</v>
          </cell>
          <cell r="CJ8">
            <v>0</v>
          </cell>
          <cell r="CK8">
            <v>0</v>
          </cell>
          <cell r="CL8">
            <v>0</v>
          </cell>
          <cell r="CM8">
            <v>585561.38347307034</v>
          </cell>
          <cell r="CN8">
            <v>44633.437743383322</v>
          </cell>
          <cell r="CO8">
            <v>0</v>
          </cell>
          <cell r="CP8">
            <v>0</v>
          </cell>
          <cell r="CR8">
            <v>0</v>
          </cell>
          <cell r="CS8">
            <v>400193.28700000001</v>
          </cell>
          <cell r="CT8">
            <v>0</v>
          </cell>
          <cell r="CU8">
            <v>587486.48467365222</v>
          </cell>
          <cell r="CV8">
            <v>204881.45914498618</v>
          </cell>
          <cell r="CW8">
            <v>0</v>
          </cell>
          <cell r="CX8">
            <v>0</v>
          </cell>
          <cell r="CZ8">
            <v>0</v>
          </cell>
          <cell r="DA8">
            <v>257503.44500000001</v>
          </cell>
          <cell r="DB8">
            <v>0</v>
          </cell>
          <cell r="DC8">
            <v>602624.71663898265</v>
          </cell>
          <cell r="DD8">
            <v>75176.813289340964</v>
          </cell>
          <cell r="DE8">
            <v>0</v>
          </cell>
          <cell r="DF8">
            <v>0</v>
          </cell>
        </row>
        <row r="9">
          <cell r="C9" t="str">
            <v>A0317</v>
          </cell>
          <cell r="D9" t="str">
            <v>PT Astra Otoparts Tbk. - Head Office</v>
          </cell>
          <cell r="E9" t="str">
            <v>PEB 2</v>
          </cell>
          <cell r="W9">
            <v>64000</v>
          </cell>
          <cell r="Y9">
            <v>64000</v>
          </cell>
          <cell r="AA9">
            <v>384046.9643942297</v>
          </cell>
          <cell r="AB9">
            <v>33669.824590654884</v>
          </cell>
        </row>
        <row r="10">
          <cell r="C10" t="str">
            <v>A0317</v>
          </cell>
          <cell r="D10" t="str">
            <v>PT Astra Otoparts Tbk. - Head Office</v>
          </cell>
          <cell r="E10" t="str">
            <v>PEB 3</v>
          </cell>
          <cell r="W10">
            <v>533584.59466666693</v>
          </cell>
          <cell r="Y10">
            <v>533584.59466666693</v>
          </cell>
          <cell r="AA10">
            <v>0</v>
          </cell>
          <cell r="AB10">
            <v>0</v>
          </cell>
        </row>
        <row r="11">
          <cell r="C11" t="str">
            <v>A0317</v>
          </cell>
          <cell r="D11" t="str">
            <v>PT Astra Otoparts Tbk. - Head Office</v>
          </cell>
          <cell r="E11" t="str">
            <v>PEB 4</v>
          </cell>
          <cell r="Y11">
            <v>0</v>
          </cell>
          <cell r="AA11">
            <v>424757.2349183379</v>
          </cell>
          <cell r="AB11">
            <v>49110.847610746379</v>
          </cell>
        </row>
        <row r="12">
          <cell r="C12" t="str">
            <v>A0317</v>
          </cell>
          <cell r="D12" t="str">
            <v>PT Astra Otoparts Tbk. - Head Office</v>
          </cell>
          <cell r="E12" t="str">
            <v>PEB 5</v>
          </cell>
          <cell r="Y12">
            <v>0</v>
          </cell>
          <cell r="AA12">
            <v>0</v>
          </cell>
          <cell r="AB12">
            <v>0</v>
          </cell>
        </row>
        <row r="13">
          <cell r="C13" t="str">
            <v>A0317</v>
          </cell>
          <cell r="D13" t="str">
            <v>PT Astra Otoparts Tbk. - Head Office</v>
          </cell>
          <cell r="E13" t="str">
            <v>PEB 6</v>
          </cell>
          <cell r="Y13">
            <v>0</v>
          </cell>
          <cell r="AA13">
            <v>0</v>
          </cell>
          <cell r="AB13">
            <v>0</v>
          </cell>
        </row>
        <row r="14">
          <cell r="C14" t="str">
            <v>A0317</v>
          </cell>
          <cell r="D14" t="str">
            <v>PT Astra Otoparts Tbk. - Head Office</v>
          </cell>
          <cell r="E14" t="str">
            <v>PEB 7</v>
          </cell>
          <cell r="V14">
            <v>0</v>
          </cell>
          <cell r="Y14">
            <v>0</v>
          </cell>
          <cell r="AA14">
            <v>197984.27531930237</v>
          </cell>
          <cell r="AB14">
            <v>17337.852760821403</v>
          </cell>
        </row>
        <row r="15">
          <cell r="C15" t="str">
            <v>A0317</v>
          </cell>
          <cell r="D15" t="str">
            <v>PT Astra Otoparts Tbk. - Head Office</v>
          </cell>
          <cell r="E15" t="str">
            <v>MPP</v>
          </cell>
          <cell r="V15">
            <v>0</v>
          </cell>
          <cell r="Y15">
            <v>0</v>
          </cell>
          <cell r="AA15">
            <v>322659.53955329943</v>
          </cell>
          <cell r="AB15">
            <v>20718.164890092925</v>
          </cell>
        </row>
        <row r="16">
          <cell r="C16" t="str">
            <v>A0317</v>
          </cell>
          <cell r="D16" t="str">
            <v>PT Astra Otoparts Tbk. - Head Office</v>
          </cell>
          <cell r="E16" t="str">
            <v>ID</v>
          </cell>
          <cell r="V16">
            <v>0</v>
          </cell>
          <cell r="Y16">
            <v>0</v>
          </cell>
          <cell r="AA16">
            <v>585561.38347307034</v>
          </cell>
          <cell r="AB16">
            <v>44633.437743383322</v>
          </cell>
        </row>
        <row r="17">
          <cell r="C17" t="str">
            <v>A0317</v>
          </cell>
          <cell r="D17" t="str">
            <v>PT Astra Otoparts Tbk. - Head Office</v>
          </cell>
          <cell r="E17" t="str">
            <v>LL</v>
          </cell>
          <cell r="V17">
            <v>400193.28700000001</v>
          </cell>
          <cell r="Y17">
            <v>400193.28700000001</v>
          </cell>
          <cell r="AA17">
            <v>587486.48467365222</v>
          </cell>
          <cell r="AB17">
            <v>204881.45914498618</v>
          </cell>
        </row>
        <row r="18">
          <cell r="C18" t="str">
            <v>A0317</v>
          </cell>
          <cell r="D18" t="str">
            <v>PT Astra Otoparts Tbk. - Head Office</v>
          </cell>
          <cell r="E18" t="str">
            <v>PMK</v>
          </cell>
          <cell r="V18">
            <v>257503.44500000001</v>
          </cell>
          <cell r="Y18">
            <v>257503.44500000001</v>
          </cell>
          <cell r="AA18">
            <v>602624.71663898265</v>
          </cell>
          <cell r="AB18">
            <v>75176.813289340964</v>
          </cell>
        </row>
        <row r="20">
          <cell r="C20" t="str">
            <v>We</v>
          </cell>
          <cell r="D20" t="str">
            <v>PT Astra Otoparts Tbk. - Div. Winteq</v>
          </cell>
          <cell r="E20" t="str">
            <v>PEB 1</v>
          </cell>
          <cell r="J20">
            <v>0</v>
          </cell>
          <cell r="K20">
            <v>-3311.8505811163081</v>
          </cell>
          <cell r="L20">
            <v>33362.674579492115</v>
          </cell>
          <cell r="M20">
            <v>8142.0965017111612</v>
          </cell>
          <cell r="N20">
            <v>38192.92050008697</v>
          </cell>
          <cell r="O20">
            <v>-540.76979712354694</v>
          </cell>
          <cell r="P20">
            <v>3244.48388289473</v>
          </cell>
          <cell r="Q20">
            <v>2858.5655487531344</v>
          </cell>
          <cell r="R20">
            <v>5562.2796345243169</v>
          </cell>
          <cell r="S20">
            <v>510642.25277211401</v>
          </cell>
          <cell r="Y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</row>
        <row r="21">
          <cell r="C21" t="str">
            <v>We</v>
          </cell>
          <cell r="D21" t="str">
            <v>PT Astra Otoparts Tbk. - Div. Winteq</v>
          </cell>
          <cell r="E21" t="str">
            <v>PEB 2</v>
          </cell>
          <cell r="Y21">
            <v>0</v>
          </cell>
        </row>
        <row r="22">
          <cell r="C22" t="str">
            <v>We</v>
          </cell>
          <cell r="D22" t="str">
            <v>PT Astra Otoparts Tbk. - Div. Winteq</v>
          </cell>
          <cell r="E22" t="str">
            <v>PEB 3</v>
          </cell>
          <cell r="Y22">
            <v>0</v>
          </cell>
        </row>
        <row r="23">
          <cell r="C23" t="str">
            <v>We</v>
          </cell>
          <cell r="D23" t="str">
            <v>PT Astra Otoparts Tbk. - Div. Winteq</v>
          </cell>
          <cell r="E23" t="str">
            <v>PEB 4</v>
          </cell>
          <cell r="Y23">
            <v>0</v>
          </cell>
        </row>
        <row r="24">
          <cell r="C24" t="str">
            <v>We</v>
          </cell>
          <cell r="D24" t="str">
            <v>PT Astra Otoparts Tbk. - Div. Winteq</v>
          </cell>
          <cell r="E24" t="str">
            <v>PEB 5</v>
          </cell>
          <cell r="Y24">
            <v>0</v>
          </cell>
        </row>
        <row r="25">
          <cell r="C25" t="str">
            <v>We</v>
          </cell>
          <cell r="D25" t="str">
            <v>PT Astra Otoparts Tbk. - Div. Winteq</v>
          </cell>
          <cell r="E25" t="str">
            <v>PEB 6</v>
          </cell>
          <cell r="Y25">
            <v>0</v>
          </cell>
        </row>
        <row r="26">
          <cell r="C26" t="str">
            <v>We</v>
          </cell>
          <cell r="D26" t="str">
            <v>PT Astra Otoparts Tbk. - Div. Winteq</v>
          </cell>
          <cell r="E26" t="str">
            <v>PEB 7</v>
          </cell>
          <cell r="Y26">
            <v>0</v>
          </cell>
        </row>
        <row r="27">
          <cell r="C27" t="str">
            <v>We</v>
          </cell>
          <cell r="D27" t="str">
            <v>PT Astra Otoparts Tbk. - Div. Winteq</v>
          </cell>
          <cell r="E27" t="str">
            <v>MPP</v>
          </cell>
          <cell r="Y27">
            <v>0</v>
          </cell>
        </row>
        <row r="28">
          <cell r="C28" t="str">
            <v>We</v>
          </cell>
          <cell r="D28" t="str">
            <v>PT Astra Otoparts Tbk. - Div. Winteq</v>
          </cell>
          <cell r="E28" t="str">
            <v>ID</v>
          </cell>
          <cell r="Y28">
            <v>0</v>
          </cell>
        </row>
        <row r="29">
          <cell r="C29" t="str">
            <v>We</v>
          </cell>
          <cell r="D29" t="str">
            <v>PT Astra Otoparts Tbk. - Div. Winteq</v>
          </cell>
          <cell r="E29" t="str">
            <v>LL</v>
          </cell>
          <cell r="Y29">
            <v>0</v>
          </cell>
        </row>
        <row r="30">
          <cell r="C30" t="str">
            <v>We</v>
          </cell>
          <cell r="D30" t="str">
            <v>PT Astra Otoparts Tbk. - Div. Winteq</v>
          </cell>
          <cell r="E30" t="str">
            <v>PMK</v>
          </cell>
          <cell r="Y30">
            <v>0</v>
          </cell>
        </row>
        <row r="32">
          <cell r="C32" t="str">
            <v>Ap</v>
          </cell>
          <cell r="D32" t="str">
            <v>PT Astra Otoparts Tbk. - Div. Adiwira</v>
          </cell>
          <cell r="E32" t="str">
            <v>PEB 1</v>
          </cell>
          <cell r="J32">
            <v>0</v>
          </cell>
          <cell r="N32">
            <v>0</v>
          </cell>
          <cell r="R32">
            <v>0</v>
          </cell>
          <cell r="S32">
            <v>0</v>
          </cell>
          <cell r="Y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</row>
        <row r="33">
          <cell r="C33" t="str">
            <v>Ap</v>
          </cell>
          <cell r="D33" t="str">
            <v>PT Astra Otoparts Tbk. - Div. Adiwira</v>
          </cell>
          <cell r="E33" t="str">
            <v>PEB 2</v>
          </cell>
          <cell r="Y33">
            <v>0</v>
          </cell>
        </row>
        <row r="34">
          <cell r="C34" t="str">
            <v>Ap</v>
          </cell>
          <cell r="D34" t="str">
            <v>PT Astra Otoparts Tbk. - Div. Adiwira</v>
          </cell>
          <cell r="E34" t="str">
            <v>PEB 3</v>
          </cell>
          <cell r="Y34">
            <v>0</v>
          </cell>
        </row>
        <row r="35">
          <cell r="C35" t="str">
            <v>Ap</v>
          </cell>
          <cell r="D35" t="str">
            <v>PT Astra Otoparts Tbk. - Div. Adiwira</v>
          </cell>
          <cell r="E35" t="str">
            <v>PEB 4</v>
          </cell>
          <cell r="Y35">
            <v>0</v>
          </cell>
        </row>
        <row r="36">
          <cell r="C36" t="str">
            <v>Ap</v>
          </cell>
          <cell r="D36" t="str">
            <v>PT Astra Otoparts Tbk. - Div. Adiwira</v>
          </cell>
          <cell r="E36" t="str">
            <v>PEB 5</v>
          </cell>
          <cell r="Y36">
            <v>0</v>
          </cell>
        </row>
        <row r="37">
          <cell r="C37" t="str">
            <v>Ap</v>
          </cell>
          <cell r="D37" t="str">
            <v>PT Astra Otoparts Tbk. - Div. Adiwira</v>
          </cell>
          <cell r="E37" t="str">
            <v>PEB 6</v>
          </cell>
          <cell r="Y37">
            <v>0</v>
          </cell>
        </row>
        <row r="38">
          <cell r="C38" t="str">
            <v>Ap</v>
          </cell>
          <cell r="D38" t="str">
            <v>PT Astra Otoparts Tbk. - Div. Adiwira</v>
          </cell>
          <cell r="E38" t="str">
            <v>PEB 7</v>
          </cell>
          <cell r="Y38">
            <v>0</v>
          </cell>
        </row>
        <row r="39">
          <cell r="C39" t="str">
            <v>Ap</v>
          </cell>
          <cell r="D39" t="str">
            <v>PT Astra Otoparts Tbk. - Div. Adiwira</v>
          </cell>
          <cell r="E39" t="str">
            <v>MPP</v>
          </cell>
          <cell r="Y39">
            <v>0</v>
          </cell>
        </row>
        <row r="40">
          <cell r="C40" t="str">
            <v>Ap</v>
          </cell>
          <cell r="D40" t="str">
            <v>PT Astra Otoparts Tbk. - Div. Adiwira</v>
          </cell>
          <cell r="E40" t="str">
            <v>ID</v>
          </cell>
          <cell r="Y40">
            <v>0</v>
          </cell>
        </row>
        <row r="41">
          <cell r="C41" t="str">
            <v>Ap</v>
          </cell>
          <cell r="D41" t="str">
            <v>PT Astra Otoparts Tbk. - Div. Adiwira</v>
          </cell>
          <cell r="E41" t="str">
            <v>LL</v>
          </cell>
          <cell r="Y41">
            <v>0</v>
          </cell>
        </row>
        <row r="42">
          <cell r="C42" t="str">
            <v>Ap</v>
          </cell>
          <cell r="D42" t="str">
            <v>PT Astra Otoparts Tbk. - Div. Adiwira</v>
          </cell>
          <cell r="E42" t="str">
            <v>PMK</v>
          </cell>
          <cell r="Y42">
            <v>0</v>
          </cell>
        </row>
        <row r="44">
          <cell r="C44" t="str">
            <v>Nm</v>
          </cell>
          <cell r="D44" t="str">
            <v>PT Astra Otoparts Tbk. - Div. Nusametal</v>
          </cell>
          <cell r="E44" t="str">
            <v>PEB 1</v>
          </cell>
          <cell r="J44">
            <v>0</v>
          </cell>
          <cell r="K44">
            <v>-35863.79012210721</v>
          </cell>
          <cell r="L44">
            <v>361281.98713233147</v>
          </cell>
          <cell r="M44">
            <v>88170.173423973538</v>
          </cell>
          <cell r="N44">
            <v>413588.37043419783</v>
          </cell>
          <cell r="O44">
            <v>-5855.9569743259171</v>
          </cell>
          <cell r="P44">
            <v>35134.28102528568</v>
          </cell>
          <cell r="Q44">
            <v>30955.199330343308</v>
          </cell>
          <cell r="R44">
            <v>60233.523381303072</v>
          </cell>
          <cell r="S44">
            <v>6192027.4860561397</v>
          </cell>
          <cell r="Y44">
            <v>0</v>
          </cell>
          <cell r="AA44">
            <v>0</v>
          </cell>
          <cell r="AB44">
            <v>0</v>
          </cell>
          <cell r="AD44">
            <v>941342</v>
          </cell>
          <cell r="AF44">
            <v>0</v>
          </cell>
          <cell r="AG44">
            <v>13560</v>
          </cell>
          <cell r="AH44">
            <v>0</v>
          </cell>
          <cell r="AI44">
            <v>11307.380628797229</v>
          </cell>
          <cell r="AJ44">
            <v>960.70040544705444</v>
          </cell>
          <cell r="AK44">
            <v>0</v>
          </cell>
          <cell r="AL44">
            <v>38350.423653174985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V44">
            <v>0</v>
          </cell>
          <cell r="AW44">
            <v>14991.488130000002</v>
          </cell>
          <cell r="AX44">
            <v>0</v>
          </cell>
          <cell r="AY44">
            <v>629133.11929640453</v>
          </cell>
          <cell r="AZ44">
            <v>40867.375912651441</v>
          </cell>
          <cell r="BA44">
            <v>0</v>
          </cell>
          <cell r="BB44">
            <v>30818.53435458232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T44">
            <v>0</v>
          </cell>
          <cell r="BU44">
            <v>73399</v>
          </cell>
          <cell r="BV44">
            <v>0</v>
          </cell>
          <cell r="BW44">
            <v>15866.711645042778</v>
          </cell>
          <cell r="BX44">
            <v>1205.5700656084671</v>
          </cell>
          <cell r="BY44">
            <v>0</v>
          </cell>
          <cell r="BZ44">
            <v>26367.854365953735</v>
          </cell>
          <cell r="CB44">
            <v>0</v>
          </cell>
          <cell r="CC44">
            <v>0</v>
          </cell>
          <cell r="CD44">
            <v>0</v>
          </cell>
          <cell r="CE44">
            <v>30115.224295188429</v>
          </cell>
          <cell r="CF44">
            <v>1989.4310652481774</v>
          </cell>
          <cell r="CG44">
            <v>0</v>
          </cell>
          <cell r="CH44">
            <v>52667.313776935975</v>
          </cell>
          <cell r="CJ44">
            <v>0</v>
          </cell>
          <cell r="CK44">
            <v>0</v>
          </cell>
          <cell r="CL44">
            <v>0</v>
          </cell>
          <cell r="CM44">
            <v>67772.540024111862</v>
          </cell>
          <cell r="CN44">
            <v>4897.8933822248091</v>
          </cell>
          <cell r="CO44">
            <v>0</v>
          </cell>
          <cell r="CP44">
            <v>88432.218572817234</v>
          </cell>
          <cell r="CR44">
            <v>0</v>
          </cell>
          <cell r="CS44">
            <v>270948.5</v>
          </cell>
          <cell r="CT44">
            <v>0</v>
          </cell>
          <cell r="CU44">
            <v>50162.379770949658</v>
          </cell>
          <cell r="CV44">
            <v>19056.726822053224</v>
          </cell>
          <cell r="CW44">
            <v>0</v>
          </cell>
          <cell r="CX44">
            <v>56317.504118246594</v>
          </cell>
          <cell r="CZ44">
            <v>0</v>
          </cell>
          <cell r="DA44">
            <v>534345</v>
          </cell>
          <cell r="DB44">
            <v>0</v>
          </cell>
          <cell r="DC44">
            <v>15481.596634543041</v>
          </cell>
          <cell r="DD44">
            <v>1787.5514060924054</v>
          </cell>
          <cell r="DE44">
            <v>0</v>
          </cell>
          <cell r="DF44">
            <v>50860.511957222217</v>
          </cell>
        </row>
        <row r="45">
          <cell r="C45" t="str">
            <v>Nm</v>
          </cell>
          <cell r="D45" t="str">
            <v>PT Astra Otoparts Tbk. - Div. Nusametal</v>
          </cell>
          <cell r="E45" t="str">
            <v>PEB 2</v>
          </cell>
          <cell r="W45">
            <v>13560</v>
          </cell>
          <cell r="Y45">
            <v>13560</v>
          </cell>
          <cell r="AA45">
            <v>11307.380628797229</v>
          </cell>
          <cell r="AB45">
            <v>960.70040544705444</v>
          </cell>
          <cell r="AD45">
            <v>38350.423653174985</v>
          </cell>
        </row>
        <row r="46">
          <cell r="C46" t="str">
            <v>Nm</v>
          </cell>
          <cell r="D46" t="str">
            <v>PT Astra Otoparts Tbk. - Div. Nusametal</v>
          </cell>
          <cell r="E46" t="str">
            <v>PEB 3</v>
          </cell>
          <cell r="W46">
            <v>0</v>
          </cell>
          <cell r="Y46">
            <v>0</v>
          </cell>
          <cell r="AA46">
            <v>0</v>
          </cell>
          <cell r="AB46">
            <v>0</v>
          </cell>
          <cell r="AD46">
            <v>0</v>
          </cell>
        </row>
        <row r="47">
          <cell r="C47" t="str">
            <v>Nm</v>
          </cell>
          <cell r="D47" t="str">
            <v>PT Astra Otoparts Tbk. - Div. Nusametal</v>
          </cell>
          <cell r="E47" t="str">
            <v>PEB 4</v>
          </cell>
          <cell r="W47">
            <v>14991.488130000002</v>
          </cell>
          <cell r="Y47">
            <v>14991.488130000002</v>
          </cell>
          <cell r="AA47">
            <v>629133.11929640453</v>
          </cell>
          <cell r="AB47">
            <v>40867.375912651441</v>
          </cell>
          <cell r="AD47">
            <v>30818.53435458232</v>
          </cell>
        </row>
        <row r="48">
          <cell r="C48" t="str">
            <v>Nm</v>
          </cell>
          <cell r="D48" t="str">
            <v>PT Astra Otoparts Tbk. - Div. Nusametal</v>
          </cell>
          <cell r="E48" t="str">
            <v>PEB 5</v>
          </cell>
          <cell r="Y48">
            <v>0</v>
          </cell>
          <cell r="AA48">
            <v>0</v>
          </cell>
          <cell r="AB48">
            <v>0</v>
          </cell>
          <cell r="AD48">
            <v>0</v>
          </cell>
        </row>
        <row r="49">
          <cell r="C49" t="str">
            <v>Nm</v>
          </cell>
          <cell r="D49" t="str">
            <v>PT Astra Otoparts Tbk. - Div. Nusametal</v>
          </cell>
          <cell r="E49" t="str">
            <v>PEB 6</v>
          </cell>
          <cell r="Y49">
            <v>0</v>
          </cell>
          <cell r="AA49">
            <v>0</v>
          </cell>
          <cell r="AB49">
            <v>0</v>
          </cell>
          <cell r="AD49">
            <v>0</v>
          </cell>
        </row>
        <row r="50">
          <cell r="C50" t="str">
            <v>Nm</v>
          </cell>
          <cell r="D50" t="str">
            <v>PT Astra Otoparts Tbk. - Div. Nusametal</v>
          </cell>
          <cell r="E50" t="str">
            <v>PEB 7</v>
          </cell>
          <cell r="V50">
            <v>73399</v>
          </cell>
          <cell r="Y50">
            <v>73399</v>
          </cell>
          <cell r="AA50">
            <v>15866.711645042778</v>
          </cell>
          <cell r="AB50">
            <v>1205.5700656084671</v>
          </cell>
          <cell r="AD50">
            <v>26367.854365953735</v>
          </cell>
        </row>
        <row r="51">
          <cell r="C51" t="str">
            <v>Nm</v>
          </cell>
          <cell r="D51" t="str">
            <v>PT Astra Otoparts Tbk. - Div. Nusametal</v>
          </cell>
          <cell r="E51" t="str">
            <v>MPP</v>
          </cell>
          <cell r="V51">
            <v>0</v>
          </cell>
          <cell r="Y51">
            <v>0</v>
          </cell>
          <cell r="AA51">
            <v>30115.224295188429</v>
          </cell>
          <cell r="AB51">
            <v>1989.4310652481774</v>
          </cell>
          <cell r="AD51">
            <v>52667.313776935975</v>
          </cell>
        </row>
        <row r="52">
          <cell r="C52" t="str">
            <v>Nm</v>
          </cell>
          <cell r="D52" t="str">
            <v>PT Astra Otoparts Tbk. - Div. Nusametal</v>
          </cell>
          <cell r="E52" t="str">
            <v>ID</v>
          </cell>
          <cell r="V52">
            <v>0</v>
          </cell>
          <cell r="Y52">
            <v>0</v>
          </cell>
          <cell r="AA52">
            <v>67772.540024111862</v>
          </cell>
          <cell r="AB52">
            <v>4897.8933822248091</v>
          </cell>
          <cell r="AD52">
            <v>88432.218572817234</v>
          </cell>
        </row>
        <row r="53">
          <cell r="C53" t="str">
            <v>Nm</v>
          </cell>
          <cell r="D53" t="str">
            <v>PT Astra Otoparts Tbk. - Div. Nusametal</v>
          </cell>
          <cell r="E53" t="str">
            <v>LL</v>
          </cell>
          <cell r="V53">
            <v>270948.5</v>
          </cell>
          <cell r="Y53">
            <v>270948.5</v>
          </cell>
          <cell r="AA53">
            <v>50162.379770949658</v>
          </cell>
          <cell r="AB53">
            <v>19056.726822053224</v>
          </cell>
          <cell r="AD53">
            <v>56317.504118246594</v>
          </cell>
        </row>
        <row r="54">
          <cell r="C54" t="str">
            <v>Nm</v>
          </cell>
          <cell r="D54" t="str">
            <v>PT Astra Otoparts Tbk. - Div. Nusametal</v>
          </cell>
          <cell r="E54" t="str">
            <v>PMK</v>
          </cell>
          <cell r="V54">
            <v>534345</v>
          </cell>
          <cell r="Y54">
            <v>534345</v>
          </cell>
          <cell r="AA54">
            <v>15481.596634543041</v>
          </cell>
          <cell r="AB54">
            <v>1787.5514060924054</v>
          </cell>
          <cell r="AD54">
            <v>50860.511957222217</v>
          </cell>
        </row>
        <row r="56">
          <cell r="C56" t="str">
            <v>A0096</v>
          </cell>
          <cell r="D56" t="str">
            <v>PT Menara Terus Makmur</v>
          </cell>
          <cell r="E56" t="str">
            <v>PEB 1</v>
          </cell>
          <cell r="J56">
            <v>0</v>
          </cell>
          <cell r="K56">
            <v>-17010.180800000002</v>
          </cell>
          <cell r="L56">
            <v>83290.731200000053</v>
          </cell>
          <cell r="M56">
            <v>90997.908399999971</v>
          </cell>
          <cell r="N56">
            <v>157278.45880000002</v>
          </cell>
          <cell r="O56">
            <v>-346.91840000000229</v>
          </cell>
          <cell r="P56">
            <v>56970.092800000013</v>
          </cell>
          <cell r="Q56">
            <v>40840.576000000001</v>
          </cell>
          <cell r="R56">
            <v>97463.750400000019</v>
          </cell>
          <cell r="S56">
            <v>7097156.5734401727</v>
          </cell>
          <cell r="Y56">
            <v>0</v>
          </cell>
          <cell r="AA56">
            <v>0</v>
          </cell>
          <cell r="AB56">
            <v>0</v>
          </cell>
          <cell r="AC56">
            <v>333773.73200000002</v>
          </cell>
          <cell r="AD56">
            <v>938816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14766.790090600074</v>
          </cell>
          <cell r="AZ56">
            <v>831.95589705254929</v>
          </cell>
          <cell r="BA56">
            <v>0</v>
          </cell>
          <cell r="BB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T56">
            <v>742.51300000000003</v>
          </cell>
          <cell r="BU56">
            <v>18900.173999999999</v>
          </cell>
          <cell r="BV56">
            <v>0</v>
          </cell>
          <cell r="BW56">
            <v>6547.8731250552737</v>
          </cell>
          <cell r="BX56">
            <v>368.90492965084667</v>
          </cell>
          <cell r="BY56">
            <v>0</v>
          </cell>
          <cell r="BZ56">
            <v>12573.843463877261</v>
          </cell>
          <cell r="CB56">
            <v>0</v>
          </cell>
          <cell r="CC56">
            <v>0</v>
          </cell>
          <cell r="CD56">
            <v>0</v>
          </cell>
          <cell r="CE56">
            <v>17063.813897628279</v>
          </cell>
          <cell r="CF56">
            <v>961.369431761334</v>
          </cell>
          <cell r="CG56">
            <v>0</v>
          </cell>
          <cell r="CH56">
            <v>27761.528960728396</v>
          </cell>
          <cell r="CJ56">
            <v>0</v>
          </cell>
          <cell r="CK56">
            <v>0</v>
          </cell>
          <cell r="CL56">
            <v>0</v>
          </cell>
          <cell r="CM56">
            <v>28985.598916631439</v>
          </cell>
          <cell r="CN56">
            <v>1633.0387173067459</v>
          </cell>
          <cell r="CO56">
            <v>0</v>
          </cell>
          <cell r="CP56">
            <v>48160.710196552449</v>
          </cell>
          <cell r="CR56">
            <v>0</v>
          </cell>
          <cell r="CS56">
            <v>192252.52781818199</v>
          </cell>
          <cell r="CT56">
            <v>0</v>
          </cell>
          <cell r="CU56">
            <v>27858.094785579902</v>
          </cell>
          <cell r="CV56">
            <v>10132.107662865876</v>
          </cell>
          <cell r="CW56">
            <v>0</v>
          </cell>
          <cell r="CX56">
            <v>45454.724452308896</v>
          </cell>
          <cell r="CZ56">
            <v>0</v>
          </cell>
          <cell r="DA56">
            <v>180562.5</v>
          </cell>
          <cell r="DB56">
            <v>0</v>
          </cell>
          <cell r="DC56">
            <v>3769.5768848281505</v>
          </cell>
          <cell r="DD56">
            <v>492.36098020778843</v>
          </cell>
          <cell r="DE56">
            <v>0</v>
          </cell>
          <cell r="DF56">
            <v>10907.5228266124</v>
          </cell>
        </row>
        <row r="57">
          <cell r="C57" t="str">
            <v>A0096</v>
          </cell>
          <cell r="D57" t="str">
            <v>PT Menara Terus Makmur</v>
          </cell>
          <cell r="E57" t="str">
            <v>PEB 2</v>
          </cell>
          <cell r="Y57">
            <v>0</v>
          </cell>
          <cell r="AA57">
            <v>0</v>
          </cell>
          <cell r="AB57">
            <v>0</v>
          </cell>
          <cell r="AD57">
            <v>0</v>
          </cell>
        </row>
        <row r="58">
          <cell r="C58" t="str">
            <v>A0096</v>
          </cell>
          <cell r="D58" t="str">
            <v>PT Menara Terus Makmur</v>
          </cell>
          <cell r="E58" t="str">
            <v>PEB 3</v>
          </cell>
          <cell r="Y58">
            <v>0</v>
          </cell>
          <cell r="AA58">
            <v>0</v>
          </cell>
          <cell r="AB58">
            <v>0</v>
          </cell>
          <cell r="AD58">
            <v>0</v>
          </cell>
        </row>
        <row r="59">
          <cell r="C59" t="str">
            <v>A0096</v>
          </cell>
          <cell r="D59" t="str">
            <v>PT Menara Terus Makmur</v>
          </cell>
          <cell r="E59" t="str">
            <v>PEB 4</v>
          </cell>
          <cell r="Y59">
            <v>0</v>
          </cell>
          <cell r="AA59">
            <v>14766.790090600074</v>
          </cell>
          <cell r="AB59">
            <v>831.95589705254929</v>
          </cell>
          <cell r="AD59">
            <v>0</v>
          </cell>
        </row>
        <row r="60">
          <cell r="C60" t="str">
            <v>A0096</v>
          </cell>
          <cell r="D60" t="str">
            <v>PT Menara Terus Makmur</v>
          </cell>
          <cell r="E60" t="str">
            <v>PEB 5</v>
          </cell>
          <cell r="Y60">
            <v>0</v>
          </cell>
          <cell r="AA60">
            <v>0</v>
          </cell>
          <cell r="AB60">
            <v>0</v>
          </cell>
          <cell r="AD60">
            <v>0</v>
          </cell>
        </row>
        <row r="61">
          <cell r="C61" t="str">
            <v>A0096</v>
          </cell>
          <cell r="D61" t="str">
            <v>PT Menara Terus Makmur</v>
          </cell>
          <cell r="E61" t="str">
            <v>PEB 6</v>
          </cell>
          <cell r="Y61">
            <v>0</v>
          </cell>
          <cell r="AA61">
            <v>0</v>
          </cell>
          <cell r="AB61">
            <v>0</v>
          </cell>
          <cell r="AD61">
            <v>0</v>
          </cell>
        </row>
        <row r="62">
          <cell r="C62" t="str">
            <v>A0096</v>
          </cell>
          <cell r="D62" t="str">
            <v>PT Menara Terus Makmur</v>
          </cell>
          <cell r="E62" t="str">
            <v>PEB 7</v>
          </cell>
          <cell r="V62">
            <v>18900.173999999999</v>
          </cell>
          <cell r="X62">
            <v>742.51300000000003</v>
          </cell>
          <cell r="Y62">
            <v>18900.173999999999</v>
          </cell>
          <cell r="AA62">
            <v>6547.8731250552737</v>
          </cell>
          <cell r="AB62">
            <v>368.90492965084667</v>
          </cell>
          <cell r="AD62">
            <v>12573.843463877261</v>
          </cell>
        </row>
        <row r="63">
          <cell r="C63" t="str">
            <v>A0096</v>
          </cell>
          <cell r="D63" t="str">
            <v>PT Menara Terus Makmur</v>
          </cell>
          <cell r="E63" t="str">
            <v>MPP</v>
          </cell>
          <cell r="V63">
            <v>0</v>
          </cell>
          <cell r="Y63">
            <v>0</v>
          </cell>
          <cell r="AA63">
            <v>17063.813897628279</v>
          </cell>
          <cell r="AB63">
            <v>961.369431761334</v>
          </cell>
          <cell r="AD63">
            <v>27761.528960728396</v>
          </cell>
        </row>
        <row r="64">
          <cell r="C64" t="str">
            <v>A0096</v>
          </cell>
          <cell r="D64" t="str">
            <v>PT Menara Terus Makmur</v>
          </cell>
          <cell r="E64" t="str">
            <v>ID</v>
          </cell>
          <cell r="V64">
            <v>0</v>
          </cell>
          <cell r="Y64">
            <v>0</v>
          </cell>
          <cell r="AA64">
            <v>28985.598916631439</v>
          </cell>
          <cell r="AB64">
            <v>1633.0387173067459</v>
          </cell>
          <cell r="AD64">
            <v>48160.710196552449</v>
          </cell>
        </row>
        <row r="65">
          <cell r="C65" t="str">
            <v>A0096</v>
          </cell>
          <cell r="D65" t="str">
            <v>PT Menara Terus Makmur</v>
          </cell>
          <cell r="E65" t="str">
            <v>LL</v>
          </cell>
          <cell r="V65">
            <v>192252.52781818199</v>
          </cell>
          <cell r="Y65">
            <v>192252.52781818199</v>
          </cell>
          <cell r="AA65">
            <v>27858.094785579902</v>
          </cell>
          <cell r="AB65">
            <v>10132.107662865876</v>
          </cell>
          <cell r="AD65">
            <v>45454.724452308896</v>
          </cell>
        </row>
        <row r="66">
          <cell r="C66" t="str">
            <v>A0096</v>
          </cell>
          <cell r="D66" t="str">
            <v>PT Menara Terus Makmur</v>
          </cell>
          <cell r="E66" t="str">
            <v>PMK</v>
          </cell>
          <cell r="V66">
            <v>180562.5</v>
          </cell>
          <cell r="Y66">
            <v>180562.5</v>
          </cell>
          <cell r="AA66">
            <v>3769.5768848281505</v>
          </cell>
          <cell r="AB66">
            <v>492.36098020778843</v>
          </cell>
          <cell r="AD66">
            <v>10907.5228266124</v>
          </cell>
        </row>
        <row r="68">
          <cell r="C68" t="str">
            <v>A0239</v>
          </cell>
          <cell r="D68" t="str">
            <v>PT Astra Daido Steel Indonesia</v>
          </cell>
          <cell r="E68" t="str">
            <v>PEB 1</v>
          </cell>
          <cell r="G68">
            <v>0</v>
          </cell>
          <cell r="H68">
            <v>0</v>
          </cell>
          <cell r="I68">
            <v>924154.73301757302</v>
          </cell>
          <cell r="J68">
            <v>924154.73301757302</v>
          </cell>
          <cell r="K68">
            <v>-1488.163999999997</v>
          </cell>
          <cell r="L68">
            <v>38149.635999999999</v>
          </cell>
          <cell r="M68">
            <v>2225.5680000000002</v>
          </cell>
          <cell r="N68">
            <v>38887.040000000001</v>
          </cell>
          <cell r="O68">
            <v>-722.17599999999993</v>
          </cell>
          <cell r="P68">
            <v>5192.9920000000002</v>
          </cell>
          <cell r="Q68">
            <v>3709.28</v>
          </cell>
          <cell r="R68">
            <v>8180.0960000000014</v>
          </cell>
          <cell r="S68">
            <v>708796.48315086798</v>
          </cell>
          <cell r="Y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V68">
            <v>0</v>
          </cell>
          <cell r="AW68">
            <v>2272.7775099999999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T68">
            <v>32120.106</v>
          </cell>
          <cell r="BU68">
            <v>12980.05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R68">
            <v>0</v>
          </cell>
          <cell r="CS68">
            <v>32763.5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Z68">
            <v>0</v>
          </cell>
          <cell r="DA68">
            <v>44040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</row>
        <row r="69">
          <cell r="C69" t="str">
            <v>A0239</v>
          </cell>
          <cell r="D69" t="str">
            <v>PT Astra Daido Steel Indonesia</v>
          </cell>
          <cell r="E69" t="str">
            <v>PEB 2</v>
          </cell>
          <cell r="Y69">
            <v>0</v>
          </cell>
        </row>
        <row r="70">
          <cell r="C70" t="str">
            <v>A0239</v>
          </cell>
          <cell r="D70" t="str">
            <v>PT Astra Daido Steel Indonesia</v>
          </cell>
          <cell r="E70" t="str">
            <v>PEB 3</v>
          </cell>
          <cell r="Y70">
            <v>0</v>
          </cell>
        </row>
        <row r="71">
          <cell r="C71" t="str">
            <v>A0239</v>
          </cell>
          <cell r="D71" t="str">
            <v>PT Astra Daido Steel Indonesia</v>
          </cell>
          <cell r="E71" t="str">
            <v>PEB 4</v>
          </cell>
          <cell r="W71">
            <v>2272.7775099999999</v>
          </cell>
          <cell r="Y71">
            <v>2272.7775099999999</v>
          </cell>
        </row>
        <row r="72">
          <cell r="C72" t="str">
            <v>A0239</v>
          </cell>
          <cell r="D72" t="str">
            <v>PT Astra Daido Steel Indonesia</v>
          </cell>
          <cell r="E72" t="str">
            <v>PEB 5</v>
          </cell>
          <cell r="Y72">
            <v>0</v>
          </cell>
        </row>
        <row r="73">
          <cell r="C73" t="str">
            <v>A0239</v>
          </cell>
          <cell r="D73" t="str">
            <v>PT Astra Daido Steel Indonesia</v>
          </cell>
          <cell r="E73" t="str">
            <v>PEB 6</v>
          </cell>
          <cell r="Y73">
            <v>0</v>
          </cell>
        </row>
        <row r="74">
          <cell r="C74" t="str">
            <v>A0239</v>
          </cell>
          <cell r="D74" t="str">
            <v>PT Astra Daido Steel Indonesia</v>
          </cell>
          <cell r="E74" t="str">
            <v>PEB 7</v>
          </cell>
          <cell r="V74">
            <v>12980.05</v>
          </cell>
          <cell r="X74">
            <v>32120.106</v>
          </cell>
          <cell r="Y74">
            <v>12980.05</v>
          </cell>
        </row>
        <row r="75">
          <cell r="C75" t="str">
            <v>A0239</v>
          </cell>
          <cell r="D75" t="str">
            <v>PT Astra Daido Steel Indonesia</v>
          </cell>
          <cell r="E75" t="str">
            <v>MPP</v>
          </cell>
          <cell r="V75">
            <v>0</v>
          </cell>
          <cell r="Y75">
            <v>0</v>
          </cell>
        </row>
        <row r="76">
          <cell r="C76" t="str">
            <v>A0239</v>
          </cell>
          <cell r="D76" t="str">
            <v>PT Astra Daido Steel Indonesia</v>
          </cell>
          <cell r="E76" t="str">
            <v>ID</v>
          </cell>
          <cell r="V76">
            <v>0</v>
          </cell>
          <cell r="Y76">
            <v>0</v>
          </cell>
        </row>
        <row r="77">
          <cell r="C77" t="str">
            <v>A0239</v>
          </cell>
          <cell r="D77" t="str">
            <v>PT Astra Daido Steel Indonesia</v>
          </cell>
          <cell r="E77" t="str">
            <v>LL</v>
          </cell>
          <cell r="V77">
            <v>32763.5</v>
          </cell>
          <cell r="Y77">
            <v>32763.5</v>
          </cell>
        </row>
        <row r="78">
          <cell r="C78" t="str">
            <v>A0239</v>
          </cell>
          <cell r="D78" t="str">
            <v>PT Astra Daido Steel Indonesia</v>
          </cell>
          <cell r="E78" t="str">
            <v>PMK</v>
          </cell>
          <cell r="V78">
            <v>44040</v>
          </cell>
          <cell r="Y78">
            <v>44040</v>
          </cell>
        </row>
        <row r="80">
          <cell r="C80" t="str">
            <v>A0316</v>
          </cell>
          <cell r="D80" t="str">
            <v>PT Astra Komponen Indonesia</v>
          </cell>
          <cell r="E80" t="str">
            <v>PEB 1</v>
          </cell>
          <cell r="J80">
            <v>0</v>
          </cell>
          <cell r="N80">
            <v>0</v>
          </cell>
          <cell r="R80">
            <v>0</v>
          </cell>
          <cell r="Y80">
            <v>0</v>
          </cell>
          <cell r="AC80">
            <v>8771866</v>
          </cell>
          <cell r="AD80">
            <v>7889110.7037731893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451454.4657110215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405594.54815443087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1047485.2486010147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196483.26308318874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338821.22617647785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580560.88949510327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562949.7777070665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612862.70810057758</v>
          </cell>
        </row>
        <row r="81">
          <cell r="C81" t="str">
            <v>A0316</v>
          </cell>
          <cell r="D81" t="str">
            <v>PT Astra Komponen Indonesia</v>
          </cell>
          <cell r="E81" t="str">
            <v>PEB 2</v>
          </cell>
          <cell r="Y81">
            <v>0</v>
          </cell>
          <cell r="AD81">
            <v>451454.4657110215</v>
          </cell>
        </row>
        <row r="82">
          <cell r="C82" t="str">
            <v>A0316</v>
          </cell>
          <cell r="D82" t="str">
            <v>PT Astra Komponen Indonesia</v>
          </cell>
          <cell r="E82" t="str">
            <v>PEB 3</v>
          </cell>
          <cell r="Y82">
            <v>0</v>
          </cell>
          <cell r="AD82">
            <v>0</v>
          </cell>
        </row>
        <row r="83">
          <cell r="C83" t="str">
            <v>A0316</v>
          </cell>
          <cell r="D83" t="str">
            <v>PT Astra Komponen Indonesia</v>
          </cell>
          <cell r="E83" t="str">
            <v>PEB 4</v>
          </cell>
          <cell r="Y83">
            <v>0</v>
          </cell>
          <cell r="AD83">
            <v>405594.54815443087</v>
          </cell>
        </row>
        <row r="84">
          <cell r="C84" t="str">
            <v>A0316</v>
          </cell>
          <cell r="D84" t="str">
            <v>PT Astra Komponen Indonesia</v>
          </cell>
          <cell r="E84" t="str">
            <v>PEB 5</v>
          </cell>
          <cell r="Y84">
            <v>0</v>
          </cell>
          <cell r="AD84">
            <v>1047485.2486010147</v>
          </cell>
        </row>
        <row r="85">
          <cell r="C85" t="str">
            <v>A0316</v>
          </cell>
          <cell r="D85" t="str">
            <v>PT Astra Komponen Indonesia</v>
          </cell>
          <cell r="E85" t="str">
            <v>PEB 6</v>
          </cell>
          <cell r="Y85">
            <v>0</v>
          </cell>
          <cell r="AD85">
            <v>0</v>
          </cell>
        </row>
        <row r="86">
          <cell r="C86" t="str">
            <v>A0316</v>
          </cell>
          <cell r="D86" t="str">
            <v>PT Astra Komponen Indonesia</v>
          </cell>
          <cell r="E86" t="str">
            <v>PEB 7</v>
          </cell>
          <cell r="Y86">
            <v>0</v>
          </cell>
          <cell r="AD86">
            <v>196483.26308318874</v>
          </cell>
        </row>
        <row r="87">
          <cell r="C87" t="str">
            <v>A0316</v>
          </cell>
          <cell r="D87" t="str">
            <v>PT Astra Komponen Indonesia</v>
          </cell>
          <cell r="E87" t="str">
            <v>MPP</v>
          </cell>
          <cell r="Y87">
            <v>0</v>
          </cell>
          <cell r="AD87">
            <v>338821.22617647785</v>
          </cell>
        </row>
        <row r="88">
          <cell r="C88" t="str">
            <v>A0316</v>
          </cell>
          <cell r="D88" t="str">
            <v>PT Astra Komponen Indonesia</v>
          </cell>
          <cell r="E88" t="str">
            <v>ID</v>
          </cell>
          <cell r="Y88">
            <v>0</v>
          </cell>
          <cell r="AD88">
            <v>580560.88949510327</v>
          </cell>
        </row>
        <row r="89">
          <cell r="C89" t="str">
            <v>A0316</v>
          </cell>
          <cell r="D89" t="str">
            <v>PT Astra Komponen Indonesia</v>
          </cell>
          <cell r="E89" t="str">
            <v>LL</v>
          </cell>
          <cell r="Y89">
            <v>0</v>
          </cell>
          <cell r="AD89">
            <v>562949.7777070665</v>
          </cell>
        </row>
        <row r="90">
          <cell r="C90" t="str">
            <v>A0316</v>
          </cell>
          <cell r="D90" t="str">
            <v>PT Astra Komponen Indonesia</v>
          </cell>
          <cell r="E90" t="str">
            <v>PMK</v>
          </cell>
          <cell r="Y90">
            <v>0</v>
          </cell>
          <cell r="AD90">
            <v>612862.70810057758</v>
          </cell>
        </row>
        <row r="92">
          <cell r="C92" t="str">
            <v>A0077</v>
          </cell>
          <cell r="D92" t="str">
            <v>PT Indokarlo Perkasa</v>
          </cell>
          <cell r="E92" t="str">
            <v>PEB 1</v>
          </cell>
          <cell r="J92">
            <v>0</v>
          </cell>
          <cell r="N92">
            <v>0</v>
          </cell>
          <cell r="R92">
            <v>0</v>
          </cell>
          <cell r="Y92">
            <v>0</v>
          </cell>
          <cell r="AC92">
            <v>412259</v>
          </cell>
          <cell r="AD92">
            <v>103306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76767.066520324035</v>
          </cell>
          <cell r="AV92">
            <v>3204.9</v>
          </cell>
          <cell r="AW92">
            <v>7886.2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63835.541790233474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T92">
            <v>0</v>
          </cell>
          <cell r="BU92">
            <v>21872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26296.954980458409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90167.450547861299</v>
          </cell>
          <cell r="CR92">
            <v>0</v>
          </cell>
          <cell r="CS92">
            <v>82075.199999999997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97978.262136253659</v>
          </cell>
          <cell r="CZ92">
            <v>0</v>
          </cell>
          <cell r="DA92">
            <v>172190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45761.538749584644</v>
          </cell>
        </row>
        <row r="93">
          <cell r="C93" t="str">
            <v>A0077</v>
          </cell>
          <cell r="D93" t="str">
            <v>PT Indokarlo Perkasa</v>
          </cell>
          <cell r="E93" t="str">
            <v>PEB 2</v>
          </cell>
          <cell r="Y93">
            <v>0</v>
          </cell>
          <cell r="AD93">
            <v>0</v>
          </cell>
        </row>
        <row r="94">
          <cell r="C94" t="str">
            <v>A0077</v>
          </cell>
          <cell r="D94" t="str">
            <v>PT Indokarlo Perkasa</v>
          </cell>
          <cell r="E94" t="str">
            <v>PEB 3</v>
          </cell>
          <cell r="Y94">
            <v>0</v>
          </cell>
          <cell r="AD94">
            <v>76767.066520324035</v>
          </cell>
        </row>
        <row r="95">
          <cell r="C95" t="str">
            <v>A0077</v>
          </cell>
          <cell r="D95" t="str">
            <v>PT Indokarlo Perkasa</v>
          </cell>
          <cell r="E95" t="str">
            <v>PEB 4</v>
          </cell>
          <cell r="V95">
            <v>7886.2</v>
          </cell>
          <cell r="X95">
            <v>3204.9</v>
          </cell>
          <cell r="Y95">
            <v>7886.2</v>
          </cell>
          <cell r="AD95">
            <v>63835.541790233474</v>
          </cell>
        </row>
        <row r="96">
          <cell r="C96" t="str">
            <v>A0077</v>
          </cell>
          <cell r="D96" t="str">
            <v>PT Indokarlo Perkasa</v>
          </cell>
          <cell r="E96" t="str">
            <v>PEB 5</v>
          </cell>
          <cell r="Y96">
            <v>0</v>
          </cell>
          <cell r="AD96">
            <v>0</v>
          </cell>
        </row>
        <row r="97">
          <cell r="C97" t="str">
            <v>A0077</v>
          </cell>
          <cell r="D97" t="str">
            <v>PT Indokarlo Perkasa</v>
          </cell>
          <cell r="E97" t="str">
            <v>PEB 6</v>
          </cell>
          <cell r="Y97">
            <v>0</v>
          </cell>
          <cell r="AD97">
            <v>0</v>
          </cell>
        </row>
        <row r="98">
          <cell r="C98" t="str">
            <v>A0077</v>
          </cell>
          <cell r="D98" t="str">
            <v>PT Indokarlo Perkasa</v>
          </cell>
          <cell r="E98" t="str">
            <v>PEB 7</v>
          </cell>
          <cell r="V98">
            <v>21872</v>
          </cell>
          <cell r="Y98">
            <v>21872</v>
          </cell>
          <cell r="AD98">
            <v>26296.954980458409</v>
          </cell>
        </row>
        <row r="99">
          <cell r="C99" t="str">
            <v>A0077</v>
          </cell>
          <cell r="D99" t="str">
            <v>PT Indokarlo Perkasa</v>
          </cell>
          <cell r="E99" t="str">
            <v>MPP</v>
          </cell>
          <cell r="V99">
            <v>0</v>
          </cell>
          <cell r="Y99">
            <v>0</v>
          </cell>
          <cell r="AD99">
            <v>0</v>
          </cell>
        </row>
        <row r="100">
          <cell r="C100" t="str">
            <v>A0077</v>
          </cell>
          <cell r="D100" t="str">
            <v>PT Indokarlo Perkasa</v>
          </cell>
          <cell r="E100" t="str">
            <v>ID</v>
          </cell>
          <cell r="V100">
            <v>0</v>
          </cell>
          <cell r="Y100">
            <v>0</v>
          </cell>
          <cell r="AD100">
            <v>90167.450547861299</v>
          </cell>
        </row>
        <row r="101">
          <cell r="C101" t="str">
            <v>A0077</v>
          </cell>
          <cell r="D101" t="str">
            <v>PT Indokarlo Perkasa</v>
          </cell>
          <cell r="E101" t="str">
            <v>LL</v>
          </cell>
          <cell r="V101">
            <v>82075.199999999997</v>
          </cell>
          <cell r="Y101">
            <v>82075.199999999997</v>
          </cell>
          <cell r="AD101">
            <v>97978.262136253659</v>
          </cell>
        </row>
        <row r="102">
          <cell r="C102" t="str">
            <v>A0077</v>
          </cell>
          <cell r="D102" t="str">
            <v>PT Indokarlo Perkasa</v>
          </cell>
          <cell r="E102" t="str">
            <v>PMK</v>
          </cell>
          <cell r="V102">
            <v>172190</v>
          </cell>
          <cell r="Y102">
            <v>172190</v>
          </cell>
          <cell r="AD102">
            <v>45761.538749584644</v>
          </cell>
        </row>
        <row r="104">
          <cell r="C104" t="str">
            <v>A0062</v>
          </cell>
          <cell r="D104" t="str">
            <v>PT FSCM Manufacturing Indonesia</v>
          </cell>
          <cell r="E104" t="str">
            <v>PEB 1</v>
          </cell>
          <cell r="G104">
            <v>1264.915</v>
          </cell>
          <cell r="H104">
            <v>86571.588000000003</v>
          </cell>
          <cell r="I104">
            <v>56012.369636708201</v>
          </cell>
          <cell r="J104">
            <v>143848.8726367082</v>
          </cell>
          <cell r="K104">
            <v>-9155.7953599999892</v>
          </cell>
          <cell r="L104">
            <v>79957.084952000136</v>
          </cell>
          <cell r="M104">
            <v>138329.94237459995</v>
          </cell>
          <cell r="N104">
            <v>209131.23196660011</v>
          </cell>
          <cell r="O104">
            <v>-3964.5318400000033</v>
          </cell>
          <cell r="P104">
            <v>85047.43404800001</v>
          </cell>
          <cell r="Q104">
            <v>58728.385120000006</v>
          </cell>
          <cell r="R104">
            <v>139811.28732800001</v>
          </cell>
          <cell r="S104">
            <v>13999381.684035435</v>
          </cell>
          <cell r="Y104">
            <v>0</v>
          </cell>
          <cell r="Z104">
            <v>756342.24300000002</v>
          </cell>
          <cell r="AA104">
            <v>99931.535435753598</v>
          </cell>
          <cell r="AB104">
            <v>4425.3144177872218</v>
          </cell>
          <cell r="AD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28557.9852019832</v>
          </cell>
          <cell r="AO104">
            <v>57258.097580946698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V104">
            <v>47301.544801983197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1553.4374859724965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T104">
            <v>284525.08969018195</v>
          </cell>
          <cell r="BU104">
            <v>10140.40471656</v>
          </cell>
          <cell r="BV104">
            <v>0</v>
          </cell>
          <cell r="BW104">
            <v>1651.2162982465227</v>
          </cell>
          <cell r="BX104">
            <v>63.112887498382413</v>
          </cell>
          <cell r="BY104">
            <v>0</v>
          </cell>
          <cell r="BZ104">
            <v>253.83639972092058</v>
          </cell>
          <cell r="CB104">
            <v>0</v>
          </cell>
          <cell r="CC104">
            <v>0</v>
          </cell>
          <cell r="CD104">
            <v>0</v>
          </cell>
          <cell r="CE104">
            <v>101520.74290298008</v>
          </cell>
          <cell r="CF104">
            <v>3880.3318695388734</v>
          </cell>
          <cell r="CG104">
            <v>0</v>
          </cell>
          <cell r="CH104">
            <v>752.61767269677216</v>
          </cell>
          <cell r="CJ104">
            <v>30590.0273636364</v>
          </cell>
          <cell r="CK104">
            <v>27600.749</v>
          </cell>
          <cell r="CL104">
            <v>0</v>
          </cell>
          <cell r="CM104">
            <v>58338.273081190375</v>
          </cell>
          <cell r="CN104">
            <v>2229.8089412834643</v>
          </cell>
          <cell r="CO104">
            <v>0</v>
          </cell>
          <cell r="CP104">
            <v>1956.8374644789376</v>
          </cell>
          <cell r="CR104">
            <v>0</v>
          </cell>
          <cell r="CS104">
            <v>121655.829</v>
          </cell>
          <cell r="CT104">
            <v>0</v>
          </cell>
          <cell r="CU104">
            <v>21788.084746259767</v>
          </cell>
          <cell r="CV104">
            <v>18735.957512822552</v>
          </cell>
          <cell r="CW104">
            <v>0</v>
          </cell>
          <cell r="CX104">
            <v>6598.2743931202449</v>
          </cell>
          <cell r="CZ104">
            <v>0</v>
          </cell>
          <cell r="DA104">
            <v>171810</v>
          </cell>
          <cell r="DB104">
            <v>0</v>
          </cell>
          <cell r="DC104">
            <v>5782.8593714804456</v>
          </cell>
          <cell r="DD104">
            <v>976.60276533647539</v>
          </cell>
          <cell r="DE104">
            <v>0</v>
          </cell>
          <cell r="DF104">
            <v>2692.0679824630565</v>
          </cell>
        </row>
        <row r="105">
          <cell r="C105" t="str">
            <v>A0062</v>
          </cell>
          <cell r="D105" t="str">
            <v>PT FSCM Manufacturing Indonesia</v>
          </cell>
          <cell r="E105" t="str">
            <v>PEB 2</v>
          </cell>
          <cell r="Y105">
            <v>0</v>
          </cell>
          <cell r="AA105">
            <v>0</v>
          </cell>
          <cell r="AB105">
            <v>0</v>
          </cell>
          <cell r="AD105">
            <v>0</v>
          </cell>
        </row>
        <row r="106">
          <cell r="C106" t="str">
            <v>A0062</v>
          </cell>
          <cell r="D106" t="str">
            <v>PT FSCM Manufacturing Indonesia</v>
          </cell>
          <cell r="E106" t="str">
            <v>PEB 3</v>
          </cell>
          <cell r="V106">
            <v>18743.559600000001</v>
          </cell>
          <cell r="W106">
            <v>38514.537980946698</v>
          </cell>
          <cell r="X106">
            <v>28557.9852019832</v>
          </cell>
          <cell r="Y106">
            <v>57258.097580946698</v>
          </cell>
          <cell r="AA106">
            <v>0</v>
          </cell>
          <cell r="AB106">
            <v>0</v>
          </cell>
          <cell r="AD106">
            <v>0</v>
          </cell>
        </row>
        <row r="107">
          <cell r="C107" t="str">
            <v>A0062</v>
          </cell>
          <cell r="D107" t="str">
            <v>PT FSCM Manufacturing Indonesia</v>
          </cell>
          <cell r="E107" t="str">
            <v>PEB 4</v>
          </cell>
          <cell r="X107">
            <v>47301.544801983197</v>
          </cell>
          <cell r="Y107">
            <v>0</v>
          </cell>
          <cell r="AA107">
            <v>0</v>
          </cell>
          <cell r="AB107">
            <v>0</v>
          </cell>
          <cell r="AD107">
            <v>1553.4374859724965</v>
          </cell>
        </row>
        <row r="108">
          <cell r="C108" t="str">
            <v>A0062</v>
          </cell>
          <cell r="D108" t="str">
            <v>PT FSCM Manufacturing Indonesia</v>
          </cell>
          <cell r="E108" t="str">
            <v>PEB 5</v>
          </cell>
          <cell r="Y108">
            <v>0</v>
          </cell>
          <cell r="AA108">
            <v>0</v>
          </cell>
          <cell r="AB108">
            <v>0</v>
          </cell>
          <cell r="AD108">
            <v>0</v>
          </cell>
        </row>
        <row r="109">
          <cell r="C109" t="str">
            <v>A0062</v>
          </cell>
          <cell r="D109" t="str">
            <v>PT FSCM Manufacturing Indonesia</v>
          </cell>
          <cell r="E109" t="str">
            <v>PEB 6</v>
          </cell>
          <cell r="Y109">
            <v>0</v>
          </cell>
          <cell r="AA109">
            <v>0</v>
          </cell>
          <cell r="AB109">
            <v>0</v>
          </cell>
          <cell r="AD109">
            <v>0</v>
          </cell>
        </row>
        <row r="110">
          <cell r="C110" t="str">
            <v>A0062</v>
          </cell>
          <cell r="D110" t="str">
            <v>PT FSCM Manufacturing Indonesia</v>
          </cell>
          <cell r="E110" t="str">
            <v>PEB 7</v>
          </cell>
          <cell r="V110">
            <v>10140.40471656</v>
          </cell>
          <cell r="X110">
            <v>284525.08969018195</v>
          </cell>
          <cell r="Y110">
            <v>10140.40471656</v>
          </cell>
          <cell r="AA110">
            <v>1651.2162982465227</v>
          </cell>
          <cell r="AB110">
            <v>63.112887498382413</v>
          </cell>
          <cell r="AD110">
            <v>253.83639972092058</v>
          </cell>
        </row>
        <row r="111">
          <cell r="C111" t="str">
            <v>A0062</v>
          </cell>
          <cell r="D111" t="str">
            <v>PT FSCM Manufacturing Indonesia</v>
          </cell>
          <cell r="E111" t="str">
            <v>MPP</v>
          </cell>
          <cell r="V111">
            <v>0</v>
          </cell>
          <cell r="Y111">
            <v>0</v>
          </cell>
          <cell r="AA111">
            <v>101520.74290298008</v>
          </cell>
          <cell r="AB111">
            <v>3880.3318695388734</v>
          </cell>
          <cell r="AD111">
            <v>752.61767269677216</v>
          </cell>
        </row>
        <row r="112">
          <cell r="C112" t="str">
            <v>A0062</v>
          </cell>
          <cell r="D112" t="str">
            <v>PT FSCM Manufacturing Indonesia</v>
          </cell>
          <cell r="E112" t="str">
            <v>ID</v>
          </cell>
          <cell r="V112">
            <v>27600.749</v>
          </cell>
          <cell r="X112">
            <v>30590.0273636364</v>
          </cell>
          <cell r="Y112">
            <v>27600.749</v>
          </cell>
          <cell r="AA112">
            <v>58338.273081190375</v>
          </cell>
          <cell r="AB112">
            <v>2229.8089412834643</v>
          </cell>
          <cell r="AD112">
            <v>1956.8374644789376</v>
          </cell>
        </row>
        <row r="113">
          <cell r="C113" t="str">
            <v>A0062</v>
          </cell>
          <cell r="D113" t="str">
            <v>PT FSCM Manufacturing Indonesia</v>
          </cell>
          <cell r="E113" t="str">
            <v>LL</v>
          </cell>
          <cell r="V113">
            <v>121655.829</v>
          </cell>
          <cell r="Y113">
            <v>121655.829</v>
          </cell>
          <cell r="AA113">
            <v>21788.084746259767</v>
          </cell>
          <cell r="AB113">
            <v>18735.957512822552</v>
          </cell>
          <cell r="AD113">
            <v>6598.2743931202449</v>
          </cell>
        </row>
        <row r="114">
          <cell r="C114" t="str">
            <v>A0062</v>
          </cell>
          <cell r="D114" t="str">
            <v>PT FSCM Manufacturing Indonesia</v>
          </cell>
          <cell r="E114" t="str">
            <v>PMK</v>
          </cell>
          <cell r="V114">
            <v>171810</v>
          </cell>
          <cell r="Y114">
            <v>171810</v>
          </cell>
          <cell r="AA114">
            <v>5782.8593714804456</v>
          </cell>
          <cell r="AB114">
            <v>976.60276533647539</v>
          </cell>
          <cell r="AD114">
            <v>2692.0679824630565</v>
          </cell>
        </row>
        <row r="116">
          <cell r="C116" t="str">
            <v>A0161</v>
          </cell>
          <cell r="D116" t="str">
            <v>PT Ardendi Jaya Sentosa</v>
          </cell>
          <cell r="E116" t="str">
            <v>PEB 1</v>
          </cell>
          <cell r="J116">
            <v>0</v>
          </cell>
          <cell r="N116">
            <v>0</v>
          </cell>
          <cell r="R116">
            <v>0</v>
          </cell>
          <cell r="Y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72767.10313591134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T116">
            <v>0</v>
          </cell>
          <cell r="BU116">
            <v>87503.96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11493.939834192335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3521.4239053063802</v>
          </cell>
          <cell r="CJ116">
            <v>0</v>
          </cell>
          <cell r="CK116">
            <v>10005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12454.511432319807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40797.12300782268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</row>
        <row r="117">
          <cell r="C117" t="str">
            <v>A0161</v>
          </cell>
          <cell r="D117" t="str">
            <v>PT Ardendi Jaya Sentosa</v>
          </cell>
          <cell r="E117" t="str">
            <v>PEB 2</v>
          </cell>
          <cell r="Y117">
            <v>0</v>
          </cell>
        </row>
        <row r="118">
          <cell r="C118" t="str">
            <v>A0161</v>
          </cell>
          <cell r="D118" t="str">
            <v>PT Ardendi Jaya Sentosa</v>
          </cell>
          <cell r="E118" t="str">
            <v>PEB 3</v>
          </cell>
          <cell r="Y118">
            <v>0</v>
          </cell>
        </row>
        <row r="119">
          <cell r="C119" t="str">
            <v>A0161</v>
          </cell>
          <cell r="D119" t="str">
            <v>PT Ardendi Jaya Sentosa</v>
          </cell>
          <cell r="E119" t="str">
            <v>PEB 4</v>
          </cell>
          <cell r="Y119">
            <v>0</v>
          </cell>
        </row>
        <row r="120">
          <cell r="C120" t="str">
            <v>A0161</v>
          </cell>
          <cell r="D120" t="str">
            <v>PT Ardendi Jaya Sentosa</v>
          </cell>
          <cell r="E120" t="str">
            <v>PEB 5</v>
          </cell>
          <cell r="V120">
            <v>0</v>
          </cell>
          <cell r="Y120">
            <v>0</v>
          </cell>
          <cell r="AD120">
            <v>72767.10313591134</v>
          </cell>
        </row>
        <row r="121">
          <cell r="C121" t="str">
            <v>A0161</v>
          </cell>
          <cell r="D121" t="str">
            <v>PT Ardendi Jaya Sentosa</v>
          </cell>
          <cell r="E121" t="str">
            <v>PEB 6</v>
          </cell>
          <cell r="V121">
            <v>0</v>
          </cell>
          <cell r="Y121">
            <v>0</v>
          </cell>
          <cell r="AD121">
            <v>0</v>
          </cell>
        </row>
        <row r="122">
          <cell r="C122" t="str">
            <v>A0161</v>
          </cell>
          <cell r="D122" t="str">
            <v>PT Ardendi Jaya Sentosa</v>
          </cell>
          <cell r="E122" t="str">
            <v>PEB 7</v>
          </cell>
          <cell r="V122">
            <v>87503.96</v>
          </cell>
          <cell r="Y122">
            <v>87503.96</v>
          </cell>
          <cell r="AD122">
            <v>11493.939834192335</v>
          </cell>
        </row>
        <row r="123">
          <cell r="C123" t="str">
            <v>A0161</v>
          </cell>
          <cell r="D123" t="str">
            <v>PT Ardendi Jaya Sentosa</v>
          </cell>
          <cell r="E123" t="str">
            <v>MPP</v>
          </cell>
          <cell r="V123">
            <v>0</v>
          </cell>
          <cell r="Y123">
            <v>0</v>
          </cell>
          <cell r="AD123">
            <v>3521.4239053063802</v>
          </cell>
        </row>
        <row r="124">
          <cell r="C124" t="str">
            <v>A0161</v>
          </cell>
          <cell r="D124" t="str">
            <v>PT Ardendi Jaya Sentosa</v>
          </cell>
          <cell r="E124" t="str">
            <v>ID</v>
          </cell>
          <cell r="V124">
            <v>10005</v>
          </cell>
          <cell r="Y124">
            <v>10005</v>
          </cell>
          <cell r="AD124">
            <v>12454.511432319807</v>
          </cell>
        </row>
        <row r="125">
          <cell r="C125" t="str">
            <v>A0161</v>
          </cell>
          <cell r="D125" t="str">
            <v>PT Ardendi Jaya Sentosa</v>
          </cell>
          <cell r="E125" t="str">
            <v>LL</v>
          </cell>
          <cell r="V125">
            <v>0</v>
          </cell>
          <cell r="Y125">
            <v>0</v>
          </cell>
          <cell r="AD125">
            <v>40797.12300782268</v>
          </cell>
        </row>
        <row r="126">
          <cell r="C126" t="str">
            <v>A0161</v>
          </cell>
          <cell r="D126" t="str">
            <v>PT Ardendi Jaya Sentosa</v>
          </cell>
          <cell r="E126" t="str">
            <v>PMK</v>
          </cell>
          <cell r="V126">
            <v>0</v>
          </cell>
          <cell r="Y126">
            <v>0</v>
          </cell>
          <cell r="AD126">
            <v>0</v>
          </cell>
        </row>
        <row r="128">
          <cell r="C128" t="str">
            <v>A0059</v>
          </cell>
          <cell r="D128" t="str">
            <v>PT Federal Izumi Manufacturing</v>
          </cell>
          <cell r="E128" t="str">
            <v>PEB 1</v>
          </cell>
          <cell r="G128">
            <v>0</v>
          </cell>
          <cell r="H128">
            <v>2519.759</v>
          </cell>
          <cell r="I128">
            <v>0</v>
          </cell>
          <cell r="J128">
            <v>2519.759</v>
          </cell>
          <cell r="K128">
            <v>11.374199999991106</v>
          </cell>
          <cell r="L128">
            <v>350693.77679999993</v>
          </cell>
          <cell r="M128">
            <v>56281.211599999981</v>
          </cell>
          <cell r="N128">
            <v>406986.36259999993</v>
          </cell>
          <cell r="O128">
            <v>5.8688000000001921</v>
          </cell>
          <cell r="P128">
            <v>34351.475200000001</v>
          </cell>
          <cell r="Q128">
            <v>24536.768000000004</v>
          </cell>
          <cell r="R128">
            <v>58894.112000000001</v>
          </cell>
          <cell r="S128">
            <v>5195683.7497063195</v>
          </cell>
          <cell r="Y128">
            <v>0</v>
          </cell>
          <cell r="AA128">
            <v>0</v>
          </cell>
          <cell r="AB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3076.1746977871517</v>
          </cell>
          <cell r="AJ128">
            <v>321.02080239050201</v>
          </cell>
          <cell r="AK128">
            <v>0</v>
          </cell>
          <cell r="AL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356.02946666888437</v>
          </cell>
          <cell r="AZ128">
            <v>37.154217914517147</v>
          </cell>
          <cell r="BA128">
            <v>0</v>
          </cell>
          <cell r="BB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6838.2808539033704</v>
          </cell>
          <cell r="BX128">
            <v>713.62345196805893</v>
          </cell>
          <cell r="BY128">
            <v>0</v>
          </cell>
          <cell r="BZ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9934.0696026913465</v>
          </cell>
          <cell r="CN128">
            <v>1036.6911206808611</v>
          </cell>
          <cell r="CO128">
            <v>0</v>
          </cell>
          <cell r="CP128">
            <v>0</v>
          </cell>
          <cell r="CR128">
            <v>0</v>
          </cell>
          <cell r="CS128">
            <v>448250</v>
          </cell>
          <cell r="CT128">
            <v>0</v>
          </cell>
          <cell r="CU128">
            <v>18776.794250513351</v>
          </cell>
          <cell r="CV128">
            <v>4097.5200000000004</v>
          </cell>
          <cell r="CW128">
            <v>0</v>
          </cell>
          <cell r="CX128">
            <v>0</v>
          </cell>
          <cell r="CZ128">
            <v>0</v>
          </cell>
          <cell r="DA128">
            <v>245219.5</v>
          </cell>
          <cell r="DB128">
            <v>0</v>
          </cell>
          <cell r="DC128">
            <v>10341.351973766712</v>
          </cell>
          <cell r="DD128">
            <v>1079.193945262369</v>
          </cell>
          <cell r="DE128">
            <v>0</v>
          </cell>
          <cell r="DF128">
            <v>0</v>
          </cell>
        </row>
        <row r="129">
          <cell r="C129" t="str">
            <v>A0059</v>
          </cell>
          <cell r="D129" t="str">
            <v>PT Federal Izumi Manufacturing</v>
          </cell>
          <cell r="E129" t="str">
            <v>PEB 2</v>
          </cell>
          <cell r="Y129">
            <v>0</v>
          </cell>
          <cell r="AA129">
            <v>3076.1746977871517</v>
          </cell>
          <cell r="AB129">
            <v>321.02080239050201</v>
          </cell>
        </row>
        <row r="130">
          <cell r="C130" t="str">
            <v>A0059</v>
          </cell>
          <cell r="D130" t="str">
            <v>PT Federal Izumi Manufacturing</v>
          </cell>
          <cell r="E130" t="str">
            <v>PEB 3</v>
          </cell>
          <cell r="Y130">
            <v>0</v>
          </cell>
          <cell r="AA130">
            <v>0</v>
          </cell>
          <cell r="AB130">
            <v>0</v>
          </cell>
        </row>
        <row r="131">
          <cell r="C131" t="str">
            <v>A0059</v>
          </cell>
          <cell r="D131" t="str">
            <v>PT Federal Izumi Manufacturing</v>
          </cell>
          <cell r="E131" t="str">
            <v>PEB 4</v>
          </cell>
          <cell r="Y131">
            <v>0</v>
          </cell>
          <cell r="AA131">
            <v>356.02946666888437</v>
          </cell>
          <cell r="AB131">
            <v>37.154217914517147</v>
          </cell>
        </row>
        <row r="132">
          <cell r="C132" t="str">
            <v>A0059</v>
          </cell>
          <cell r="D132" t="str">
            <v>PT Federal Izumi Manufacturing</v>
          </cell>
          <cell r="E132" t="str">
            <v>PEB 5</v>
          </cell>
          <cell r="Y132">
            <v>0</v>
          </cell>
          <cell r="AA132">
            <v>0</v>
          </cell>
          <cell r="AB132">
            <v>0</v>
          </cell>
        </row>
        <row r="133">
          <cell r="C133" t="str">
            <v>A0059</v>
          </cell>
          <cell r="D133" t="str">
            <v>PT Federal Izumi Manufacturing</v>
          </cell>
          <cell r="E133" t="str">
            <v>PEB 6</v>
          </cell>
          <cell r="Y133">
            <v>0</v>
          </cell>
          <cell r="AA133">
            <v>0</v>
          </cell>
          <cell r="AB133">
            <v>0</v>
          </cell>
        </row>
        <row r="134">
          <cell r="C134" t="str">
            <v>A0059</v>
          </cell>
          <cell r="D134" t="str">
            <v>PT Federal Izumi Manufacturing</v>
          </cell>
          <cell r="E134" t="str">
            <v>PEB 7</v>
          </cell>
          <cell r="V134">
            <v>0</v>
          </cell>
          <cell r="Y134">
            <v>0</v>
          </cell>
          <cell r="AA134">
            <v>6838.2808539033704</v>
          </cell>
          <cell r="AB134">
            <v>713.62345196805893</v>
          </cell>
        </row>
        <row r="135">
          <cell r="C135" t="str">
            <v>A0059</v>
          </cell>
          <cell r="D135" t="str">
            <v>PT Federal Izumi Manufacturing</v>
          </cell>
          <cell r="E135" t="str">
            <v>MPP</v>
          </cell>
          <cell r="V135">
            <v>0</v>
          </cell>
          <cell r="Y135">
            <v>0</v>
          </cell>
          <cell r="AA135">
            <v>0</v>
          </cell>
          <cell r="AB135">
            <v>0</v>
          </cell>
        </row>
        <row r="136">
          <cell r="C136" t="str">
            <v>A0059</v>
          </cell>
          <cell r="D136" t="str">
            <v>PT Federal Izumi Manufacturing</v>
          </cell>
          <cell r="E136" t="str">
            <v>ID</v>
          </cell>
          <cell r="V136">
            <v>0</v>
          </cell>
          <cell r="Y136">
            <v>0</v>
          </cell>
          <cell r="AA136">
            <v>9934.0696026913465</v>
          </cell>
          <cell r="AB136">
            <v>1036.6911206808611</v>
          </cell>
        </row>
        <row r="137">
          <cell r="C137" t="str">
            <v>A0059</v>
          </cell>
          <cell r="D137" t="str">
            <v>PT Federal Izumi Manufacturing</v>
          </cell>
          <cell r="E137" t="str">
            <v>LL</v>
          </cell>
          <cell r="V137">
            <v>448250</v>
          </cell>
          <cell r="Y137">
            <v>448250</v>
          </cell>
          <cell r="AA137">
            <v>18776.794250513351</v>
          </cell>
          <cell r="AB137">
            <v>4097.5200000000004</v>
          </cell>
        </row>
        <row r="138">
          <cell r="C138" t="str">
            <v>A0059</v>
          </cell>
          <cell r="D138" t="str">
            <v>PT Federal Izumi Manufacturing</v>
          </cell>
          <cell r="E138" t="str">
            <v>PMK</v>
          </cell>
          <cell r="V138">
            <v>245219.5</v>
          </cell>
          <cell r="Y138">
            <v>245219.5</v>
          </cell>
          <cell r="AA138">
            <v>10341.351973766712</v>
          </cell>
          <cell r="AB138">
            <v>1079.193945262369</v>
          </cell>
        </row>
        <row r="140">
          <cell r="C140" t="str">
            <v>A0345</v>
          </cell>
          <cell r="D140" t="str">
            <v>PT Nusa Keihin Indonesia</v>
          </cell>
          <cell r="E140" t="str">
            <v>PEB 1</v>
          </cell>
          <cell r="J140">
            <v>0</v>
          </cell>
          <cell r="K140">
            <v>2808.8679999999999</v>
          </cell>
          <cell r="L140">
            <v>16836.111000000001</v>
          </cell>
          <cell r="M140">
            <v>15548.635790118762</v>
          </cell>
          <cell r="N140">
            <v>35193.614790118765</v>
          </cell>
          <cell r="O140">
            <v>-82.496000000000322</v>
          </cell>
          <cell r="P140">
            <v>2489.1680000000001</v>
          </cell>
          <cell r="Q140">
            <v>1838.56</v>
          </cell>
          <cell r="R140">
            <v>4245.232</v>
          </cell>
          <cell r="S140">
            <v>205096.68099056685</v>
          </cell>
          <cell r="Y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R140">
            <v>0</v>
          </cell>
          <cell r="CS140">
            <v>10794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</row>
        <row r="141">
          <cell r="C141" t="str">
            <v>A0345</v>
          </cell>
          <cell r="D141" t="str">
            <v>PT Nusa Keihin Indonesia</v>
          </cell>
          <cell r="E141" t="str">
            <v>PEB 2</v>
          </cell>
          <cell r="Y141">
            <v>0</v>
          </cell>
        </row>
        <row r="142">
          <cell r="C142" t="str">
            <v>A0345</v>
          </cell>
          <cell r="D142" t="str">
            <v>PT Nusa Keihin Indonesia</v>
          </cell>
          <cell r="E142" t="str">
            <v>PEB 3</v>
          </cell>
          <cell r="Y142">
            <v>0</v>
          </cell>
        </row>
        <row r="143">
          <cell r="C143" t="str">
            <v>A0345</v>
          </cell>
          <cell r="D143" t="str">
            <v>PT Nusa Keihin Indonesia</v>
          </cell>
          <cell r="E143" t="str">
            <v>PEB 4</v>
          </cell>
          <cell r="Y143">
            <v>0</v>
          </cell>
        </row>
        <row r="144">
          <cell r="C144" t="str">
            <v>A0345</v>
          </cell>
          <cell r="D144" t="str">
            <v>PT Nusa Keihin Indonesia</v>
          </cell>
          <cell r="E144" t="str">
            <v>PEB 5</v>
          </cell>
          <cell r="Y144">
            <v>0</v>
          </cell>
        </row>
        <row r="145">
          <cell r="C145" t="str">
            <v>A0345</v>
          </cell>
          <cell r="D145" t="str">
            <v>PT Nusa Keihin Indonesia</v>
          </cell>
          <cell r="E145" t="str">
            <v>PEB 6</v>
          </cell>
          <cell r="Y145">
            <v>0</v>
          </cell>
        </row>
        <row r="146">
          <cell r="C146" t="str">
            <v>A0345</v>
          </cell>
          <cell r="D146" t="str">
            <v>PT Nusa Keihin Indonesia</v>
          </cell>
          <cell r="E146" t="str">
            <v>PEB 7</v>
          </cell>
          <cell r="V146">
            <v>0</v>
          </cell>
          <cell r="Y146">
            <v>0</v>
          </cell>
        </row>
        <row r="147">
          <cell r="C147" t="str">
            <v>A0345</v>
          </cell>
          <cell r="D147" t="str">
            <v>PT Nusa Keihin Indonesia</v>
          </cell>
          <cell r="E147" t="str">
            <v>MPP</v>
          </cell>
          <cell r="V147">
            <v>0</v>
          </cell>
          <cell r="Y147">
            <v>0</v>
          </cell>
        </row>
        <row r="148">
          <cell r="C148" t="str">
            <v>A0345</v>
          </cell>
          <cell r="D148" t="str">
            <v>PT Nusa Keihin Indonesia</v>
          </cell>
          <cell r="E148" t="str">
            <v>ID</v>
          </cell>
          <cell r="V148">
            <v>0</v>
          </cell>
          <cell r="Y148">
            <v>0</v>
          </cell>
        </row>
        <row r="149">
          <cell r="C149" t="str">
            <v>A0345</v>
          </cell>
          <cell r="D149" t="str">
            <v>PT Nusa Keihin Indonesia</v>
          </cell>
          <cell r="E149" t="str">
            <v>LL</v>
          </cell>
          <cell r="V149">
            <v>10794</v>
          </cell>
          <cell r="Y149">
            <v>10794</v>
          </cell>
        </row>
        <row r="150">
          <cell r="C150" t="str">
            <v>A0345</v>
          </cell>
          <cell r="D150" t="str">
            <v>PT Nusa Keihin Indonesia</v>
          </cell>
          <cell r="E150" t="str">
            <v>PMK</v>
          </cell>
          <cell r="V150">
            <v>0</v>
          </cell>
          <cell r="Y150">
            <v>0</v>
          </cell>
        </row>
        <row r="152">
          <cell r="C152" t="str">
            <v>A0037</v>
          </cell>
          <cell r="D152" t="str">
            <v>PT Century Batteries Indonesia</v>
          </cell>
          <cell r="E152" t="str">
            <v>PEB 1</v>
          </cell>
          <cell r="G152">
            <v>191639.35399999999</v>
          </cell>
          <cell r="H152">
            <v>993627.78</v>
          </cell>
          <cell r="I152">
            <v>600541.850023443</v>
          </cell>
          <cell r="J152">
            <v>1785808.984023443</v>
          </cell>
          <cell r="K152">
            <v>65572.630999999994</v>
          </cell>
          <cell r="L152">
            <v>206219.429</v>
          </cell>
          <cell r="M152">
            <v>102855.18</v>
          </cell>
          <cell r="N152">
            <v>374647.24</v>
          </cell>
          <cell r="O152">
            <v>-5927.6959999999963</v>
          </cell>
          <cell r="P152">
            <v>66036.160000000003</v>
          </cell>
          <cell r="Q152">
            <v>44964.24</v>
          </cell>
          <cell r="R152">
            <v>105072.704</v>
          </cell>
          <cell r="S152">
            <v>12336354.155344056</v>
          </cell>
          <cell r="Y152">
            <v>0</v>
          </cell>
          <cell r="AD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N152">
            <v>47742.739000000001</v>
          </cell>
          <cell r="AO152">
            <v>14284.357314999981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V152">
            <v>17761.936000000002</v>
          </cell>
          <cell r="AW152">
            <v>40835.468000000001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2113.7861144865456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T152">
            <v>1420</v>
          </cell>
          <cell r="BU152">
            <v>15950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1810.0662575643437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854.94121777692476</v>
          </cell>
          <cell r="CJ152">
            <v>3095.63600000003</v>
          </cell>
          <cell r="CK152">
            <v>257228.25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3663.7316654635738</v>
          </cell>
          <cell r="CR152">
            <v>0</v>
          </cell>
          <cell r="CS152">
            <v>223906.13399999999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1849.4234125360033</v>
          </cell>
          <cell r="CZ152">
            <v>0</v>
          </cell>
          <cell r="DA152">
            <v>160054.33960000001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6185.1121356975482</v>
          </cell>
        </row>
        <row r="153">
          <cell r="C153" t="str">
            <v>A0037</v>
          </cell>
          <cell r="D153" t="str">
            <v>PT Century Batteries Indonesia</v>
          </cell>
          <cell r="E153" t="str">
            <v>PEB 2</v>
          </cell>
          <cell r="Y153">
            <v>0</v>
          </cell>
          <cell r="AD153">
            <v>0</v>
          </cell>
        </row>
        <row r="154">
          <cell r="C154" t="str">
            <v>A0037</v>
          </cell>
          <cell r="D154" t="str">
            <v>PT Century Batteries Indonesia</v>
          </cell>
          <cell r="E154" t="str">
            <v>PEB 3</v>
          </cell>
          <cell r="V154">
            <v>10854.665000000001</v>
          </cell>
          <cell r="W154">
            <v>3429.6923149999798</v>
          </cell>
          <cell r="X154">
            <v>47742.739000000001</v>
          </cell>
          <cell r="Y154">
            <v>14284.357314999981</v>
          </cell>
          <cell r="AD154">
            <v>0</v>
          </cell>
        </row>
        <row r="155">
          <cell r="C155" t="str">
            <v>A0037</v>
          </cell>
          <cell r="D155" t="str">
            <v>PT Century Batteries Indonesia</v>
          </cell>
          <cell r="E155" t="str">
            <v>PEB 4</v>
          </cell>
          <cell r="V155">
            <v>40835.468000000001</v>
          </cell>
          <cell r="X155">
            <v>17761.936000000002</v>
          </cell>
          <cell r="Y155">
            <v>40835.468000000001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2113.7861144865456</v>
          </cell>
        </row>
        <row r="156">
          <cell r="C156" t="str">
            <v>A0037</v>
          </cell>
          <cell r="D156" t="str">
            <v>PT Century Batteries Indonesia</v>
          </cell>
          <cell r="E156" t="str">
            <v>PEB 5</v>
          </cell>
          <cell r="Y156">
            <v>0</v>
          </cell>
          <cell r="AD156">
            <v>0</v>
          </cell>
        </row>
        <row r="157">
          <cell r="C157" t="str">
            <v>A0037</v>
          </cell>
          <cell r="D157" t="str">
            <v>PT Century Batteries Indonesia</v>
          </cell>
          <cell r="E157" t="str">
            <v>PEB 6</v>
          </cell>
          <cell r="Y157">
            <v>0</v>
          </cell>
          <cell r="AD157">
            <v>0</v>
          </cell>
        </row>
        <row r="158">
          <cell r="C158" t="str">
            <v>A0037</v>
          </cell>
          <cell r="D158" t="str">
            <v>PT Century Batteries Indonesia</v>
          </cell>
          <cell r="E158" t="str">
            <v>PEB 7</v>
          </cell>
          <cell r="V158">
            <v>15950</v>
          </cell>
          <cell r="X158">
            <v>1420</v>
          </cell>
          <cell r="Y158">
            <v>15950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1810.0662575643437</v>
          </cell>
        </row>
        <row r="159">
          <cell r="C159" t="str">
            <v>A0037</v>
          </cell>
          <cell r="D159" t="str">
            <v>PT Century Batteries Indonesia</v>
          </cell>
          <cell r="E159" t="str">
            <v>MPP</v>
          </cell>
          <cell r="V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854.94121777692476</v>
          </cell>
        </row>
        <row r="160">
          <cell r="C160" t="str">
            <v>A0037</v>
          </cell>
          <cell r="D160" t="str">
            <v>PT Century Batteries Indonesia</v>
          </cell>
          <cell r="E160" t="str">
            <v>ID</v>
          </cell>
          <cell r="V160">
            <v>257228.25</v>
          </cell>
          <cell r="X160">
            <v>3095.63600000003</v>
          </cell>
          <cell r="Y160">
            <v>257228.25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3663.7316654635738</v>
          </cell>
        </row>
        <row r="161">
          <cell r="C161" t="str">
            <v>A0037</v>
          </cell>
          <cell r="D161" t="str">
            <v>PT Century Batteries Indonesia</v>
          </cell>
          <cell r="E161" t="str">
            <v>LL</v>
          </cell>
          <cell r="V161">
            <v>223906.13399999999</v>
          </cell>
          <cell r="Y161">
            <v>223906.13399999999</v>
          </cell>
          <cell r="AD161">
            <v>1849.4234125360033</v>
          </cell>
        </row>
        <row r="162">
          <cell r="C162" t="str">
            <v>A0037</v>
          </cell>
          <cell r="D162" t="str">
            <v>PT Century Batteries Indonesia</v>
          </cell>
          <cell r="E162" t="str">
            <v>PMK</v>
          </cell>
          <cell r="V162">
            <v>160054.33960000001</v>
          </cell>
          <cell r="Y162">
            <v>160054.33960000001</v>
          </cell>
          <cell r="AD162">
            <v>6185.1121356975482</v>
          </cell>
        </row>
        <row r="164">
          <cell r="C164" t="str">
            <v>A0070</v>
          </cell>
          <cell r="D164" t="str">
            <v>PT GS Battery</v>
          </cell>
          <cell r="E164" t="str">
            <v>PEB 1</v>
          </cell>
          <cell r="G164">
            <v>875892.01300000004</v>
          </cell>
          <cell r="H164">
            <v>5702196.1689999998</v>
          </cell>
          <cell r="I164">
            <v>747168.21402256703</v>
          </cell>
          <cell r="J164">
            <v>7325256.3960225675</v>
          </cell>
          <cell r="K164">
            <v>-418016.41159999976</v>
          </cell>
          <cell r="L164">
            <v>1254241.67</v>
          </cell>
          <cell r="M164">
            <v>388843.19575000001</v>
          </cell>
          <cell r="N164">
            <v>1225068.4541500001</v>
          </cell>
          <cell r="O164">
            <v>-34774.351999999984</v>
          </cell>
          <cell r="P164">
            <v>237530.32</v>
          </cell>
          <cell r="Q164">
            <v>167075.12</v>
          </cell>
          <cell r="R164">
            <v>369831.08799999999</v>
          </cell>
          <cell r="S164">
            <v>42845597.756686188</v>
          </cell>
          <cell r="Y164">
            <v>0</v>
          </cell>
          <cell r="Z164">
            <v>670058.4</v>
          </cell>
          <cell r="AA164">
            <v>1773087.2382201026</v>
          </cell>
          <cell r="AB164">
            <v>78816.412816337965</v>
          </cell>
          <cell r="AC164">
            <v>686190.60100000002</v>
          </cell>
          <cell r="AD164">
            <v>1632292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N164">
            <v>498706.25903899997</v>
          </cell>
          <cell r="AO164">
            <v>141140.02596100001</v>
          </cell>
          <cell r="AP164">
            <v>0</v>
          </cell>
          <cell r="AQ164">
            <v>12679.793058617603</v>
          </cell>
          <cell r="AR164">
            <v>572.11790174923772</v>
          </cell>
          <cell r="AS164">
            <v>0</v>
          </cell>
          <cell r="AT164">
            <v>0</v>
          </cell>
          <cell r="AV164">
            <v>60208.905770000099</v>
          </cell>
          <cell r="AW164">
            <v>29106.882229999901</v>
          </cell>
          <cell r="AX164">
            <v>0</v>
          </cell>
          <cell r="AY164">
            <v>9043.9824899365049</v>
          </cell>
          <cell r="AZ164">
            <v>927.89736080036755</v>
          </cell>
          <cell r="BA164">
            <v>0</v>
          </cell>
          <cell r="BB164">
            <v>44734.786170816646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T164">
            <v>143214.85999999999</v>
          </cell>
          <cell r="BU164">
            <v>270947</v>
          </cell>
          <cell r="BV164">
            <v>0</v>
          </cell>
          <cell r="BW164">
            <v>16779.084752645478</v>
          </cell>
          <cell r="BX164">
            <v>983.53405872808435</v>
          </cell>
          <cell r="BY164">
            <v>0</v>
          </cell>
          <cell r="BZ164">
            <v>17674.711844371166</v>
          </cell>
          <cell r="CB164">
            <v>0</v>
          </cell>
          <cell r="CC164">
            <v>0</v>
          </cell>
          <cell r="CD164">
            <v>0</v>
          </cell>
          <cell r="CE164">
            <v>64795.118820570751</v>
          </cell>
          <cell r="CF164">
            <v>3015.1683340549444</v>
          </cell>
          <cell r="CG164">
            <v>0</v>
          </cell>
          <cell r="CH164">
            <v>64488.787439385982</v>
          </cell>
          <cell r="CJ164">
            <v>14386.26</v>
          </cell>
          <cell r="CK164">
            <v>54037.74</v>
          </cell>
          <cell r="CL164">
            <v>0</v>
          </cell>
          <cell r="CM164">
            <v>73809.142718745919</v>
          </cell>
          <cell r="CN164">
            <v>3759.7017669514585</v>
          </cell>
          <cell r="CO164">
            <v>0</v>
          </cell>
          <cell r="CP164">
            <v>86230.305589038864</v>
          </cell>
          <cell r="CR164">
            <v>0</v>
          </cell>
          <cell r="CS164">
            <v>484240.2</v>
          </cell>
          <cell r="CT164">
            <v>0</v>
          </cell>
          <cell r="CU164">
            <v>77017.590005091944</v>
          </cell>
          <cell r="CV164">
            <v>26571.286137349172</v>
          </cell>
          <cell r="CW164">
            <v>0</v>
          </cell>
          <cell r="CX164">
            <v>107126.5002728559</v>
          </cell>
          <cell r="CZ164">
            <v>0</v>
          </cell>
          <cell r="DA164">
            <v>634993.02740000002</v>
          </cell>
          <cell r="DB164">
            <v>0</v>
          </cell>
          <cell r="DC164">
            <v>18806.283333553693</v>
          </cell>
          <cell r="DD164">
            <v>2007.626809910023</v>
          </cell>
          <cell r="DE164">
            <v>0</v>
          </cell>
          <cell r="DF164">
            <v>15134.637856899353</v>
          </cell>
        </row>
        <row r="165">
          <cell r="C165" t="str">
            <v>A0070</v>
          </cell>
          <cell r="D165" t="str">
            <v>PT GS Battery</v>
          </cell>
          <cell r="E165" t="str">
            <v>PEB 2</v>
          </cell>
          <cell r="Y165">
            <v>0</v>
          </cell>
          <cell r="AA165">
            <v>0</v>
          </cell>
          <cell r="AB165">
            <v>0</v>
          </cell>
          <cell r="AD165">
            <v>0</v>
          </cell>
        </row>
        <row r="166">
          <cell r="C166" t="str">
            <v>A0070</v>
          </cell>
          <cell r="D166" t="str">
            <v>PT GS Battery</v>
          </cell>
          <cell r="E166" t="str">
            <v>PEB 3</v>
          </cell>
          <cell r="V166">
            <v>141140.02596100001</v>
          </cell>
          <cell r="X166">
            <v>498706.25903899997</v>
          </cell>
          <cell r="Y166">
            <v>141140.02596100001</v>
          </cell>
          <cell r="AA166">
            <v>12679.793058617603</v>
          </cell>
          <cell r="AB166">
            <v>572.11790174923772</v>
          </cell>
          <cell r="AD166">
            <v>0</v>
          </cell>
        </row>
        <row r="167">
          <cell r="C167" t="str">
            <v>A0070</v>
          </cell>
          <cell r="D167" t="str">
            <v>PT GS Battery</v>
          </cell>
          <cell r="E167" t="str">
            <v>PEB 4</v>
          </cell>
          <cell r="V167">
            <v>29106.882229999901</v>
          </cell>
          <cell r="X167">
            <v>60208.905770000099</v>
          </cell>
          <cell r="Y167">
            <v>29106.882229999901</v>
          </cell>
          <cell r="AA167">
            <v>9043.9824899365049</v>
          </cell>
          <cell r="AB167">
            <v>927.89736080036755</v>
          </cell>
          <cell r="AD167">
            <v>44734.786170816646</v>
          </cell>
        </row>
        <row r="168">
          <cell r="C168" t="str">
            <v>A0070</v>
          </cell>
          <cell r="D168" t="str">
            <v>PT GS Battery</v>
          </cell>
          <cell r="E168" t="str">
            <v>PEB 5</v>
          </cell>
          <cell r="Y168">
            <v>0</v>
          </cell>
          <cell r="AA168">
            <v>0</v>
          </cell>
          <cell r="AB168">
            <v>0</v>
          </cell>
          <cell r="AD168">
            <v>0</v>
          </cell>
        </row>
        <row r="169">
          <cell r="C169" t="str">
            <v>A0070</v>
          </cell>
          <cell r="D169" t="str">
            <v>PT GS Battery</v>
          </cell>
          <cell r="E169" t="str">
            <v>PEB 6</v>
          </cell>
          <cell r="Y169">
            <v>0</v>
          </cell>
          <cell r="AA169">
            <v>0</v>
          </cell>
          <cell r="AB169">
            <v>0</v>
          </cell>
          <cell r="AD169">
            <v>0</v>
          </cell>
        </row>
        <row r="170">
          <cell r="C170" t="str">
            <v>A0070</v>
          </cell>
          <cell r="D170" t="str">
            <v>PT GS Battery</v>
          </cell>
          <cell r="E170" t="str">
            <v>PEB 7</v>
          </cell>
          <cell r="V170">
            <v>270947</v>
          </cell>
          <cell r="X170">
            <v>143214.85999999999</v>
          </cell>
          <cell r="Y170">
            <v>270947</v>
          </cell>
          <cell r="AA170">
            <v>16779.084752645478</v>
          </cell>
          <cell r="AB170">
            <v>983.53405872808435</v>
          </cell>
          <cell r="AD170">
            <v>17674.711844371166</v>
          </cell>
        </row>
        <row r="171">
          <cell r="C171" t="str">
            <v>A0070</v>
          </cell>
          <cell r="D171" t="str">
            <v>PT GS Battery</v>
          </cell>
          <cell r="E171" t="str">
            <v>MPP</v>
          </cell>
          <cell r="V171">
            <v>0</v>
          </cell>
          <cell r="Y171">
            <v>0</v>
          </cell>
          <cell r="AA171">
            <v>64795.118820570751</v>
          </cell>
          <cell r="AB171">
            <v>3015.1683340549444</v>
          </cell>
          <cell r="AD171">
            <v>64488.787439385982</v>
          </cell>
        </row>
        <row r="172">
          <cell r="C172" t="str">
            <v>A0070</v>
          </cell>
          <cell r="D172" t="str">
            <v>PT GS Battery</v>
          </cell>
          <cell r="E172" t="str">
            <v>ID</v>
          </cell>
          <cell r="V172">
            <v>54037.74</v>
          </cell>
          <cell r="X172">
            <v>14386.26</v>
          </cell>
          <cell r="Y172">
            <v>54037.74</v>
          </cell>
          <cell r="AA172">
            <v>73809.142718745919</v>
          </cell>
          <cell r="AB172">
            <v>3759.7017669514585</v>
          </cell>
          <cell r="AD172">
            <v>86230.305589038864</v>
          </cell>
        </row>
        <row r="173">
          <cell r="C173" t="str">
            <v>A0070</v>
          </cell>
          <cell r="D173" t="str">
            <v>PT GS Battery</v>
          </cell>
          <cell r="E173" t="str">
            <v>LL</v>
          </cell>
          <cell r="V173">
            <v>484240.2</v>
          </cell>
          <cell r="Y173">
            <v>484240.2</v>
          </cell>
          <cell r="AA173">
            <v>77017.590005091944</v>
          </cell>
          <cell r="AB173">
            <v>26571.286137349172</v>
          </cell>
          <cell r="AD173">
            <v>107126.5002728559</v>
          </cell>
        </row>
        <row r="174">
          <cell r="C174" t="str">
            <v>A0070</v>
          </cell>
          <cell r="D174" t="str">
            <v>PT GS Battery</v>
          </cell>
          <cell r="E174" t="str">
            <v>PMK</v>
          </cell>
          <cell r="V174">
            <v>634993.02740000002</v>
          </cell>
          <cell r="Y174">
            <v>634993.02740000002</v>
          </cell>
          <cell r="AA174">
            <v>18806.283333553693</v>
          </cell>
          <cell r="AB174">
            <v>2007.626809910023</v>
          </cell>
          <cell r="AD174">
            <v>15134.637856899353</v>
          </cell>
        </row>
        <row r="176">
          <cell r="C176" t="str">
            <v>A0084</v>
          </cell>
          <cell r="D176" t="str">
            <v>PT Kayaba Indonesia</v>
          </cell>
          <cell r="E176" t="str">
            <v>PEB 1</v>
          </cell>
          <cell r="G176">
            <v>404590.22700000001</v>
          </cell>
          <cell r="H176">
            <v>2300917.73</v>
          </cell>
          <cell r="I176">
            <v>1156803.0494828401</v>
          </cell>
          <cell r="J176">
            <v>3862311.0064828401</v>
          </cell>
          <cell r="K176">
            <v>-14690.872888000216</v>
          </cell>
          <cell r="L176">
            <v>969220.87334399985</v>
          </cell>
          <cell r="M176">
            <v>225548.05032800001</v>
          </cell>
          <cell r="N176">
            <v>1180078.0507839997</v>
          </cell>
          <cell r="O176">
            <v>-17447.126911999978</v>
          </cell>
          <cell r="P176">
            <v>142368.13465600001</v>
          </cell>
          <cell r="Q176">
            <v>100903.19104000001</v>
          </cell>
          <cell r="R176">
            <v>225824.19878400004</v>
          </cell>
          <cell r="S176">
            <v>26099376.041211199</v>
          </cell>
          <cell r="Y176">
            <v>0</v>
          </cell>
          <cell r="AF176">
            <v>723656.57400000002</v>
          </cell>
          <cell r="AG176">
            <v>379286.81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N176">
            <v>17466.411</v>
          </cell>
          <cell r="AO176">
            <v>35944.239500000003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V176">
            <v>50299.777000000002</v>
          </cell>
          <cell r="AW176">
            <v>44955.375959999998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T176">
            <v>120427.976</v>
          </cell>
          <cell r="BU176">
            <v>94185.2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R176">
            <v>0</v>
          </cell>
          <cell r="CS176">
            <v>209811.04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Z176">
            <v>0</v>
          </cell>
          <cell r="DA176">
            <v>90562.5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</row>
        <row r="177">
          <cell r="C177" t="str">
            <v>A0084</v>
          </cell>
          <cell r="D177" t="str">
            <v>PT Kayaba Indonesia</v>
          </cell>
          <cell r="E177" t="str">
            <v>PEB 2</v>
          </cell>
          <cell r="V177">
            <v>318486.81</v>
          </cell>
          <cell r="W177">
            <v>60800</v>
          </cell>
          <cell r="X177">
            <v>723656.57400000002</v>
          </cell>
          <cell r="Y177">
            <v>379286.81</v>
          </cell>
        </row>
        <row r="178">
          <cell r="C178" t="str">
            <v>A0084</v>
          </cell>
          <cell r="D178" t="str">
            <v>PT Kayaba Indonesia</v>
          </cell>
          <cell r="E178" t="str">
            <v>PEB 3</v>
          </cell>
          <cell r="V178">
            <v>35944.239500000003</v>
          </cell>
          <cell r="X178">
            <v>17466.411</v>
          </cell>
          <cell r="Y178">
            <v>35944.239500000003</v>
          </cell>
        </row>
        <row r="179">
          <cell r="C179" t="str">
            <v>A0084</v>
          </cell>
          <cell r="D179" t="str">
            <v>PT Kayaba Indonesia</v>
          </cell>
          <cell r="E179" t="str">
            <v>PEB 4</v>
          </cell>
          <cell r="W179">
            <v>44955.375959999998</v>
          </cell>
          <cell r="X179">
            <v>50299.777000000002</v>
          </cell>
          <cell r="Y179">
            <v>44955.375959999998</v>
          </cell>
        </row>
        <row r="180">
          <cell r="C180" t="str">
            <v>A0084</v>
          </cell>
          <cell r="D180" t="str">
            <v>PT Kayaba Indonesia</v>
          </cell>
          <cell r="E180" t="str">
            <v>PEB 5</v>
          </cell>
          <cell r="Y180">
            <v>0</v>
          </cell>
        </row>
        <row r="181">
          <cell r="C181" t="str">
            <v>A0084</v>
          </cell>
          <cell r="D181" t="str">
            <v>PT Kayaba Indonesia</v>
          </cell>
          <cell r="E181" t="str">
            <v>PEB 6</v>
          </cell>
          <cell r="Y181">
            <v>0</v>
          </cell>
        </row>
        <row r="182">
          <cell r="C182" t="str">
            <v>A0084</v>
          </cell>
          <cell r="D182" t="str">
            <v>PT Kayaba Indonesia</v>
          </cell>
          <cell r="E182" t="str">
            <v>PEB 7</v>
          </cell>
          <cell r="V182">
            <v>94185.2</v>
          </cell>
          <cell r="X182">
            <v>120427.976</v>
          </cell>
          <cell r="Y182">
            <v>94185.2</v>
          </cell>
        </row>
        <row r="183">
          <cell r="C183" t="str">
            <v>A0084</v>
          </cell>
          <cell r="D183" t="str">
            <v>PT Kayaba Indonesia</v>
          </cell>
          <cell r="E183" t="str">
            <v>MPP</v>
          </cell>
          <cell r="V183">
            <v>0</v>
          </cell>
          <cell r="Y183">
            <v>0</v>
          </cell>
        </row>
        <row r="184">
          <cell r="C184" t="str">
            <v>A0084</v>
          </cell>
          <cell r="D184" t="str">
            <v>PT Kayaba Indonesia</v>
          </cell>
          <cell r="E184" t="str">
            <v>ID</v>
          </cell>
          <cell r="V184">
            <v>0</v>
          </cell>
          <cell r="Y184">
            <v>0</v>
          </cell>
        </row>
        <row r="185">
          <cell r="C185" t="str">
            <v>A0084</v>
          </cell>
          <cell r="D185" t="str">
            <v>PT Kayaba Indonesia</v>
          </cell>
          <cell r="E185" t="str">
            <v>LL</v>
          </cell>
          <cell r="V185">
            <v>209811.04</v>
          </cell>
          <cell r="Y185">
            <v>209811.04</v>
          </cell>
        </row>
        <row r="186">
          <cell r="C186" t="str">
            <v>A0084</v>
          </cell>
          <cell r="D186" t="str">
            <v>PT Kayaba Indonesia</v>
          </cell>
          <cell r="E186" t="str">
            <v>PMK</v>
          </cell>
          <cell r="V186">
            <v>90562.5</v>
          </cell>
          <cell r="Y186">
            <v>90562.5</v>
          </cell>
        </row>
        <row r="188">
          <cell r="C188" t="str">
            <v>A0038</v>
          </cell>
          <cell r="D188" t="str">
            <v>PT AT Indonesia</v>
          </cell>
          <cell r="E188" t="str">
            <v>PEB 1</v>
          </cell>
          <cell r="G188">
            <v>0</v>
          </cell>
          <cell r="H188">
            <v>0</v>
          </cell>
          <cell r="I188">
            <v>184574.28673272801</v>
          </cell>
          <cell r="J188">
            <v>184574.28673272801</v>
          </cell>
          <cell r="K188">
            <v>48843.89539999995</v>
          </cell>
          <cell r="L188">
            <v>156789.1155999999</v>
          </cell>
          <cell r="M188">
            <v>88467.742879999991</v>
          </cell>
          <cell r="N188">
            <v>294100.75387999986</v>
          </cell>
          <cell r="O188">
            <v>-1884.2239999999983</v>
          </cell>
          <cell r="P188">
            <v>52405.574400000005</v>
          </cell>
          <cell r="Q188">
            <v>38528.959999999999</v>
          </cell>
          <cell r="R188">
            <v>89050.310400000017</v>
          </cell>
          <cell r="S188">
            <v>6332623.0351359714</v>
          </cell>
          <cell r="Y188">
            <v>0</v>
          </cell>
          <cell r="Z188">
            <v>686190.60100000002</v>
          </cell>
          <cell r="AA188">
            <v>1801127.6385348677</v>
          </cell>
          <cell r="AB188">
            <v>73767.870595970002</v>
          </cell>
          <cell r="AC188">
            <v>0</v>
          </cell>
          <cell r="AD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J188">
            <v>3117.21</v>
          </cell>
          <cell r="CK188">
            <v>19382.79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R188">
            <v>0</v>
          </cell>
          <cell r="CS188">
            <v>187174.3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Z188">
            <v>0</v>
          </cell>
          <cell r="DA188">
            <v>131090.5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</row>
        <row r="189">
          <cell r="C189" t="str">
            <v>A0038</v>
          </cell>
          <cell r="D189" t="str">
            <v>PT AT Indonesia</v>
          </cell>
          <cell r="E189" t="str">
            <v>PEB 2</v>
          </cell>
          <cell r="Y189">
            <v>0</v>
          </cell>
        </row>
        <row r="190">
          <cell r="C190" t="str">
            <v>A0038</v>
          </cell>
          <cell r="D190" t="str">
            <v>PT AT Indonesia</v>
          </cell>
          <cell r="E190" t="str">
            <v>PEB 3</v>
          </cell>
          <cell r="Y190">
            <v>0</v>
          </cell>
        </row>
        <row r="191">
          <cell r="C191" t="str">
            <v>A0038</v>
          </cell>
          <cell r="D191" t="str">
            <v>PT AT Indonesia</v>
          </cell>
          <cell r="E191" t="str">
            <v>PEB 4</v>
          </cell>
          <cell r="Y191">
            <v>0</v>
          </cell>
        </row>
        <row r="192">
          <cell r="C192" t="str">
            <v>A0038</v>
          </cell>
          <cell r="D192" t="str">
            <v>PT AT Indonesia</v>
          </cell>
          <cell r="E192" t="str">
            <v>PEB 5</v>
          </cell>
          <cell r="Y192">
            <v>0</v>
          </cell>
        </row>
        <row r="193">
          <cell r="C193" t="str">
            <v>A0038</v>
          </cell>
          <cell r="D193" t="str">
            <v>PT AT Indonesia</v>
          </cell>
          <cell r="E193" t="str">
            <v>PEB 6</v>
          </cell>
          <cell r="Y193">
            <v>0</v>
          </cell>
        </row>
        <row r="194">
          <cell r="C194" t="str">
            <v>A0038</v>
          </cell>
          <cell r="D194" t="str">
            <v>PT AT Indonesia</v>
          </cell>
          <cell r="E194" t="str">
            <v>PEB 7</v>
          </cell>
          <cell r="V194">
            <v>21113</v>
          </cell>
          <cell r="X194">
            <v>30899</v>
          </cell>
          <cell r="Y194">
            <v>0</v>
          </cell>
        </row>
        <row r="195">
          <cell r="C195" t="str">
            <v>A0038</v>
          </cell>
          <cell r="D195" t="str">
            <v>PT AT Indonesia</v>
          </cell>
          <cell r="E195" t="str">
            <v>MPP</v>
          </cell>
          <cell r="V195">
            <v>0</v>
          </cell>
          <cell r="Y195">
            <v>0</v>
          </cell>
        </row>
        <row r="196">
          <cell r="C196" t="str">
            <v>A0038</v>
          </cell>
          <cell r="D196" t="str">
            <v>PT AT Indonesia</v>
          </cell>
          <cell r="E196" t="str">
            <v>ID</v>
          </cell>
          <cell r="V196">
            <v>19382.79</v>
          </cell>
          <cell r="X196">
            <v>3117.21</v>
          </cell>
          <cell r="Y196">
            <v>19382.79</v>
          </cell>
        </row>
        <row r="197">
          <cell r="C197" t="str">
            <v>A0038</v>
          </cell>
          <cell r="D197" t="str">
            <v>PT AT Indonesia</v>
          </cell>
          <cell r="E197" t="str">
            <v>LL</v>
          </cell>
          <cell r="V197">
            <v>187174.3</v>
          </cell>
          <cell r="Y197">
            <v>187174.3</v>
          </cell>
        </row>
        <row r="198">
          <cell r="C198" t="str">
            <v>A0038</v>
          </cell>
          <cell r="D198" t="str">
            <v>PT AT Indonesia</v>
          </cell>
          <cell r="E198" t="str">
            <v>PMK</v>
          </cell>
          <cell r="V198">
            <v>131090.5</v>
          </cell>
          <cell r="Y198">
            <v>131090.5</v>
          </cell>
        </row>
        <row r="200">
          <cell r="C200" t="str">
            <v>A0051</v>
          </cell>
          <cell r="D200" t="str">
            <v>PT DIC Astra Chemicals</v>
          </cell>
          <cell r="E200" t="str">
            <v>PEB 1</v>
          </cell>
          <cell r="J200">
            <v>0</v>
          </cell>
          <cell r="K200">
            <v>-1707.8472000000183</v>
          </cell>
          <cell r="L200">
            <v>115505.79703999996</v>
          </cell>
          <cell r="M200">
            <v>65819.647399999987</v>
          </cell>
          <cell r="N200">
            <v>179617.59723999992</v>
          </cell>
          <cell r="O200">
            <v>-926.57920000000377</v>
          </cell>
          <cell r="P200">
            <v>40617.064960000003</v>
          </cell>
          <cell r="Q200">
            <v>28271.526400000002</v>
          </cell>
          <cell r="R200">
            <v>67962.012159999998</v>
          </cell>
          <cell r="S200">
            <v>5695429.5395837249</v>
          </cell>
          <cell r="Y200">
            <v>0</v>
          </cell>
          <cell r="AC200">
            <v>217197.644</v>
          </cell>
          <cell r="AD200">
            <v>535225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V200">
            <v>0</v>
          </cell>
          <cell r="AW200">
            <v>7531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T200">
            <v>34341</v>
          </cell>
          <cell r="BU200">
            <v>48305.98575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4911.2914134556595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17428.00701189362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23274.994214603681</v>
          </cell>
          <cell r="CR200">
            <v>0</v>
          </cell>
          <cell r="CS200">
            <v>118954.94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9411.50752171559</v>
          </cell>
          <cell r="CZ200">
            <v>0</v>
          </cell>
          <cell r="DA200">
            <v>133077.5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4149.9165258589737</v>
          </cell>
        </row>
        <row r="201">
          <cell r="C201" t="str">
            <v>A0051</v>
          </cell>
          <cell r="D201" t="str">
            <v>PT DIC Astra Chemicals</v>
          </cell>
          <cell r="E201" t="str">
            <v>PEB 2</v>
          </cell>
          <cell r="Y201">
            <v>0</v>
          </cell>
          <cell r="AD201">
            <v>0</v>
          </cell>
        </row>
        <row r="202">
          <cell r="C202" t="str">
            <v>A0051</v>
          </cell>
          <cell r="D202" t="str">
            <v>PT DIC Astra Chemicals</v>
          </cell>
          <cell r="E202" t="str">
            <v>PEB 3</v>
          </cell>
          <cell r="Y202">
            <v>0</v>
          </cell>
          <cell r="AD202">
            <v>0</v>
          </cell>
        </row>
        <row r="203">
          <cell r="C203" t="str">
            <v>A0051</v>
          </cell>
          <cell r="D203" t="str">
            <v>PT DIC Astra Chemicals</v>
          </cell>
          <cell r="E203" t="str">
            <v>PEB 4</v>
          </cell>
          <cell r="W203">
            <v>7531</v>
          </cell>
          <cell r="Y203">
            <v>7531</v>
          </cell>
          <cell r="AD203">
            <v>0</v>
          </cell>
        </row>
        <row r="204">
          <cell r="C204" t="str">
            <v>A0051</v>
          </cell>
          <cell r="D204" t="str">
            <v>PT DIC Astra Chemicals</v>
          </cell>
          <cell r="E204" t="str">
            <v>PEB 5</v>
          </cell>
          <cell r="Y204">
            <v>0</v>
          </cell>
          <cell r="AD204">
            <v>0</v>
          </cell>
        </row>
        <row r="205">
          <cell r="C205" t="str">
            <v>A0051</v>
          </cell>
          <cell r="D205" t="str">
            <v>PT DIC Astra Chemicals</v>
          </cell>
          <cell r="E205" t="str">
            <v>PEB 6</v>
          </cell>
          <cell r="Y205">
            <v>0</v>
          </cell>
          <cell r="AD205">
            <v>0</v>
          </cell>
        </row>
        <row r="206">
          <cell r="C206" t="str">
            <v>A0051</v>
          </cell>
          <cell r="D206" t="str">
            <v>PT DIC Astra Chemicals</v>
          </cell>
          <cell r="E206" t="str">
            <v>PEB 7</v>
          </cell>
          <cell r="V206">
            <v>48305.98575</v>
          </cell>
          <cell r="X206">
            <v>34341</v>
          </cell>
          <cell r="Y206">
            <v>48305.98575</v>
          </cell>
          <cell r="AD206">
            <v>4911.2914134556595</v>
          </cell>
        </row>
        <row r="207">
          <cell r="C207" t="str">
            <v>A0051</v>
          </cell>
          <cell r="D207" t="str">
            <v>PT DIC Astra Chemicals</v>
          </cell>
          <cell r="E207" t="str">
            <v>MPP</v>
          </cell>
          <cell r="V207">
            <v>0</v>
          </cell>
          <cell r="Y207">
            <v>0</v>
          </cell>
          <cell r="AD207">
            <v>17428.00701189362</v>
          </cell>
        </row>
        <row r="208">
          <cell r="C208" t="str">
            <v>A0051</v>
          </cell>
          <cell r="D208" t="str">
            <v>PT DIC Astra Chemicals</v>
          </cell>
          <cell r="E208" t="str">
            <v>ID</v>
          </cell>
          <cell r="V208">
            <v>0</v>
          </cell>
          <cell r="Y208">
            <v>0</v>
          </cell>
          <cell r="AD208">
            <v>23274.994214603681</v>
          </cell>
        </row>
        <row r="209">
          <cell r="C209" t="str">
            <v>A0051</v>
          </cell>
          <cell r="D209" t="str">
            <v>PT DIC Astra Chemicals</v>
          </cell>
          <cell r="E209" t="str">
            <v>LL</v>
          </cell>
          <cell r="V209">
            <v>118954.94</v>
          </cell>
          <cell r="Y209">
            <v>118954.94</v>
          </cell>
          <cell r="AD209">
            <v>9411.50752171559</v>
          </cell>
        </row>
        <row r="210">
          <cell r="C210" t="str">
            <v>A0051</v>
          </cell>
          <cell r="D210" t="str">
            <v>PT DIC Astra Chemicals</v>
          </cell>
          <cell r="E210" t="str">
            <v>PMK</v>
          </cell>
          <cell r="V210">
            <v>133077.5</v>
          </cell>
          <cell r="Y210">
            <v>133077.5</v>
          </cell>
          <cell r="AD210">
            <v>4149.9165258589737</v>
          </cell>
        </row>
        <row r="212">
          <cell r="C212" t="str">
            <v>A0306</v>
          </cell>
          <cell r="D212" t="str">
            <v>PT Astra Nippon Gasket Indonesia</v>
          </cell>
          <cell r="E212" t="str">
            <v>PEB 1</v>
          </cell>
          <cell r="J212">
            <v>0</v>
          </cell>
          <cell r="K212">
            <v>-112.00863999998546</v>
          </cell>
          <cell r="L212">
            <v>158099.35699999999</v>
          </cell>
          <cell r="M212">
            <v>112928.11178759568</v>
          </cell>
          <cell r="N212">
            <v>270915.46014759567</v>
          </cell>
          <cell r="O212">
            <v>-48.028160000001662</v>
          </cell>
          <cell r="P212">
            <v>16180.864</v>
          </cell>
          <cell r="Q212">
            <v>11557.76</v>
          </cell>
          <cell r="R212">
            <v>27690.595839999998</v>
          </cell>
          <cell r="S212">
            <v>1797835.0886787188</v>
          </cell>
          <cell r="Y212">
            <v>0</v>
          </cell>
          <cell r="AD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V212">
            <v>0</v>
          </cell>
          <cell r="AW212">
            <v>742162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356.02946666888437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5946.3311773072801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2574.4867948686292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9934.0696026913465</v>
          </cell>
          <cell r="CR212">
            <v>0</v>
          </cell>
          <cell r="CS212">
            <v>127191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18776.794250513351</v>
          </cell>
          <cell r="CZ212">
            <v>0</v>
          </cell>
          <cell r="DA212">
            <v>47714.8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4381.2307264569718</v>
          </cell>
        </row>
        <row r="213">
          <cell r="C213" t="str">
            <v>A0306</v>
          </cell>
          <cell r="D213" t="str">
            <v>PT Astra Nippon Gasket Indonesia</v>
          </cell>
          <cell r="E213" t="str">
            <v>PEB 2</v>
          </cell>
          <cell r="Y213">
            <v>0</v>
          </cell>
          <cell r="AD213">
            <v>0</v>
          </cell>
        </row>
        <row r="214">
          <cell r="C214" t="str">
            <v>A0306</v>
          </cell>
          <cell r="D214" t="str">
            <v>PT Astra Nippon Gasket Indonesia</v>
          </cell>
          <cell r="E214" t="str">
            <v>PEB 3</v>
          </cell>
          <cell r="Y214">
            <v>0</v>
          </cell>
          <cell r="AD214">
            <v>0</v>
          </cell>
        </row>
        <row r="215">
          <cell r="C215" t="str">
            <v>A0306</v>
          </cell>
          <cell r="D215" t="str">
            <v>PT Astra Nippon Gasket Indonesia</v>
          </cell>
          <cell r="E215" t="str">
            <v>PEB 4</v>
          </cell>
          <cell r="W215">
            <v>742162</v>
          </cell>
          <cell r="Y215">
            <v>742162</v>
          </cell>
          <cell r="AD215">
            <v>356.02946666888437</v>
          </cell>
        </row>
        <row r="216">
          <cell r="C216" t="str">
            <v>A0306</v>
          </cell>
          <cell r="D216" t="str">
            <v>PT Astra Nippon Gasket Indonesia</v>
          </cell>
          <cell r="E216" t="str">
            <v>PEB 5</v>
          </cell>
          <cell r="Y216">
            <v>0</v>
          </cell>
          <cell r="AD216">
            <v>0</v>
          </cell>
        </row>
        <row r="217">
          <cell r="C217" t="str">
            <v>A0306</v>
          </cell>
          <cell r="D217" t="str">
            <v>PT Astra Nippon Gasket Indonesia</v>
          </cell>
          <cell r="E217" t="str">
            <v>PEB 6</v>
          </cell>
          <cell r="Y217">
            <v>0</v>
          </cell>
          <cell r="AD217">
            <v>0</v>
          </cell>
        </row>
        <row r="218">
          <cell r="C218" t="str">
            <v>A0306</v>
          </cell>
          <cell r="D218" t="str">
            <v>PT Astra Nippon Gasket Indonesia</v>
          </cell>
          <cell r="E218" t="str">
            <v>PEB 7</v>
          </cell>
          <cell r="V218">
            <v>0</v>
          </cell>
          <cell r="Y218">
            <v>0</v>
          </cell>
          <cell r="AD218">
            <v>5946.3311773072801</v>
          </cell>
        </row>
        <row r="219">
          <cell r="C219" t="str">
            <v>A0306</v>
          </cell>
          <cell r="D219" t="str">
            <v>PT Astra Nippon Gasket Indonesia</v>
          </cell>
          <cell r="E219" t="str">
            <v>MPP</v>
          </cell>
          <cell r="V219">
            <v>0</v>
          </cell>
          <cell r="Y219">
            <v>0</v>
          </cell>
          <cell r="AD219">
            <v>2574.4867948686292</v>
          </cell>
        </row>
        <row r="220">
          <cell r="C220" t="str">
            <v>A0306</v>
          </cell>
          <cell r="D220" t="str">
            <v>PT Astra Nippon Gasket Indonesia</v>
          </cell>
          <cell r="E220" t="str">
            <v>ID</v>
          </cell>
          <cell r="V220">
            <v>0</v>
          </cell>
          <cell r="Y220">
            <v>0</v>
          </cell>
          <cell r="AD220">
            <v>9934.0696026913465</v>
          </cell>
        </row>
        <row r="221">
          <cell r="C221" t="str">
            <v>A0306</v>
          </cell>
          <cell r="D221" t="str">
            <v>PT Astra Nippon Gasket Indonesia</v>
          </cell>
          <cell r="E221" t="str">
            <v>LL</v>
          </cell>
          <cell r="V221">
            <v>127191</v>
          </cell>
          <cell r="Y221">
            <v>127191</v>
          </cell>
          <cell r="AD221">
            <v>18776.794250513351</v>
          </cell>
        </row>
        <row r="222">
          <cell r="C222" t="str">
            <v>A0306</v>
          </cell>
          <cell r="D222" t="str">
            <v>PT Astra Nippon Gasket Indonesia</v>
          </cell>
          <cell r="E222" t="str">
            <v>PMK</v>
          </cell>
          <cell r="V222">
            <v>47714.8</v>
          </cell>
          <cell r="Y222">
            <v>47714.8</v>
          </cell>
          <cell r="AD222">
            <v>4381.2307264569718</v>
          </cell>
        </row>
        <row r="224">
          <cell r="C224" t="str">
            <v>A0107</v>
          </cell>
          <cell r="D224" t="str">
            <v>PT Denso Indonesia</v>
          </cell>
          <cell r="E224" t="str">
            <v>PEB 1</v>
          </cell>
          <cell r="J224">
            <v>0</v>
          </cell>
          <cell r="N224">
            <v>0</v>
          </cell>
          <cell r="R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</row>
        <row r="225">
          <cell r="C225" t="str">
            <v>A0107</v>
          </cell>
          <cell r="D225" t="str">
            <v>PT Denso Indonesia</v>
          </cell>
          <cell r="E225" t="str">
            <v>PEB 2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</row>
        <row r="226">
          <cell r="C226" t="str">
            <v>A0107</v>
          </cell>
          <cell r="D226" t="str">
            <v>PT Denso Indonesia</v>
          </cell>
          <cell r="E226" t="str">
            <v>PEB 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</row>
        <row r="227">
          <cell r="C227" t="str">
            <v>A0107</v>
          </cell>
          <cell r="D227" t="str">
            <v>PT Denso Indonesia</v>
          </cell>
          <cell r="E227" t="str">
            <v>PEB 4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</row>
        <row r="228">
          <cell r="C228" t="str">
            <v>A0107</v>
          </cell>
          <cell r="D228" t="str">
            <v>PT Denso Indonesia</v>
          </cell>
          <cell r="E228" t="str">
            <v>PEB 5</v>
          </cell>
          <cell r="U228">
            <v>0</v>
          </cell>
          <cell r="V228">
            <v>955842.51</v>
          </cell>
          <cell r="W228">
            <v>2108217.7200000002</v>
          </cell>
          <cell r="X228">
            <v>138623</v>
          </cell>
          <cell r="Y228">
            <v>0</v>
          </cell>
        </row>
        <row r="229">
          <cell r="C229" t="str">
            <v>A0107</v>
          </cell>
          <cell r="D229" t="str">
            <v>PT Denso Indonesia</v>
          </cell>
          <cell r="E229" t="str">
            <v>PEB 6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</row>
        <row r="230">
          <cell r="C230" t="str">
            <v>A0107</v>
          </cell>
          <cell r="D230" t="str">
            <v>PT Denso Indonesia</v>
          </cell>
          <cell r="E230" t="str">
            <v>PEB 7</v>
          </cell>
          <cell r="U230">
            <v>0</v>
          </cell>
          <cell r="V230">
            <v>403956.53450000001</v>
          </cell>
          <cell r="X230">
            <v>116837.355</v>
          </cell>
          <cell r="Y230">
            <v>0</v>
          </cell>
        </row>
        <row r="231">
          <cell r="C231" t="str">
            <v>A0107</v>
          </cell>
          <cell r="D231" t="str">
            <v>PT Denso Indonesia</v>
          </cell>
          <cell r="E231" t="str">
            <v>MPP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</row>
        <row r="232">
          <cell r="C232" t="str">
            <v>A0107</v>
          </cell>
          <cell r="D232" t="str">
            <v>PT Denso Indonesia</v>
          </cell>
          <cell r="E232" t="str">
            <v>ID</v>
          </cell>
          <cell r="U232">
            <v>0</v>
          </cell>
          <cell r="V232">
            <v>361031.77500000002</v>
          </cell>
          <cell r="W232">
            <v>0</v>
          </cell>
          <cell r="X232">
            <v>0</v>
          </cell>
          <cell r="Y232">
            <v>0</v>
          </cell>
        </row>
        <row r="233">
          <cell r="C233" t="str">
            <v>A0107</v>
          </cell>
          <cell r="D233" t="str">
            <v>PT Denso Indonesia</v>
          </cell>
          <cell r="E233" t="str">
            <v>LL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4">
          <cell r="C234" t="str">
            <v>A0107</v>
          </cell>
          <cell r="D234" t="str">
            <v>PT Denso Indonesia</v>
          </cell>
          <cell r="E234" t="str">
            <v>PMK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6">
          <cell r="C236" t="str">
            <v>A0361</v>
          </cell>
          <cell r="D236" t="str">
            <v>PT Denso Sales Indonesia</v>
          </cell>
          <cell r="E236" t="str">
            <v>PEB 1</v>
          </cell>
          <cell r="J236">
            <v>0</v>
          </cell>
          <cell r="N236">
            <v>0</v>
          </cell>
          <cell r="R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</row>
        <row r="237">
          <cell r="C237" t="str">
            <v>A0361</v>
          </cell>
          <cell r="D237" t="str">
            <v>PT Denso Sales Indonesia</v>
          </cell>
          <cell r="E237" t="str">
            <v>PEB 2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C238" t="str">
            <v>A0361</v>
          </cell>
          <cell r="D238" t="str">
            <v>PT Denso Sales Indonesia</v>
          </cell>
          <cell r="E238" t="str">
            <v>PEB 3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</row>
        <row r="239">
          <cell r="C239" t="str">
            <v>A0361</v>
          </cell>
          <cell r="D239" t="str">
            <v>PT Denso Sales Indonesia</v>
          </cell>
          <cell r="E239" t="str">
            <v>PEB 4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C240" t="str">
            <v>A0361</v>
          </cell>
          <cell r="D240" t="str">
            <v>PT Denso Sales Indonesia</v>
          </cell>
          <cell r="E240" t="str">
            <v>PEB 5</v>
          </cell>
          <cell r="U240">
            <v>0</v>
          </cell>
          <cell r="V240">
            <v>93099.86</v>
          </cell>
          <cell r="W240">
            <v>0</v>
          </cell>
          <cell r="X240">
            <v>0</v>
          </cell>
          <cell r="Y240">
            <v>0</v>
          </cell>
        </row>
        <row r="241">
          <cell r="C241" t="str">
            <v>A0361</v>
          </cell>
          <cell r="D241" t="str">
            <v>PT Denso Sales Indonesia</v>
          </cell>
          <cell r="E241" t="str">
            <v>PEB 6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C242" t="str">
            <v>A0361</v>
          </cell>
          <cell r="D242" t="str">
            <v>PT Denso Sales Indonesia</v>
          </cell>
          <cell r="E242" t="str">
            <v>PEB 7</v>
          </cell>
          <cell r="U242">
            <v>0</v>
          </cell>
          <cell r="V242">
            <v>189174.42499999999</v>
          </cell>
          <cell r="W242">
            <v>0</v>
          </cell>
          <cell r="X242">
            <v>58454.73</v>
          </cell>
          <cell r="Y242">
            <v>0</v>
          </cell>
        </row>
        <row r="243">
          <cell r="C243" t="str">
            <v>A0361</v>
          </cell>
          <cell r="D243" t="str">
            <v>PT Denso Sales Indonesia</v>
          </cell>
          <cell r="E243" t="str">
            <v>MPP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4">
          <cell r="C244" t="str">
            <v>A0361</v>
          </cell>
          <cell r="D244" t="str">
            <v>PT Denso Sales Indonesia</v>
          </cell>
          <cell r="E244" t="str">
            <v>ID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</row>
        <row r="245">
          <cell r="C245" t="str">
            <v>A0361</v>
          </cell>
          <cell r="D245" t="str">
            <v>PT Denso Sales Indonesia</v>
          </cell>
          <cell r="E245" t="str">
            <v>LL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</row>
        <row r="246">
          <cell r="C246" t="str">
            <v>A0361</v>
          </cell>
          <cell r="D246" t="str">
            <v>PT Denso Sales Indonesia</v>
          </cell>
          <cell r="E246" t="str">
            <v>PMK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</row>
        <row r="248">
          <cell r="C248" t="str">
            <v>A0353</v>
          </cell>
          <cell r="D248" t="str">
            <v>PT Hamaden Indonesia</v>
          </cell>
          <cell r="E248" t="str">
            <v>PEB 1</v>
          </cell>
          <cell r="J248">
            <v>0</v>
          </cell>
          <cell r="N248">
            <v>0</v>
          </cell>
          <cell r="R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</row>
        <row r="249">
          <cell r="C249" t="str">
            <v>A0353</v>
          </cell>
          <cell r="D249" t="str">
            <v>PT Hamaden Indonesia</v>
          </cell>
          <cell r="E249" t="str">
            <v>PEB 2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</row>
        <row r="250">
          <cell r="C250" t="str">
            <v>A0353</v>
          </cell>
          <cell r="D250" t="str">
            <v>PT Hamaden Indonesia</v>
          </cell>
          <cell r="E250" t="str">
            <v>PEB 3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</row>
        <row r="251">
          <cell r="C251" t="str">
            <v>A0353</v>
          </cell>
          <cell r="D251" t="str">
            <v>PT Hamaden Indonesia</v>
          </cell>
          <cell r="E251" t="str">
            <v>PEB 4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</row>
        <row r="252">
          <cell r="C252" t="str">
            <v>A0353</v>
          </cell>
          <cell r="D252" t="str">
            <v>PT Hamaden Indonesia</v>
          </cell>
          <cell r="E252" t="str">
            <v>PEB 5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</row>
        <row r="253">
          <cell r="C253" t="str">
            <v>A0353</v>
          </cell>
          <cell r="D253" t="str">
            <v>PT Hamaden Indonesia</v>
          </cell>
          <cell r="E253" t="str">
            <v>PEB 6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</row>
        <row r="254">
          <cell r="C254" t="str">
            <v>A0353</v>
          </cell>
          <cell r="D254" t="str">
            <v>PT Hamaden Indonesia</v>
          </cell>
          <cell r="E254" t="str">
            <v>PEB 7</v>
          </cell>
          <cell r="U254">
            <v>0</v>
          </cell>
          <cell r="V254">
            <v>109853.86500000001</v>
          </cell>
          <cell r="W254">
            <v>0</v>
          </cell>
          <cell r="X254">
            <v>14700.45</v>
          </cell>
          <cell r="Y254">
            <v>0</v>
          </cell>
        </row>
        <row r="255">
          <cell r="C255" t="str">
            <v>A0353</v>
          </cell>
          <cell r="D255" t="str">
            <v>PT Hamaden Indonesia</v>
          </cell>
          <cell r="E255" t="str">
            <v>MPP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</row>
        <row r="256">
          <cell r="C256" t="str">
            <v>A0353</v>
          </cell>
          <cell r="D256" t="str">
            <v>PT Hamaden Indonesia</v>
          </cell>
          <cell r="E256" t="str">
            <v>ID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</row>
        <row r="257">
          <cell r="C257" t="str">
            <v>A0353</v>
          </cell>
          <cell r="D257" t="str">
            <v>PT Hamaden Indonesia</v>
          </cell>
          <cell r="E257" t="str">
            <v>LL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</row>
        <row r="258">
          <cell r="C258" t="str">
            <v>A0353</v>
          </cell>
          <cell r="D258" t="str">
            <v>PT Hamaden Indonesia</v>
          </cell>
          <cell r="E258" t="str">
            <v>PMK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</row>
        <row r="260">
          <cell r="C260" t="str">
            <v>A0049</v>
          </cell>
          <cell r="D260" t="str">
            <v>PT Aisin Indonesia</v>
          </cell>
          <cell r="E260" t="str">
            <v>PEB 1</v>
          </cell>
          <cell r="G260">
            <v>0</v>
          </cell>
          <cell r="H260">
            <v>4820.5860000000002</v>
          </cell>
          <cell r="I260">
            <v>0</v>
          </cell>
          <cell r="J260">
            <v>4820.5860000000002</v>
          </cell>
          <cell r="K260">
            <v>-266.16572799999267</v>
          </cell>
          <cell r="L260">
            <v>412645.70927999972</v>
          </cell>
          <cell r="M260">
            <v>159093.89554500001</v>
          </cell>
          <cell r="N260">
            <v>571473.4390969997</v>
          </cell>
          <cell r="O260">
            <v>-132.43827200000669</v>
          </cell>
          <cell r="P260">
            <v>89460.29472000002</v>
          </cell>
          <cell r="Q260">
            <v>64443.096480000007</v>
          </cell>
          <cell r="R260">
            <v>153770.95292800001</v>
          </cell>
          <cell r="S260">
            <v>12298273.690030999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V260">
            <v>0</v>
          </cell>
          <cell r="AW260">
            <v>1784454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R260">
            <v>0</v>
          </cell>
          <cell r="CS260">
            <v>986629.59199999995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Z260">
            <v>0</v>
          </cell>
          <cell r="DA260">
            <v>237649.943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</row>
        <row r="261">
          <cell r="C261" t="str">
            <v>A0049</v>
          </cell>
          <cell r="D261" t="str">
            <v>PT Aisin Indonesia</v>
          </cell>
          <cell r="E261" t="str">
            <v>PEB 2</v>
          </cell>
          <cell r="Y261">
            <v>0</v>
          </cell>
        </row>
        <row r="262">
          <cell r="C262" t="str">
            <v>A0049</v>
          </cell>
          <cell r="D262" t="str">
            <v>PT Aisin Indonesia</v>
          </cell>
          <cell r="E262" t="str">
            <v>PEB 3</v>
          </cell>
          <cell r="Y262">
            <v>0</v>
          </cell>
        </row>
        <row r="263">
          <cell r="C263" t="str">
            <v>A0049</v>
          </cell>
          <cell r="D263" t="str">
            <v>PT Aisin Indonesia</v>
          </cell>
          <cell r="E263" t="str">
            <v>PEB 4</v>
          </cell>
          <cell r="W263">
            <v>1784454</v>
          </cell>
          <cell r="Y263">
            <v>1784454</v>
          </cell>
        </row>
        <row r="264">
          <cell r="C264" t="str">
            <v>A0049</v>
          </cell>
          <cell r="D264" t="str">
            <v>PT Aisin Indonesia</v>
          </cell>
          <cell r="E264" t="str">
            <v>PEB 5</v>
          </cell>
          <cell r="Y264">
            <v>0</v>
          </cell>
        </row>
        <row r="265">
          <cell r="C265" t="str">
            <v>A0049</v>
          </cell>
          <cell r="D265" t="str">
            <v>PT Aisin Indonesia</v>
          </cell>
          <cell r="E265" t="str">
            <v>PEB 6</v>
          </cell>
          <cell r="Y265">
            <v>0</v>
          </cell>
        </row>
        <row r="266">
          <cell r="C266" t="str">
            <v>A0049</v>
          </cell>
          <cell r="D266" t="str">
            <v>PT Aisin Indonesia</v>
          </cell>
          <cell r="E266" t="str">
            <v>PEB 7</v>
          </cell>
          <cell r="Y266">
            <v>0</v>
          </cell>
        </row>
        <row r="267">
          <cell r="C267" t="str">
            <v>A0049</v>
          </cell>
          <cell r="D267" t="str">
            <v>PT Aisin Indonesia</v>
          </cell>
          <cell r="E267" t="str">
            <v>MPP</v>
          </cell>
          <cell r="Y267">
            <v>0</v>
          </cell>
        </row>
        <row r="268">
          <cell r="C268" t="str">
            <v>A0049</v>
          </cell>
          <cell r="D268" t="str">
            <v>PT Aisin Indonesia</v>
          </cell>
          <cell r="E268" t="str">
            <v>ID</v>
          </cell>
          <cell r="Y268">
            <v>0</v>
          </cell>
        </row>
        <row r="269">
          <cell r="C269" t="str">
            <v>A0049</v>
          </cell>
          <cell r="D269" t="str">
            <v>PT Aisin Indonesia</v>
          </cell>
          <cell r="E269" t="str">
            <v>LL</v>
          </cell>
          <cell r="V269">
            <v>986629.59199999995</v>
          </cell>
          <cell r="Y269">
            <v>986629.59199999995</v>
          </cell>
        </row>
        <row r="270">
          <cell r="C270" t="str">
            <v>A0049</v>
          </cell>
          <cell r="D270" t="str">
            <v>PT Aisin Indonesia</v>
          </cell>
          <cell r="E270" t="str">
            <v>PMK</v>
          </cell>
          <cell r="V270">
            <v>237649.943</v>
          </cell>
          <cell r="Y270">
            <v>237649.943</v>
          </cell>
        </row>
        <row r="272">
          <cell r="C272" t="str">
            <v>A0274</v>
          </cell>
          <cell r="D272" t="str">
            <v>PT Federal Nittan Industries</v>
          </cell>
          <cell r="E272" t="str">
            <v>PEB 1</v>
          </cell>
          <cell r="G272">
            <v>0</v>
          </cell>
          <cell r="H272">
            <v>27836.071</v>
          </cell>
          <cell r="I272">
            <v>0</v>
          </cell>
          <cell r="J272">
            <v>27836.071</v>
          </cell>
          <cell r="K272">
            <v>-3350.9195999999938</v>
          </cell>
          <cell r="L272">
            <v>75727.070000000007</v>
          </cell>
          <cell r="M272">
            <v>40456.425000000003</v>
          </cell>
          <cell r="N272">
            <v>112832.57540000002</v>
          </cell>
          <cell r="O272">
            <v>-1427.9040000000023</v>
          </cell>
          <cell r="P272">
            <v>25378.784</v>
          </cell>
          <cell r="Q272">
            <v>18363.2</v>
          </cell>
          <cell r="R272">
            <v>42314.080000000002</v>
          </cell>
          <cell r="S272">
            <v>3507888</v>
          </cell>
          <cell r="V272">
            <v>27836.071</v>
          </cell>
          <cell r="Y272">
            <v>27836.071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T272">
            <v>0</v>
          </cell>
          <cell r="BU272">
            <v>93973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R272">
            <v>0</v>
          </cell>
          <cell r="CS272">
            <v>131451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Z272">
            <v>0</v>
          </cell>
          <cell r="DA272">
            <v>57861.25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</row>
        <row r="273">
          <cell r="C273" t="str">
            <v>A0274</v>
          </cell>
          <cell r="D273" t="str">
            <v>PT Federal Nittan Industries</v>
          </cell>
          <cell r="E273" t="str">
            <v>PEB 2</v>
          </cell>
          <cell r="V273">
            <v>0</v>
          </cell>
          <cell r="Y273">
            <v>0</v>
          </cell>
        </row>
        <row r="274">
          <cell r="C274" t="str">
            <v>A0274</v>
          </cell>
          <cell r="D274" t="str">
            <v>PT Federal Nittan Industries</v>
          </cell>
          <cell r="E274" t="str">
            <v>PEB 3</v>
          </cell>
          <cell r="V274">
            <v>0</v>
          </cell>
          <cell r="Y274">
            <v>0</v>
          </cell>
        </row>
        <row r="275">
          <cell r="C275" t="str">
            <v>A0274</v>
          </cell>
          <cell r="D275" t="str">
            <v>PT Federal Nittan Industries</v>
          </cell>
          <cell r="E275" t="str">
            <v>PEB 4</v>
          </cell>
          <cell r="V275">
            <v>0</v>
          </cell>
          <cell r="Y275">
            <v>0</v>
          </cell>
        </row>
        <row r="276">
          <cell r="C276" t="str">
            <v>A0274</v>
          </cell>
          <cell r="D276" t="str">
            <v>PT Federal Nittan Industries</v>
          </cell>
          <cell r="E276" t="str">
            <v>PEB 5</v>
          </cell>
          <cell r="V276">
            <v>0</v>
          </cell>
          <cell r="Y276">
            <v>0</v>
          </cell>
        </row>
        <row r="277">
          <cell r="C277" t="str">
            <v>A0274</v>
          </cell>
          <cell r="D277" t="str">
            <v>PT Federal Nittan Industries</v>
          </cell>
          <cell r="E277" t="str">
            <v>PEB 6</v>
          </cell>
          <cell r="V277">
            <v>0</v>
          </cell>
          <cell r="Y277">
            <v>0</v>
          </cell>
        </row>
        <row r="278">
          <cell r="C278" t="str">
            <v>A0274</v>
          </cell>
          <cell r="D278" t="str">
            <v>PT Federal Nittan Industries</v>
          </cell>
          <cell r="E278" t="str">
            <v>PEB 7</v>
          </cell>
          <cell r="V278">
            <v>93973</v>
          </cell>
          <cell r="Y278">
            <v>93973</v>
          </cell>
        </row>
        <row r="279">
          <cell r="C279" t="str">
            <v>A0274</v>
          </cell>
          <cell r="D279" t="str">
            <v>PT Federal Nittan Industries</v>
          </cell>
          <cell r="E279" t="str">
            <v>MPP</v>
          </cell>
          <cell r="V279">
            <v>0</v>
          </cell>
          <cell r="Y279">
            <v>0</v>
          </cell>
        </row>
        <row r="280">
          <cell r="C280" t="str">
            <v>A0274</v>
          </cell>
          <cell r="D280" t="str">
            <v>PT Federal Nittan Industries</v>
          </cell>
          <cell r="E280" t="str">
            <v>ID</v>
          </cell>
          <cell r="V280">
            <v>0</v>
          </cell>
          <cell r="Y280">
            <v>0</v>
          </cell>
        </row>
        <row r="281">
          <cell r="C281" t="str">
            <v>A0274</v>
          </cell>
          <cell r="D281" t="str">
            <v>PT Federal Nittan Industries</v>
          </cell>
          <cell r="E281" t="str">
            <v>LL</v>
          </cell>
          <cell r="V281">
            <v>131451</v>
          </cell>
          <cell r="Y281">
            <v>131451</v>
          </cell>
        </row>
        <row r="282">
          <cell r="C282" t="str">
            <v>A0274</v>
          </cell>
          <cell r="D282" t="str">
            <v>PT Federal Nittan Industries</v>
          </cell>
          <cell r="E282" t="str">
            <v>PMK</v>
          </cell>
          <cell r="V282">
            <v>57861.25</v>
          </cell>
          <cell r="Y282">
            <v>57861.25</v>
          </cell>
        </row>
        <row r="284">
          <cell r="C284" t="str">
            <v>A0364</v>
          </cell>
          <cell r="D284" t="str">
            <v>PT Toyoda Gosei Safety System Indonesia</v>
          </cell>
          <cell r="E284" t="str">
            <v>PEB 1</v>
          </cell>
          <cell r="J284">
            <v>0</v>
          </cell>
          <cell r="N284">
            <v>0</v>
          </cell>
          <cell r="R284">
            <v>0</v>
          </cell>
          <cell r="Y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R284">
            <v>0</v>
          </cell>
          <cell r="CS284">
            <v>20170.099999999999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Z284">
            <v>0</v>
          </cell>
          <cell r="DA284">
            <v>10150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</row>
        <row r="285">
          <cell r="C285" t="str">
            <v>A0364</v>
          </cell>
          <cell r="D285" t="str">
            <v>PT Toyoda Gosei Safety System Indonesia</v>
          </cell>
          <cell r="E285" t="str">
            <v>PEB 2</v>
          </cell>
          <cell r="Y285">
            <v>0</v>
          </cell>
        </row>
        <row r="286">
          <cell r="C286" t="str">
            <v>A0364</v>
          </cell>
          <cell r="D286" t="str">
            <v>PT Toyoda Gosei Safety System Indonesia</v>
          </cell>
          <cell r="E286" t="str">
            <v>PEB 3</v>
          </cell>
          <cell r="Y286">
            <v>0</v>
          </cell>
        </row>
        <row r="287">
          <cell r="C287" t="str">
            <v>A0364</v>
          </cell>
          <cell r="D287" t="str">
            <v>PT Toyoda Gosei Safety System Indonesia</v>
          </cell>
          <cell r="E287" t="str">
            <v>PEB 4</v>
          </cell>
          <cell r="Y287">
            <v>0</v>
          </cell>
        </row>
        <row r="288">
          <cell r="C288" t="str">
            <v>A0364</v>
          </cell>
          <cell r="D288" t="str">
            <v>PT Toyoda Gosei Safety System Indonesia</v>
          </cell>
          <cell r="E288" t="str">
            <v>PEB 5</v>
          </cell>
          <cell r="Y288">
            <v>0</v>
          </cell>
        </row>
        <row r="289">
          <cell r="C289" t="str">
            <v>A0364</v>
          </cell>
          <cell r="D289" t="str">
            <v>PT Toyoda Gosei Safety System Indonesia</v>
          </cell>
          <cell r="E289" t="str">
            <v>PEB 6</v>
          </cell>
          <cell r="Y289">
            <v>0</v>
          </cell>
        </row>
        <row r="290">
          <cell r="C290" t="str">
            <v>A0364</v>
          </cell>
          <cell r="D290" t="str">
            <v>PT Toyoda Gosei Safety System Indonesia</v>
          </cell>
          <cell r="E290" t="str">
            <v>PEB 7</v>
          </cell>
          <cell r="V290">
            <v>0</v>
          </cell>
          <cell r="Y290">
            <v>0</v>
          </cell>
        </row>
        <row r="291">
          <cell r="C291" t="str">
            <v>A0364</v>
          </cell>
          <cell r="D291" t="str">
            <v>PT Toyoda Gosei Safety System Indonesia</v>
          </cell>
          <cell r="E291" t="str">
            <v>MPP</v>
          </cell>
          <cell r="V291">
            <v>0</v>
          </cell>
          <cell r="Y291">
            <v>0</v>
          </cell>
        </row>
        <row r="292">
          <cell r="C292" t="str">
            <v>A0364</v>
          </cell>
          <cell r="D292" t="str">
            <v>PT Toyoda Gosei Safety System Indonesia</v>
          </cell>
          <cell r="E292" t="str">
            <v>ID</v>
          </cell>
          <cell r="V292">
            <v>0</v>
          </cell>
          <cell r="Y292">
            <v>0</v>
          </cell>
        </row>
        <row r="293">
          <cell r="C293" t="str">
            <v>A0364</v>
          </cell>
          <cell r="D293" t="str">
            <v>PT Toyoda Gosei Safety System Indonesia</v>
          </cell>
          <cell r="E293" t="str">
            <v>LL</v>
          </cell>
          <cell r="V293">
            <v>20170.099999999999</v>
          </cell>
          <cell r="Y293">
            <v>20170.099999999999</v>
          </cell>
        </row>
        <row r="294">
          <cell r="C294" t="str">
            <v>A0364</v>
          </cell>
          <cell r="D294" t="str">
            <v>PT Toyoda Gosei Safety System Indonesia</v>
          </cell>
          <cell r="E294" t="str">
            <v>PMK</v>
          </cell>
          <cell r="V294">
            <v>10150</v>
          </cell>
          <cell r="Y294">
            <v>10150</v>
          </cell>
        </row>
      </sheetData>
      <sheetData sheetId="12">
        <row r="8">
          <cell r="C8" t="str">
            <v>A0317</v>
          </cell>
          <cell r="D8" t="str">
            <v>PT Astra Otoparts Tbk. - Head Office</v>
          </cell>
          <cell r="F8">
            <v>65</v>
          </cell>
          <cell r="G8">
            <v>47.292707839730426</v>
          </cell>
          <cell r="H8">
            <v>22.897614910756587</v>
          </cell>
          <cell r="I8">
            <v>892314</v>
          </cell>
          <cell r="J8">
            <v>831307.87</v>
          </cell>
          <cell r="L8">
            <v>9</v>
          </cell>
          <cell r="M8">
            <v>45.276142672446582</v>
          </cell>
          <cell r="N8">
            <v>8.3203285420944564</v>
          </cell>
          <cell r="O8">
            <v>24321.5</v>
          </cell>
          <cell r="Q8">
            <v>61</v>
          </cell>
          <cell r="R8">
            <v>47.376084200132411</v>
          </cell>
          <cell r="S8">
            <v>23.180484958651714</v>
          </cell>
          <cell r="T8">
            <v>840666</v>
          </cell>
          <cell r="U8">
            <v>0</v>
          </cell>
          <cell r="V8">
            <v>840666</v>
          </cell>
          <cell r="W8">
            <v>792190.78667000006</v>
          </cell>
          <cell r="Y8">
            <v>547</v>
          </cell>
          <cell r="Z8">
            <v>34.191416812756302</v>
          </cell>
          <cell r="AA8">
            <v>9.2469033381008057</v>
          </cell>
          <cell r="AB8">
            <v>2278500.8059999999</v>
          </cell>
          <cell r="AC8">
            <v>0</v>
          </cell>
          <cell r="AD8">
            <v>2278500.8059999999</v>
          </cell>
          <cell r="AT8">
            <v>608</v>
          </cell>
          <cell r="AU8">
            <v>35.514220613134498</v>
          </cell>
          <cell r="AV8">
            <v>10.644844915162658</v>
          </cell>
          <cell r="AW8">
            <v>3119166.8060000013</v>
          </cell>
          <cell r="AX8">
            <v>0</v>
          </cell>
          <cell r="AY8">
            <v>3119166.8060000013</v>
          </cell>
          <cell r="BA8">
            <v>547</v>
          </cell>
          <cell r="BB8">
            <v>34.191416812756302</v>
          </cell>
          <cell r="BC8">
            <v>9.2469033381008057</v>
          </cell>
          <cell r="BD8">
            <v>2278500.8059999999</v>
          </cell>
          <cell r="BE8">
            <v>0</v>
          </cell>
          <cell r="BF8">
            <v>2278500.8059999999</v>
          </cell>
        </row>
        <row r="9">
          <cell r="C9" t="str">
            <v>We</v>
          </cell>
          <cell r="D9" t="str">
            <v>PT Astra Otoparts Tbk. - Div. Winteq</v>
          </cell>
          <cell r="F9">
            <v>2</v>
          </cell>
          <cell r="G9">
            <v>43.248459958932237</v>
          </cell>
          <cell r="H9">
            <v>19.652292950034223</v>
          </cell>
          <cell r="I9">
            <v>15964</v>
          </cell>
          <cell r="J9">
            <v>15010</v>
          </cell>
          <cell r="Q9">
            <v>2</v>
          </cell>
          <cell r="R9">
            <v>43.248459958932237</v>
          </cell>
          <cell r="S9">
            <v>19.664613278576319</v>
          </cell>
          <cell r="T9">
            <v>15964</v>
          </cell>
          <cell r="U9">
            <v>5219.6419999999998</v>
          </cell>
          <cell r="V9">
            <v>21183.642</v>
          </cell>
          <cell r="W9">
            <v>15010</v>
          </cell>
          <cell r="Y9">
            <v>59</v>
          </cell>
          <cell r="Z9">
            <v>31.23618603464077</v>
          </cell>
          <cell r="AA9">
            <v>8.2465921878444099</v>
          </cell>
          <cell r="AB9">
            <v>209755</v>
          </cell>
          <cell r="AC9">
            <v>21894.055</v>
          </cell>
          <cell r="AD9">
            <v>231649.05499999996</v>
          </cell>
          <cell r="AT9">
            <v>61</v>
          </cell>
          <cell r="AU9">
            <v>31.630031081338842</v>
          </cell>
          <cell r="AV9">
            <v>8.6209535350815223</v>
          </cell>
          <cell r="AW9">
            <v>225719</v>
          </cell>
          <cell r="AX9">
            <v>27113.697</v>
          </cell>
          <cell r="AY9">
            <v>252832.69699999999</v>
          </cell>
          <cell r="BA9">
            <v>59</v>
          </cell>
          <cell r="BB9">
            <v>31.23618603464077</v>
          </cell>
          <cell r="BC9">
            <v>8.2465921878444099</v>
          </cell>
          <cell r="BD9">
            <v>209755</v>
          </cell>
          <cell r="BE9">
            <v>21894.055</v>
          </cell>
          <cell r="BF9">
            <v>231649.05499999996</v>
          </cell>
        </row>
        <row r="10">
          <cell r="C10" t="str">
            <v>Ap</v>
          </cell>
          <cell r="D10" t="str">
            <v>PT Astra Otoparts Tbk. - Div. Adiwira</v>
          </cell>
          <cell r="Y10">
            <v>787</v>
          </cell>
          <cell r="Z10">
            <v>32.846761239060143</v>
          </cell>
          <cell r="AA10">
            <v>10.36154763364636</v>
          </cell>
          <cell r="AB10">
            <v>1684440.5909999998</v>
          </cell>
          <cell r="AC10">
            <v>0</v>
          </cell>
          <cell r="AD10">
            <v>1684440.5909999998</v>
          </cell>
          <cell r="AT10">
            <v>787</v>
          </cell>
          <cell r="AU10">
            <v>32.846761239060143</v>
          </cell>
          <cell r="AV10">
            <v>10.36154763364636</v>
          </cell>
          <cell r="AW10">
            <v>1684440.5909999998</v>
          </cell>
          <cell r="AX10">
            <v>0</v>
          </cell>
          <cell r="AY10">
            <v>1684440.5909999998</v>
          </cell>
          <cell r="BA10">
            <v>787</v>
          </cell>
          <cell r="BB10">
            <v>32.846761239060143</v>
          </cell>
          <cell r="BC10">
            <v>10.36154763364636</v>
          </cell>
          <cell r="BD10">
            <v>1684440.5909999998</v>
          </cell>
          <cell r="BE10">
            <v>0</v>
          </cell>
          <cell r="BF10">
            <v>1684440.5909999998</v>
          </cell>
        </row>
        <row r="11">
          <cell r="C11" t="str">
            <v>Nm</v>
          </cell>
          <cell r="D11" t="str">
            <v>PT Astra Otoparts Tbk. - Div. Nusametal</v>
          </cell>
          <cell r="F11">
            <v>26</v>
          </cell>
          <cell r="G11">
            <v>44.068235665771603</v>
          </cell>
          <cell r="H11">
            <v>21.151371557942404</v>
          </cell>
          <cell r="I11">
            <v>172873</v>
          </cell>
          <cell r="J11">
            <v>158983.50081999999</v>
          </cell>
          <cell r="Q11">
            <v>26</v>
          </cell>
          <cell r="R11">
            <v>44.077712841573202</v>
          </cell>
          <cell r="S11">
            <v>21.373032169746754</v>
          </cell>
          <cell r="T11">
            <v>173397</v>
          </cell>
          <cell r="U11">
            <v>0</v>
          </cell>
          <cell r="V11">
            <v>173397</v>
          </cell>
          <cell r="W11">
            <v>158983.50082000002</v>
          </cell>
          <cell r="Y11">
            <v>458</v>
          </cell>
          <cell r="Z11">
            <v>34.777161063935999</v>
          </cell>
          <cell r="AA11">
            <v>12.679554890022668</v>
          </cell>
          <cell r="AB11">
            <v>1251181.5</v>
          </cell>
          <cell r="AC11">
            <v>0</v>
          </cell>
          <cell r="AD11">
            <v>1251181.5</v>
          </cell>
          <cell r="AM11">
            <v>1</v>
          </cell>
          <cell r="AN11">
            <v>24.511978097193705</v>
          </cell>
          <cell r="AO11">
            <v>1.5824777549623545</v>
          </cell>
          <cell r="AP11">
            <v>3950</v>
          </cell>
          <cell r="AQ11">
            <v>0</v>
          </cell>
          <cell r="AR11">
            <v>3950</v>
          </cell>
          <cell r="AT11">
            <v>485</v>
          </cell>
          <cell r="AU11">
            <v>35.254582019094414</v>
          </cell>
          <cell r="AV11">
            <v>13.122716399585064</v>
          </cell>
          <cell r="AW11">
            <v>1428528.5</v>
          </cell>
          <cell r="AX11">
            <v>0</v>
          </cell>
          <cell r="AY11">
            <v>1428528.5</v>
          </cell>
          <cell r="BA11">
            <v>458</v>
          </cell>
          <cell r="BB11">
            <v>34.777161063935999</v>
          </cell>
          <cell r="BC11">
            <v>12.679554890022668</v>
          </cell>
          <cell r="BD11">
            <v>1251181.5</v>
          </cell>
          <cell r="BE11">
            <v>0</v>
          </cell>
          <cell r="BF11">
            <v>1251181.5</v>
          </cell>
        </row>
        <row r="12">
          <cell r="C12" t="str">
            <v>A0096</v>
          </cell>
          <cell r="D12" t="str">
            <v>PT Menara Terus Makmur</v>
          </cell>
          <cell r="F12">
            <v>69</v>
          </cell>
          <cell r="G12">
            <v>43.553770000694392</v>
          </cell>
          <cell r="H12">
            <v>20.54030890099099</v>
          </cell>
          <cell r="I12">
            <v>255253.6</v>
          </cell>
          <cell r="J12">
            <v>230000.19162999999</v>
          </cell>
          <cell r="L12">
            <v>4</v>
          </cell>
          <cell r="M12">
            <v>42.020533880903493</v>
          </cell>
          <cell r="N12">
            <v>7.4715947980835047</v>
          </cell>
          <cell r="O12">
            <v>1932.2149999999999</v>
          </cell>
          <cell r="Q12">
            <v>69</v>
          </cell>
          <cell r="R12">
            <v>43.555000049598739</v>
          </cell>
          <cell r="S12">
            <v>20.545110059617695</v>
          </cell>
          <cell r="T12">
            <v>255253.6</v>
          </cell>
          <cell r="U12">
            <v>2710</v>
          </cell>
          <cell r="V12">
            <v>257963.6</v>
          </cell>
          <cell r="W12">
            <v>230000.19162999996</v>
          </cell>
          <cell r="Y12">
            <v>444</v>
          </cell>
          <cell r="Z12">
            <v>32.122512656393582</v>
          </cell>
          <cell r="AA12">
            <v>10.048159041998884</v>
          </cell>
          <cell r="AB12">
            <v>1046847.95</v>
          </cell>
          <cell r="AC12">
            <v>2455</v>
          </cell>
          <cell r="AD12">
            <v>1049302.95</v>
          </cell>
          <cell r="AT12">
            <v>513</v>
          </cell>
          <cell r="AU12">
            <v>33.660215639105367</v>
          </cell>
          <cell r="AV12">
            <v>11.460029646707861</v>
          </cell>
          <cell r="AW12">
            <v>1302101.55</v>
          </cell>
          <cell r="AX12">
            <v>5165</v>
          </cell>
          <cell r="AY12">
            <v>1307266.55</v>
          </cell>
          <cell r="BA12">
            <v>444</v>
          </cell>
          <cell r="BB12">
            <v>32.122512656393582</v>
          </cell>
          <cell r="BC12">
            <v>10.048159041998884</v>
          </cell>
          <cell r="BD12">
            <v>1046847.95</v>
          </cell>
          <cell r="BE12">
            <v>2455</v>
          </cell>
          <cell r="BF12">
            <v>1049302.95</v>
          </cell>
        </row>
        <row r="13">
          <cell r="C13" t="str">
            <v>A0239</v>
          </cell>
          <cell r="D13" t="str">
            <v>PT Astra Daido Steel Indonesia</v>
          </cell>
          <cell r="Y13">
            <v>76</v>
          </cell>
          <cell r="Z13">
            <v>33.372671926222139</v>
          </cell>
          <cell r="AA13">
            <v>9.6005980042508696</v>
          </cell>
          <cell r="AB13">
            <v>191220</v>
          </cell>
          <cell r="AC13">
            <v>0</v>
          </cell>
          <cell r="AD13">
            <v>191220</v>
          </cell>
          <cell r="AT13">
            <v>76</v>
          </cell>
          <cell r="AU13">
            <v>33.372671926222139</v>
          </cell>
          <cell r="AV13">
            <v>9.6005980042508696</v>
          </cell>
          <cell r="AW13">
            <v>191220</v>
          </cell>
          <cell r="AX13">
            <v>0</v>
          </cell>
          <cell r="AY13">
            <v>191220</v>
          </cell>
          <cell r="BA13">
            <v>76</v>
          </cell>
          <cell r="BB13">
            <v>33.372671926222139</v>
          </cell>
          <cell r="BC13">
            <v>9.6005980042508696</v>
          </cell>
          <cell r="BD13">
            <v>191220</v>
          </cell>
          <cell r="BE13">
            <v>0</v>
          </cell>
          <cell r="BF13">
            <v>191220</v>
          </cell>
        </row>
        <row r="14">
          <cell r="C14" t="str">
            <v>A0316</v>
          </cell>
          <cell r="D14" t="str">
            <v>PT Astra Komponen Indonesia</v>
          </cell>
          <cell r="BA14">
            <v>0</v>
          </cell>
          <cell r="BB14" t="e">
            <v>#DIV/0!</v>
          </cell>
          <cell r="BC14" t="e">
            <v>#DIV/0!</v>
          </cell>
          <cell r="BD14">
            <v>0</v>
          </cell>
          <cell r="BE14">
            <v>0</v>
          </cell>
          <cell r="BF14">
            <v>0</v>
          </cell>
        </row>
        <row r="15">
          <cell r="C15" t="str">
            <v>A0077</v>
          </cell>
          <cell r="D15" t="str">
            <v>PT Indokarlo Perkasa</v>
          </cell>
          <cell r="Y15">
            <v>510</v>
          </cell>
          <cell r="Z15">
            <v>32.205950799210846</v>
          </cell>
          <cell r="AA15">
            <v>8.6835500798539886</v>
          </cell>
          <cell r="AB15">
            <v>1015476.6</v>
          </cell>
          <cell r="AC15">
            <v>0</v>
          </cell>
          <cell r="AD15">
            <v>1015476.6</v>
          </cell>
          <cell r="AT15">
            <v>510</v>
          </cell>
          <cell r="AU15">
            <v>32.205950799210846</v>
          </cell>
          <cell r="AV15">
            <v>8.6835500798539886</v>
          </cell>
          <cell r="AW15">
            <v>1015476.6</v>
          </cell>
          <cell r="AX15">
            <v>0</v>
          </cell>
          <cell r="AY15">
            <v>1015476.6</v>
          </cell>
          <cell r="BA15">
            <v>510</v>
          </cell>
          <cell r="BB15">
            <v>32.205950799210846</v>
          </cell>
          <cell r="BC15">
            <v>8.6835500798539886</v>
          </cell>
          <cell r="BD15">
            <v>1015476.6</v>
          </cell>
          <cell r="BE15">
            <v>0</v>
          </cell>
          <cell r="BF15">
            <v>1015476.6</v>
          </cell>
        </row>
        <row r="16">
          <cell r="C16" t="str">
            <v>A0062</v>
          </cell>
          <cell r="D16" t="str">
            <v>PT FSCM Manufacturing Indonesia</v>
          </cell>
          <cell r="F16">
            <v>90</v>
          </cell>
          <cell r="G16">
            <v>45.465997414252037</v>
          </cell>
          <cell r="H16">
            <v>22.255350216746518</v>
          </cell>
          <cell r="I16">
            <v>364833.21600000001</v>
          </cell>
          <cell r="J16">
            <v>342122.20228999975</v>
          </cell>
          <cell r="L16">
            <v>4</v>
          </cell>
          <cell r="M16">
            <v>43.175222450376452</v>
          </cell>
          <cell r="N16">
            <v>12.870636550308008</v>
          </cell>
          <cell r="O16">
            <v>16661.219757812501</v>
          </cell>
          <cell r="Q16">
            <v>91</v>
          </cell>
          <cell r="R16">
            <v>45.486111424509765</v>
          </cell>
          <cell r="S16">
            <v>22.220818196177532</v>
          </cell>
          <cell r="T16">
            <v>379560.79500000004</v>
          </cell>
          <cell r="U16">
            <v>87147.959999999905</v>
          </cell>
          <cell r="V16">
            <v>466708.75499999995</v>
          </cell>
          <cell r="W16">
            <v>355839.36704781227</v>
          </cell>
          <cell r="Y16">
            <v>471</v>
          </cell>
          <cell r="Z16">
            <v>33.671577068901122</v>
          </cell>
          <cell r="AA16">
            <v>10.639968261857129</v>
          </cell>
          <cell r="AB16">
            <v>1079639.6815183999</v>
          </cell>
          <cell r="AC16">
            <v>418695.17600000114</v>
          </cell>
          <cell r="AD16">
            <v>1498334.857518401</v>
          </cell>
          <cell r="AT16">
            <v>562</v>
          </cell>
          <cell r="AU16">
            <v>35.584606653172266</v>
          </cell>
          <cell r="AV16">
            <v>12.515159265457044</v>
          </cell>
          <cell r="AW16">
            <v>1459200.4765184</v>
          </cell>
          <cell r="AX16">
            <v>505843.13599999994</v>
          </cell>
          <cell r="AY16">
            <v>1965043.6125184</v>
          </cell>
          <cell r="BA16">
            <v>471</v>
          </cell>
          <cell r="BB16">
            <v>33.671577068901122</v>
          </cell>
          <cell r="BC16">
            <v>10.639968261857129</v>
          </cell>
          <cell r="BD16">
            <v>1079639.6815183999</v>
          </cell>
          <cell r="BE16">
            <v>418695.17600000114</v>
          </cell>
          <cell r="BF16">
            <v>1498334.857518401</v>
          </cell>
        </row>
        <row r="17">
          <cell r="C17" t="str">
            <v>A0161</v>
          </cell>
          <cell r="D17" t="str">
            <v>PT Ardendi Jaya Sentosa</v>
          </cell>
          <cell r="AM17">
            <v>476</v>
          </cell>
          <cell r="AN17">
            <v>32.387607198937083</v>
          </cell>
          <cell r="AO17">
            <v>4.137876094996515</v>
          </cell>
          <cell r="AP17">
            <v>478904.83</v>
          </cell>
          <cell r="AQ17">
            <v>31007.57</v>
          </cell>
          <cell r="AR17">
            <v>509912.4</v>
          </cell>
          <cell r="AT17">
            <v>476</v>
          </cell>
          <cell r="AU17">
            <v>32.387607198937083</v>
          </cell>
          <cell r="AV17">
            <v>4.137876094996515</v>
          </cell>
          <cell r="AW17">
            <v>478904.83</v>
          </cell>
          <cell r="AX17">
            <v>31007.57</v>
          </cell>
          <cell r="AY17">
            <v>509912.4</v>
          </cell>
          <cell r="BA17">
            <v>0</v>
          </cell>
          <cell r="BB17" t="e">
            <v>#DIV/0!</v>
          </cell>
          <cell r="BC17" t="e">
            <v>#DIV/0!</v>
          </cell>
          <cell r="BD17">
            <v>0</v>
          </cell>
          <cell r="BE17">
            <v>0</v>
          </cell>
          <cell r="BF17">
            <v>0</v>
          </cell>
        </row>
        <row r="18">
          <cell r="C18" t="str">
            <v>A0059</v>
          </cell>
          <cell r="D18" t="str">
            <v>PT Federal Izumi Manufacturing</v>
          </cell>
          <cell r="F18">
            <v>31</v>
          </cell>
          <cell r="G18">
            <v>45.282109028283756</v>
          </cell>
          <cell r="H18">
            <v>21.488331014991939</v>
          </cell>
          <cell r="I18">
            <v>153354.79999999999</v>
          </cell>
          <cell r="J18">
            <v>141801.98379</v>
          </cell>
          <cell r="L18">
            <v>1</v>
          </cell>
          <cell r="M18">
            <v>42.245037645448321</v>
          </cell>
          <cell r="N18">
            <v>5.3086926762491444</v>
          </cell>
          <cell r="O18">
            <v>161.333</v>
          </cell>
          <cell r="Q18">
            <v>31</v>
          </cell>
          <cell r="R18">
            <v>45.154489854496475</v>
          </cell>
          <cell r="S18">
            <v>21.590338036254447</v>
          </cell>
          <cell r="T18">
            <v>153354.79999999999</v>
          </cell>
          <cell r="U18">
            <v>0</v>
          </cell>
          <cell r="V18">
            <v>153354.79999999999</v>
          </cell>
          <cell r="W18">
            <v>141801.98379</v>
          </cell>
          <cell r="Y18">
            <v>378</v>
          </cell>
          <cell r="Z18">
            <v>36.568458944913438</v>
          </cell>
          <cell r="AA18">
            <v>14.227965914482024</v>
          </cell>
          <cell r="AB18">
            <v>948591.4</v>
          </cell>
          <cell r="AC18">
            <v>0</v>
          </cell>
          <cell r="AD18">
            <v>948591.4</v>
          </cell>
          <cell r="AT18">
            <v>409</v>
          </cell>
          <cell r="AU18">
            <v>37.219233903830492</v>
          </cell>
          <cell r="AV18">
            <v>14.78599411931074</v>
          </cell>
          <cell r="AW18">
            <v>1101946.2</v>
          </cell>
          <cell r="AX18">
            <v>0</v>
          </cell>
          <cell r="AY18">
            <v>1101946.2</v>
          </cell>
          <cell r="BA18">
            <v>378</v>
          </cell>
          <cell r="BB18">
            <v>36.568458944913438</v>
          </cell>
          <cell r="BC18">
            <v>14.227965914482024</v>
          </cell>
          <cell r="BD18">
            <v>948591.4</v>
          </cell>
          <cell r="BE18">
            <v>0</v>
          </cell>
          <cell r="BF18">
            <v>948591.4</v>
          </cell>
        </row>
        <row r="19">
          <cell r="C19" t="str">
            <v>A0345</v>
          </cell>
          <cell r="D19" t="str">
            <v>PT Nusa Keihin Indonesia</v>
          </cell>
          <cell r="F19">
            <v>3</v>
          </cell>
          <cell r="G19">
            <v>41.432808578599129</v>
          </cell>
          <cell r="H19">
            <v>19.208761122518823</v>
          </cell>
          <cell r="I19">
            <v>11491</v>
          </cell>
          <cell r="J19">
            <v>10376.479170000001</v>
          </cell>
          <cell r="Q19">
            <v>3</v>
          </cell>
          <cell r="R19">
            <v>41.432808578599129</v>
          </cell>
          <cell r="S19">
            <v>19.208761122518823</v>
          </cell>
          <cell r="T19">
            <v>11491</v>
          </cell>
          <cell r="U19">
            <v>644</v>
          </cell>
          <cell r="V19">
            <v>12135</v>
          </cell>
          <cell r="W19">
            <v>10376.479170000001</v>
          </cell>
          <cell r="Y19">
            <v>32</v>
          </cell>
          <cell r="Z19">
            <v>29.965349075975357</v>
          </cell>
          <cell r="AA19">
            <v>9.1022416153319643</v>
          </cell>
          <cell r="AB19">
            <v>75097.259999999995</v>
          </cell>
          <cell r="AC19">
            <v>1288</v>
          </cell>
          <cell r="AD19">
            <v>76385.259999999995</v>
          </cell>
          <cell r="AT19">
            <v>35</v>
          </cell>
          <cell r="AU19">
            <v>30.948274176200254</v>
          </cell>
          <cell r="AV19">
            <v>9.9685147159479808</v>
          </cell>
          <cell r="AW19">
            <v>86588.26</v>
          </cell>
          <cell r="AX19">
            <v>1932</v>
          </cell>
          <cell r="AY19">
            <v>88520.26</v>
          </cell>
          <cell r="BA19">
            <v>32</v>
          </cell>
          <cell r="BB19">
            <v>29.965349075975357</v>
          </cell>
          <cell r="BC19">
            <v>9.1022416153319643</v>
          </cell>
          <cell r="BD19">
            <v>75097.259999999995</v>
          </cell>
          <cell r="BE19">
            <v>1288</v>
          </cell>
          <cell r="BF19">
            <v>76385.259999999995</v>
          </cell>
        </row>
        <row r="20">
          <cell r="C20" t="str">
            <v>A0037</v>
          </cell>
          <cell r="D20" t="str">
            <v>PT Century Batteries Indonesia</v>
          </cell>
          <cell r="F20">
            <v>62</v>
          </cell>
          <cell r="G20">
            <v>50.131858426618955</v>
          </cell>
          <cell r="H20">
            <v>27.911903027091469</v>
          </cell>
          <cell r="I20">
            <v>267798</v>
          </cell>
          <cell r="J20">
            <v>248794.82288999995</v>
          </cell>
          <cell r="L20">
            <v>2</v>
          </cell>
          <cell r="M20">
            <v>47.464750171115668</v>
          </cell>
          <cell r="N20">
            <v>19.932922655715263</v>
          </cell>
          <cell r="O20">
            <v>4982.1549999999997</v>
          </cell>
          <cell r="Q20">
            <v>62</v>
          </cell>
          <cell r="R20">
            <v>50.132785763175924</v>
          </cell>
          <cell r="S20">
            <v>27.960566116888568</v>
          </cell>
          <cell r="T20">
            <v>267797.5</v>
          </cell>
          <cell r="U20">
            <v>67548.75</v>
          </cell>
          <cell r="V20">
            <v>335346.25</v>
          </cell>
          <cell r="W20">
            <v>248794.82288999995</v>
          </cell>
          <cell r="Y20">
            <v>259</v>
          </cell>
          <cell r="Z20">
            <v>35.548265190975677</v>
          </cell>
          <cell r="AA20">
            <v>13.285479084247051</v>
          </cell>
          <cell r="AB20">
            <v>644976.15</v>
          </cell>
          <cell r="AC20">
            <v>217862.65</v>
          </cell>
          <cell r="AD20">
            <v>862838.8</v>
          </cell>
          <cell r="AT20">
            <v>321</v>
          </cell>
          <cell r="AU20">
            <v>38.365213089656102</v>
          </cell>
          <cell r="AV20">
            <v>16.119919570302429</v>
          </cell>
          <cell r="AW20">
            <v>912773.65</v>
          </cell>
          <cell r="AX20">
            <v>285411.40000000002</v>
          </cell>
          <cell r="AY20">
            <v>1198185.05</v>
          </cell>
          <cell r="BA20">
            <v>259</v>
          </cell>
          <cell r="BB20">
            <v>35.548265190975677</v>
          </cell>
          <cell r="BC20">
            <v>13.285479084247051</v>
          </cell>
          <cell r="BD20">
            <v>644976.15</v>
          </cell>
          <cell r="BE20">
            <v>217862.65</v>
          </cell>
          <cell r="BF20">
            <v>862838.8</v>
          </cell>
        </row>
        <row r="21">
          <cell r="C21" t="str">
            <v>A0070</v>
          </cell>
          <cell r="D21" t="str">
            <v>PT GS Battery</v>
          </cell>
          <cell r="F21">
            <v>290</v>
          </cell>
          <cell r="G21">
            <v>48.184389530080942</v>
          </cell>
          <cell r="H21">
            <v>26.922419693643917</v>
          </cell>
          <cell r="I21">
            <v>1029905.5</v>
          </cell>
          <cell r="J21">
            <v>953414.60418999963</v>
          </cell>
          <cell r="L21">
            <v>14</v>
          </cell>
          <cell r="M21">
            <v>45.640168182262634</v>
          </cell>
          <cell r="N21">
            <v>12.574166422215702</v>
          </cell>
          <cell r="O21">
            <v>4573.5950000000003</v>
          </cell>
          <cell r="Q21">
            <v>290</v>
          </cell>
          <cell r="R21">
            <v>48.227477636951555</v>
          </cell>
          <cell r="S21">
            <v>26.920361585121167</v>
          </cell>
          <cell r="T21">
            <v>1029905.5</v>
          </cell>
          <cell r="U21">
            <v>185335.69999999343</v>
          </cell>
          <cell r="V21">
            <v>1215241.1999999934</v>
          </cell>
          <cell r="W21">
            <v>953414.60418999929</v>
          </cell>
          <cell r="Y21">
            <v>1088</v>
          </cell>
          <cell r="Z21">
            <v>33.375093107058007</v>
          </cell>
          <cell r="AA21">
            <v>11.542595220839994</v>
          </cell>
          <cell r="AB21">
            <v>2424755</v>
          </cell>
          <cell r="AC21">
            <v>553966.299999943</v>
          </cell>
          <cell r="AD21">
            <v>2978721.299999943</v>
          </cell>
          <cell r="AT21">
            <v>1378</v>
          </cell>
          <cell r="AU21">
            <v>36.500776353552318</v>
          </cell>
          <cell r="AV21">
            <v>14.778845036254708</v>
          </cell>
          <cell r="AW21">
            <v>3454660.5</v>
          </cell>
          <cell r="AX21">
            <v>739302</v>
          </cell>
          <cell r="AY21">
            <v>4193962.5</v>
          </cell>
          <cell r="BA21">
            <v>1088</v>
          </cell>
          <cell r="BB21">
            <v>33.375093107058007</v>
          </cell>
          <cell r="BC21">
            <v>11.542595220839994</v>
          </cell>
          <cell r="BD21">
            <v>2424755</v>
          </cell>
          <cell r="BE21">
            <v>553966.299999943</v>
          </cell>
          <cell r="BF21">
            <v>2978721.299999943</v>
          </cell>
        </row>
        <row r="22">
          <cell r="C22" t="str">
            <v>A0084</v>
          </cell>
          <cell r="D22" t="str">
            <v>PT Kayaba Indonesia</v>
          </cell>
          <cell r="F22">
            <v>138</v>
          </cell>
          <cell r="G22">
            <v>49.257407572736525</v>
          </cell>
          <cell r="H22">
            <v>26.453967403704041</v>
          </cell>
          <cell r="I22">
            <v>605485.94400000002</v>
          </cell>
          <cell r="J22">
            <v>562935.64902000048</v>
          </cell>
          <cell r="L22">
            <v>16</v>
          </cell>
          <cell r="M22">
            <v>45.66101984941821</v>
          </cell>
          <cell r="N22">
            <v>9.3394934976043782</v>
          </cell>
          <cell r="O22">
            <v>4499.3860000000004</v>
          </cell>
          <cell r="Q22">
            <v>138</v>
          </cell>
          <cell r="R22">
            <v>49.243083454850257</v>
          </cell>
          <cell r="S22">
            <v>26.454582428156243</v>
          </cell>
          <cell r="T22">
            <v>605485.94400000002</v>
          </cell>
          <cell r="U22">
            <v>88987.499999998952</v>
          </cell>
          <cell r="V22">
            <v>694473.44399999897</v>
          </cell>
          <cell r="W22">
            <v>562935.64902000001</v>
          </cell>
          <cell r="Y22">
            <v>1152</v>
          </cell>
          <cell r="Z22">
            <v>31.078689444064121</v>
          </cell>
          <cell r="AA22">
            <v>7.8128850102669452</v>
          </cell>
          <cell r="AB22">
            <v>2336091.5320000001</v>
          </cell>
          <cell r="AC22">
            <v>783764.09999995073</v>
          </cell>
          <cell r="AD22">
            <v>3119855.6319999509</v>
          </cell>
          <cell r="AT22">
            <v>1290</v>
          </cell>
          <cell r="AU22">
            <v>33.021857175450599</v>
          </cell>
          <cell r="AV22">
            <v>9.8071131061342012</v>
          </cell>
          <cell r="AW22">
            <v>2941577.4759999998</v>
          </cell>
          <cell r="AX22">
            <v>872751.6</v>
          </cell>
          <cell r="AY22">
            <v>3814329.0759999999</v>
          </cell>
          <cell r="BA22">
            <v>1152</v>
          </cell>
          <cell r="BB22">
            <v>31.078689444064121</v>
          </cell>
          <cell r="BC22">
            <v>7.8128850102669452</v>
          </cell>
          <cell r="BD22">
            <v>2336091.5320000001</v>
          </cell>
          <cell r="BE22">
            <v>783764.09999995073</v>
          </cell>
          <cell r="BF22">
            <v>3119855.6319999509</v>
          </cell>
        </row>
        <row r="23">
          <cell r="C23" t="str">
            <v>A0038</v>
          </cell>
          <cell r="D23" t="str">
            <v>PT AT Indonesia</v>
          </cell>
          <cell r="F23">
            <v>49</v>
          </cell>
          <cell r="G23">
            <v>44.537736244395099</v>
          </cell>
          <cell r="H23">
            <v>22.419645476260317</v>
          </cell>
          <cell r="I23">
            <v>236920.7</v>
          </cell>
          <cell r="J23">
            <v>208617.28747000001</v>
          </cell>
          <cell r="Q23">
            <v>48</v>
          </cell>
          <cell r="R23">
            <v>44.438512434405673</v>
          </cell>
          <cell r="S23">
            <v>22.378051562856495</v>
          </cell>
          <cell r="T23">
            <v>175470.7</v>
          </cell>
          <cell r="U23">
            <v>16540</v>
          </cell>
          <cell r="V23">
            <v>192010.7</v>
          </cell>
          <cell r="W23">
            <v>160584.78747000004</v>
          </cell>
          <cell r="Y23">
            <v>404</v>
          </cell>
          <cell r="Z23">
            <v>32.171027575036767</v>
          </cell>
          <cell r="AA23">
            <v>9.9204261288551887</v>
          </cell>
          <cell r="AB23">
            <v>984682.7</v>
          </cell>
          <cell r="AC23">
            <v>60510</v>
          </cell>
          <cell r="AD23">
            <v>1045192.7</v>
          </cell>
          <cell r="AT23">
            <v>452</v>
          </cell>
          <cell r="AU23">
            <v>33.473769330014008</v>
          </cell>
          <cell r="AV23">
            <v>11.243359803262411</v>
          </cell>
          <cell r="AW23">
            <v>1160153.3999999999</v>
          </cell>
          <cell r="AX23">
            <v>77050</v>
          </cell>
          <cell r="AY23">
            <v>1237203.3999999999</v>
          </cell>
          <cell r="BA23">
            <v>404</v>
          </cell>
          <cell r="BB23">
            <v>32.171027575036767</v>
          </cell>
          <cell r="BC23">
            <v>9.9204261288551887</v>
          </cell>
          <cell r="BD23">
            <v>984682.7</v>
          </cell>
          <cell r="BE23">
            <v>60510</v>
          </cell>
          <cell r="BF23">
            <v>1045192.7</v>
          </cell>
        </row>
        <row r="24">
          <cell r="C24" t="str">
            <v>A0051</v>
          </cell>
          <cell r="D24" t="str">
            <v>PT DIC Astra Chemicals</v>
          </cell>
          <cell r="F24">
            <v>34</v>
          </cell>
          <cell r="G24">
            <v>43.752385553810846</v>
          </cell>
          <cell r="H24">
            <v>20.4775133872851</v>
          </cell>
          <cell r="I24">
            <v>176697.04</v>
          </cell>
          <cell r="J24">
            <v>165238.07418999993</v>
          </cell>
          <cell r="L24">
            <v>5</v>
          </cell>
          <cell r="M24">
            <v>43.285968514715947</v>
          </cell>
          <cell r="N24">
            <v>8.74633812457221</v>
          </cell>
          <cell r="O24">
            <v>7683.0159999999996</v>
          </cell>
          <cell r="Q24">
            <v>34</v>
          </cell>
          <cell r="R24">
            <v>43.758183355477712</v>
          </cell>
          <cell r="S24">
            <v>20.780529049402098</v>
          </cell>
          <cell r="T24">
            <v>176697.04</v>
          </cell>
          <cell r="U24">
            <v>0</v>
          </cell>
          <cell r="V24">
            <v>176697.04</v>
          </cell>
          <cell r="W24">
            <v>165238.07418999996</v>
          </cell>
          <cell r="Y24">
            <v>159</v>
          </cell>
          <cell r="Z24">
            <v>36.076039931295448</v>
          </cell>
          <cell r="AA24">
            <v>12.904885513928168</v>
          </cell>
          <cell r="AB24">
            <v>364059.5</v>
          </cell>
          <cell r="AC24">
            <v>0</v>
          </cell>
          <cell r="AD24">
            <v>364059.5</v>
          </cell>
          <cell r="AT24">
            <v>193</v>
          </cell>
          <cell r="AU24">
            <v>37.429370897213552</v>
          </cell>
          <cell r="AV24">
            <v>14.29230458235361</v>
          </cell>
          <cell r="AW24">
            <v>540756.54</v>
          </cell>
          <cell r="AX24">
            <v>0</v>
          </cell>
          <cell r="AY24">
            <v>540756.54</v>
          </cell>
          <cell r="BA24">
            <v>159</v>
          </cell>
          <cell r="BB24">
            <v>36.076039931295448</v>
          </cell>
          <cell r="BC24">
            <v>12.904885513928168</v>
          </cell>
          <cell r="BD24">
            <v>364059.5</v>
          </cell>
          <cell r="BE24">
            <v>0</v>
          </cell>
          <cell r="BF24">
            <v>364059.5</v>
          </cell>
        </row>
        <row r="25">
          <cell r="C25" t="str">
            <v>A0306</v>
          </cell>
          <cell r="D25" t="str">
            <v>PT Astra Nippon Gasket Indonesia</v>
          </cell>
          <cell r="F25">
            <v>22</v>
          </cell>
          <cell r="G25">
            <v>44.785140937091661</v>
          </cell>
          <cell r="H25">
            <v>21.927695849667103</v>
          </cell>
          <cell r="I25">
            <v>72236</v>
          </cell>
          <cell r="J25">
            <v>67523.848330000008</v>
          </cell>
          <cell r="L25">
            <v>6</v>
          </cell>
          <cell r="M25">
            <v>42.360483686972394</v>
          </cell>
          <cell r="N25">
            <v>8.3440565822495998</v>
          </cell>
          <cell r="O25">
            <v>1359.402</v>
          </cell>
          <cell r="Q25">
            <v>22</v>
          </cell>
          <cell r="R25">
            <v>44.79659013129239</v>
          </cell>
          <cell r="S25">
            <v>21.932798207952214</v>
          </cell>
          <cell r="T25">
            <v>72236</v>
          </cell>
          <cell r="U25">
            <v>375</v>
          </cell>
          <cell r="V25">
            <v>72611</v>
          </cell>
          <cell r="W25">
            <v>67523.848329999993</v>
          </cell>
          <cell r="Y25">
            <v>112</v>
          </cell>
          <cell r="Z25">
            <v>33.159846484795153</v>
          </cell>
          <cell r="AA25">
            <v>9.774982888432584</v>
          </cell>
          <cell r="AB25">
            <v>276953</v>
          </cell>
          <cell r="AC25">
            <v>650</v>
          </cell>
          <cell r="AD25">
            <v>277603</v>
          </cell>
          <cell r="AT25">
            <v>134</v>
          </cell>
          <cell r="AU25">
            <v>35.070356635712585</v>
          </cell>
          <cell r="AV25">
            <v>11.771042119995508</v>
          </cell>
          <cell r="AW25">
            <v>349189</v>
          </cell>
          <cell r="AX25">
            <v>1025</v>
          </cell>
          <cell r="AY25">
            <v>350214</v>
          </cell>
          <cell r="BA25">
            <v>112</v>
          </cell>
          <cell r="BB25">
            <v>33.159846484795153</v>
          </cell>
          <cell r="BC25">
            <v>9.774982888432584</v>
          </cell>
          <cell r="BD25">
            <v>276953</v>
          </cell>
          <cell r="BE25">
            <v>650</v>
          </cell>
          <cell r="BF25">
            <v>277603</v>
          </cell>
        </row>
        <row r="26">
          <cell r="C26" t="str">
            <v>A0107</v>
          </cell>
          <cell r="D26" t="str">
            <v>PT Denso Indonesia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Y26">
            <v>1</v>
          </cell>
          <cell r="Z26">
            <v>51.939767282683093</v>
          </cell>
          <cell r="AA26">
            <v>25.749486652977414</v>
          </cell>
          <cell r="AB26">
            <v>45980</v>
          </cell>
          <cell r="AC26">
            <v>193.59999999999854</v>
          </cell>
          <cell r="AD26">
            <v>46173.599999999999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M26">
            <v>1663</v>
          </cell>
          <cell r="AN26">
            <v>36.391408943618465</v>
          </cell>
          <cell r="AO26">
            <v>14.645654526199943</v>
          </cell>
          <cell r="AP26">
            <v>5067280</v>
          </cell>
          <cell r="AQ26">
            <v>1243068</v>
          </cell>
          <cell r="AR26">
            <v>6310348</v>
          </cell>
          <cell r="AT26">
            <v>1664</v>
          </cell>
          <cell r="AU26">
            <v>36.40075290896646</v>
          </cell>
          <cell r="AV26">
            <v>14.65232750223767</v>
          </cell>
          <cell r="AW26">
            <v>5113260</v>
          </cell>
          <cell r="AX26">
            <v>1243261.5999999996</v>
          </cell>
          <cell r="AY26">
            <v>6356521.5999999996</v>
          </cell>
          <cell r="BA26">
            <v>0</v>
          </cell>
          <cell r="BB26" t="e">
            <v>#DIV/0!</v>
          </cell>
          <cell r="BC26" t="e">
            <v>#DIV/0!</v>
          </cell>
          <cell r="BD26">
            <v>0</v>
          </cell>
          <cell r="BE26">
            <v>0</v>
          </cell>
          <cell r="BF26">
            <v>0</v>
          </cell>
        </row>
        <row r="27">
          <cell r="C27" t="str">
            <v>A0361</v>
          </cell>
          <cell r="D27" t="str">
            <v>PT Denso Sales Indonesia</v>
          </cell>
          <cell r="F27">
            <v>0</v>
          </cell>
          <cell r="G27">
            <v>0</v>
          </cell>
          <cell r="H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M27">
            <v>98</v>
          </cell>
          <cell r="AN27">
            <v>39.252985793906866</v>
          </cell>
          <cell r="AO27">
            <v>9.2025590523683736</v>
          </cell>
          <cell r="AP27">
            <v>442025</v>
          </cell>
          <cell r="AQ27">
            <v>82738.600000000093</v>
          </cell>
          <cell r="AR27">
            <v>524763.60000000009</v>
          </cell>
          <cell r="AT27">
            <v>98</v>
          </cell>
          <cell r="AU27">
            <v>39.252985793906866</v>
          </cell>
          <cell r="AV27">
            <v>9.2025590523683736</v>
          </cell>
          <cell r="AW27">
            <v>442025</v>
          </cell>
          <cell r="AX27">
            <v>82738.600000000093</v>
          </cell>
          <cell r="AY27">
            <v>524763.60000000009</v>
          </cell>
          <cell r="BA27">
            <v>0</v>
          </cell>
          <cell r="BB27" t="e">
            <v>#DIV/0!</v>
          </cell>
          <cell r="BC27" t="e">
            <v>#DIV/0!</v>
          </cell>
          <cell r="BD27">
            <v>0</v>
          </cell>
          <cell r="BE27">
            <v>0</v>
          </cell>
          <cell r="BF27">
            <v>0</v>
          </cell>
        </row>
        <row r="28">
          <cell r="C28" t="str">
            <v>A0353</v>
          </cell>
          <cell r="D28" t="str">
            <v>PT Hamaden Indonesia</v>
          </cell>
          <cell r="F28">
            <v>0</v>
          </cell>
          <cell r="G28">
            <v>0</v>
          </cell>
          <cell r="H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M28">
            <v>154</v>
          </cell>
          <cell r="AN28">
            <v>33.301065806199261</v>
          </cell>
          <cell r="AO28">
            <v>12.557472643714936</v>
          </cell>
          <cell r="AP28">
            <v>356353</v>
          </cell>
          <cell r="AQ28">
            <v>111347</v>
          </cell>
          <cell r="AR28">
            <v>467700</v>
          </cell>
          <cell r="AT28">
            <v>154</v>
          </cell>
          <cell r="AU28">
            <v>33.301065806199261</v>
          </cell>
          <cell r="AV28">
            <v>12.557472643714936</v>
          </cell>
          <cell r="AW28">
            <v>356353</v>
          </cell>
          <cell r="AX28">
            <v>111347</v>
          </cell>
          <cell r="AY28">
            <v>467700</v>
          </cell>
          <cell r="BA28">
            <v>0</v>
          </cell>
          <cell r="BB28" t="e">
            <v>#DIV/0!</v>
          </cell>
          <cell r="BC28" t="e">
            <v>#DIV/0!</v>
          </cell>
          <cell r="BD28">
            <v>0</v>
          </cell>
          <cell r="BE28">
            <v>0</v>
          </cell>
          <cell r="BF28">
            <v>0</v>
          </cell>
        </row>
        <row r="29">
          <cell r="C29" t="str">
            <v>A0049</v>
          </cell>
          <cell r="D29" t="str">
            <v>PT Aisin Indonesia</v>
          </cell>
          <cell r="F29">
            <v>54</v>
          </cell>
          <cell r="G29">
            <v>44.193322686135829</v>
          </cell>
          <cell r="H29">
            <v>20.796917382817451</v>
          </cell>
          <cell r="I29">
            <v>402769.35499999998</v>
          </cell>
          <cell r="J29">
            <v>378988.64068000001</v>
          </cell>
          <cell r="L29">
            <v>7</v>
          </cell>
          <cell r="M29">
            <v>42.439033929793673</v>
          </cell>
          <cell r="N29">
            <v>6.6420260095824775</v>
          </cell>
          <cell r="O29">
            <v>3493.498</v>
          </cell>
          <cell r="Q29">
            <v>53</v>
          </cell>
          <cell r="R29">
            <v>44.196815311301393</v>
          </cell>
          <cell r="S29">
            <v>20.861493161830229</v>
          </cell>
          <cell r="T29">
            <v>390240.35499999998</v>
          </cell>
          <cell r="U29">
            <v>1170</v>
          </cell>
          <cell r="V29">
            <v>391410.35499999998</v>
          </cell>
          <cell r="W29">
            <v>367104.64068000007</v>
          </cell>
          <cell r="Y29">
            <v>787</v>
          </cell>
          <cell r="Z29">
            <v>30.93017175926046</v>
          </cell>
          <cell r="AA29">
            <v>8.8214074188103115</v>
          </cell>
          <cell r="AB29">
            <v>1877788.1129999999</v>
          </cell>
          <cell r="AC29">
            <v>3410.0000000020955</v>
          </cell>
          <cell r="AD29">
            <v>1881198.113000002</v>
          </cell>
          <cell r="AT29">
            <v>840</v>
          </cell>
          <cell r="AU29">
            <v>31.767233792901155</v>
          </cell>
          <cell r="AV29">
            <v>9.5810794954532312</v>
          </cell>
          <cell r="AW29">
            <v>2268028.4679999999</v>
          </cell>
          <cell r="AX29">
            <v>4580</v>
          </cell>
          <cell r="AY29">
            <v>2272608.4679999999</v>
          </cell>
          <cell r="BA29">
            <v>787</v>
          </cell>
          <cell r="BB29">
            <v>30.93017175926046</v>
          </cell>
          <cell r="BC29">
            <v>8.8214074188103115</v>
          </cell>
          <cell r="BD29">
            <v>1877788.1129999999</v>
          </cell>
          <cell r="BE29">
            <v>3410.0000000020955</v>
          </cell>
          <cell r="BF29">
            <v>1881198.113000002</v>
          </cell>
        </row>
        <row r="30">
          <cell r="C30" t="str">
            <v>A0274</v>
          </cell>
          <cell r="D30" t="str">
            <v>PT Federal Nittan Industries</v>
          </cell>
          <cell r="F30">
            <v>9</v>
          </cell>
          <cell r="G30">
            <v>45.784470301924102</v>
          </cell>
          <cell r="H30">
            <v>22.192714274849799</v>
          </cell>
          <cell r="I30">
            <v>114770</v>
          </cell>
          <cell r="J30">
            <v>104228.54167000002</v>
          </cell>
          <cell r="L30">
            <v>1</v>
          </cell>
          <cell r="M30">
            <v>42.119096509240244</v>
          </cell>
          <cell r="N30">
            <v>8.3312799452429847</v>
          </cell>
          <cell r="O30">
            <v>2608.0540000000001</v>
          </cell>
          <cell r="Q30">
            <v>8</v>
          </cell>
          <cell r="R30">
            <v>46.195414099931547</v>
          </cell>
          <cell r="S30">
            <v>22.247775496235455</v>
          </cell>
          <cell r="T30">
            <v>111804</v>
          </cell>
          <cell r="U30">
            <v>11155</v>
          </cell>
          <cell r="V30">
            <v>122959</v>
          </cell>
          <cell r="W30">
            <v>100914.125</v>
          </cell>
          <cell r="Y30">
            <v>348</v>
          </cell>
          <cell r="Z30">
            <v>29.64064134941426</v>
          </cell>
          <cell r="AA30">
            <v>7.8751366958546605</v>
          </cell>
          <cell r="AB30">
            <v>679414</v>
          </cell>
          <cell r="AC30">
            <v>17816.5</v>
          </cell>
          <cell r="AD30">
            <v>697230.5</v>
          </cell>
          <cell r="AT30">
            <v>356</v>
          </cell>
          <cell r="AU30">
            <v>30.01265871459443</v>
          </cell>
          <cell r="AV30">
            <v>8.1981173430542338</v>
          </cell>
          <cell r="AW30">
            <v>791218</v>
          </cell>
          <cell r="AX30">
            <v>28971.5</v>
          </cell>
          <cell r="AY30">
            <v>820189.5</v>
          </cell>
          <cell r="BA30">
            <v>348</v>
          </cell>
          <cell r="BB30">
            <v>29.64064134941426</v>
          </cell>
          <cell r="BC30">
            <v>7.8751366958546605</v>
          </cell>
          <cell r="BD30">
            <v>679414</v>
          </cell>
          <cell r="BE30">
            <v>17816.5</v>
          </cell>
          <cell r="BF30">
            <v>697230.5</v>
          </cell>
        </row>
        <row r="31">
          <cell r="C31" t="str">
            <v>A0364</v>
          </cell>
          <cell r="D31" t="str">
            <v>PT Toyoda Gosei Safety System Indonesia</v>
          </cell>
          <cell r="AF31">
            <v>60</v>
          </cell>
          <cell r="AG31">
            <v>33.544558521560582</v>
          </cell>
          <cell r="AH31">
            <v>6.187268993839834</v>
          </cell>
          <cell r="AI31">
            <v>118353.10956</v>
          </cell>
          <cell r="AJ31">
            <v>3005.8429999999644</v>
          </cell>
          <cell r="AK31">
            <v>121358.95255999996</v>
          </cell>
          <cell r="AT31">
            <v>60</v>
          </cell>
          <cell r="AU31">
            <v>33.544558521560582</v>
          </cell>
          <cell r="AV31">
            <v>6.187268993839834</v>
          </cell>
          <cell r="AW31">
            <v>118353.10956</v>
          </cell>
          <cell r="AX31">
            <v>3005.843000000008</v>
          </cell>
          <cell r="AY31">
            <v>121358.95256000001</v>
          </cell>
          <cell r="BA31">
            <v>60</v>
          </cell>
          <cell r="BB31">
            <v>33.544558521560582</v>
          </cell>
          <cell r="BC31">
            <v>6.187268993839834</v>
          </cell>
          <cell r="BD31">
            <v>118353.10956</v>
          </cell>
          <cell r="BE31">
            <v>3005.8429999999644</v>
          </cell>
          <cell r="BF31">
            <v>121358.95255999996</v>
          </cell>
        </row>
      </sheetData>
      <sheetData sheetId="13">
        <row r="8">
          <cell r="C8" t="str">
            <v>S0001</v>
          </cell>
          <cell r="D8" t="str">
            <v>000</v>
          </cell>
          <cell r="E8" t="str">
            <v>PT Astra International Tbk. - Head Office</v>
          </cell>
          <cell r="F8" t="str">
            <v>Astra International</v>
          </cell>
          <cell r="G8">
            <v>60</v>
          </cell>
          <cell r="H8">
            <v>1241570</v>
          </cell>
          <cell r="I8">
            <v>7.3099999999999998E-2</v>
          </cell>
          <cell r="J8">
            <v>1176233.62032</v>
          </cell>
        </row>
        <row r="9">
          <cell r="C9" t="str">
            <v>S0002</v>
          </cell>
          <cell r="D9" t="str">
            <v>000</v>
          </cell>
          <cell r="E9" t="str">
            <v>PT Astra International Tbk. - Toyota Sales Operation</v>
          </cell>
          <cell r="G9">
            <v>700</v>
          </cell>
          <cell r="H9">
            <v>3454800.7</v>
          </cell>
          <cell r="I9">
            <v>7.3099999999999998E-2</v>
          </cell>
          <cell r="J9">
            <v>3272995.2679632003</v>
          </cell>
        </row>
        <row r="10">
          <cell r="C10" t="str">
            <v>S0003</v>
          </cell>
          <cell r="D10" t="str">
            <v>000</v>
          </cell>
          <cell r="E10" t="str">
            <v>PT Astra International Tbk. - Daihatsu Sales Operation</v>
          </cell>
          <cell r="G10">
            <v>214</v>
          </cell>
          <cell r="H10">
            <v>1350844.2</v>
          </cell>
          <cell r="I10">
            <v>7.3099999999999998E-2</v>
          </cell>
          <cell r="J10">
            <v>1279757.3748192</v>
          </cell>
        </row>
        <row r="11">
          <cell r="C11" t="str">
            <v>S0004</v>
          </cell>
          <cell r="D11" t="str">
            <v>000</v>
          </cell>
          <cell r="E11" t="str">
            <v>PT Astra International Tbk. - Isuzu Sales Operation</v>
          </cell>
          <cell r="G11">
            <v>82</v>
          </cell>
          <cell r="H11">
            <v>621341</v>
          </cell>
          <cell r="I11">
            <v>7.3099999999999998E-2</v>
          </cell>
          <cell r="J11">
            <v>588643.55121599999</v>
          </cell>
        </row>
        <row r="12">
          <cell r="C12" t="str">
            <v>S0005</v>
          </cell>
          <cell r="D12" t="str">
            <v>000</v>
          </cell>
          <cell r="E12" t="str">
            <v>PT Astra International Tbk. - Honda Sales Operation</v>
          </cell>
          <cell r="G12">
            <v>126</v>
          </cell>
          <cell r="H12">
            <v>1000534.5</v>
          </cell>
          <cell r="I12">
            <v>7.3099999999999998E-2</v>
          </cell>
          <cell r="J12">
            <v>947882.37247200008</v>
          </cell>
        </row>
        <row r="13">
          <cell r="C13" t="str">
            <v>S0172</v>
          </cell>
          <cell r="D13" t="str">
            <v>000</v>
          </cell>
          <cell r="E13" t="str">
            <v>PT Astra International Tbk. - Nissan Diessel Sales Operation</v>
          </cell>
          <cell r="G13">
            <v>17</v>
          </cell>
          <cell r="H13">
            <v>128277</v>
          </cell>
          <cell r="I13">
            <v>7.3099999999999998E-2</v>
          </cell>
          <cell r="J13">
            <v>121526.551152</v>
          </cell>
        </row>
        <row r="14">
          <cell r="C14" t="str">
            <v>S0173</v>
          </cell>
          <cell r="D14" t="str">
            <v>000</v>
          </cell>
          <cell r="E14" t="str">
            <v>PT Astra International Tbk. - BMW Sales Operation</v>
          </cell>
          <cell r="G14">
            <v>30</v>
          </cell>
          <cell r="H14">
            <v>194864</v>
          </cell>
          <cell r="I14">
            <v>7.3099999999999998E-2</v>
          </cell>
          <cell r="J14">
            <v>184609.476864</v>
          </cell>
        </row>
        <row r="15">
          <cell r="C15" t="str">
            <v>S0174</v>
          </cell>
          <cell r="D15" t="str">
            <v>000</v>
          </cell>
          <cell r="E15" t="str">
            <v>PT Astra International Tbk. - Peugeot Sales Operation</v>
          </cell>
          <cell r="G15">
            <v>24</v>
          </cell>
          <cell r="H15">
            <v>128786</v>
          </cell>
          <cell r="I15">
            <v>7.3099999999999998E-2</v>
          </cell>
          <cell r="J15">
            <v>122008.76553600001</v>
          </cell>
        </row>
        <row r="16">
          <cell r="C16" t="str">
            <v>S0363</v>
          </cell>
          <cell r="D16" t="str">
            <v>000</v>
          </cell>
          <cell r="E16" t="str">
            <v>PT Astra International Tbk. - Astra World Sales Operation</v>
          </cell>
          <cell r="G16">
            <v>13</v>
          </cell>
          <cell r="H16">
            <v>138566</v>
          </cell>
          <cell r="I16">
            <v>7.3099999999999998E-2</v>
          </cell>
          <cell r="J16">
            <v>131274.102816</v>
          </cell>
        </row>
        <row r="17">
          <cell r="C17" t="str">
            <v>A0209</v>
          </cell>
          <cell r="D17" t="str">
            <v>107</v>
          </cell>
          <cell r="E17" t="str">
            <v>PT Serasi Auto Raya</v>
          </cell>
          <cell r="F17" t="str">
            <v>Serasi Autoraya Group</v>
          </cell>
          <cell r="G17">
            <v>52</v>
          </cell>
          <cell r="H17">
            <v>401120</v>
          </cell>
          <cell r="I17">
            <v>7.4099999999999999E-2</v>
          </cell>
          <cell r="J17">
            <v>385209.97632000002</v>
          </cell>
        </row>
        <row r="18">
          <cell r="C18" t="str">
            <v>A0008</v>
          </cell>
          <cell r="D18" t="str">
            <v>107</v>
          </cell>
          <cell r="E18" t="str">
            <v>PT Daya Mitra Serasi</v>
          </cell>
          <cell r="G18">
            <v>1</v>
          </cell>
          <cell r="H18">
            <v>15765</v>
          </cell>
          <cell r="I18">
            <v>7.4099999999999999E-2</v>
          </cell>
          <cell r="J18">
            <v>15139.697040000003</v>
          </cell>
        </row>
        <row r="19">
          <cell r="C19" t="str">
            <v>A0373</v>
          </cell>
          <cell r="D19" t="str">
            <v>107</v>
          </cell>
          <cell r="E19" t="str">
            <v>PT Serasi Transportasi Nusantara</v>
          </cell>
          <cell r="G19">
            <v>0</v>
          </cell>
          <cell r="H19">
            <v>0</v>
          </cell>
          <cell r="J19">
            <v>0</v>
          </cell>
        </row>
        <row r="20">
          <cell r="C20" t="str">
            <v>A0459</v>
          </cell>
          <cell r="D20" t="str">
            <v>107</v>
          </cell>
          <cell r="E20" t="str">
            <v>PT Harmoni Mitra Utama</v>
          </cell>
          <cell r="G20">
            <v>10</v>
          </cell>
          <cell r="H20">
            <v>80858</v>
          </cell>
          <cell r="I20">
            <v>7.4099999999999999E-2</v>
          </cell>
          <cell r="J20">
            <v>77650.848288000008</v>
          </cell>
        </row>
        <row r="21">
          <cell r="C21" t="str">
            <v>A0150</v>
          </cell>
          <cell r="D21" t="str">
            <v>405</v>
          </cell>
          <cell r="E21" t="str">
            <v>PT Traktor Nusantara</v>
          </cell>
          <cell r="F21" t="str">
            <v>Traktor Nusantara Group</v>
          </cell>
          <cell r="G21">
            <v>92</v>
          </cell>
          <cell r="H21">
            <v>651111</v>
          </cell>
          <cell r="I21">
            <v>7.3899999999999993E-2</v>
          </cell>
          <cell r="J21">
            <v>623597.65358399996</v>
          </cell>
        </row>
        <row r="22">
          <cell r="C22" t="str">
            <v>A0221</v>
          </cell>
          <cell r="D22" t="str">
            <v>405</v>
          </cell>
          <cell r="E22" t="str">
            <v>PT Swadaya Harapan Nusantara</v>
          </cell>
          <cell r="G22">
            <v>30</v>
          </cell>
          <cell r="H22">
            <v>125389</v>
          </cell>
          <cell r="I22">
            <v>7.3899999999999993E-2</v>
          </cell>
          <cell r="J22">
            <v>120090.562416</v>
          </cell>
        </row>
        <row r="23">
          <cell r="C23" t="str">
            <v>A0452</v>
          </cell>
          <cell r="D23" t="str">
            <v>407</v>
          </cell>
          <cell r="E23" t="str">
            <v>PT Telen Orbit Prima</v>
          </cell>
          <cell r="F23" t="str">
            <v>United Tractors Tbk - Groups</v>
          </cell>
          <cell r="G23">
            <v>5</v>
          </cell>
          <cell r="H23">
            <v>101926</v>
          </cell>
          <cell r="I23">
            <v>7.1999999999999995E-2</v>
          </cell>
          <cell r="J23">
            <v>95989.829759999993</v>
          </cell>
        </row>
        <row r="24">
          <cell r="C24" t="str">
            <v>A0155</v>
          </cell>
          <cell r="D24" t="str">
            <v>407</v>
          </cell>
          <cell r="E24" t="str">
            <v>PT United Tractors Tbk.</v>
          </cell>
          <cell r="G24">
            <v>529</v>
          </cell>
          <cell r="H24">
            <v>3401849</v>
          </cell>
          <cell r="I24">
            <v>7.1999999999999995E-2</v>
          </cell>
          <cell r="J24">
            <v>3203725.3142400002</v>
          </cell>
        </row>
        <row r="25">
          <cell r="C25" t="str">
            <v>A0328</v>
          </cell>
          <cell r="D25" t="str">
            <v>415</v>
          </cell>
          <cell r="E25" t="str">
            <v>PT Komatsu Remanufacturing Asia</v>
          </cell>
          <cell r="G25">
            <v>17</v>
          </cell>
          <cell r="H25">
            <v>209949</v>
          </cell>
          <cell r="I25">
            <v>7.1999999999999995E-2</v>
          </cell>
          <cell r="J25">
            <v>197721.57024</v>
          </cell>
        </row>
        <row r="26">
          <cell r="C26" t="str">
            <v>A0451</v>
          </cell>
          <cell r="D26" t="str">
            <v>407</v>
          </cell>
          <cell r="E26" t="str">
            <v>PT Multi Prima Universal</v>
          </cell>
          <cell r="G26">
            <v>10</v>
          </cell>
          <cell r="H26">
            <v>94207</v>
          </cell>
          <cell r="I26">
            <v>7.1999999999999995E-2</v>
          </cell>
          <cell r="J26">
            <v>88720.384319999997</v>
          </cell>
        </row>
        <row r="27">
          <cell r="C27" t="str">
            <v>A0210</v>
          </cell>
          <cell r="D27" t="str">
            <v>402</v>
          </cell>
          <cell r="E27" t="str">
            <v>PT Bina Pertiwi</v>
          </cell>
          <cell r="G27">
            <v>25</v>
          </cell>
          <cell r="H27">
            <v>176377.253</v>
          </cell>
          <cell r="I27">
            <v>7.0900000000000005E-2</v>
          </cell>
          <cell r="J27">
            <v>163567.32586911603</v>
          </cell>
        </row>
        <row r="28">
          <cell r="C28" t="str">
            <v>A0112</v>
          </cell>
          <cell r="D28" t="str">
            <v>409</v>
          </cell>
          <cell r="E28" t="str">
            <v>PT Pama Persada Nusantara</v>
          </cell>
          <cell r="G28">
            <v>299</v>
          </cell>
          <cell r="H28">
            <v>2039649</v>
          </cell>
          <cell r="I28">
            <v>7.0800000000000002E-2</v>
          </cell>
          <cell r="J28">
            <v>1888845.5115360003</v>
          </cell>
        </row>
        <row r="29">
          <cell r="C29" t="str">
            <v>A0424</v>
          </cell>
          <cell r="E29" t="str">
            <v>PT Prima Multi Mineral</v>
          </cell>
          <cell r="G29">
            <v>0</v>
          </cell>
          <cell r="H29">
            <v>0</v>
          </cell>
          <cell r="J29">
            <v>0</v>
          </cell>
        </row>
        <row r="30">
          <cell r="C30" t="str">
            <v>A0231</v>
          </cell>
          <cell r="E30" t="str">
            <v>PT Pama Indo Mining</v>
          </cell>
          <cell r="G30">
            <v>0</v>
          </cell>
          <cell r="H30">
            <v>0</v>
          </cell>
          <cell r="J30">
            <v>0</v>
          </cell>
        </row>
        <row r="31">
          <cell r="C31" t="str">
            <v>A0156</v>
          </cell>
          <cell r="D31" t="str">
            <v>408</v>
          </cell>
          <cell r="E31" t="str">
            <v>PT United Tractors Pandu Eng.</v>
          </cell>
          <cell r="G31">
            <v>78</v>
          </cell>
          <cell r="H31">
            <v>561675</v>
          </cell>
          <cell r="I31">
            <v>7.5600000000000001E-2</v>
          </cell>
          <cell r="J31">
            <v>555411.20039999997</v>
          </cell>
        </row>
        <row r="32">
          <cell r="C32" t="str">
            <v>A0360</v>
          </cell>
          <cell r="D32" t="str">
            <v>413</v>
          </cell>
          <cell r="E32" t="str">
            <v>PT Kalimantan Prima Persada</v>
          </cell>
          <cell r="G32">
            <v>22</v>
          </cell>
          <cell r="H32">
            <v>273550</v>
          </cell>
          <cell r="I32">
            <v>6.9199999999999998E-2</v>
          </cell>
          <cell r="J32">
            <v>247599.95280000003</v>
          </cell>
        </row>
        <row r="33">
          <cell r="C33" t="str">
            <v>A0465</v>
          </cell>
          <cell r="D33" t="str">
            <v>407</v>
          </cell>
          <cell r="E33" t="str">
            <v>PT Andalan Multi Kencana</v>
          </cell>
          <cell r="G33">
            <v>4</v>
          </cell>
          <cell r="H33">
            <v>27540</v>
          </cell>
          <cell r="I33">
            <v>7.1999999999999995E-2</v>
          </cell>
          <cell r="J33">
            <v>25936.070399999997</v>
          </cell>
        </row>
        <row r="34">
          <cell r="C34" t="str">
            <v>A0128</v>
          </cell>
          <cell r="D34" t="str">
            <v>814</v>
          </cell>
          <cell r="E34" t="str">
            <v>PT Sedaya Multi Investama</v>
          </cell>
          <cell r="F34" t="str">
            <v>SMI Group</v>
          </cell>
          <cell r="G34">
            <v>3</v>
          </cell>
          <cell r="H34">
            <v>32351.119999999999</v>
          </cell>
          <cell r="I34">
            <v>7.9000000000000001E-2</v>
          </cell>
          <cell r="J34">
            <v>33122.370700800006</v>
          </cell>
        </row>
        <row r="35">
          <cell r="C35" t="str">
            <v>A0026</v>
          </cell>
          <cell r="D35" t="str">
            <v>708</v>
          </cell>
          <cell r="E35" t="str">
            <v>PT Asuransi Astra Buana</v>
          </cell>
          <cell r="G35">
            <v>55</v>
          </cell>
          <cell r="H35">
            <v>527744</v>
          </cell>
          <cell r="I35">
            <v>7.0199999999999999E-2</v>
          </cell>
          <cell r="J35">
            <v>480137.26924800006</v>
          </cell>
        </row>
        <row r="36">
          <cell r="C36" t="str">
            <v>A0142</v>
          </cell>
          <cell r="D36" t="str">
            <v>714</v>
          </cell>
          <cell r="E36" t="str">
            <v>PT Surya Artha Nusantara Finance</v>
          </cell>
          <cell r="G36">
            <v>7</v>
          </cell>
          <cell r="H36">
            <v>97682</v>
          </cell>
          <cell r="I36">
            <v>7.46E-2</v>
          </cell>
          <cell r="J36">
            <v>94440.520512000003</v>
          </cell>
        </row>
        <row r="37">
          <cell r="C37" t="str">
            <v>A0378</v>
          </cell>
          <cell r="D37" t="str">
            <v>411</v>
          </cell>
          <cell r="E37" t="str">
            <v>PT Komatsu Astra Finance</v>
          </cell>
          <cell r="G37">
            <v>0</v>
          </cell>
          <cell r="H37">
            <v>0</v>
          </cell>
          <cell r="J37">
            <v>0</v>
          </cell>
        </row>
        <row r="38">
          <cell r="C38" t="str">
            <v>A0079</v>
          </cell>
          <cell r="D38" t="str">
            <v>502</v>
          </cell>
          <cell r="E38" t="str">
            <v>PT Intertel Nusaperdana</v>
          </cell>
          <cell r="F38" t="str">
            <v>Astratel Group</v>
          </cell>
          <cell r="G38">
            <v>0</v>
          </cell>
          <cell r="H38">
            <v>0</v>
          </cell>
          <cell r="J38">
            <v>0</v>
          </cell>
        </row>
        <row r="39">
          <cell r="C39" t="str">
            <v>A0224</v>
          </cell>
          <cell r="D39" t="str">
            <v>802</v>
          </cell>
          <cell r="E39" t="str">
            <v>PT Astratel Nusantara</v>
          </cell>
          <cell r="G39">
            <v>7</v>
          </cell>
          <cell r="H39">
            <v>358592.42499999999</v>
          </cell>
          <cell r="I39">
            <v>6.7199999999999996E-2</v>
          </cell>
          <cell r="J39">
            <v>312302.44604159996</v>
          </cell>
        </row>
        <row r="40">
          <cell r="C40" t="str">
            <v>A0375</v>
          </cell>
          <cell r="E40" t="str">
            <v>PT Marga Mandalasakti</v>
          </cell>
          <cell r="G40">
            <v>0</v>
          </cell>
          <cell r="H40">
            <v>0</v>
          </cell>
          <cell r="J40">
            <v>0</v>
          </cell>
        </row>
        <row r="41">
          <cell r="C41" t="str">
            <v>A0060</v>
          </cell>
          <cell r="D41" t="str">
            <v>303</v>
          </cell>
          <cell r="E41" t="str">
            <v>PT Astra Honda Motor</v>
          </cell>
          <cell r="F41" t="str">
            <v>Astra Honda Motor Groups</v>
          </cell>
          <cell r="G41">
            <v>1244</v>
          </cell>
          <cell r="H41">
            <v>8383299.7999999998</v>
          </cell>
          <cell r="I41">
            <v>7.1499999999999994E-2</v>
          </cell>
          <cell r="J41">
            <v>7768300.9266719995</v>
          </cell>
        </row>
        <row r="42">
          <cell r="C42" t="str">
            <v>A0199</v>
          </cell>
          <cell r="D42" t="str">
            <v>313</v>
          </cell>
          <cell r="E42" t="str">
            <v>PT Suryaraya Rubberindo Industries</v>
          </cell>
          <cell r="G42">
            <v>35</v>
          </cell>
          <cell r="H42">
            <v>361583.25799999997</v>
          </cell>
          <cell r="I42">
            <v>7.5300000000000006E-2</v>
          </cell>
          <cell r="J42">
            <v>352864.76248310402</v>
          </cell>
        </row>
        <row r="43">
          <cell r="C43" t="str">
            <v>A0326</v>
          </cell>
          <cell r="D43" t="str">
            <v>315</v>
          </cell>
          <cell r="E43" t="str">
            <v>PT Yutaka Manufacturing Indonesia</v>
          </cell>
          <cell r="G43">
            <v>6</v>
          </cell>
          <cell r="H43">
            <v>119138</v>
          </cell>
          <cell r="I43">
            <v>7.5399999999999995E-2</v>
          </cell>
          <cell r="J43">
            <v>116419.74739199999</v>
          </cell>
        </row>
        <row r="44">
          <cell r="C44" t="str">
            <v>A0132</v>
          </cell>
          <cell r="D44" t="str">
            <v>312</v>
          </cell>
          <cell r="E44" t="str">
            <v>PT Showa Indonesia</v>
          </cell>
          <cell r="G44">
            <v>163</v>
          </cell>
          <cell r="H44">
            <v>849574.02599999995</v>
          </cell>
          <cell r="I44">
            <v>6.0600000000000001E-2</v>
          </cell>
          <cell r="J44">
            <v>667235.05024377606</v>
          </cell>
        </row>
        <row r="45">
          <cell r="C45" t="str">
            <v>A0325</v>
          </cell>
          <cell r="D45" t="str">
            <v>813</v>
          </cell>
          <cell r="E45" t="str">
            <v>PT Musashi Auto Parts Indonesia</v>
          </cell>
          <cell r="G45">
            <v>5</v>
          </cell>
          <cell r="H45">
            <v>71892.683000000005</v>
          </cell>
          <cell r="I45">
            <v>6.3600000000000004E-2</v>
          </cell>
          <cell r="J45">
            <v>59257.97531884801</v>
          </cell>
        </row>
        <row r="46">
          <cell r="C46" t="str">
            <v>A0143</v>
          </cell>
          <cell r="D46" t="str">
            <v>715</v>
          </cell>
          <cell r="E46" t="str">
            <v>PT Swadharma Bhakti Sedaya Finance</v>
          </cell>
          <cell r="F46" t="str">
            <v>ACC Group</v>
          </cell>
          <cell r="G46">
            <v>32</v>
          </cell>
          <cell r="H46">
            <v>133220</v>
          </cell>
          <cell r="I46">
            <v>7.46E-2</v>
          </cell>
          <cell r="J46">
            <v>128799.22751999999</v>
          </cell>
        </row>
        <row r="47">
          <cell r="C47" t="str">
            <v>A0057</v>
          </cell>
          <cell r="E47" t="str">
            <v>PT Pratama Sedaya Finance</v>
          </cell>
          <cell r="G47">
            <v>0</v>
          </cell>
          <cell r="H47">
            <v>0</v>
          </cell>
          <cell r="J47">
            <v>0</v>
          </cell>
        </row>
        <row r="48">
          <cell r="C48" t="str">
            <v>A0024</v>
          </cell>
          <cell r="D48" t="str">
            <v>706</v>
          </cell>
          <cell r="E48" t="str">
            <v>PT Astra Sedaya Finance</v>
          </cell>
          <cell r="G48">
            <v>216</v>
          </cell>
          <cell r="H48">
            <v>1231918</v>
          </cell>
          <cell r="I48">
            <v>7.4099999999999999E-2</v>
          </cell>
          <cell r="J48">
            <v>1183055.2044480001</v>
          </cell>
        </row>
        <row r="49">
          <cell r="C49" t="str">
            <v>A0135</v>
          </cell>
          <cell r="D49" t="str">
            <v>713</v>
          </cell>
          <cell r="E49" t="str">
            <v>PT Staco Estika Sedaya Finance</v>
          </cell>
          <cell r="G49">
            <v>13</v>
          </cell>
          <cell r="H49">
            <v>61610</v>
          </cell>
          <cell r="I49">
            <v>7.3399999999999993E-2</v>
          </cell>
          <cell r="J49">
            <v>58607.375040000006</v>
          </cell>
        </row>
        <row r="50">
          <cell r="C50" t="str">
            <v>A0177</v>
          </cell>
          <cell r="D50" t="str">
            <v>702</v>
          </cell>
          <cell r="E50" t="str">
            <v>PT Astra Auto Finance</v>
          </cell>
          <cell r="G50">
            <v>14</v>
          </cell>
          <cell r="H50">
            <v>54172</v>
          </cell>
          <cell r="I50">
            <v>7.3899999999999993E-2</v>
          </cell>
          <cell r="J50">
            <v>51882.907968</v>
          </cell>
        </row>
        <row r="51">
          <cell r="C51" t="str">
            <v>A0240</v>
          </cell>
          <cell r="E51" t="str">
            <v>PT Sedaya Pratama</v>
          </cell>
          <cell r="G51">
            <v>0</v>
          </cell>
          <cell r="H51">
            <v>0</v>
          </cell>
          <cell r="J51">
            <v>0</v>
          </cell>
        </row>
        <row r="52">
          <cell r="C52" t="str">
            <v>A0273</v>
          </cell>
          <cell r="E52" t="str">
            <v>PT Stacomitra Graha</v>
          </cell>
          <cell r="G52">
            <v>0</v>
          </cell>
          <cell r="H52">
            <v>0</v>
          </cell>
          <cell r="J52">
            <v>0</v>
          </cell>
        </row>
        <row r="53">
          <cell r="C53" t="str">
            <v>A0011</v>
          </cell>
          <cell r="D53" t="str">
            <v>900</v>
          </cell>
          <cell r="E53" t="str">
            <v>PT Astra Agro Lestari Tbk.</v>
          </cell>
          <cell r="F53" t="str">
            <v>PT Astra Agro Lestari Group</v>
          </cell>
          <cell r="G53">
            <v>5</v>
          </cell>
          <cell r="H53">
            <v>236452</v>
          </cell>
          <cell r="I53">
            <v>7.2499999999999995E-2</v>
          </cell>
          <cell r="J53">
            <v>222170.29920000001</v>
          </cell>
        </row>
        <row r="54">
          <cell r="C54" t="str">
            <v>A0253</v>
          </cell>
          <cell r="E54" t="str">
            <v>PT Agro Menara Rachmat</v>
          </cell>
          <cell r="G54">
            <v>0</v>
          </cell>
          <cell r="H54">
            <v>0</v>
          </cell>
          <cell r="J54">
            <v>0</v>
          </cell>
        </row>
        <row r="55">
          <cell r="C55" t="str">
            <v>A0438</v>
          </cell>
          <cell r="E55" t="str">
            <v>PT Agro Nusa Abadi</v>
          </cell>
          <cell r="G55">
            <v>0</v>
          </cell>
          <cell r="H55">
            <v>0</v>
          </cell>
          <cell r="J55">
            <v>0</v>
          </cell>
        </row>
        <row r="56">
          <cell r="C56" t="str">
            <v>A0331</v>
          </cell>
          <cell r="E56" t="str">
            <v>PT Bhadra Cemerlang</v>
          </cell>
          <cell r="G56">
            <v>0</v>
          </cell>
          <cell r="H56">
            <v>0</v>
          </cell>
          <cell r="J56">
            <v>0</v>
          </cell>
        </row>
        <row r="57">
          <cell r="C57" t="str">
            <v>A0398</v>
          </cell>
          <cell r="E57" t="str">
            <v>PT Bhadra Sukses</v>
          </cell>
          <cell r="G57">
            <v>0</v>
          </cell>
          <cell r="H57">
            <v>0</v>
          </cell>
          <cell r="J57">
            <v>0</v>
          </cell>
        </row>
        <row r="58">
          <cell r="C58" t="str">
            <v>A0415</v>
          </cell>
          <cell r="E58" t="str">
            <v>PT Borneo Indah Marjaya</v>
          </cell>
          <cell r="G58">
            <v>0</v>
          </cell>
          <cell r="H58">
            <v>0</v>
          </cell>
          <cell r="J58">
            <v>0</v>
          </cell>
        </row>
        <row r="59">
          <cell r="C59" t="str">
            <v>A0445</v>
          </cell>
          <cell r="E59" t="str">
            <v>PT Cipta Agro Nusantara</v>
          </cell>
          <cell r="G59">
            <v>0</v>
          </cell>
          <cell r="H59">
            <v>0</v>
          </cell>
          <cell r="J59">
            <v>0</v>
          </cell>
        </row>
        <row r="60">
          <cell r="C60" t="str">
            <v>A0248</v>
          </cell>
          <cell r="E60" t="str">
            <v>PT Cakradenta Agung Pertiwi</v>
          </cell>
          <cell r="G60">
            <v>0</v>
          </cell>
          <cell r="H60">
            <v>0</v>
          </cell>
          <cell r="J60">
            <v>0</v>
          </cell>
        </row>
        <row r="61">
          <cell r="C61" t="str">
            <v>A0247</v>
          </cell>
          <cell r="E61" t="str">
            <v>PT Cakung Permata Nusa</v>
          </cell>
          <cell r="G61">
            <v>0</v>
          </cell>
          <cell r="H61">
            <v>0</v>
          </cell>
          <cell r="J61">
            <v>0</v>
          </cell>
        </row>
        <row r="62">
          <cell r="C62" t="str">
            <v>A0054</v>
          </cell>
          <cell r="E62" t="str">
            <v>PT Eka Dura Indonesia</v>
          </cell>
          <cell r="G62">
            <v>0</v>
          </cell>
          <cell r="H62">
            <v>0</v>
          </cell>
          <cell r="J62">
            <v>0</v>
          </cell>
        </row>
        <row r="63">
          <cell r="C63" t="str">
            <v>A0266</v>
          </cell>
          <cell r="E63" t="str">
            <v>PT Eka Dura Perdana</v>
          </cell>
          <cell r="G63">
            <v>0</v>
          </cell>
          <cell r="H63">
            <v>0</v>
          </cell>
          <cell r="J63">
            <v>0</v>
          </cell>
        </row>
        <row r="64">
          <cell r="C64" t="str">
            <v>A0254</v>
          </cell>
          <cell r="E64" t="str">
            <v>PT Gunung Sejahtera Dua Indah</v>
          </cell>
          <cell r="G64">
            <v>0</v>
          </cell>
          <cell r="H64">
            <v>0</v>
          </cell>
          <cell r="J64">
            <v>0</v>
          </cell>
        </row>
        <row r="65">
          <cell r="C65" t="str">
            <v>A0256</v>
          </cell>
          <cell r="E65" t="str">
            <v>PT Gunung Sejahtera Ibu Pertiwi</v>
          </cell>
          <cell r="G65">
            <v>0</v>
          </cell>
          <cell r="H65">
            <v>0</v>
          </cell>
          <cell r="J65">
            <v>0</v>
          </cell>
        </row>
        <row r="66">
          <cell r="C66" t="str">
            <v>A0250</v>
          </cell>
          <cell r="E66" t="str">
            <v>PT Gunung Sejahtera Puti Pesona</v>
          </cell>
          <cell r="G66">
            <v>0</v>
          </cell>
          <cell r="H66">
            <v>0</v>
          </cell>
          <cell r="J66">
            <v>0</v>
          </cell>
        </row>
        <row r="67">
          <cell r="C67" t="str">
            <v>A0252</v>
          </cell>
          <cell r="E67" t="str">
            <v>PT Gunung Sejahtera Yoli Makmur</v>
          </cell>
          <cell r="G67">
            <v>0</v>
          </cell>
          <cell r="H67">
            <v>0</v>
          </cell>
          <cell r="J67">
            <v>0</v>
          </cell>
        </row>
        <row r="68">
          <cell r="C68" t="str">
            <v>A0350</v>
          </cell>
          <cell r="E68" t="str">
            <v>PT Karyanusa Ekadaya</v>
          </cell>
          <cell r="G68">
            <v>0</v>
          </cell>
          <cell r="H68">
            <v>0</v>
          </cell>
          <cell r="J68">
            <v>0</v>
          </cell>
        </row>
        <row r="69">
          <cell r="C69" t="str">
            <v>A0083</v>
          </cell>
          <cell r="E69" t="str">
            <v>PT Karya Tanah Subur</v>
          </cell>
          <cell r="G69">
            <v>0</v>
          </cell>
          <cell r="H69">
            <v>0</v>
          </cell>
          <cell r="J69">
            <v>0</v>
          </cell>
        </row>
        <row r="70">
          <cell r="C70" t="str">
            <v>A0086</v>
          </cell>
          <cell r="E70" t="str">
            <v>PT Kimia Tirta Utama</v>
          </cell>
          <cell r="G70">
            <v>0</v>
          </cell>
          <cell r="H70">
            <v>0</v>
          </cell>
          <cell r="J70">
            <v>0</v>
          </cell>
        </row>
        <row r="71">
          <cell r="C71" t="str">
            <v>A0262</v>
          </cell>
          <cell r="E71" t="str">
            <v>PT Lestari Tani Teladan</v>
          </cell>
          <cell r="G71">
            <v>0</v>
          </cell>
          <cell r="H71">
            <v>0</v>
          </cell>
          <cell r="J71">
            <v>0</v>
          </cell>
        </row>
        <row r="72">
          <cell r="C72" t="str">
            <v>A0261</v>
          </cell>
          <cell r="E72" t="str">
            <v>PT Letawa</v>
          </cell>
          <cell r="G72">
            <v>0</v>
          </cell>
          <cell r="H72">
            <v>0</v>
          </cell>
          <cell r="J72">
            <v>0</v>
          </cell>
        </row>
        <row r="73">
          <cell r="C73" t="str">
            <v>A0263</v>
          </cell>
          <cell r="E73" t="str">
            <v>PT Mamuang</v>
          </cell>
          <cell r="G73">
            <v>0</v>
          </cell>
          <cell r="H73">
            <v>0</v>
          </cell>
          <cell r="J73">
            <v>0</v>
          </cell>
        </row>
        <row r="74">
          <cell r="C74" t="str">
            <v>A0329</v>
          </cell>
          <cell r="E74" t="str">
            <v>PT Nirmala Agro Lestari</v>
          </cell>
          <cell r="G74">
            <v>0</v>
          </cell>
          <cell r="H74">
            <v>0</v>
          </cell>
          <cell r="J74">
            <v>0</v>
          </cell>
        </row>
        <row r="75">
          <cell r="C75" t="str">
            <v>A0249</v>
          </cell>
          <cell r="E75" t="str">
            <v>PT Persadabina Nusantara Abadi</v>
          </cell>
          <cell r="G75">
            <v>0</v>
          </cell>
          <cell r="H75">
            <v>0</v>
          </cell>
          <cell r="J75">
            <v>0</v>
          </cell>
        </row>
        <row r="76">
          <cell r="C76" t="str">
            <v>A0446</v>
          </cell>
          <cell r="E76" t="str">
            <v>PT Persada Dinamika Lestari</v>
          </cell>
          <cell r="G76">
            <v>0</v>
          </cell>
          <cell r="H76">
            <v>0</v>
          </cell>
          <cell r="J76">
            <v>0</v>
          </cell>
        </row>
        <row r="77">
          <cell r="C77" t="str">
            <v>A0117</v>
          </cell>
          <cell r="E77" t="str">
            <v>PT Perkebunan Lembah Bakti</v>
          </cell>
          <cell r="G77">
            <v>0</v>
          </cell>
          <cell r="H77">
            <v>0</v>
          </cell>
          <cell r="J77">
            <v>0</v>
          </cell>
        </row>
        <row r="78">
          <cell r="C78" t="str">
            <v>A0267</v>
          </cell>
          <cell r="E78" t="str">
            <v>PT Pasang Kayu</v>
          </cell>
          <cell r="G78">
            <v>0</v>
          </cell>
          <cell r="H78">
            <v>0</v>
          </cell>
          <cell r="J78">
            <v>0</v>
          </cell>
        </row>
        <row r="79">
          <cell r="C79" t="str">
            <v>A0258</v>
          </cell>
          <cell r="E79" t="str">
            <v>PT Panji Waringin</v>
          </cell>
          <cell r="G79">
            <v>0</v>
          </cell>
          <cell r="H79">
            <v>0</v>
          </cell>
          <cell r="J79">
            <v>0</v>
          </cell>
        </row>
        <row r="80">
          <cell r="C80" t="str">
            <v>A0439</v>
          </cell>
          <cell r="E80" t="str">
            <v>PT Rimbunan Alam Sentosa</v>
          </cell>
          <cell r="G80">
            <v>0</v>
          </cell>
          <cell r="H80">
            <v>0</v>
          </cell>
          <cell r="J80">
            <v>0</v>
          </cell>
        </row>
        <row r="81">
          <cell r="C81" t="str">
            <v>A0278</v>
          </cell>
          <cell r="E81" t="str">
            <v>PT Sawit Asahan Indah</v>
          </cell>
          <cell r="G81">
            <v>0</v>
          </cell>
          <cell r="H81">
            <v>0</v>
          </cell>
          <cell r="J81">
            <v>0</v>
          </cell>
        </row>
        <row r="82">
          <cell r="C82" t="str">
            <v>A0126</v>
          </cell>
          <cell r="E82" t="str">
            <v>PT Sari Aditya Loka</v>
          </cell>
          <cell r="G82">
            <v>0</v>
          </cell>
          <cell r="H82">
            <v>0</v>
          </cell>
          <cell r="J82">
            <v>0</v>
          </cell>
        </row>
        <row r="83">
          <cell r="C83" t="str">
            <v>A0448</v>
          </cell>
          <cell r="E83" t="str">
            <v>PT Subur Agro makmur</v>
          </cell>
          <cell r="G83">
            <v>0</v>
          </cell>
          <cell r="H83">
            <v>0</v>
          </cell>
          <cell r="J83">
            <v>0</v>
          </cell>
        </row>
        <row r="84">
          <cell r="C84" t="str">
            <v>A0435</v>
          </cell>
          <cell r="E84" t="str">
            <v>PT Subur Abadi Plantations</v>
          </cell>
          <cell r="G84">
            <v>0</v>
          </cell>
          <cell r="H84">
            <v>0</v>
          </cell>
          <cell r="J84">
            <v>0</v>
          </cell>
        </row>
        <row r="85">
          <cell r="C85" t="str">
            <v>A0251</v>
          </cell>
          <cell r="E85" t="str">
            <v>PT Surya Indah Nusantara Pagi</v>
          </cell>
          <cell r="G85">
            <v>0</v>
          </cell>
          <cell r="H85">
            <v>0</v>
          </cell>
          <cell r="J85">
            <v>0</v>
          </cell>
        </row>
        <row r="86">
          <cell r="C86" t="str">
            <v>A0436</v>
          </cell>
          <cell r="E86" t="str">
            <v>PT Sawit Jaya Abadi</v>
          </cell>
          <cell r="G86">
            <v>0</v>
          </cell>
          <cell r="H86">
            <v>0</v>
          </cell>
          <cell r="J86">
            <v>0</v>
          </cell>
        </row>
        <row r="87">
          <cell r="C87" t="str">
            <v>A0377</v>
          </cell>
          <cell r="E87" t="str">
            <v>PT Sumber Kharisma Persada</v>
          </cell>
          <cell r="G87">
            <v>0</v>
          </cell>
          <cell r="H87">
            <v>0</v>
          </cell>
          <cell r="J87">
            <v>0</v>
          </cell>
        </row>
        <row r="88">
          <cell r="C88" t="str">
            <v>A0127</v>
          </cell>
          <cell r="E88" t="str">
            <v>PT Sari Lembah Subur</v>
          </cell>
          <cell r="G88">
            <v>0</v>
          </cell>
          <cell r="H88">
            <v>0</v>
          </cell>
          <cell r="J88">
            <v>0</v>
          </cell>
        </row>
        <row r="89">
          <cell r="C89" t="str">
            <v>A0332</v>
          </cell>
          <cell r="E89" t="str">
            <v>PT Cipta Narada Lestari</v>
          </cell>
          <cell r="G89">
            <v>0</v>
          </cell>
          <cell r="H89">
            <v>0</v>
          </cell>
          <cell r="J89">
            <v>0</v>
          </cell>
        </row>
        <row r="90">
          <cell r="C90" t="str">
            <v>A0170</v>
          </cell>
          <cell r="E90" t="str">
            <v>PT Suryaraya Lestari</v>
          </cell>
          <cell r="G90">
            <v>0</v>
          </cell>
          <cell r="H90">
            <v>0</v>
          </cell>
          <cell r="J90">
            <v>0</v>
          </cell>
        </row>
        <row r="91">
          <cell r="C91" t="str">
            <v>A0169</v>
          </cell>
          <cell r="E91" t="str">
            <v>PT Sukses Tani Nusa Subur</v>
          </cell>
          <cell r="G91">
            <v>0</v>
          </cell>
          <cell r="H91">
            <v>0</v>
          </cell>
          <cell r="J91">
            <v>0</v>
          </cell>
        </row>
        <row r="92">
          <cell r="C92" t="str">
            <v>A0153</v>
          </cell>
          <cell r="E92" t="str">
            <v>PT Tunggal Perkasa Plantation</v>
          </cell>
          <cell r="G92">
            <v>0</v>
          </cell>
          <cell r="H92">
            <v>0</v>
          </cell>
          <cell r="J92">
            <v>0</v>
          </cell>
        </row>
        <row r="93">
          <cell r="C93" t="str">
            <v>A0099</v>
          </cell>
          <cell r="E93" t="str">
            <v>PT Waru Kaltim Plantation</v>
          </cell>
          <cell r="G93">
            <v>0</v>
          </cell>
          <cell r="H93">
            <v>0</v>
          </cell>
          <cell r="J93">
            <v>0</v>
          </cell>
        </row>
        <row r="94">
          <cell r="C94" t="str">
            <v>A0317</v>
          </cell>
          <cell r="D94" t="str">
            <v>503</v>
          </cell>
          <cell r="E94" t="str">
            <v>PT Astra Otoparts Tbk. - Head Office</v>
          </cell>
          <cell r="F94" t="str">
            <v>Astra Otoparts Group</v>
          </cell>
          <cell r="G94">
            <v>69</v>
          </cell>
          <cell r="H94">
            <v>1021128</v>
          </cell>
          <cell r="I94">
            <v>7.2499999999999995E-2</v>
          </cell>
          <cell r="J94">
            <v>959451.86880000005</v>
          </cell>
        </row>
        <row r="95">
          <cell r="C95" t="str">
            <v>We</v>
          </cell>
          <cell r="D95" t="str">
            <v>503</v>
          </cell>
          <cell r="E95" t="str">
            <v>PT Astra Otoparts Tbk. - Div. Winteq</v>
          </cell>
          <cell r="G95">
            <v>2</v>
          </cell>
          <cell r="H95">
            <v>15964</v>
          </cell>
          <cell r="I95">
            <v>7.2499999999999995E-2</v>
          </cell>
          <cell r="J95">
            <v>14999.774399999998</v>
          </cell>
        </row>
        <row r="96">
          <cell r="C96" t="str">
            <v>Ap</v>
          </cell>
          <cell r="D96" t="str">
            <v>503</v>
          </cell>
          <cell r="E96" t="str">
            <v>PT Astra Otoparts Tbk. - Div. Adiwira</v>
          </cell>
          <cell r="G96">
            <v>0</v>
          </cell>
          <cell r="H96">
            <v>0</v>
          </cell>
          <cell r="J96">
            <v>0</v>
          </cell>
        </row>
        <row r="97">
          <cell r="C97" t="str">
            <v>Nm</v>
          </cell>
          <cell r="D97" t="str">
            <v>503</v>
          </cell>
          <cell r="E97" t="str">
            <v>PT Astra Otoparts Tbk. - Div. Nusametal</v>
          </cell>
          <cell r="G97">
            <v>26</v>
          </cell>
          <cell r="H97">
            <v>172873</v>
          </cell>
          <cell r="I97">
            <v>7.2499999999999995E-2</v>
          </cell>
          <cell r="J97">
            <v>162431.47080000001</v>
          </cell>
        </row>
        <row r="98">
          <cell r="C98" t="str">
            <v>A0096</v>
          </cell>
          <cell r="D98" t="str">
            <v>106</v>
          </cell>
          <cell r="E98" t="str">
            <v>PT Menara Terus Makmur</v>
          </cell>
          <cell r="G98">
            <v>69</v>
          </cell>
          <cell r="H98">
            <v>255253.6</v>
          </cell>
          <cell r="I98">
            <v>7.1300000000000002E-2</v>
          </cell>
          <cell r="J98">
            <v>235866.57857280003</v>
          </cell>
        </row>
        <row r="99">
          <cell r="C99" t="str">
            <v>A0239</v>
          </cell>
          <cell r="D99" t="str">
            <v>508</v>
          </cell>
          <cell r="E99" t="str">
            <v>PT Astra Daido Steel Indonesia</v>
          </cell>
          <cell r="G99">
            <v>1</v>
          </cell>
          <cell r="H99">
            <v>23183</v>
          </cell>
          <cell r="I99">
            <v>7.2400000000000006E-2</v>
          </cell>
          <cell r="J99">
            <v>21752.701632000004</v>
          </cell>
        </row>
        <row r="100">
          <cell r="C100" t="str">
            <v>A0316</v>
          </cell>
          <cell r="D100" t="str">
            <v>503</v>
          </cell>
          <cell r="E100" t="str">
            <v>PT Astra Komponen Indonesia</v>
          </cell>
          <cell r="G100">
            <v>0</v>
          </cell>
          <cell r="H100">
            <v>0</v>
          </cell>
          <cell r="J100">
            <v>0</v>
          </cell>
        </row>
        <row r="101">
          <cell r="C101" t="str">
            <v>A0077</v>
          </cell>
          <cell r="D101" t="str">
            <v>509</v>
          </cell>
          <cell r="E101" t="str">
            <v>PT Indokarlo Perkasa</v>
          </cell>
          <cell r="G101">
            <v>0</v>
          </cell>
          <cell r="H101">
            <v>0</v>
          </cell>
          <cell r="J101">
            <v>0</v>
          </cell>
        </row>
        <row r="102">
          <cell r="C102" t="str">
            <v>A0062</v>
          </cell>
          <cell r="D102" t="str">
            <v>308</v>
          </cell>
          <cell r="E102" t="str">
            <v>PT FSCM Manufacturing Indonesia</v>
          </cell>
          <cell r="G102">
            <v>91</v>
          </cell>
          <cell r="H102">
            <v>367052.40700000001</v>
          </cell>
          <cell r="I102">
            <v>7.46E-2</v>
          </cell>
          <cell r="J102">
            <v>354872.13992611202</v>
          </cell>
        </row>
        <row r="103">
          <cell r="C103" t="str">
            <v>A0161</v>
          </cell>
          <cell r="E103" t="str">
            <v>PT Ardendi Jaya Sentosa</v>
          </cell>
          <cell r="G103">
            <v>0</v>
          </cell>
          <cell r="H103">
            <v>0</v>
          </cell>
          <cell r="J103">
            <v>0</v>
          </cell>
        </row>
        <row r="104">
          <cell r="C104" t="str">
            <v>A0059</v>
          </cell>
          <cell r="D104" t="str">
            <v>302</v>
          </cell>
          <cell r="E104" t="str">
            <v>PT Federal Izumi Manufacturing</v>
          </cell>
          <cell r="G104">
            <v>31</v>
          </cell>
          <cell r="H104">
            <v>153354.79999999999</v>
          </cell>
          <cell r="I104">
            <v>7.3399999999999993E-2</v>
          </cell>
          <cell r="J104">
            <v>145880.90046719997</v>
          </cell>
        </row>
        <row r="105">
          <cell r="C105" t="str">
            <v>A0345</v>
          </cell>
          <cell r="D105" t="str">
            <v>510</v>
          </cell>
          <cell r="E105" t="str">
            <v>PT Nusa Keihin Indonesia</v>
          </cell>
          <cell r="G105">
            <v>3</v>
          </cell>
          <cell r="H105">
            <v>11491</v>
          </cell>
          <cell r="I105">
            <v>6.9400000000000003E-2</v>
          </cell>
          <cell r="J105">
            <v>10335.281184000001</v>
          </cell>
        </row>
        <row r="106">
          <cell r="C106" t="str">
            <v>A0037</v>
          </cell>
          <cell r="D106" t="str">
            <v>204</v>
          </cell>
          <cell r="E106" t="str">
            <v>PT Century Batteries Indonesia</v>
          </cell>
          <cell r="G106">
            <v>66</v>
          </cell>
          <cell r="H106">
            <v>281026.5</v>
          </cell>
          <cell r="I106">
            <v>6.88E-2</v>
          </cell>
          <cell r="J106">
            <v>250576.71667200007</v>
          </cell>
        </row>
        <row r="107">
          <cell r="C107" t="str">
            <v>A0070</v>
          </cell>
          <cell r="D107" t="str">
            <v>206</v>
          </cell>
          <cell r="E107" t="str">
            <v>PT GS Battery</v>
          </cell>
          <cell r="G107">
            <v>294</v>
          </cell>
          <cell r="H107">
            <v>1044219.5</v>
          </cell>
          <cell r="I107">
            <v>7.3700000000000002E-2</v>
          </cell>
          <cell r="J107">
            <v>997388.34386400017</v>
          </cell>
        </row>
        <row r="108">
          <cell r="C108" t="str">
            <v>A0084</v>
          </cell>
          <cell r="D108" t="str">
            <v>208</v>
          </cell>
          <cell r="E108" t="str">
            <v>PT Kayaba Indonesia</v>
          </cell>
          <cell r="G108">
            <v>141</v>
          </cell>
          <cell r="H108">
            <v>630644.94400000002</v>
          </cell>
          <cell r="I108">
            <v>6.7400000000000002E-2</v>
          </cell>
          <cell r="J108">
            <v>550870.88116377615</v>
          </cell>
        </row>
        <row r="109">
          <cell r="C109" t="str">
            <v>A0038</v>
          </cell>
          <cell r="D109" t="str">
            <v>103</v>
          </cell>
          <cell r="E109" t="str">
            <v>PT AT Indonesia</v>
          </cell>
          <cell r="G109">
            <v>50</v>
          </cell>
          <cell r="H109">
            <v>240806</v>
          </cell>
          <cell r="I109">
            <v>7.2800000000000004E-2</v>
          </cell>
          <cell r="J109">
            <v>227197.57132800005</v>
          </cell>
        </row>
        <row r="110">
          <cell r="C110" t="str">
            <v>A0051</v>
          </cell>
          <cell r="D110" t="str">
            <v>301</v>
          </cell>
          <cell r="E110" t="str">
            <v>PT DIC Astra Chemicals</v>
          </cell>
          <cell r="G110">
            <v>34</v>
          </cell>
          <cell r="H110">
            <v>176697.04</v>
          </cell>
          <cell r="I110">
            <v>7.4499999999999997E-2</v>
          </cell>
          <cell r="J110">
            <v>170604.52606080001</v>
          </cell>
        </row>
        <row r="111">
          <cell r="C111" t="str">
            <v>A0306</v>
          </cell>
          <cell r="D111" t="str">
            <v>108</v>
          </cell>
          <cell r="E111" t="str">
            <v>PT Astra Nippon Gasket Indonesia</v>
          </cell>
          <cell r="G111">
            <v>22</v>
          </cell>
          <cell r="H111">
            <v>72236</v>
          </cell>
          <cell r="I111">
            <v>7.46E-2</v>
          </cell>
          <cell r="J111">
            <v>69838.920576000004</v>
          </cell>
        </row>
        <row r="112">
          <cell r="C112" t="str">
            <v>A0107</v>
          </cell>
          <cell r="E112" t="str">
            <v>PT Denso Indonesia</v>
          </cell>
          <cell r="G112">
            <v>0</v>
          </cell>
          <cell r="H112">
            <v>0</v>
          </cell>
          <cell r="J112">
            <v>0</v>
          </cell>
        </row>
        <row r="113">
          <cell r="C113" t="str">
            <v>A0361</v>
          </cell>
          <cell r="E113" t="str">
            <v>PT Denso Sales Indonesia</v>
          </cell>
          <cell r="G113">
            <v>0</v>
          </cell>
          <cell r="H113">
            <v>0</v>
          </cell>
          <cell r="J113">
            <v>0</v>
          </cell>
        </row>
        <row r="114">
          <cell r="C114" t="str">
            <v>A0353</v>
          </cell>
          <cell r="E114" t="str">
            <v>PT Hamaden Indonesia</v>
          </cell>
          <cell r="G114">
            <v>0</v>
          </cell>
          <cell r="H114">
            <v>0</v>
          </cell>
          <cell r="J114">
            <v>0</v>
          </cell>
        </row>
        <row r="115">
          <cell r="C115" t="str">
            <v>A0049</v>
          </cell>
          <cell r="D115" t="str">
            <v>102</v>
          </cell>
          <cell r="E115" t="str">
            <v>PT Aisin Indonesia</v>
          </cell>
          <cell r="G115">
            <v>54</v>
          </cell>
          <cell r="H115">
            <v>402769.35499999998</v>
          </cell>
          <cell r="I115">
            <v>7.9000000000000001E-2</v>
          </cell>
          <cell r="J115">
            <v>412371.37642320001</v>
          </cell>
        </row>
        <row r="116">
          <cell r="C116" t="str">
            <v>A0274</v>
          </cell>
          <cell r="D116" t="str">
            <v>806</v>
          </cell>
          <cell r="E116" t="str">
            <v>PT Federal Nittan Industries</v>
          </cell>
          <cell r="G116">
            <v>9</v>
          </cell>
          <cell r="H116">
            <v>114770</v>
          </cell>
          <cell r="I116">
            <v>7.0499999999999993E-2</v>
          </cell>
          <cell r="J116">
            <v>104863.05359999998</v>
          </cell>
        </row>
        <row r="117">
          <cell r="C117" t="str">
            <v>A0364</v>
          </cell>
          <cell r="E117" t="str">
            <v>PT Toyoda Gosei Safety System Indonesia</v>
          </cell>
          <cell r="G117">
            <v>0</v>
          </cell>
          <cell r="H117">
            <v>0</v>
          </cell>
          <cell r="J117">
            <v>0</v>
          </cell>
        </row>
        <row r="118">
          <cell r="C118" t="str">
            <v>A0045</v>
          </cell>
          <cell r="D118" t="str">
            <v>201</v>
          </cell>
          <cell r="E118" t="str">
            <v>PT Astra Daihatsu Motor</v>
          </cell>
          <cell r="F118" t="str">
            <v>Astra Motor Tiga Group</v>
          </cell>
          <cell r="G118">
            <v>330</v>
          </cell>
          <cell r="H118">
            <v>1930181</v>
          </cell>
          <cell r="I118">
            <v>7.2700000000000001E-2</v>
          </cell>
          <cell r="J118">
            <v>1818601.096752</v>
          </cell>
        </row>
        <row r="119">
          <cell r="C119" t="str">
            <v>A0154</v>
          </cell>
          <cell r="D119" t="str">
            <v>213</v>
          </cell>
          <cell r="E119" t="str">
            <v>PT Astra Nissan Diesel Indonesia</v>
          </cell>
          <cell r="G119">
            <v>15</v>
          </cell>
          <cell r="H119">
            <v>183136</v>
          </cell>
          <cell r="I119">
            <v>6.9500000000000006E-2</v>
          </cell>
          <cell r="J119">
            <v>164954.25792</v>
          </cell>
        </row>
        <row r="120">
          <cell r="C120" t="str">
            <v>A0275</v>
          </cell>
          <cell r="D120" t="str">
            <v>216</v>
          </cell>
          <cell r="E120" t="str">
            <v>PT Fuji Technica Indonesia</v>
          </cell>
          <cell r="G120">
            <v>22</v>
          </cell>
          <cell r="H120">
            <v>179261</v>
          </cell>
          <cell r="I120">
            <v>7.2300000000000003E-2</v>
          </cell>
          <cell r="J120">
            <v>167968.99108800004</v>
          </cell>
        </row>
        <row r="121">
          <cell r="C121" t="str">
            <v>A0065</v>
          </cell>
          <cell r="D121" t="str">
            <v>205</v>
          </cell>
          <cell r="E121" t="str">
            <v>PT Gaya Motor</v>
          </cell>
          <cell r="G121">
            <v>141</v>
          </cell>
          <cell r="H121">
            <v>539451</v>
          </cell>
          <cell r="I121">
            <v>7.0699999999999999E-2</v>
          </cell>
          <cell r="J121">
            <v>494283.84667200007</v>
          </cell>
        </row>
        <row r="122">
          <cell r="C122" t="str">
            <v>A0081</v>
          </cell>
          <cell r="D122" t="str">
            <v>207</v>
          </cell>
          <cell r="E122" t="str">
            <v>PT Inti Pantja Press Industry</v>
          </cell>
          <cell r="G122">
            <v>64</v>
          </cell>
          <cell r="H122">
            <v>254419</v>
          </cell>
          <cell r="I122">
            <v>7.1199999999999999E-2</v>
          </cell>
          <cell r="J122">
            <v>234765.64108800003</v>
          </cell>
        </row>
        <row r="123">
          <cell r="C123" t="str">
            <v>A0115</v>
          </cell>
          <cell r="D123" t="str">
            <v>210</v>
          </cell>
          <cell r="E123" t="str">
            <v>PT Isuzu Astra Motor Indonesia</v>
          </cell>
          <cell r="G123">
            <v>95</v>
          </cell>
          <cell r="H123">
            <v>596257</v>
          </cell>
          <cell r="I123">
            <v>7.2400000000000006E-2</v>
          </cell>
          <cell r="J123">
            <v>559470.32812800014</v>
          </cell>
        </row>
        <row r="124">
          <cell r="C124" t="str">
            <v>A0097</v>
          </cell>
          <cell r="E124" t="str">
            <v>PT Mesin Isuzu Indonesia</v>
          </cell>
          <cell r="G124">
            <v>0</v>
          </cell>
          <cell r="H124">
            <v>0</v>
          </cell>
          <cell r="J124">
            <v>0</v>
          </cell>
        </row>
        <row r="125">
          <cell r="C125" t="str">
            <v>A0146</v>
          </cell>
          <cell r="D125" t="str">
            <v>212</v>
          </cell>
          <cell r="E125" t="str">
            <v>PT Tjahja Sakti Motor</v>
          </cell>
          <cell r="G125">
            <v>15</v>
          </cell>
          <cell r="H125">
            <v>194634</v>
          </cell>
          <cell r="I125">
            <v>6.9000000000000006E-2</v>
          </cell>
          <cell r="J125">
            <v>174049.50816000003</v>
          </cell>
        </row>
        <row r="126">
          <cell r="C126" t="str">
            <v>A0232</v>
          </cell>
          <cell r="E126" t="str">
            <v>PT Brahmayasa Bahtera</v>
          </cell>
          <cell r="F126" t="str">
            <v>Properties Group</v>
          </cell>
          <cell r="G126">
            <v>0</v>
          </cell>
          <cell r="H126">
            <v>0</v>
          </cell>
          <cell r="J126">
            <v>0</v>
          </cell>
        </row>
        <row r="127">
          <cell r="C127" t="str">
            <v>A0140</v>
          </cell>
          <cell r="E127" t="str">
            <v>PT Suryaraya Prawira</v>
          </cell>
          <cell r="G127">
            <v>0</v>
          </cell>
          <cell r="H127">
            <v>0</v>
          </cell>
          <cell r="J127">
            <v>0</v>
          </cell>
        </row>
        <row r="128">
          <cell r="C128" t="str">
            <v>A0014</v>
          </cell>
          <cell r="D128" t="str">
            <v>501</v>
          </cell>
          <cell r="E128" t="str">
            <v>PT Astra Graphia Tbk.</v>
          </cell>
          <cell r="F128" t="str">
            <v>Information Technology Group</v>
          </cell>
          <cell r="G128">
            <v>358</v>
          </cell>
          <cell r="H128">
            <v>2054866</v>
          </cell>
          <cell r="I128">
            <v>7.4300000000000005E-2</v>
          </cell>
          <cell r="J128">
            <v>1978688.0076480005</v>
          </cell>
        </row>
        <row r="129">
          <cell r="C129" t="str">
            <v>A0371</v>
          </cell>
          <cell r="D129" t="str">
            <v>511</v>
          </cell>
          <cell r="E129" t="str">
            <v>PT Astra Graphia Information Technology Tbk.</v>
          </cell>
          <cell r="G129">
            <v>30</v>
          </cell>
          <cell r="H129">
            <v>504455</v>
          </cell>
          <cell r="I129">
            <v>7.6600000000000001E-2</v>
          </cell>
          <cell r="J129">
            <v>500790.6388800001</v>
          </cell>
        </row>
        <row r="130">
          <cell r="C130" t="str">
            <v>A0178</v>
          </cell>
          <cell r="D130" t="str">
            <v>703</v>
          </cell>
          <cell r="E130" t="str">
            <v>PT Astra Mitra Ventura</v>
          </cell>
          <cell r="F130" t="str">
            <v>Other - Non Group</v>
          </cell>
          <cell r="G130">
            <v>4</v>
          </cell>
          <cell r="H130">
            <v>64398.339</v>
          </cell>
          <cell r="I130">
            <v>7.4300000000000005E-2</v>
          </cell>
          <cell r="J130">
            <v>62010.96377659202</v>
          </cell>
        </row>
        <row r="131">
          <cell r="C131" t="str">
            <v>A0411</v>
          </cell>
          <cell r="D131" t="str">
            <v>000</v>
          </cell>
          <cell r="E131" t="str">
            <v>PT Toyota Astra Financial Services</v>
          </cell>
          <cell r="G131">
            <v>4</v>
          </cell>
          <cell r="H131">
            <v>222440</v>
          </cell>
          <cell r="I131">
            <v>7.3099999999999998E-2</v>
          </cell>
          <cell r="J131">
            <v>210734.31744000001</v>
          </cell>
        </row>
        <row r="132">
          <cell r="C132" t="str">
            <v>A0098</v>
          </cell>
          <cell r="D132" t="str">
            <v>307</v>
          </cell>
          <cell r="E132" t="str">
            <v>PT Federal International Finance</v>
          </cell>
          <cell r="G132">
            <v>44</v>
          </cell>
          <cell r="H132">
            <v>680600.1</v>
          </cell>
          <cell r="I132">
            <v>7.6100000000000001E-2</v>
          </cell>
          <cell r="J132">
            <v>671245.9322256</v>
          </cell>
        </row>
        <row r="133">
          <cell r="C133" t="str">
            <v>A0020</v>
          </cell>
          <cell r="D133" t="str">
            <v>704</v>
          </cell>
          <cell r="E133" t="str">
            <v>PT Astra Multi Finance</v>
          </cell>
          <cell r="G133">
            <v>0</v>
          </cell>
          <cell r="H133">
            <v>0</v>
          </cell>
          <cell r="J133">
            <v>0</v>
          </cell>
        </row>
        <row r="134">
          <cell r="C134" t="str">
            <v>R0410</v>
          </cell>
          <cell r="D134" t="str">
            <v>000</v>
          </cell>
          <cell r="E134" t="str">
            <v>Yayasan Dharma Bhakti Astra</v>
          </cell>
          <cell r="F134" t="str">
            <v>Yayasan</v>
          </cell>
          <cell r="G134">
            <v>3</v>
          </cell>
          <cell r="H134">
            <v>15513</v>
          </cell>
          <cell r="I134">
            <v>7.3099999999999998E-2</v>
          </cell>
          <cell r="J134">
            <v>14696.643887999999</v>
          </cell>
        </row>
        <row r="135">
          <cell r="C135" t="str">
            <v>R0411</v>
          </cell>
          <cell r="D135" t="str">
            <v>000</v>
          </cell>
          <cell r="E135" t="str">
            <v>Yayasan Pendidikan Astra (d/h Yayasan Astra Bina Pendidikan)</v>
          </cell>
          <cell r="G135">
            <v>0</v>
          </cell>
          <cell r="H135">
            <v>0</v>
          </cell>
          <cell r="J135">
            <v>0</v>
          </cell>
        </row>
        <row r="136">
          <cell r="C136" t="str">
            <v>R0406</v>
          </cell>
          <cell r="D136" t="str">
            <v>000</v>
          </cell>
          <cell r="E136" t="str">
            <v>Yayasan Astra Bina Ilmu</v>
          </cell>
          <cell r="G136">
            <v>1</v>
          </cell>
          <cell r="H136">
            <v>12131</v>
          </cell>
          <cell r="I136">
            <v>7.3099999999999998E-2</v>
          </cell>
          <cell r="J136">
            <v>11492.618256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Sheet2"/>
      <sheetName val="bom asli"/>
      <sheetName val="bom rangkuman (1)"/>
      <sheetName val="bom_asli"/>
      <sheetName val="bom_rangkuman_(1)"/>
      <sheetName val="Asset"/>
      <sheetName val="Input-BP"/>
      <sheetName val="Current"/>
      <sheetName val="Cont."/>
      <sheetName val="Code"/>
      <sheetName val="Input-Data"/>
      <sheetName val="Input10_A"/>
      <sheetName val="Input10_B"/>
      <sheetName val="Input10_C"/>
      <sheetName val="Input10_D"/>
      <sheetName val="Input09"/>
      <sheetName val="IM"/>
      <sheetName val="IM (in)"/>
      <sheetName val="IM (out)"/>
    </sheetNames>
    <sheetDataSet>
      <sheetData sheetId="0"/>
      <sheetData sheetId="1"/>
      <sheetData sheetId="2" refreshError="1">
        <row r="2">
          <cell r="A2" t="str">
            <v>P / N</v>
          </cell>
          <cell r="B2">
            <v>2670</v>
          </cell>
          <cell r="C2" t="str">
            <v>TD</v>
          </cell>
          <cell r="D2">
            <v>380097</v>
          </cell>
          <cell r="E2" t="str">
            <v>PRESSURE GAUGE(204C203)</v>
          </cell>
          <cell r="F2">
            <v>1</v>
          </cell>
          <cell r="G2" t="str">
            <v>REMARK</v>
          </cell>
        </row>
        <row r="3">
          <cell r="B3">
            <v>80</v>
          </cell>
          <cell r="C3" t="str">
            <v>TD</v>
          </cell>
          <cell r="D3" t="str">
            <v>112-0023-121243</v>
          </cell>
          <cell r="E3" t="str">
            <v>SS41P T2,3 X 4Ft X 8</v>
          </cell>
          <cell r="F3">
            <v>4</v>
          </cell>
        </row>
        <row r="4">
          <cell r="A4">
            <v>506</v>
          </cell>
          <cell r="B4">
            <v>90</v>
          </cell>
          <cell r="C4" t="str">
            <v>TD</v>
          </cell>
          <cell r="D4" t="str">
            <v>112-0032-121243</v>
          </cell>
          <cell r="E4" t="str">
            <v>SS400 T3,2x4'x8'</v>
          </cell>
          <cell r="F4">
            <v>4.05</v>
          </cell>
        </row>
        <row r="5">
          <cell r="A5">
            <v>2010</v>
          </cell>
          <cell r="B5">
            <v>100</v>
          </cell>
          <cell r="C5" t="str">
            <v>TD</v>
          </cell>
          <cell r="D5" t="str">
            <v>112-0045-152609</v>
          </cell>
          <cell r="E5" t="str">
            <v>SS400 T4,5x5'x20'</v>
          </cell>
          <cell r="F5">
            <v>1.35</v>
          </cell>
        </row>
        <row r="6">
          <cell r="A6">
            <v>2010</v>
          </cell>
          <cell r="B6">
            <v>110</v>
          </cell>
          <cell r="C6" t="str">
            <v>TD</v>
          </cell>
          <cell r="D6" t="str">
            <v>112-0060-152609</v>
          </cell>
          <cell r="E6" t="str">
            <v>SS400 T6X5FTX20</v>
          </cell>
          <cell r="F6">
            <v>0.95</v>
          </cell>
        </row>
        <row r="7">
          <cell r="A7">
            <v>2011</v>
          </cell>
          <cell r="B7">
            <v>120</v>
          </cell>
          <cell r="C7" t="str">
            <v>TD</v>
          </cell>
          <cell r="D7" t="str">
            <v>112-0090-152609</v>
          </cell>
          <cell r="E7" t="str">
            <v>SS400 T9x5x20</v>
          </cell>
          <cell r="F7">
            <v>0.27</v>
          </cell>
        </row>
        <row r="8">
          <cell r="A8">
            <v>2425</v>
          </cell>
          <cell r="B8">
            <v>130</v>
          </cell>
          <cell r="C8" t="str">
            <v>TD</v>
          </cell>
          <cell r="D8" t="str">
            <v>112-0120-152609</v>
          </cell>
          <cell r="E8" t="str">
            <v>SS400 T12X5FTX20FT</v>
          </cell>
          <cell r="F8">
            <v>0.02</v>
          </cell>
        </row>
        <row r="9">
          <cell r="A9">
            <v>3905</v>
          </cell>
          <cell r="B9">
            <v>140</v>
          </cell>
          <cell r="C9" t="str">
            <v>TD</v>
          </cell>
          <cell r="D9" t="str">
            <v>112-0160-152609</v>
          </cell>
          <cell r="E9" t="str">
            <v>SS400 T16X 5FTX20</v>
          </cell>
          <cell r="F9">
            <v>0.02</v>
          </cell>
        </row>
        <row r="10">
          <cell r="A10">
            <v>3905</v>
          </cell>
          <cell r="B10">
            <v>150</v>
          </cell>
          <cell r="C10" t="str">
            <v>TD</v>
          </cell>
          <cell r="D10" t="str">
            <v>112-0220-152609</v>
          </cell>
          <cell r="E10" t="str">
            <v>SS400 T22x5FTx20FT</v>
          </cell>
          <cell r="F10">
            <v>0.05</v>
          </cell>
        </row>
        <row r="11">
          <cell r="A11">
            <v>4914</v>
          </cell>
          <cell r="B11">
            <v>440</v>
          </cell>
          <cell r="C11" t="str">
            <v>TD</v>
          </cell>
          <cell r="D11" t="str">
            <v>112-0500-152243</v>
          </cell>
          <cell r="E11" t="str">
            <v>SS41P 50X1524X2438</v>
          </cell>
          <cell r="F11">
            <v>0.1</v>
          </cell>
        </row>
        <row r="12">
          <cell r="A12">
            <v>4918</v>
          </cell>
          <cell r="B12">
            <v>160</v>
          </cell>
          <cell r="C12" t="str">
            <v>TD</v>
          </cell>
          <cell r="D12" t="str">
            <v>115-050-050600</v>
          </cell>
          <cell r="E12" t="str">
            <v>STRIP PLATE 5X50X6000</v>
          </cell>
          <cell r="F12">
            <v>0.5</v>
          </cell>
        </row>
        <row r="13">
          <cell r="A13">
            <v>8021</v>
          </cell>
          <cell r="B13">
            <v>430</v>
          </cell>
          <cell r="C13" t="str">
            <v>TD</v>
          </cell>
          <cell r="D13" t="str">
            <v>115-060-065600</v>
          </cell>
          <cell r="E13" t="str">
            <v>FLAT BAR 6X65X6 MTR</v>
          </cell>
          <cell r="F13">
            <v>1</v>
          </cell>
        </row>
        <row r="14">
          <cell r="A14">
            <v>8023</v>
          </cell>
          <cell r="B14">
            <v>420</v>
          </cell>
          <cell r="C14" t="str">
            <v>TD</v>
          </cell>
          <cell r="D14" t="str">
            <v>115-090-065600</v>
          </cell>
          <cell r="E14" t="str">
            <v>STRIP PLATE 9X65X6000</v>
          </cell>
          <cell r="F14">
            <v>1</v>
          </cell>
        </row>
        <row r="15">
          <cell r="A15">
            <v>8023</v>
          </cell>
          <cell r="B15">
            <v>170</v>
          </cell>
          <cell r="C15" t="str">
            <v>TD</v>
          </cell>
          <cell r="D15" t="str">
            <v>115-120-075600</v>
          </cell>
          <cell r="E15" t="str">
            <v>FLAT BAR 12X75X6</v>
          </cell>
          <cell r="F15">
            <v>2</v>
          </cell>
        </row>
        <row r="16">
          <cell r="A16">
            <v>72422</v>
          </cell>
          <cell r="B16">
            <v>190</v>
          </cell>
          <cell r="C16" t="str">
            <v>TD</v>
          </cell>
          <cell r="D16" t="str">
            <v>125-0650-250600</v>
          </cell>
          <cell r="E16" t="str">
            <v>SM 490 YA T 65 X 2500 X 6000</v>
          </cell>
          <cell r="F16">
            <v>0.05</v>
          </cell>
        </row>
        <row r="17">
          <cell r="A17">
            <v>72450</v>
          </cell>
          <cell r="B17">
            <v>180</v>
          </cell>
          <cell r="C17" t="str">
            <v>TD</v>
          </cell>
          <cell r="D17" t="str">
            <v>140-0032-121243</v>
          </cell>
          <cell r="E17" t="str">
            <v>BORDES T3.2X1219X2438</v>
          </cell>
          <cell r="F17">
            <v>0.5</v>
          </cell>
        </row>
        <row r="18">
          <cell r="A18">
            <v>72452</v>
          </cell>
          <cell r="B18">
            <v>200</v>
          </cell>
          <cell r="C18" t="str">
            <v>TD</v>
          </cell>
          <cell r="D18" t="str">
            <v>1F1-0040-125692</v>
          </cell>
          <cell r="E18" t="str">
            <v>DOMEX WEAR 4X1250X6920</v>
          </cell>
          <cell r="F18">
            <v>8</v>
          </cell>
        </row>
        <row r="19">
          <cell r="A19">
            <v>82014</v>
          </cell>
          <cell r="B19">
            <v>210</v>
          </cell>
          <cell r="C19" t="str">
            <v>TD</v>
          </cell>
          <cell r="D19" t="str">
            <v>221-0010-00600</v>
          </cell>
          <cell r="E19" t="str">
            <v>RB ST41 10MMX6 MTR</v>
          </cell>
          <cell r="F19">
            <v>1</v>
          </cell>
        </row>
        <row r="20">
          <cell r="A20">
            <v>85468</v>
          </cell>
          <cell r="B20">
            <v>220</v>
          </cell>
          <cell r="C20" t="str">
            <v>TD</v>
          </cell>
          <cell r="D20" t="str">
            <v>221-0159-00600</v>
          </cell>
          <cell r="E20" t="str">
            <v>RB ST41 5/8"" X 6 MTR</v>
          </cell>
          <cell r="F20">
            <v>1</v>
          </cell>
        </row>
        <row r="21">
          <cell r="A21">
            <v>85830</v>
          </cell>
          <cell r="B21">
            <v>230</v>
          </cell>
          <cell r="C21" t="str">
            <v>TD</v>
          </cell>
          <cell r="D21" t="str">
            <v>221-0190-00600</v>
          </cell>
          <cell r="E21" t="str">
            <v>RB ST37 DIA 19 X 6000</v>
          </cell>
          <cell r="F21">
            <v>0.75</v>
          </cell>
        </row>
        <row r="22">
          <cell r="A22">
            <v>94664</v>
          </cell>
          <cell r="B22">
            <v>240</v>
          </cell>
          <cell r="C22" t="str">
            <v>TD</v>
          </cell>
          <cell r="D22" t="str">
            <v>221-0381-00600</v>
          </cell>
          <cell r="E22" t="str">
            <v>RB ST41 1 1/2"X6 MTR</v>
          </cell>
          <cell r="F22">
            <v>0.01</v>
          </cell>
        </row>
        <row r="23">
          <cell r="A23">
            <v>94666</v>
          </cell>
          <cell r="B23">
            <v>250</v>
          </cell>
          <cell r="C23" t="str">
            <v>TD</v>
          </cell>
          <cell r="D23" t="str">
            <v>221-0508-00600</v>
          </cell>
          <cell r="E23" t="str">
            <v>RB ST41 2"X6 MTR</v>
          </cell>
          <cell r="F23">
            <v>0.02</v>
          </cell>
        </row>
        <row r="24">
          <cell r="A24">
            <v>160579</v>
          </cell>
          <cell r="B24">
            <v>260</v>
          </cell>
          <cell r="C24" t="str">
            <v>TD</v>
          </cell>
          <cell r="D24" t="str">
            <v>230-0190-00600</v>
          </cell>
          <cell r="E24" t="str">
            <v>SQUARE BAR 3/4"X6 MTR</v>
          </cell>
          <cell r="F24">
            <v>0.03</v>
          </cell>
        </row>
        <row r="25">
          <cell r="A25">
            <v>162611</v>
          </cell>
          <cell r="B25">
            <v>270</v>
          </cell>
          <cell r="C25" t="str">
            <v>TD</v>
          </cell>
          <cell r="D25" t="str">
            <v>321-029-290600</v>
          </cell>
          <cell r="E25" t="str">
            <v>PIPE SCH40 D=3/4" X 6000</v>
          </cell>
          <cell r="F25">
            <v>4.5</v>
          </cell>
        </row>
        <row r="26">
          <cell r="A26">
            <v>162612</v>
          </cell>
          <cell r="B26">
            <v>280</v>
          </cell>
          <cell r="C26" t="str">
            <v>TD</v>
          </cell>
          <cell r="D26" t="str">
            <v>321-042-036600</v>
          </cell>
          <cell r="E26" t="str">
            <v>PIPE SCH40 D= 1 1/4""X6000</v>
          </cell>
          <cell r="F26">
            <v>0.5</v>
          </cell>
        </row>
        <row r="27">
          <cell r="A27">
            <v>163520</v>
          </cell>
          <cell r="B27">
            <v>290</v>
          </cell>
          <cell r="C27" t="str">
            <v>TD</v>
          </cell>
          <cell r="D27" t="str">
            <v>321-048-370600</v>
          </cell>
          <cell r="E27" t="str">
            <v>PIPE SCH40 1 1/2"X6M</v>
          </cell>
          <cell r="F27">
            <v>1</v>
          </cell>
        </row>
        <row r="28">
          <cell r="A28">
            <v>163523</v>
          </cell>
          <cell r="B28">
            <v>300</v>
          </cell>
          <cell r="C28" t="str">
            <v>TD</v>
          </cell>
          <cell r="D28" t="str">
            <v>321-060-390600</v>
          </cell>
          <cell r="E28" t="str">
            <v>PIPE SCH40 2"" X 6 MTR</v>
          </cell>
          <cell r="F28">
            <v>0.1</v>
          </cell>
        </row>
        <row r="29">
          <cell r="A29">
            <v>380097</v>
          </cell>
          <cell r="B29">
            <v>310</v>
          </cell>
          <cell r="C29" t="str">
            <v>TD</v>
          </cell>
          <cell r="D29" t="str">
            <v>322-027-390600</v>
          </cell>
          <cell r="E29" t="str">
            <v>PIPE SCH80 3/4</v>
          </cell>
          <cell r="F29">
            <v>0.06</v>
          </cell>
        </row>
        <row r="30">
          <cell r="A30">
            <v>500373</v>
          </cell>
          <cell r="B30">
            <v>320</v>
          </cell>
          <cell r="C30" t="str">
            <v>TD</v>
          </cell>
          <cell r="D30" t="str">
            <v>322-034-450600</v>
          </cell>
          <cell r="E30" t="str">
            <v>PIPE SCH80 1"" X 6 MTR</v>
          </cell>
          <cell r="F30">
            <v>0.2</v>
          </cell>
        </row>
        <row r="31">
          <cell r="A31">
            <v>770710</v>
          </cell>
          <cell r="B31">
            <v>330</v>
          </cell>
          <cell r="C31" t="str">
            <v>TD</v>
          </cell>
          <cell r="D31" t="str">
            <v>322-042-490600</v>
          </cell>
          <cell r="E31" t="str">
            <v>SCH80 1 1/4"X6M</v>
          </cell>
          <cell r="F31">
            <v>0.38</v>
          </cell>
        </row>
        <row r="32">
          <cell r="A32">
            <v>803855</v>
          </cell>
          <cell r="B32">
            <v>340</v>
          </cell>
          <cell r="C32" t="str">
            <v>TD</v>
          </cell>
          <cell r="D32" t="str">
            <v>322-048-510600</v>
          </cell>
          <cell r="E32" t="str">
            <v>PIPE SCH80 1 1/2"" X 6 MTR</v>
          </cell>
          <cell r="F32">
            <v>0.3</v>
          </cell>
        </row>
        <row r="33">
          <cell r="A33">
            <v>876390</v>
          </cell>
          <cell r="B33">
            <v>350</v>
          </cell>
          <cell r="C33" t="str">
            <v>TD</v>
          </cell>
          <cell r="D33" t="str">
            <v>322-076-700600</v>
          </cell>
          <cell r="E33" t="str">
            <v>PIPE SCH80 DIA 2.5" X 6000</v>
          </cell>
          <cell r="F33">
            <v>0.2</v>
          </cell>
        </row>
        <row r="34">
          <cell r="A34">
            <v>881300</v>
          </cell>
          <cell r="B34">
            <v>360</v>
          </cell>
          <cell r="C34" t="str">
            <v>TD</v>
          </cell>
          <cell r="D34" t="str">
            <v>342-030060-206</v>
          </cell>
          <cell r="E34" t="str">
            <v>RECTANGULAR PIPE</v>
          </cell>
          <cell r="F34">
            <v>0.33</v>
          </cell>
        </row>
        <row r="35">
          <cell r="A35">
            <v>900008</v>
          </cell>
          <cell r="B35">
            <v>370</v>
          </cell>
          <cell r="C35" t="str">
            <v>TD</v>
          </cell>
          <cell r="D35" t="str">
            <v>360-080-000600</v>
          </cell>
          <cell r="E35" t="str">
            <v>NS1045 D=80 X 6 MTR</v>
          </cell>
          <cell r="F35">
            <v>0.09</v>
          </cell>
        </row>
        <row r="36">
          <cell r="A36">
            <v>901010</v>
          </cell>
          <cell r="B36">
            <v>380</v>
          </cell>
          <cell r="C36" t="str">
            <v>TD</v>
          </cell>
          <cell r="D36" t="str">
            <v>361-030-00050</v>
          </cell>
          <cell r="E36" t="str">
            <v>BRONZE DIA 30 MM ,  L= 500 MM</v>
          </cell>
          <cell r="F36">
            <v>0.1</v>
          </cell>
        </row>
        <row r="37">
          <cell r="A37">
            <v>1204300</v>
          </cell>
          <cell r="B37">
            <v>1790</v>
          </cell>
          <cell r="C37" t="str">
            <v>TD</v>
          </cell>
          <cell r="D37" t="str">
            <v>3EB-55-12350</v>
          </cell>
          <cell r="E37" t="str">
            <v>CLIP CABLE(204C201)</v>
          </cell>
          <cell r="F37">
            <v>5</v>
          </cell>
        </row>
        <row r="38">
          <cell r="A38">
            <v>1204400</v>
          </cell>
          <cell r="B38">
            <v>460</v>
          </cell>
          <cell r="C38" t="str">
            <v>TD</v>
          </cell>
          <cell r="D38" t="str">
            <v>3-TM7-F11170-M</v>
          </cell>
          <cell r="E38" t="str">
            <v>BLADE CM NO 7</v>
          </cell>
          <cell r="F38">
            <v>40</v>
          </cell>
        </row>
        <row r="39">
          <cell r="A39">
            <v>5013835.837606838</v>
          </cell>
          <cell r="B39">
            <v>710</v>
          </cell>
          <cell r="C39" t="str">
            <v>TD</v>
          </cell>
          <cell r="D39" t="str">
            <v>3-TM7-F12600</v>
          </cell>
          <cell r="E39" t="str">
            <v>PACKING KARET CM(203A302)</v>
          </cell>
          <cell r="F39">
            <v>1</v>
          </cell>
        </row>
        <row r="40">
          <cell r="A40">
            <v>5013846.4216867471</v>
          </cell>
          <cell r="B40">
            <v>700</v>
          </cell>
          <cell r="C40" t="str">
            <v>TD</v>
          </cell>
          <cell r="D40" t="str">
            <v>3-TM7-F15700</v>
          </cell>
          <cell r="E40" t="str">
            <v>CRANK SUPPORT</v>
          </cell>
          <cell r="F40">
            <v>1</v>
          </cell>
        </row>
        <row r="41">
          <cell r="A41">
            <v>5013851.4109589038</v>
          </cell>
          <cell r="B41">
            <v>550</v>
          </cell>
          <cell r="C41" t="str">
            <v>TD</v>
          </cell>
          <cell r="D41" t="str">
            <v>3-TM7-F161B0</v>
          </cell>
          <cell r="E41" t="str">
            <v>FLANGE(204C102)</v>
          </cell>
          <cell r="F41">
            <v>4</v>
          </cell>
        </row>
        <row r="42">
          <cell r="A42">
            <v>5013852.5774647892</v>
          </cell>
          <cell r="B42">
            <v>800</v>
          </cell>
          <cell r="C42" t="str">
            <v>TD</v>
          </cell>
          <cell r="D42" t="str">
            <v>3-TM7-G11000</v>
          </cell>
          <cell r="E42" t="str">
            <v>FENDER 1, (lh)</v>
          </cell>
          <cell r="F42">
            <v>1</v>
          </cell>
        </row>
        <row r="43">
          <cell r="A43">
            <v>5013887.512820513</v>
          </cell>
          <cell r="B43">
            <v>810</v>
          </cell>
          <cell r="C43" t="str">
            <v>TD</v>
          </cell>
          <cell r="D43" t="str">
            <v>3-TM7-G12000</v>
          </cell>
          <cell r="E43" t="str">
            <v>FENDER 1, (rh)</v>
          </cell>
          <cell r="F43">
            <v>1</v>
          </cell>
        </row>
        <row r="44">
          <cell r="A44">
            <v>8000379</v>
          </cell>
          <cell r="B44">
            <v>820</v>
          </cell>
          <cell r="C44" t="str">
            <v>TD</v>
          </cell>
          <cell r="D44" t="str">
            <v>3-TM7-G13000</v>
          </cell>
          <cell r="E44" t="str">
            <v>FENDER 2, (lh)</v>
          </cell>
          <cell r="F44">
            <v>1</v>
          </cell>
        </row>
        <row r="45">
          <cell r="A45">
            <v>8000613</v>
          </cell>
          <cell r="B45">
            <v>830</v>
          </cell>
          <cell r="C45" t="str">
            <v>TD</v>
          </cell>
          <cell r="D45" t="str">
            <v>3-TM7-G14000</v>
          </cell>
          <cell r="E45" t="str">
            <v>FENDER 2, (rh)</v>
          </cell>
          <cell r="F45">
            <v>1</v>
          </cell>
        </row>
        <row r="46">
          <cell r="A46">
            <v>14562750</v>
          </cell>
          <cell r="B46">
            <v>840</v>
          </cell>
          <cell r="C46" t="str">
            <v>TD</v>
          </cell>
          <cell r="D46" t="str">
            <v>3-TM7-G16000</v>
          </cell>
          <cell r="E46" t="str">
            <v>PIPE 2, (rh)</v>
          </cell>
          <cell r="F46">
            <v>1</v>
          </cell>
        </row>
        <row r="47">
          <cell r="A47" t="str">
            <v>03.106.79.03.0</v>
          </cell>
          <cell r="B47">
            <v>850</v>
          </cell>
          <cell r="C47" t="str">
            <v>TD</v>
          </cell>
          <cell r="D47" t="str">
            <v>3-TM7-G18000</v>
          </cell>
          <cell r="E47" t="str">
            <v>PIPE 2 - LH</v>
          </cell>
          <cell r="F47">
            <v>3</v>
          </cell>
        </row>
        <row r="48">
          <cell r="A48" t="str">
            <v>060-70651900</v>
          </cell>
          <cell r="B48">
            <v>520</v>
          </cell>
          <cell r="C48" t="str">
            <v>TD</v>
          </cell>
          <cell r="D48" t="str">
            <v>3-TM7-H11100</v>
          </cell>
          <cell r="E48" t="str">
            <v>TANK, OIL</v>
          </cell>
          <cell r="F48">
            <v>1</v>
          </cell>
        </row>
        <row r="49">
          <cell r="A49" t="str">
            <v>0634-300-610</v>
          </cell>
          <cell r="B49">
            <v>860</v>
          </cell>
          <cell r="C49" t="str">
            <v>TD</v>
          </cell>
          <cell r="D49" t="str">
            <v>3-TM7-M12000</v>
          </cell>
          <cell r="E49" t="str">
            <v>LOWER BRACKET 1</v>
          </cell>
          <cell r="F49">
            <v>2</v>
          </cell>
        </row>
        <row r="50">
          <cell r="A50" t="str">
            <v>07000-02011</v>
          </cell>
          <cell r="B50">
            <v>870</v>
          </cell>
          <cell r="C50" t="str">
            <v>TD</v>
          </cell>
          <cell r="D50" t="str">
            <v>3-TM7-M13000</v>
          </cell>
          <cell r="E50" t="str">
            <v>UPPER BRACKET 1</v>
          </cell>
          <cell r="F50">
            <v>2</v>
          </cell>
        </row>
        <row r="51">
          <cell r="A51" t="str">
            <v>07000-12015</v>
          </cell>
          <cell r="B51">
            <v>880</v>
          </cell>
          <cell r="C51" t="str">
            <v>TD</v>
          </cell>
          <cell r="D51" t="str">
            <v>3-TM7-M14000</v>
          </cell>
          <cell r="E51" t="str">
            <v>LOWER BRACKET 2</v>
          </cell>
          <cell r="F51">
            <v>6</v>
          </cell>
        </row>
        <row r="52">
          <cell r="A52" t="str">
            <v>07000-13032</v>
          </cell>
          <cell r="B52">
            <v>890</v>
          </cell>
          <cell r="C52" t="str">
            <v>TD</v>
          </cell>
          <cell r="D52" t="str">
            <v>3-TM7-M15000</v>
          </cell>
          <cell r="E52" t="str">
            <v>UPPER BRACKET 2</v>
          </cell>
          <cell r="F52">
            <v>6</v>
          </cell>
        </row>
        <row r="53">
          <cell r="A53" t="str">
            <v>07000-13040</v>
          </cell>
          <cell r="B53">
            <v>530</v>
          </cell>
          <cell r="C53" t="str">
            <v>TD</v>
          </cell>
          <cell r="D53" t="str">
            <v>3-TM7-Q11100</v>
          </cell>
          <cell r="E53" t="str">
            <v>TANK, WATER</v>
          </cell>
          <cell r="F53">
            <v>1</v>
          </cell>
        </row>
        <row r="54">
          <cell r="A54" t="str">
            <v>07371-00638</v>
          </cell>
          <cell r="B54">
            <v>50</v>
          </cell>
          <cell r="C54" t="str">
            <v>TD</v>
          </cell>
          <cell r="D54" t="str">
            <v>3-TM7-T11000</v>
          </cell>
          <cell r="E54" t="str">
            <v>PROPELLER SHAFT(204E101)</v>
          </cell>
          <cell r="F54">
            <v>1</v>
          </cell>
        </row>
        <row r="55">
          <cell r="A55" t="str">
            <v>07JIC-M08-01</v>
          </cell>
          <cell r="B55">
            <v>930</v>
          </cell>
          <cell r="C55" t="str">
            <v>TD</v>
          </cell>
          <cell r="D55" t="str">
            <v>3-TM7-T12600</v>
          </cell>
          <cell r="E55" t="str">
            <v>U-BOLT BRACKET PUMP CM</v>
          </cell>
          <cell r="F55">
            <v>4</v>
          </cell>
        </row>
        <row r="56">
          <cell r="A56" t="str">
            <v>0830-1007-68</v>
          </cell>
          <cell r="B56">
            <v>2890</v>
          </cell>
          <cell r="C56" t="str">
            <v>SM</v>
          </cell>
          <cell r="D56" t="str">
            <v>3-TM7-T12600</v>
          </cell>
          <cell r="E56" t="str">
            <v>U-BOLT BRACKET PUMP CM</v>
          </cell>
          <cell r="F56">
            <v>4</v>
          </cell>
        </row>
        <row r="57">
          <cell r="A57" t="str">
            <v>10.00X20-16-GTM</v>
          </cell>
          <cell r="B57">
            <v>650</v>
          </cell>
          <cell r="C57" t="str">
            <v>TD</v>
          </cell>
          <cell r="D57" t="str">
            <v>3-TMT-JF15500</v>
          </cell>
          <cell r="E57" t="str">
            <v>CRANK ASSY(CASE CM 1)</v>
          </cell>
          <cell r="F57">
            <v>1</v>
          </cell>
        </row>
        <row r="58">
          <cell r="A58" t="str">
            <v>10.00X20-16PR-GT</v>
          </cell>
          <cell r="B58">
            <v>1800</v>
          </cell>
          <cell r="C58" t="str">
            <v>TD</v>
          </cell>
          <cell r="D58" t="str">
            <v>3-VE003-0002</v>
          </cell>
          <cell r="E58" t="str">
            <v>WORKING LAMP(203B201)</v>
          </cell>
          <cell r="F58">
            <v>1</v>
          </cell>
        </row>
        <row r="59">
          <cell r="A59" t="str">
            <v>10.00X20-16PR-GY</v>
          </cell>
          <cell r="B59">
            <v>2090</v>
          </cell>
          <cell r="C59" t="str">
            <v>TD</v>
          </cell>
          <cell r="D59" t="str">
            <v>3-VE007-0001</v>
          </cell>
          <cell r="E59" t="str">
            <v>REFLEXTOR(204B203)</v>
          </cell>
          <cell r="F59">
            <v>2</v>
          </cell>
        </row>
        <row r="60">
          <cell r="A60" t="str">
            <v>100X80FS2H522</v>
          </cell>
          <cell r="B60">
            <v>2100</v>
          </cell>
          <cell r="C60" t="str">
            <v>TD</v>
          </cell>
          <cell r="D60" t="str">
            <v>3-VE008-0001</v>
          </cell>
          <cell r="E60" t="str">
            <v>SWITCH</v>
          </cell>
          <cell r="F60">
            <v>4</v>
          </cell>
        </row>
        <row r="61">
          <cell r="A61" t="str">
            <v>100X80FS4J522</v>
          </cell>
          <cell r="B61">
            <v>2120</v>
          </cell>
          <cell r="C61" t="str">
            <v>TD</v>
          </cell>
          <cell r="D61" t="str">
            <v>3-VE009-0001</v>
          </cell>
          <cell r="E61" t="str">
            <v>NUT</v>
          </cell>
          <cell r="F61">
            <v>4</v>
          </cell>
        </row>
        <row r="62">
          <cell r="A62" t="str">
            <v>1019D</v>
          </cell>
          <cell r="B62">
            <v>2110</v>
          </cell>
          <cell r="C62" t="str">
            <v>TD</v>
          </cell>
          <cell r="D62" t="str">
            <v>3-VE010-0001</v>
          </cell>
          <cell r="E62" t="str">
            <v>WASHER SPRING</v>
          </cell>
          <cell r="F62">
            <v>4</v>
          </cell>
        </row>
        <row r="63">
          <cell r="A63" t="str">
            <v>10WSHX</v>
          </cell>
          <cell r="B63">
            <v>1520</v>
          </cell>
          <cell r="C63" t="str">
            <v>TD</v>
          </cell>
          <cell r="D63" t="str">
            <v>3-VM005-2001</v>
          </cell>
          <cell r="E63" t="str">
            <v>U-BOLT</v>
          </cell>
          <cell r="F63">
            <v>2</v>
          </cell>
        </row>
        <row r="64">
          <cell r="A64" t="str">
            <v>10X12NJ-R1-08-1100</v>
          </cell>
          <cell r="B64">
            <v>1530</v>
          </cell>
          <cell r="C64" t="str">
            <v>TD</v>
          </cell>
          <cell r="D64" t="str">
            <v>3-VM005-2002</v>
          </cell>
          <cell r="E64" t="str">
            <v>U-BOLT</v>
          </cell>
          <cell r="F64">
            <v>2</v>
          </cell>
        </row>
        <row r="65">
          <cell r="A65" t="str">
            <v>11.00X20-16PR-GT</v>
          </cell>
          <cell r="B65">
            <v>60</v>
          </cell>
          <cell r="C65" t="str">
            <v>TD</v>
          </cell>
          <cell r="D65" t="str">
            <v>3-VM056-2001</v>
          </cell>
          <cell r="E65" t="str">
            <v>PROPELLER SHAFT C/M(203D301)</v>
          </cell>
          <cell r="F65">
            <v>1</v>
          </cell>
        </row>
        <row r="66">
          <cell r="A66" t="str">
            <v>11062-A0000</v>
          </cell>
          <cell r="B66">
            <v>2280</v>
          </cell>
          <cell r="C66" t="str">
            <v>TD</v>
          </cell>
          <cell r="D66" t="str">
            <v>3-VP001-2005</v>
          </cell>
          <cell r="E66" t="str">
            <v>HOSE CON. 1" X 1"(204D201)</v>
          </cell>
          <cell r="F66">
            <v>1</v>
          </cell>
        </row>
        <row r="67">
          <cell r="A67" t="str">
            <v>11-1390</v>
          </cell>
          <cell r="B67">
            <v>2700</v>
          </cell>
          <cell r="C67" t="str">
            <v>TD</v>
          </cell>
          <cell r="D67" t="str">
            <v>3-VP001-2007</v>
          </cell>
          <cell r="E67" t="str">
            <v>HOSE CON. 3/8 X 3/8"(204B202)</v>
          </cell>
          <cell r="F67">
            <v>2</v>
          </cell>
        </row>
        <row r="68">
          <cell r="A68" t="str">
            <v>112-190-152609</v>
          </cell>
          <cell r="B68">
            <v>2680</v>
          </cell>
          <cell r="C68" t="str">
            <v>TD</v>
          </cell>
          <cell r="D68" t="str">
            <v>3-VP002-2002</v>
          </cell>
          <cell r="E68" t="str">
            <v>D.NIPPLE 1/2"X1/2"(204B202)</v>
          </cell>
          <cell r="F68">
            <v>2</v>
          </cell>
        </row>
        <row r="69">
          <cell r="A69" t="str">
            <v>116-006</v>
          </cell>
          <cell r="B69">
            <v>2690</v>
          </cell>
          <cell r="C69" t="str">
            <v>TD</v>
          </cell>
          <cell r="D69" t="str">
            <v>3-VP002-2003</v>
          </cell>
          <cell r="E69" t="str">
            <v>D.NIPPLE 3/4NPT X 3/4NPT (M)</v>
          </cell>
          <cell r="F69">
            <v>1</v>
          </cell>
        </row>
        <row r="70">
          <cell r="A70" t="str">
            <v>1200R20TG85</v>
          </cell>
          <cell r="B70">
            <v>1710</v>
          </cell>
          <cell r="C70" t="str">
            <v>TD</v>
          </cell>
          <cell r="D70" t="str">
            <v>3-VP006-2004</v>
          </cell>
          <cell r="E70" t="str">
            <v>TUB KQH 3/8 x 12 mm(204C203)</v>
          </cell>
          <cell r="F70">
            <v>2</v>
          </cell>
        </row>
        <row r="71">
          <cell r="A71" t="str">
            <v>1200R24TG85</v>
          </cell>
          <cell r="B71">
            <v>1720</v>
          </cell>
          <cell r="C71" t="str">
            <v>TD</v>
          </cell>
          <cell r="D71" t="str">
            <v>3-VP006-3002</v>
          </cell>
          <cell r="E71" t="str">
            <v>TUBU\E CON.KQL 3/8X12MM(202C403)</v>
          </cell>
          <cell r="F71">
            <v>2</v>
          </cell>
        </row>
        <row r="72">
          <cell r="A72" t="str">
            <v>1210-51025</v>
          </cell>
          <cell r="B72">
            <v>1730</v>
          </cell>
          <cell r="C72" t="str">
            <v>TD</v>
          </cell>
          <cell r="D72" t="str">
            <v>3-VP009-1002</v>
          </cell>
          <cell r="E72" t="str">
            <v>NIPPLE, DOUBLE(204D202)</v>
          </cell>
          <cell r="F72">
            <v>3</v>
          </cell>
        </row>
        <row r="73">
          <cell r="A73" t="str">
            <v>125X100X250</v>
          </cell>
          <cell r="B73">
            <v>1740</v>
          </cell>
          <cell r="C73" t="str">
            <v>TD</v>
          </cell>
          <cell r="D73" t="str">
            <v>3-VP011-0003</v>
          </cell>
          <cell r="E73" t="str">
            <v>VALVE BALL 3/8(204D201)</v>
          </cell>
          <cell r="F73">
            <v>1</v>
          </cell>
        </row>
        <row r="74">
          <cell r="A74" t="str">
            <v>125X100X250(1)</v>
          </cell>
          <cell r="B74">
            <v>2350</v>
          </cell>
          <cell r="C74" t="str">
            <v>TD</v>
          </cell>
          <cell r="D74" t="str">
            <v>3-VP011-2005</v>
          </cell>
          <cell r="E74" t="str">
            <v>VALVE BALL 3/4"(204D203)</v>
          </cell>
          <cell r="F74">
            <v>1</v>
          </cell>
        </row>
        <row r="75">
          <cell r="A75" t="str">
            <v>125X100X250(2)</v>
          </cell>
          <cell r="B75">
            <v>2230</v>
          </cell>
          <cell r="C75" t="str">
            <v>TD</v>
          </cell>
          <cell r="D75" t="str">
            <v>3-VP012-0960</v>
          </cell>
          <cell r="E75" t="str">
            <v>COUPLER, quick</v>
          </cell>
          <cell r="F75">
            <v>1</v>
          </cell>
        </row>
        <row r="76">
          <cell r="A76" t="str">
            <v>125X100X250(3)</v>
          </cell>
          <cell r="B76">
            <v>1770</v>
          </cell>
          <cell r="C76" t="str">
            <v>TD</v>
          </cell>
          <cell r="D76" t="str">
            <v>3-VP047-0001</v>
          </cell>
          <cell r="E76" t="str">
            <v>VALVE THREE WAY(204D203)</v>
          </cell>
          <cell r="F76">
            <v>1</v>
          </cell>
        </row>
        <row r="77">
          <cell r="A77" t="str">
            <v>14U-70-11210</v>
          </cell>
          <cell r="B77">
            <v>2360</v>
          </cell>
          <cell r="C77" t="str">
            <v>TD</v>
          </cell>
          <cell r="D77" t="str">
            <v>3-VP055-0001</v>
          </cell>
          <cell r="E77" t="str">
            <v>AIR BREATHE (204C101)</v>
          </cell>
          <cell r="F77">
            <v>1</v>
          </cell>
        </row>
        <row r="78">
          <cell r="A78" t="str">
            <v>14U-70-11220</v>
          </cell>
          <cell r="B78">
            <v>390</v>
          </cell>
          <cell r="C78" t="str">
            <v>TD</v>
          </cell>
          <cell r="D78" t="str">
            <v>411-040040-046</v>
          </cell>
          <cell r="E78" t="str">
            <v>ANGLE PLATE 40X40X4X6000</v>
          </cell>
          <cell r="F78">
            <v>0.1</v>
          </cell>
        </row>
        <row r="79">
          <cell r="A79" t="str">
            <v>14WS3230HX</v>
          </cell>
          <cell r="B79">
            <v>600</v>
          </cell>
          <cell r="C79" t="str">
            <v>TD</v>
          </cell>
          <cell r="D79" t="str">
            <v>4-TM4-F161D0</v>
          </cell>
          <cell r="E79" t="str">
            <v xml:space="preserve"> Inner Race(204B101)</v>
          </cell>
          <cell r="F79">
            <v>2</v>
          </cell>
        </row>
        <row r="80">
          <cell r="A80" t="str">
            <v>1503-1329-01</v>
          </cell>
          <cell r="B80">
            <v>610</v>
          </cell>
          <cell r="C80" t="str">
            <v>TD</v>
          </cell>
          <cell r="D80" t="str">
            <v>4-TM4-F161E0</v>
          </cell>
          <cell r="E80" t="str">
            <v xml:space="preserve"> Outer Race (204B101)</v>
          </cell>
          <cell r="F80">
            <v>2</v>
          </cell>
        </row>
        <row r="81">
          <cell r="A81" t="str">
            <v>1503-2175-00</v>
          </cell>
          <cell r="B81">
            <v>450</v>
          </cell>
          <cell r="C81" t="str">
            <v>TD</v>
          </cell>
          <cell r="D81" t="str">
            <v>4-TM7-F11110</v>
          </cell>
          <cell r="E81" t="str">
            <v>BLADE CM NO 1 TEBAL</v>
          </cell>
          <cell r="F81">
            <v>2</v>
          </cell>
        </row>
        <row r="82">
          <cell r="A82" t="str">
            <v>1503-6176-60</v>
          </cell>
          <cell r="B82">
            <v>720</v>
          </cell>
          <cell r="C82" t="str">
            <v>TD</v>
          </cell>
          <cell r="D82" t="str">
            <v>4-TM7-F13200</v>
          </cell>
          <cell r="E82" t="str">
            <v>RUBBER, hopper(203A303)</v>
          </cell>
          <cell r="F82">
            <v>1</v>
          </cell>
        </row>
        <row r="83">
          <cell r="A83" t="str">
            <v>150X125X250</v>
          </cell>
          <cell r="B83">
            <v>730</v>
          </cell>
          <cell r="C83" t="str">
            <v>TD</v>
          </cell>
          <cell r="D83" t="str">
            <v>4-TM7-F15600</v>
          </cell>
          <cell r="E83" t="str">
            <v>BUSHING(204C102)</v>
          </cell>
          <cell r="F83">
            <v>1</v>
          </cell>
        </row>
        <row r="84">
          <cell r="A84" t="str">
            <v>163510-04-01</v>
          </cell>
          <cell r="B84">
            <v>660</v>
          </cell>
          <cell r="C84" t="str">
            <v>TD</v>
          </cell>
          <cell r="D84" t="str">
            <v>4-TM7-F15T10</v>
          </cell>
          <cell r="E84" t="str">
            <v>PIN 1 CM(204B101)</v>
          </cell>
          <cell r="F84">
            <v>1</v>
          </cell>
        </row>
        <row r="85">
          <cell r="A85" t="str">
            <v>163510-04-02</v>
          </cell>
          <cell r="B85">
            <v>670</v>
          </cell>
          <cell r="C85" t="str">
            <v>TD</v>
          </cell>
          <cell r="D85" t="str">
            <v>4-TM7-F15T20</v>
          </cell>
          <cell r="E85" t="str">
            <v>PIN 2 CM(204B101)</v>
          </cell>
          <cell r="F85">
            <v>1</v>
          </cell>
        </row>
        <row r="86">
          <cell r="A86" t="str">
            <v>163510-05-01</v>
          </cell>
          <cell r="B86">
            <v>680</v>
          </cell>
          <cell r="C86" t="str">
            <v>TD</v>
          </cell>
          <cell r="D86" t="str">
            <v>4-TM7-F15T30</v>
          </cell>
          <cell r="E86" t="str">
            <v>PIN 3 CM(204B101)</v>
          </cell>
          <cell r="F86">
            <v>1</v>
          </cell>
        </row>
        <row r="87">
          <cell r="A87" t="str">
            <v>163510-05-02</v>
          </cell>
          <cell r="B87">
            <v>690</v>
          </cell>
          <cell r="C87" t="str">
            <v>TD</v>
          </cell>
          <cell r="D87" t="str">
            <v>4-TM7-F15T40</v>
          </cell>
          <cell r="E87" t="str">
            <v>PIN 4 CM(204B101)</v>
          </cell>
          <cell r="F87">
            <v>2</v>
          </cell>
        </row>
        <row r="88">
          <cell r="A88" t="str">
            <v>163510-05-03</v>
          </cell>
          <cell r="B88">
            <v>620</v>
          </cell>
          <cell r="C88" t="str">
            <v>TD</v>
          </cell>
          <cell r="D88" t="str">
            <v>4-TM7-F16120</v>
          </cell>
          <cell r="E88" t="str">
            <v>BRACKET ROLLER</v>
          </cell>
          <cell r="F88">
            <v>2</v>
          </cell>
        </row>
        <row r="89">
          <cell r="A89" t="str">
            <v>163510-05-101</v>
          </cell>
          <cell r="B89">
            <v>630</v>
          </cell>
          <cell r="C89" t="str">
            <v>TD</v>
          </cell>
          <cell r="D89" t="str">
            <v>4-TM7-F16130</v>
          </cell>
          <cell r="E89" t="str">
            <v>COLLAR</v>
          </cell>
          <cell r="F89">
            <v>2</v>
          </cell>
        </row>
        <row r="90">
          <cell r="A90" t="str">
            <v>163510-06-01</v>
          </cell>
          <cell r="B90">
            <v>640</v>
          </cell>
          <cell r="C90" t="str">
            <v>TD</v>
          </cell>
          <cell r="D90" t="str">
            <v>4-TM7-F16150</v>
          </cell>
          <cell r="E90" t="str">
            <v>SPACER CM(204B101)</v>
          </cell>
          <cell r="F90">
            <v>2</v>
          </cell>
        </row>
        <row r="91">
          <cell r="A91" t="str">
            <v>163510-06-02</v>
          </cell>
          <cell r="B91">
            <v>540</v>
          </cell>
          <cell r="C91" t="str">
            <v>TD</v>
          </cell>
          <cell r="D91" t="str">
            <v>4-TM7-F161A0</v>
          </cell>
          <cell r="E91" t="str">
            <v>ROLLER(FLOOOR WH)</v>
          </cell>
          <cell r="F91">
            <v>2</v>
          </cell>
        </row>
        <row r="92">
          <cell r="A92" t="str">
            <v>163510-06-03</v>
          </cell>
          <cell r="B92">
            <v>560</v>
          </cell>
          <cell r="C92" t="str">
            <v>TD</v>
          </cell>
          <cell r="D92" t="str">
            <v>4-TM7-F161H0</v>
          </cell>
          <cell r="E92" t="str">
            <v>Shim ROLLER 0.1MM(204D202)</v>
          </cell>
          <cell r="F92">
            <v>2</v>
          </cell>
        </row>
        <row r="93">
          <cell r="A93" t="str">
            <v>172-0320-250400</v>
          </cell>
          <cell r="B93">
            <v>570</v>
          </cell>
          <cell r="C93" t="str">
            <v>TD</v>
          </cell>
          <cell r="D93" t="str">
            <v>4-TM7-F161J0</v>
          </cell>
          <cell r="E93" t="str">
            <v>Shim ROLER 0.2MM(204D202)</v>
          </cell>
          <cell r="F93">
            <v>2</v>
          </cell>
        </row>
        <row r="94">
          <cell r="A94" t="str">
            <v>172-L-3-6.5M</v>
          </cell>
          <cell r="B94">
            <v>580</v>
          </cell>
          <cell r="C94" t="str">
            <v>TD</v>
          </cell>
          <cell r="D94" t="str">
            <v>4-TM7-F161K0</v>
          </cell>
          <cell r="E94" t="str">
            <v>Shim ROLLER 0.3MM(204D202)</v>
          </cell>
          <cell r="F94">
            <v>2</v>
          </cell>
        </row>
        <row r="95">
          <cell r="A95" t="str">
            <v>176-32-11210</v>
          </cell>
          <cell r="B95">
            <v>590</v>
          </cell>
          <cell r="C95" t="str">
            <v>TD</v>
          </cell>
          <cell r="D95" t="str">
            <v>4-TM7-F161L0</v>
          </cell>
          <cell r="E95" t="str">
            <v>Shim ROLER 0.5MM(204D202)</v>
          </cell>
          <cell r="F95">
            <v>2</v>
          </cell>
        </row>
        <row r="96">
          <cell r="A96" t="str">
            <v>17JF45-17JF-12-185</v>
          </cell>
          <cell r="B96">
            <v>740</v>
          </cell>
          <cell r="C96" t="str">
            <v>TD</v>
          </cell>
          <cell r="D96" t="str">
            <v>4-TM7-F16T10</v>
          </cell>
          <cell r="E96" t="str">
            <v>SHIM PLATE 0.1MM(204D202)</v>
          </cell>
          <cell r="F96">
            <v>2</v>
          </cell>
        </row>
        <row r="97">
          <cell r="A97" t="str">
            <v>17JF90-17JF-12-140</v>
          </cell>
          <cell r="B97">
            <v>750</v>
          </cell>
          <cell r="C97" t="str">
            <v>TD</v>
          </cell>
          <cell r="D97" t="str">
            <v>4-TM7-F16T20</v>
          </cell>
          <cell r="E97" t="str">
            <v>SHIM PLATE 0.2MM(204D202)</v>
          </cell>
          <cell r="F97">
            <v>2</v>
          </cell>
        </row>
        <row r="98">
          <cell r="A98" t="str">
            <v>17JF90-17JF-12-350</v>
          </cell>
          <cell r="B98">
            <v>760</v>
          </cell>
          <cell r="C98" t="str">
            <v>TD</v>
          </cell>
          <cell r="D98" t="str">
            <v>4-TM7-F16T30</v>
          </cell>
          <cell r="E98" t="str">
            <v>SHIM PLATE 0.3MM(204D202)</v>
          </cell>
          <cell r="F98">
            <v>2</v>
          </cell>
        </row>
        <row r="99">
          <cell r="A99" t="str">
            <v>17JF90-17JF-12-600</v>
          </cell>
          <cell r="B99">
            <v>770</v>
          </cell>
          <cell r="C99" t="str">
            <v>TD</v>
          </cell>
          <cell r="D99" t="str">
            <v>4-TM7-F16T40</v>
          </cell>
          <cell r="E99" t="str">
            <v>SHIM PLATE 0.5MM(204D202)</v>
          </cell>
          <cell r="F99">
            <v>2</v>
          </cell>
        </row>
        <row r="100">
          <cell r="A100" t="str">
            <v>184-0060-250610</v>
          </cell>
          <cell r="B100">
            <v>2130</v>
          </cell>
          <cell r="C100" t="str">
            <v>TD</v>
          </cell>
          <cell r="D100" t="str">
            <v>4-TM7-G1B000</v>
          </cell>
          <cell r="E100" t="str">
            <v>SPRING</v>
          </cell>
          <cell r="F100">
            <v>2</v>
          </cell>
        </row>
        <row r="101">
          <cell r="A101" t="str">
            <v>195-32-11222</v>
          </cell>
          <cell r="B101">
            <v>2710</v>
          </cell>
          <cell r="C101" t="str">
            <v>TD</v>
          </cell>
          <cell r="D101" t="str">
            <v>4-TM7-H16000</v>
          </cell>
          <cell r="E101" t="str">
            <v>HOSE KAWAT 1(203C102)</v>
          </cell>
          <cell r="F101">
            <v>2</v>
          </cell>
        </row>
        <row r="102">
          <cell r="A102" t="str">
            <v>195-71-32191</v>
          </cell>
          <cell r="B102">
            <v>940</v>
          </cell>
          <cell r="C102" t="str">
            <v>TD</v>
          </cell>
          <cell r="D102" t="str">
            <v>4-TM7-M17000</v>
          </cell>
          <cell r="E102" t="str">
            <v>PIPE</v>
          </cell>
          <cell r="F102">
            <v>4</v>
          </cell>
        </row>
        <row r="103">
          <cell r="A103" t="str">
            <v>195-71-72330</v>
          </cell>
          <cell r="B103">
            <v>910</v>
          </cell>
          <cell r="C103" t="str">
            <v>TD</v>
          </cell>
          <cell r="D103" t="str">
            <v>4-TM7-T13001</v>
          </cell>
          <cell r="E103" t="str">
            <v xml:space="preserve"> PTO  Adapter(204C102)</v>
          </cell>
          <cell r="F103">
            <v>1</v>
          </cell>
        </row>
        <row r="104">
          <cell r="A104" t="str">
            <v>195-71-72331</v>
          </cell>
          <cell r="B104">
            <v>920</v>
          </cell>
          <cell r="C104" t="str">
            <v>TD</v>
          </cell>
          <cell r="D104" t="str">
            <v>4-TM7-T15001</v>
          </cell>
          <cell r="E104" t="str">
            <v xml:space="preserve"> Pump Adapter(204C102)</v>
          </cell>
          <cell r="F104">
            <v>1</v>
          </cell>
        </row>
        <row r="105">
          <cell r="A105" t="str">
            <v>195-71-72340</v>
          </cell>
          <cell r="B105">
            <v>2720</v>
          </cell>
          <cell r="C105" t="str">
            <v>TD</v>
          </cell>
          <cell r="D105" t="str">
            <v>4-VH001-2002</v>
          </cell>
          <cell r="E105" t="str">
            <v>O RING VITTON D516(204D202)</v>
          </cell>
          <cell r="F105">
            <v>1</v>
          </cell>
        </row>
        <row r="106">
          <cell r="A106" t="str">
            <v>195-71-72341</v>
          </cell>
          <cell r="B106">
            <v>2620</v>
          </cell>
          <cell r="C106" t="str">
            <v>TD</v>
          </cell>
          <cell r="D106" t="str">
            <v>4-VH015-2001</v>
          </cell>
          <cell r="E106" t="str">
            <v>STEMP UNIVERSAL DSU 87/3012 ( 204D202 )</v>
          </cell>
          <cell r="F106">
            <v>2</v>
          </cell>
        </row>
        <row r="107">
          <cell r="A107" t="str">
            <v>195-71-72350</v>
          </cell>
          <cell r="B107">
            <v>2610</v>
          </cell>
          <cell r="C107" t="str">
            <v>TD</v>
          </cell>
          <cell r="D107" t="str">
            <v>4-VH016-2001</v>
          </cell>
          <cell r="E107" t="str">
            <v>STEMP UNIVERSAL DSU 04/1212 (204D202)</v>
          </cell>
          <cell r="F107">
            <v>2</v>
          </cell>
        </row>
        <row r="108">
          <cell r="A108" t="str">
            <v>195-71-72360</v>
          </cell>
          <cell r="B108">
            <v>1150</v>
          </cell>
          <cell r="C108" t="str">
            <v>TD</v>
          </cell>
          <cell r="D108" t="str">
            <v>4-VM049-0001</v>
          </cell>
          <cell r="E108" t="str">
            <v>PER TARIK 1X80</v>
          </cell>
          <cell r="F108">
            <v>1</v>
          </cell>
        </row>
        <row r="109">
          <cell r="A109" t="str">
            <v>195-71-73210</v>
          </cell>
          <cell r="B109">
            <v>1160</v>
          </cell>
          <cell r="C109" t="str">
            <v>TD</v>
          </cell>
          <cell r="D109" t="str">
            <v>4-VM052-0001</v>
          </cell>
          <cell r="E109" t="str">
            <v>Spring(204D201)</v>
          </cell>
          <cell r="F109">
            <v>1</v>
          </cell>
        </row>
        <row r="110">
          <cell r="A110" t="str">
            <v>195-71-74410</v>
          </cell>
          <cell r="B110">
            <v>1380</v>
          </cell>
          <cell r="C110" t="str">
            <v>TD</v>
          </cell>
          <cell r="D110" t="str">
            <v>4-VM053-0001</v>
          </cell>
          <cell r="E110" t="str">
            <v>BEARING CM(204B101)</v>
          </cell>
          <cell r="F110">
            <v>4</v>
          </cell>
        </row>
        <row r="111">
          <cell r="A111" t="str">
            <v>195-72-72320</v>
          </cell>
          <cell r="B111">
            <v>1390</v>
          </cell>
          <cell r="C111" t="str">
            <v>TD</v>
          </cell>
          <cell r="D111" t="str">
            <v>4-VM054-0001</v>
          </cell>
          <cell r="E111" t="str">
            <v>SEAL CM(204B101)</v>
          </cell>
          <cell r="F111">
            <v>4</v>
          </cell>
        </row>
        <row r="112">
          <cell r="A112" t="str">
            <v>195-72-72350</v>
          </cell>
          <cell r="B112">
            <v>2260</v>
          </cell>
          <cell r="C112" t="str">
            <v>TD</v>
          </cell>
          <cell r="D112" t="str">
            <v>4-VM055-0001</v>
          </cell>
          <cell r="E112" t="str">
            <v>PLATE, level</v>
          </cell>
          <cell r="F112">
            <v>1</v>
          </cell>
        </row>
        <row r="113">
          <cell r="A113" t="str">
            <v>195-72-72360</v>
          </cell>
          <cell r="B113">
            <v>1050</v>
          </cell>
          <cell r="C113" t="str">
            <v>TD</v>
          </cell>
          <cell r="D113" t="str">
            <v>4-VM055-0002</v>
          </cell>
          <cell r="E113" t="str">
            <v>NAME PLATE, hopper</v>
          </cell>
          <cell r="F113">
            <v>2</v>
          </cell>
        </row>
        <row r="114">
          <cell r="A114" t="str">
            <v>1BE-1F13400P</v>
          </cell>
          <cell r="B114">
            <v>1400</v>
          </cell>
          <cell r="C114" t="str">
            <v>TD</v>
          </cell>
          <cell r="D114" t="str">
            <v>4-VM060-2001</v>
          </cell>
          <cell r="E114" t="str">
            <v>WASHER CM(204B101)</v>
          </cell>
          <cell r="F114">
            <v>8</v>
          </cell>
        </row>
        <row r="115">
          <cell r="A115" t="str">
            <v>1BE-1F1350X</v>
          </cell>
          <cell r="B115">
            <v>2290</v>
          </cell>
          <cell r="C115" t="str">
            <v>TD</v>
          </cell>
          <cell r="D115" t="str">
            <v>4-VP001-3001</v>
          </cell>
          <cell r="E115" t="str">
            <v>CONECTOR HOSE (204D201)</v>
          </cell>
          <cell r="F115">
            <v>1</v>
          </cell>
        </row>
        <row r="116">
          <cell r="A116" t="str">
            <v>1BE-1F1360X</v>
          </cell>
          <cell r="B116">
            <v>2730</v>
          </cell>
          <cell r="C116" t="str">
            <v>TD</v>
          </cell>
          <cell r="D116" t="str">
            <v>4-VP001-3003</v>
          </cell>
          <cell r="E116" t="str">
            <v>HOSE CONNECTOR 1/2 NPT x3/4</v>
          </cell>
          <cell r="F116">
            <v>4</v>
          </cell>
        </row>
        <row r="117">
          <cell r="A117" t="str">
            <v>1BE-1F1370X</v>
          </cell>
          <cell r="B117">
            <v>2300</v>
          </cell>
          <cell r="C117" t="str">
            <v>TD</v>
          </cell>
          <cell r="D117" t="str">
            <v>4-VP007-3001</v>
          </cell>
          <cell r="E117" t="str">
            <v>L BOW 3/4"(202C403)</v>
          </cell>
          <cell r="F117">
            <v>2</v>
          </cell>
        </row>
        <row r="118">
          <cell r="A118" t="str">
            <v>1BE-1F5340P-M</v>
          </cell>
          <cell r="B118">
            <v>2740</v>
          </cell>
          <cell r="C118" t="str">
            <v>TD</v>
          </cell>
          <cell r="D118" t="str">
            <v>4-VP011-2005</v>
          </cell>
          <cell r="E118" t="str">
            <v>BALL VALVE 1/2"(204D201)</v>
          </cell>
          <cell r="F118">
            <v>1</v>
          </cell>
        </row>
        <row r="119">
          <cell r="A119" t="str">
            <v>1BE-1F5400P-M</v>
          </cell>
          <cell r="B119">
            <v>2940</v>
          </cell>
          <cell r="C119" t="str">
            <v>TD</v>
          </cell>
          <cell r="D119" t="str">
            <v>4-VP046-3002</v>
          </cell>
          <cell r="E119" t="str">
            <v>NOZZLE 1/2"CM(204B101)</v>
          </cell>
          <cell r="F119">
            <v>2</v>
          </cell>
        </row>
        <row r="120">
          <cell r="A120" t="str">
            <v>1BE-1F5500P-M</v>
          </cell>
          <cell r="B120">
            <v>2320</v>
          </cell>
          <cell r="C120" t="str">
            <v>TD</v>
          </cell>
          <cell r="D120" t="str">
            <v>4-VP050-2096</v>
          </cell>
          <cell r="E120" t="str">
            <v>SAFETY VALVE(204C303)</v>
          </cell>
          <cell r="F120">
            <v>1</v>
          </cell>
        </row>
        <row r="121">
          <cell r="A121" t="str">
            <v>1BE-1F6300P</v>
          </cell>
          <cell r="B121">
            <v>400</v>
          </cell>
          <cell r="C121" t="str">
            <v>TD</v>
          </cell>
          <cell r="D121" t="str">
            <v>742-050-121243</v>
          </cell>
          <cell r="E121" t="str">
            <v>ORNAMESH 5X4X8</v>
          </cell>
          <cell r="F121">
            <v>1</v>
          </cell>
        </row>
        <row r="122">
          <cell r="A122" t="str">
            <v>1BE-1F6340P</v>
          </cell>
          <cell r="B122">
            <v>2240</v>
          </cell>
          <cell r="C122" t="str">
            <v>TD</v>
          </cell>
          <cell r="D122" t="str">
            <v>ARH-1</v>
          </cell>
          <cell r="E122" t="str">
            <v>Rubber Hose 1"</v>
          </cell>
          <cell r="F122">
            <v>1</v>
          </cell>
        </row>
        <row r="123">
          <cell r="A123" t="str">
            <v>1BE-1F6340P-M</v>
          </cell>
          <cell r="B123">
            <v>2250</v>
          </cell>
          <cell r="C123" t="str">
            <v>TD</v>
          </cell>
          <cell r="D123" t="str">
            <v>ARH-3/4</v>
          </cell>
          <cell r="E123" t="str">
            <v>Rubber Hose 3/4"(203B102)</v>
          </cell>
          <cell r="F123">
            <v>5</v>
          </cell>
        </row>
        <row r="124">
          <cell r="A124" t="str">
            <v>1BE-1F6350P</v>
          </cell>
          <cell r="B124">
            <v>1170</v>
          </cell>
          <cell r="C124" t="str">
            <v>TD</v>
          </cell>
          <cell r="D124" t="str">
            <v>B-1010-50616</v>
          </cell>
          <cell r="E124" t="str">
            <v>BOLT M6x16 (8.8)</v>
          </cell>
          <cell r="F124">
            <v>2</v>
          </cell>
        </row>
        <row r="125">
          <cell r="A125" t="str">
            <v>1BE-1F6360P</v>
          </cell>
          <cell r="B125">
            <v>2370</v>
          </cell>
          <cell r="C125" t="str">
            <v>TD</v>
          </cell>
          <cell r="D125" t="str">
            <v>B-1010-50820</v>
          </cell>
          <cell r="E125" t="str">
            <v>BOLT 8X20</v>
          </cell>
          <cell r="F125">
            <v>16</v>
          </cell>
        </row>
        <row r="126">
          <cell r="A126" t="str">
            <v>1BE-1F6370P</v>
          </cell>
          <cell r="B126">
            <v>1060</v>
          </cell>
          <cell r="C126" t="str">
            <v>TD</v>
          </cell>
          <cell r="D126" t="str">
            <v>B-1010-50830</v>
          </cell>
          <cell r="E126" t="str">
            <v>BOLT 8X30</v>
          </cell>
          <cell r="F126">
            <v>81</v>
          </cell>
        </row>
        <row r="127">
          <cell r="A127" t="str">
            <v>1BE-1F6600P</v>
          </cell>
          <cell r="B127">
            <v>1410</v>
          </cell>
          <cell r="C127" t="str">
            <v>TD</v>
          </cell>
          <cell r="D127" t="str">
            <v>B-1010-51010</v>
          </cell>
          <cell r="E127" t="str">
            <v>BOLT</v>
          </cell>
          <cell r="F127">
            <v>12</v>
          </cell>
        </row>
        <row r="128">
          <cell r="A128" t="str">
            <v>1BE-1F6800P</v>
          </cell>
          <cell r="B128">
            <v>2390</v>
          </cell>
          <cell r="C128" t="str">
            <v>TD</v>
          </cell>
          <cell r="D128" t="str">
            <v>B-1010-51035</v>
          </cell>
          <cell r="E128" t="str">
            <v>BOLT M10X35</v>
          </cell>
          <cell r="F128">
            <v>8</v>
          </cell>
        </row>
        <row r="129">
          <cell r="A129" t="str">
            <v>1BE-1F6800P-M</v>
          </cell>
          <cell r="B129">
            <v>2400</v>
          </cell>
          <cell r="C129" t="str">
            <v>TD</v>
          </cell>
          <cell r="D129" t="str">
            <v>B-1010-51055</v>
          </cell>
          <cell r="E129" t="str">
            <v>BOLT M.10X55 (8.8)</v>
          </cell>
          <cell r="F129">
            <v>16</v>
          </cell>
        </row>
        <row r="130">
          <cell r="A130" t="str">
            <v>1BE-1F6AOOP</v>
          </cell>
          <cell r="B130">
            <v>1070</v>
          </cell>
          <cell r="C130" t="str">
            <v>TD</v>
          </cell>
          <cell r="D130" t="str">
            <v>B-1010-51235</v>
          </cell>
          <cell r="E130" t="str">
            <v>BOLT M12x35 (8.8)</v>
          </cell>
          <cell r="F130">
            <v>6</v>
          </cell>
        </row>
        <row r="131">
          <cell r="A131" t="str">
            <v>1BE-2F1820P</v>
          </cell>
          <cell r="B131">
            <v>1180</v>
          </cell>
          <cell r="C131" t="str">
            <v>TD</v>
          </cell>
          <cell r="D131" t="str">
            <v>B-1010-51270</v>
          </cell>
          <cell r="E131" t="str">
            <v>BOLT M12X70 (8.8)</v>
          </cell>
          <cell r="F131">
            <v>1</v>
          </cell>
        </row>
        <row r="132">
          <cell r="A132" t="str">
            <v>1BE-2F1900P</v>
          </cell>
          <cell r="B132">
            <v>1560</v>
          </cell>
          <cell r="C132" t="str">
            <v>TD</v>
          </cell>
          <cell r="D132" t="str">
            <v>B-1010-51640</v>
          </cell>
          <cell r="E132" t="str">
            <v>BOLT M16X40</v>
          </cell>
          <cell r="F132">
            <v>1</v>
          </cell>
        </row>
        <row r="133">
          <cell r="A133" t="str">
            <v>1BE-2F1A00P</v>
          </cell>
          <cell r="B133">
            <v>1420</v>
          </cell>
          <cell r="C133" t="str">
            <v>TD</v>
          </cell>
          <cell r="D133" t="str">
            <v>B-1011-52010</v>
          </cell>
          <cell r="E133" t="str">
            <v>BOLT M20X110 (8.8)</v>
          </cell>
          <cell r="F133">
            <v>8</v>
          </cell>
        </row>
        <row r="134">
          <cell r="A134" t="str">
            <v>1BE-2F2340P-M</v>
          </cell>
          <cell r="B134">
            <v>2020</v>
          </cell>
          <cell r="C134" t="str">
            <v>TD</v>
          </cell>
          <cell r="D134" t="str">
            <v>B-1050-51030</v>
          </cell>
          <cell r="E134" t="str">
            <v>BOLT M.10X30-DH</v>
          </cell>
          <cell r="F134">
            <v>8</v>
          </cell>
        </row>
        <row r="135">
          <cell r="A135" t="str">
            <v>1BE-2F2600P-M</v>
          </cell>
          <cell r="B135">
            <v>1570</v>
          </cell>
          <cell r="C135" t="str">
            <v>TD</v>
          </cell>
          <cell r="D135" t="str">
            <v>B-1050-51245</v>
          </cell>
          <cell r="E135" t="str">
            <v>BOLT M12X45X1.5 8.8</v>
          </cell>
          <cell r="F135">
            <v>24</v>
          </cell>
        </row>
        <row r="136">
          <cell r="A136" t="str">
            <v>1BE-2F2700P-M</v>
          </cell>
          <cell r="B136">
            <v>1850</v>
          </cell>
          <cell r="C136" t="str">
            <v>TD</v>
          </cell>
          <cell r="D136" t="str">
            <v>B-1050-51675</v>
          </cell>
          <cell r="E136" t="str">
            <v>BOLT M16X75X1,5 8.8</v>
          </cell>
          <cell r="F136">
            <v>10</v>
          </cell>
        </row>
        <row r="137">
          <cell r="A137" t="str">
            <v>1BE-2F3340P-M</v>
          </cell>
          <cell r="B137">
            <v>1580</v>
          </cell>
          <cell r="C137" t="str">
            <v>TD</v>
          </cell>
          <cell r="D137" t="str">
            <v>B-1050-52065</v>
          </cell>
          <cell r="E137" t="str">
            <v>BOLT M 20x65 DH</v>
          </cell>
          <cell r="F137">
            <v>4</v>
          </cell>
        </row>
        <row r="138">
          <cell r="A138" t="str">
            <v>1BE-2F3600P</v>
          </cell>
          <cell r="B138">
            <v>1010</v>
          </cell>
          <cell r="C138" t="str">
            <v>TD</v>
          </cell>
          <cell r="D138" t="str">
            <v>B-1050-61025</v>
          </cell>
          <cell r="E138" t="str">
            <v>BOLT M10 x 25 (10.9) DRAT HALUS</v>
          </cell>
          <cell r="F138">
            <v>24</v>
          </cell>
        </row>
        <row r="139">
          <cell r="A139" t="str">
            <v>1BE-2F3600P-M</v>
          </cell>
          <cell r="B139">
            <v>2030</v>
          </cell>
          <cell r="C139" t="str">
            <v>TD</v>
          </cell>
          <cell r="D139" t="str">
            <v>B-1050-61030</v>
          </cell>
          <cell r="E139" t="str">
            <v>BOLT (10.9)</v>
          </cell>
          <cell r="F139">
            <v>8</v>
          </cell>
        </row>
        <row r="140">
          <cell r="A140" t="str">
            <v>1BE-2F3700P-M</v>
          </cell>
          <cell r="B140">
            <v>1020</v>
          </cell>
          <cell r="C140" t="str">
            <v>TD</v>
          </cell>
          <cell r="D140" t="str">
            <v>B-1050-61660</v>
          </cell>
          <cell r="E140" t="str">
            <v>BOLT M 16 X 60 DRAT HALUS - 10,9</v>
          </cell>
          <cell r="F140">
            <v>24</v>
          </cell>
        </row>
        <row r="141">
          <cell r="A141" t="str">
            <v>1BE-2F5340P-M</v>
          </cell>
          <cell r="B141">
            <v>1590</v>
          </cell>
          <cell r="C141" t="str">
            <v>TD</v>
          </cell>
          <cell r="D141" t="str">
            <v>B-1051-52010</v>
          </cell>
          <cell r="E141" t="str">
            <v>BOLT M 20x110 DH</v>
          </cell>
          <cell r="F141">
            <v>6</v>
          </cell>
        </row>
        <row r="142">
          <cell r="A142" t="str">
            <v>1BE-2F5400P-M</v>
          </cell>
          <cell r="B142">
            <v>2040</v>
          </cell>
          <cell r="C142" t="str">
            <v>TD</v>
          </cell>
          <cell r="D142" t="str">
            <v>B-1210-00830</v>
          </cell>
          <cell r="E142" t="str">
            <v>B.INBUSH M 8X30</v>
          </cell>
          <cell r="F142">
            <v>8</v>
          </cell>
        </row>
        <row r="143">
          <cell r="A143" t="str">
            <v>1BE-2F5500P-M</v>
          </cell>
          <cell r="B143">
            <v>2050</v>
          </cell>
          <cell r="C143" t="str">
            <v>TD</v>
          </cell>
          <cell r="D143" t="str">
            <v>B-1210-01230</v>
          </cell>
          <cell r="E143" t="str">
            <v>BOLT INBUSH M12X30</v>
          </cell>
          <cell r="F143">
            <v>8</v>
          </cell>
        </row>
        <row r="144">
          <cell r="A144" t="str">
            <v>1BE-2F5800P</v>
          </cell>
          <cell r="B144">
            <v>2080</v>
          </cell>
          <cell r="C144" t="str">
            <v>TD</v>
          </cell>
          <cell r="D144" t="str">
            <v>B-1210-01245</v>
          </cell>
          <cell r="E144" t="str">
            <v>BOLT INBUSH M12X45</v>
          </cell>
          <cell r="F144">
            <v>8</v>
          </cell>
        </row>
        <row r="145">
          <cell r="A145" t="str">
            <v>1BE-2F5900P</v>
          </cell>
          <cell r="B145">
            <v>1190</v>
          </cell>
          <cell r="C145" t="str">
            <v>TD</v>
          </cell>
          <cell r="D145" t="str">
            <v>B-1210-51020</v>
          </cell>
          <cell r="E145" t="str">
            <v>BOLT M.10X20</v>
          </cell>
          <cell r="F145">
            <v>1</v>
          </cell>
        </row>
        <row r="146">
          <cell r="A146" t="str">
            <v>1BE-2F5A00P</v>
          </cell>
          <cell r="B146">
            <v>1600</v>
          </cell>
          <cell r="C146" t="str">
            <v>TD</v>
          </cell>
          <cell r="D146" t="str">
            <v>B-1240-00412</v>
          </cell>
          <cell r="E146" t="str">
            <v>SCREW</v>
          </cell>
          <cell r="F146">
            <v>18</v>
          </cell>
        </row>
        <row r="147">
          <cell r="A147" t="str">
            <v>1BE-2F5B10P</v>
          </cell>
          <cell r="B147">
            <v>2410</v>
          </cell>
          <cell r="C147" t="str">
            <v>TD</v>
          </cell>
          <cell r="D147" t="str">
            <v>B-1240-00415</v>
          </cell>
          <cell r="E147" t="str">
            <v>SLOTTED C.SUNK SCREW M.4X15</v>
          </cell>
          <cell r="F147">
            <v>6</v>
          </cell>
        </row>
        <row r="148">
          <cell r="A148" t="str">
            <v>1BE-2F5B20P</v>
          </cell>
          <cell r="B148">
            <v>1610</v>
          </cell>
          <cell r="C148" t="str">
            <v>TD</v>
          </cell>
          <cell r="D148" t="str">
            <v>B-1510-50403</v>
          </cell>
          <cell r="E148" t="str">
            <v>NUT (KS) M.4-8.8</v>
          </cell>
          <cell r="F148">
            <v>18</v>
          </cell>
        </row>
        <row r="149">
          <cell r="A149" t="str">
            <v>1BN-20</v>
          </cell>
          <cell r="B149">
            <v>1040</v>
          </cell>
          <cell r="C149" t="str">
            <v>TD</v>
          </cell>
          <cell r="D149" t="str">
            <v>B-1510-50806</v>
          </cell>
          <cell r="E149" t="str">
            <v>NUT M8 (8.8)</v>
          </cell>
          <cell r="F149">
            <v>111</v>
          </cell>
        </row>
        <row r="150">
          <cell r="A150" t="str">
            <v>2011U-1870</v>
          </cell>
          <cell r="B150">
            <v>1430</v>
          </cell>
          <cell r="C150" t="str">
            <v>TD</v>
          </cell>
          <cell r="D150" t="str">
            <v>B-1510-51008</v>
          </cell>
          <cell r="E150" t="str">
            <v>NUT</v>
          </cell>
          <cell r="F150">
            <v>20</v>
          </cell>
        </row>
        <row r="151">
          <cell r="A151" t="str">
            <v>203-02150</v>
          </cell>
          <cell r="B151">
            <v>1090</v>
          </cell>
          <cell r="C151" t="str">
            <v>TD</v>
          </cell>
          <cell r="D151" t="str">
            <v>B-1510-51210</v>
          </cell>
          <cell r="E151" t="str">
            <v>NUT M12 (8.8)</v>
          </cell>
          <cell r="F151">
            <v>24</v>
          </cell>
        </row>
        <row r="152">
          <cell r="A152" t="str">
            <v>203-43-61510</v>
          </cell>
          <cell r="B152">
            <v>1240</v>
          </cell>
          <cell r="C152" t="str">
            <v>TD</v>
          </cell>
          <cell r="D152" t="str">
            <v>B-1510-51613</v>
          </cell>
          <cell r="E152" t="str">
            <v>NUT M16-8.8</v>
          </cell>
          <cell r="F152">
            <v>6</v>
          </cell>
        </row>
        <row r="153">
          <cell r="A153" t="str">
            <v>203-43-61520</v>
          </cell>
          <cell r="B153">
            <v>1860</v>
          </cell>
          <cell r="C153" t="str">
            <v>TD</v>
          </cell>
          <cell r="D153" t="str">
            <v>B-1510-51815</v>
          </cell>
          <cell r="E153" t="str">
            <v>NUT (KS) M.18-8.8</v>
          </cell>
          <cell r="F153">
            <v>8</v>
          </cell>
        </row>
        <row r="154">
          <cell r="A154" t="str">
            <v>207-62-33920</v>
          </cell>
          <cell r="B154">
            <v>1440</v>
          </cell>
          <cell r="C154" t="str">
            <v>TD</v>
          </cell>
          <cell r="D154" t="str">
            <v>B-1510-52016</v>
          </cell>
          <cell r="E154" t="str">
            <v>NUT M20 (8.8)</v>
          </cell>
          <cell r="F154">
            <v>20</v>
          </cell>
        </row>
        <row r="155">
          <cell r="A155" t="str">
            <v>207-70-34240</v>
          </cell>
          <cell r="B155">
            <v>1250</v>
          </cell>
          <cell r="C155" t="str">
            <v>TD</v>
          </cell>
          <cell r="D155" t="str">
            <v>B-1531-31612</v>
          </cell>
          <cell r="E155" t="str">
            <v>NUT, slotted</v>
          </cell>
          <cell r="F155">
            <v>4</v>
          </cell>
        </row>
        <row r="156">
          <cell r="A156" t="str">
            <v>209-32-11234</v>
          </cell>
          <cell r="B156">
            <v>1910</v>
          </cell>
          <cell r="C156" t="str">
            <v>TD</v>
          </cell>
          <cell r="D156" t="str">
            <v>B-1550-51210</v>
          </cell>
          <cell r="E156" t="str">
            <v>NUT (HL) M.12X1,25 (8.8)</v>
          </cell>
          <cell r="F156">
            <v>20</v>
          </cell>
        </row>
        <row r="157">
          <cell r="A157" t="str">
            <v>20N-62-31250</v>
          </cell>
          <cell r="B157">
            <v>1920</v>
          </cell>
          <cell r="C157" t="str">
            <v>TD</v>
          </cell>
          <cell r="D157" t="str">
            <v>B-1550-51613</v>
          </cell>
          <cell r="E157" t="str">
            <v>NUT HALUS</v>
          </cell>
          <cell r="F157">
            <v>20</v>
          </cell>
        </row>
        <row r="158">
          <cell r="A158" t="str">
            <v>20U-62-22280</v>
          </cell>
          <cell r="B158">
            <v>2160</v>
          </cell>
          <cell r="C158" t="str">
            <v>TD</v>
          </cell>
          <cell r="D158" t="str">
            <v>B-1570-01010</v>
          </cell>
          <cell r="E158" t="str">
            <v>NUT WING M.10</v>
          </cell>
          <cell r="F158">
            <v>12</v>
          </cell>
        </row>
        <row r="159">
          <cell r="A159" t="str">
            <v>20VQ-12A-1C-20</v>
          </cell>
          <cell r="B159">
            <v>1100</v>
          </cell>
          <cell r="C159" t="str">
            <v>TD</v>
          </cell>
          <cell r="D159" t="str">
            <v>B-1610-00825</v>
          </cell>
          <cell r="E159" t="str">
            <v>SPRING WASHER</v>
          </cell>
          <cell r="F159">
            <v>85</v>
          </cell>
        </row>
        <row r="160">
          <cell r="A160" t="str">
            <v>20X100X6500MM</v>
          </cell>
          <cell r="B160">
            <v>1450</v>
          </cell>
          <cell r="C160" t="str">
            <v>TD</v>
          </cell>
          <cell r="D160" t="str">
            <v>B-1610-01030</v>
          </cell>
          <cell r="E160" t="str">
            <v>SPRING WASHER M10</v>
          </cell>
          <cell r="F160">
            <v>52</v>
          </cell>
        </row>
        <row r="161">
          <cell r="A161" t="str">
            <v>20Y-06-21330</v>
          </cell>
          <cell r="B161">
            <v>1260</v>
          </cell>
          <cell r="C161" t="str">
            <v>TD</v>
          </cell>
          <cell r="D161" t="str">
            <v>B-1610-01230</v>
          </cell>
          <cell r="E161" t="str">
            <v>SPRING WASHER</v>
          </cell>
          <cell r="F161">
            <v>1</v>
          </cell>
        </row>
        <row r="162">
          <cell r="A162" t="str">
            <v>20Y-06-21710</v>
          </cell>
          <cell r="B162">
            <v>1110</v>
          </cell>
          <cell r="C162" t="str">
            <v>TD</v>
          </cell>
          <cell r="D162" t="str">
            <v>B-1610-01236</v>
          </cell>
          <cell r="E162" t="str">
            <v>SPRING WASHER M12</v>
          </cell>
          <cell r="F162">
            <v>26</v>
          </cell>
        </row>
        <row r="163">
          <cell r="A163" t="str">
            <v>20Y-62-25360</v>
          </cell>
          <cell r="B163">
            <v>1270</v>
          </cell>
          <cell r="C163" t="str">
            <v>TD</v>
          </cell>
          <cell r="D163" t="str">
            <v>B-1610-01648</v>
          </cell>
          <cell r="E163" t="str">
            <v>SPRING WASHER</v>
          </cell>
          <cell r="F163">
            <v>12</v>
          </cell>
        </row>
        <row r="164">
          <cell r="A164" t="str">
            <v>20Y-62-25380</v>
          </cell>
          <cell r="B164">
            <v>1460</v>
          </cell>
          <cell r="C164" t="str">
            <v>TD</v>
          </cell>
          <cell r="D164" t="str">
            <v>B-1610-02060</v>
          </cell>
          <cell r="E164" t="str">
            <v>SPRING WASHER M.20</v>
          </cell>
          <cell r="F164">
            <v>18</v>
          </cell>
        </row>
        <row r="165">
          <cell r="A165" t="str">
            <v>20Y-62-25411</v>
          </cell>
          <cell r="B165">
            <v>1030</v>
          </cell>
          <cell r="C165" t="str">
            <v>TD</v>
          </cell>
          <cell r="D165" t="str">
            <v>B-1620-00816</v>
          </cell>
          <cell r="E165" t="str">
            <v>PLATE WASHER</v>
          </cell>
          <cell r="F165">
            <v>113</v>
          </cell>
        </row>
        <row r="166">
          <cell r="A166" t="str">
            <v>21P-62-11590</v>
          </cell>
          <cell r="B166">
            <v>1000</v>
          </cell>
          <cell r="C166" t="str">
            <v>TD</v>
          </cell>
          <cell r="D166" t="str">
            <v>B-1620-01020</v>
          </cell>
          <cell r="E166" t="str">
            <v>PLATE WASHER M10</v>
          </cell>
          <cell r="F166">
            <v>49</v>
          </cell>
        </row>
        <row r="167">
          <cell r="A167" t="str">
            <v>21T-62-29960</v>
          </cell>
          <cell r="B167">
            <v>1130</v>
          </cell>
          <cell r="C167" t="str">
            <v>TD</v>
          </cell>
          <cell r="D167" t="str">
            <v>B-1620-01223</v>
          </cell>
          <cell r="E167" t="str">
            <v>PLATE WASHER M12</v>
          </cell>
          <cell r="F167">
            <v>43</v>
          </cell>
        </row>
        <row r="168">
          <cell r="A168" t="str">
            <v>222-1270-00600</v>
          </cell>
          <cell r="B168">
            <v>1320</v>
          </cell>
          <cell r="C168" t="str">
            <v>TD</v>
          </cell>
          <cell r="D168" t="str">
            <v>B-1620-01632</v>
          </cell>
          <cell r="E168" t="str">
            <v>PLATE WASHER</v>
          </cell>
          <cell r="F168">
            <v>53</v>
          </cell>
        </row>
        <row r="169">
          <cell r="A169" t="str">
            <v>25VQ-14</v>
          </cell>
          <cell r="B169">
            <v>1500</v>
          </cell>
          <cell r="C169" t="str">
            <v>TD</v>
          </cell>
          <cell r="D169" t="str">
            <v>B-1620-02032</v>
          </cell>
          <cell r="E169" t="str">
            <v>PLATE WASHER M20</v>
          </cell>
          <cell r="F169">
            <v>12</v>
          </cell>
        </row>
        <row r="170">
          <cell r="A170" t="str">
            <v>25VQ-17</v>
          </cell>
          <cell r="B170">
            <v>2200</v>
          </cell>
          <cell r="C170" t="str">
            <v>TD</v>
          </cell>
          <cell r="D170" t="str">
            <v>B-4010-00220</v>
          </cell>
          <cell r="E170" t="str">
            <v>Cotter Pin2X18</v>
          </cell>
          <cell r="F170">
            <v>4</v>
          </cell>
        </row>
        <row r="171">
          <cell r="A171" t="str">
            <v>25VQ-21A-1C-20</v>
          </cell>
          <cell r="B171">
            <v>1550</v>
          </cell>
          <cell r="C171" t="str">
            <v>TD</v>
          </cell>
          <cell r="D171" t="str">
            <v>B-4010-11218</v>
          </cell>
          <cell r="E171" t="str">
            <v>PIN, COTTER</v>
          </cell>
          <cell r="F171">
            <v>2</v>
          </cell>
        </row>
        <row r="172">
          <cell r="A172" t="str">
            <v>26M-42</v>
          </cell>
          <cell r="B172">
            <v>1330</v>
          </cell>
          <cell r="C172" t="str">
            <v>TD</v>
          </cell>
          <cell r="D172" t="str">
            <v>B-4010-22015</v>
          </cell>
          <cell r="E172" t="str">
            <v>PIN COTTER</v>
          </cell>
          <cell r="F172">
            <v>1</v>
          </cell>
        </row>
        <row r="173">
          <cell r="A173" t="str">
            <v>26M-65</v>
          </cell>
          <cell r="B173">
            <v>1340</v>
          </cell>
          <cell r="C173" t="str">
            <v>TD</v>
          </cell>
          <cell r="D173" t="str">
            <v>B-4010-23018</v>
          </cell>
          <cell r="E173" t="str">
            <v>PIN COTTER</v>
          </cell>
          <cell r="F173">
            <v>1</v>
          </cell>
        </row>
        <row r="174">
          <cell r="A174" t="str">
            <v>26M-65-1C-20</v>
          </cell>
          <cell r="B174">
            <v>1350</v>
          </cell>
          <cell r="C174" t="str">
            <v>TD</v>
          </cell>
          <cell r="D174" t="str">
            <v>B-4010-24020</v>
          </cell>
          <cell r="E174" t="str">
            <v>PIN, SPLIT</v>
          </cell>
          <cell r="F174">
            <v>4</v>
          </cell>
        </row>
        <row r="175">
          <cell r="A175" t="str">
            <v>281-70-15270</v>
          </cell>
          <cell r="B175">
            <v>1360</v>
          </cell>
          <cell r="C175" t="str">
            <v>TD</v>
          </cell>
          <cell r="D175" t="str">
            <v>B-4020-01070</v>
          </cell>
          <cell r="E175" t="str">
            <v>PIN, spring</v>
          </cell>
          <cell r="F175">
            <v>1</v>
          </cell>
        </row>
        <row r="176">
          <cell r="A176" t="str">
            <v>2837-V71</v>
          </cell>
          <cell r="B176">
            <v>2330</v>
          </cell>
          <cell r="C176" t="str">
            <v>TD</v>
          </cell>
          <cell r="D176" t="str">
            <v>B-4410-40408</v>
          </cell>
          <cell r="E176" t="str">
            <v>RIVET</v>
          </cell>
          <cell r="F176">
            <v>4</v>
          </cell>
        </row>
        <row r="177">
          <cell r="A177" t="str">
            <v>287X550</v>
          </cell>
          <cell r="B177">
            <v>1370</v>
          </cell>
          <cell r="C177" t="str">
            <v>TD</v>
          </cell>
          <cell r="D177" t="str">
            <v>B-7010-00000</v>
          </cell>
          <cell r="E177" t="str">
            <v>NIPPLE GREASE 1/8 S(204B202)</v>
          </cell>
          <cell r="F177">
            <v>4</v>
          </cell>
        </row>
        <row r="178">
          <cell r="A178" t="str">
            <v>291-ECT</v>
          </cell>
          <cell r="B178">
            <v>2500</v>
          </cell>
          <cell r="C178" t="str">
            <v>TD</v>
          </cell>
          <cell r="D178" t="str">
            <v>B-7200-A1212</v>
          </cell>
          <cell r="E178" t="str">
            <v>NIPPLE 3/4"BSPT-3/4"BSPT(204D202)</v>
          </cell>
          <cell r="F178">
            <v>1</v>
          </cell>
        </row>
        <row r="179">
          <cell r="A179" t="str">
            <v>291-ZT</v>
          </cell>
          <cell r="B179">
            <v>2510</v>
          </cell>
          <cell r="C179" t="str">
            <v>TD</v>
          </cell>
          <cell r="D179" t="str">
            <v>B-7200-B1221</v>
          </cell>
          <cell r="E179" t="str">
            <v>NIPPLE 3/4"BNPT-1 5/16JIC(204D202)</v>
          </cell>
          <cell r="F179">
            <v>1</v>
          </cell>
        </row>
        <row r="180">
          <cell r="A180" t="str">
            <v>2BE-5F6000P</v>
          </cell>
          <cell r="B180">
            <v>2520</v>
          </cell>
          <cell r="C180" t="str">
            <v>TD</v>
          </cell>
          <cell r="D180" t="str">
            <v>B-7200-C1617</v>
          </cell>
          <cell r="E180" t="str">
            <v>NIPPLE 1"BSPT-17JIC(204D202)</v>
          </cell>
          <cell r="F180">
            <v>1</v>
          </cell>
        </row>
        <row r="181">
          <cell r="A181" t="str">
            <v>2BE-5F7000P</v>
          </cell>
          <cell r="B181">
            <v>2530</v>
          </cell>
          <cell r="C181" t="str">
            <v>TD</v>
          </cell>
          <cell r="D181" t="str">
            <v>B-7200-C2021</v>
          </cell>
          <cell r="E181" t="str">
            <v>NIPPLE 20BSPT-21JIC(204D202)</v>
          </cell>
          <cell r="F181">
            <v>2</v>
          </cell>
        </row>
        <row r="182">
          <cell r="A182" t="str">
            <v>2KHLRM-06-06</v>
          </cell>
          <cell r="B182">
            <v>2540</v>
          </cell>
          <cell r="C182" t="str">
            <v>TD</v>
          </cell>
          <cell r="D182" t="str">
            <v>B-7200-E2142</v>
          </cell>
          <cell r="E182" t="str">
            <v>NIPPLE 21JIC-M40(204D202)</v>
          </cell>
          <cell r="F182">
            <v>1</v>
          </cell>
        </row>
        <row r="183">
          <cell r="A183" t="str">
            <v>2-TLT-50-46410</v>
          </cell>
          <cell r="B183">
            <v>2550</v>
          </cell>
          <cell r="C183" t="str">
            <v>TD</v>
          </cell>
          <cell r="D183" t="str">
            <v>B-7203-F1717</v>
          </cell>
          <cell r="E183" t="str">
            <v>TEE 17JIC M-M-F(204D202)</v>
          </cell>
          <cell r="F183">
            <v>1</v>
          </cell>
        </row>
        <row r="184">
          <cell r="A184" t="str">
            <v>2-VM030-0510</v>
          </cell>
          <cell r="B184">
            <v>2340</v>
          </cell>
          <cell r="C184" t="str">
            <v>TD</v>
          </cell>
          <cell r="D184" t="str">
            <v>B-7211-00259</v>
          </cell>
          <cell r="E184" t="str">
            <v>HOSE CLAMP 18 - 25 (204D201)</v>
          </cell>
          <cell r="F184">
            <v>20</v>
          </cell>
        </row>
        <row r="185">
          <cell r="A185" t="str">
            <v>303X485</v>
          </cell>
          <cell r="B185">
            <v>2560</v>
          </cell>
          <cell r="C185" t="str">
            <v>TD</v>
          </cell>
          <cell r="D185" t="str">
            <v>B-7211-00359</v>
          </cell>
          <cell r="E185" t="str">
            <v>CLAMP 25-35 TOYOK(204C403)</v>
          </cell>
          <cell r="F185">
            <v>12</v>
          </cell>
        </row>
        <row r="186">
          <cell r="A186" t="str">
            <v>311-030-270600</v>
          </cell>
          <cell r="B186">
            <v>2750</v>
          </cell>
          <cell r="C186" t="str">
            <v>TD</v>
          </cell>
          <cell r="D186" t="str">
            <v>C45028</v>
          </cell>
          <cell r="E186" t="str">
            <v>PRECTION LEVER(TWIN)</v>
          </cell>
          <cell r="F186">
            <v>1</v>
          </cell>
        </row>
        <row r="187">
          <cell r="A187" t="str">
            <v>311-038-340600</v>
          </cell>
          <cell r="B187">
            <v>2760</v>
          </cell>
          <cell r="C187" t="str">
            <v>TD</v>
          </cell>
          <cell r="D187" t="str">
            <v>C72779</v>
          </cell>
          <cell r="E187" t="str">
            <v>PRELITION LEVER ATAS</v>
          </cell>
          <cell r="F187">
            <v>1</v>
          </cell>
        </row>
        <row r="188">
          <cell r="A188" t="str">
            <v>311-114-450600</v>
          </cell>
          <cell r="B188">
            <v>2980</v>
          </cell>
          <cell r="C188" t="str">
            <v>TD</v>
          </cell>
          <cell r="D188" t="str">
            <v>D15/1217</v>
          </cell>
          <cell r="E188" t="str">
            <v>NIPLE 3/4 NPT - 17 JIC(204D202)</v>
          </cell>
          <cell r="F188">
            <v>1</v>
          </cell>
        </row>
        <row r="189">
          <cell r="A189" t="str">
            <v>3-145-60-11180</v>
          </cell>
          <cell r="B189">
            <v>2570</v>
          </cell>
          <cell r="C189" t="str">
            <v>TD</v>
          </cell>
          <cell r="D189" t="str">
            <v>D206/12</v>
          </cell>
          <cell r="E189" t="str">
            <v>SPLIT FLANGE 3/4-10</v>
          </cell>
          <cell r="F189">
            <v>2</v>
          </cell>
        </row>
        <row r="190">
          <cell r="A190" t="str">
            <v>3-148-60-11180</v>
          </cell>
          <cell r="B190">
            <v>2580</v>
          </cell>
          <cell r="C190" t="str">
            <v>TD</v>
          </cell>
          <cell r="D190" t="str">
            <v>D206/16</v>
          </cell>
          <cell r="E190" t="str">
            <v>SPLIT FLANGE D206/16(204D202)</v>
          </cell>
          <cell r="F190">
            <v>2</v>
          </cell>
        </row>
        <row r="191">
          <cell r="A191" t="str">
            <v>3-3EB-96-2111A</v>
          </cell>
          <cell r="B191">
            <v>2970</v>
          </cell>
          <cell r="C191" t="str">
            <v>TD</v>
          </cell>
          <cell r="D191" t="str">
            <v>D52/1217</v>
          </cell>
          <cell r="E191" t="str">
            <v>NIPLE 3/4 UNO - 17 JIC(204D202)</v>
          </cell>
          <cell r="F191">
            <v>1</v>
          </cell>
        </row>
        <row r="192">
          <cell r="A192" t="str">
            <v>340-033</v>
          </cell>
          <cell r="B192">
            <v>2590</v>
          </cell>
          <cell r="C192" t="str">
            <v>TD</v>
          </cell>
          <cell r="D192" t="str">
            <v>DR512</v>
          </cell>
          <cell r="E192" t="str">
            <v>O RING DR 5/12(204D202)</v>
          </cell>
          <cell r="F192">
            <v>2</v>
          </cell>
        </row>
        <row r="193">
          <cell r="A193" t="str">
            <v>34B-41-12920</v>
          </cell>
          <cell r="B193">
            <v>2600</v>
          </cell>
          <cell r="C193" t="str">
            <v>TD</v>
          </cell>
          <cell r="D193" t="str">
            <v>DR516</v>
          </cell>
          <cell r="E193" t="str">
            <v>O-RING DR5/16(203B301)</v>
          </cell>
          <cell r="F193">
            <v>2</v>
          </cell>
        </row>
        <row r="194">
          <cell r="A194" t="str">
            <v>358-0202</v>
          </cell>
          <cell r="B194">
            <v>2630</v>
          </cell>
          <cell r="C194" t="str">
            <v>TD</v>
          </cell>
          <cell r="D194" t="str">
            <v>DSU97/1712</v>
          </cell>
          <cell r="E194" t="str">
            <v>L COUPLING(204D202)</v>
          </cell>
          <cell r="F194">
            <v>4</v>
          </cell>
        </row>
        <row r="195">
          <cell r="A195" t="str">
            <v>358-6151</v>
          </cell>
          <cell r="B195">
            <v>2640</v>
          </cell>
          <cell r="C195" t="str">
            <v>TD</v>
          </cell>
          <cell r="D195" t="str">
            <v>DSU97/1716</v>
          </cell>
          <cell r="E195" t="str">
            <v>STEMP UNIVERSAL(204D202)</v>
          </cell>
          <cell r="F195">
            <v>4</v>
          </cell>
        </row>
        <row r="196">
          <cell r="A196" t="str">
            <v>35M-115-1C-20</v>
          </cell>
          <cell r="B196">
            <v>30</v>
          </cell>
          <cell r="C196" t="str">
            <v>TD</v>
          </cell>
          <cell r="D196" t="str">
            <v>HMR-A2FM63/61W</v>
          </cell>
          <cell r="E196" t="str">
            <v>HYD MOTOR</v>
          </cell>
          <cell r="F196">
            <v>1</v>
          </cell>
        </row>
        <row r="197">
          <cell r="A197" t="str">
            <v>35VQ-30A-1C-20</v>
          </cell>
          <cell r="B197">
            <v>20</v>
          </cell>
          <cell r="C197" t="str">
            <v>TD</v>
          </cell>
          <cell r="D197" t="str">
            <v>HPR-A4VTG90HWL</v>
          </cell>
          <cell r="E197" t="str">
            <v>HYD PUMP REXROTH TYP</v>
          </cell>
          <cell r="F197">
            <v>1</v>
          </cell>
        </row>
        <row r="198">
          <cell r="A198" t="str">
            <v>367-050-000600</v>
          </cell>
          <cell r="B198">
            <v>1700</v>
          </cell>
          <cell r="C198" t="str">
            <v>TD</v>
          </cell>
          <cell r="D198" t="str">
            <v>L-3/8-BS</v>
          </cell>
          <cell r="E198" t="str">
            <v>ELBOW DRAT 3/8(204B201)</v>
          </cell>
          <cell r="F198">
            <v>1</v>
          </cell>
        </row>
        <row r="199">
          <cell r="A199" t="str">
            <v>37C-1GD-3010</v>
          </cell>
          <cell r="B199">
            <v>2770</v>
          </cell>
          <cell r="C199" t="str">
            <v>TD</v>
          </cell>
          <cell r="D199" t="str">
            <v>NH-3/4</v>
          </cell>
          <cell r="E199" t="str">
            <v xml:space="preserve"> NYLON HOSE 3/4(203C301)</v>
          </cell>
          <cell r="F199">
            <v>10</v>
          </cell>
        </row>
        <row r="200">
          <cell r="A200" t="str">
            <v>385RC</v>
          </cell>
          <cell r="B200">
            <v>1780</v>
          </cell>
          <cell r="C200" t="str">
            <v>TD</v>
          </cell>
          <cell r="D200" t="str">
            <v>NT-12-10-B</v>
          </cell>
          <cell r="E200" t="str">
            <v>NYLON TUBING 12X10-BLAC(202D301)</v>
          </cell>
          <cell r="F200">
            <v>1</v>
          </cell>
        </row>
        <row r="201">
          <cell r="A201" t="str">
            <v>3EB-41-31210-1</v>
          </cell>
          <cell r="B201">
            <v>980</v>
          </cell>
          <cell r="C201" t="str">
            <v>TD</v>
          </cell>
          <cell r="D201" t="str">
            <v>R27001-A1210000</v>
          </cell>
          <cell r="E201" t="str">
            <v>SIDE GUARD RH</v>
          </cell>
          <cell r="F201">
            <v>1</v>
          </cell>
        </row>
        <row r="202">
          <cell r="A202" t="str">
            <v>3EB-55-12350</v>
          </cell>
          <cell r="B202">
            <v>970</v>
          </cell>
          <cell r="C202" t="str">
            <v>TD</v>
          </cell>
          <cell r="D202" t="str">
            <v>R27001-A1220000</v>
          </cell>
          <cell r="E202" t="str">
            <v>SIDE GUARD LH</v>
          </cell>
          <cell r="F202">
            <v>1</v>
          </cell>
        </row>
        <row r="203">
          <cell r="A203" t="str">
            <v>3EB-55-12351</v>
          </cell>
          <cell r="B203">
            <v>960</v>
          </cell>
          <cell r="C203" t="str">
            <v>TD</v>
          </cell>
          <cell r="D203" t="str">
            <v>R27001-A1300000</v>
          </cell>
          <cell r="E203" t="str">
            <v>BRACKET SPARE TYRE</v>
          </cell>
          <cell r="F203">
            <v>1</v>
          </cell>
        </row>
        <row r="204">
          <cell r="A204" t="str">
            <v>3EC-55-22710</v>
          </cell>
          <cell r="B204">
            <v>1810</v>
          </cell>
          <cell r="C204" t="str">
            <v>TD</v>
          </cell>
          <cell r="D204" t="str">
            <v>SCK-2TF</v>
          </cell>
          <cell r="E204" t="str">
            <v>SOCKET (TERMINAL SCO</v>
          </cell>
          <cell r="F204">
            <v>3</v>
          </cell>
        </row>
        <row r="205">
          <cell r="A205" t="str">
            <v>3-MV056-2001</v>
          </cell>
          <cell r="B205">
            <v>1820</v>
          </cell>
          <cell r="C205" t="str">
            <v>TD</v>
          </cell>
          <cell r="D205" t="str">
            <v>SCK-2TM</v>
          </cell>
          <cell r="E205" t="str">
            <v>SOCKET (TERMINAL SCOEN ) MALE</v>
          </cell>
          <cell r="F205">
            <v>3</v>
          </cell>
        </row>
        <row r="206">
          <cell r="A206" t="str">
            <v>3-MV056-2002</v>
          </cell>
          <cell r="B206">
            <v>2780</v>
          </cell>
          <cell r="C206" t="str">
            <v>TD</v>
          </cell>
          <cell r="D206" t="str">
            <v>TBA-3.2</v>
          </cell>
          <cell r="E206" t="str">
            <v>PACK TBA 3,2X1000</v>
          </cell>
          <cell r="F206">
            <v>1</v>
          </cell>
        </row>
        <row r="207">
          <cell r="A207" t="str">
            <v>3-MV056-2003</v>
          </cell>
          <cell r="B207">
            <v>410</v>
          </cell>
          <cell r="C207" t="str">
            <v>TD</v>
          </cell>
          <cell r="D207" t="str">
            <v>TF-004-100100</v>
          </cell>
          <cell r="E207" t="str">
            <v>TEFLON 4X1000X1000</v>
          </cell>
          <cell r="F207">
            <v>1</v>
          </cell>
        </row>
        <row r="208">
          <cell r="A208" t="str">
            <v>3-TLL-50-46410</v>
          </cell>
          <cell r="B208">
            <v>470</v>
          </cell>
          <cell r="C208" t="str">
            <v>TD</v>
          </cell>
          <cell r="D208" t="str">
            <v>TM7-F112101</v>
          </cell>
          <cell r="E208" t="str">
            <v>RING PLATE</v>
          </cell>
          <cell r="F208">
            <v>1</v>
          </cell>
        </row>
        <row r="209">
          <cell r="A209" t="str">
            <v>3-TLT-50-46420</v>
          </cell>
          <cell r="B209">
            <v>480</v>
          </cell>
          <cell r="C209" t="str">
            <v>TD</v>
          </cell>
          <cell r="D209" t="str">
            <v>TM7-F112201</v>
          </cell>
          <cell r="E209" t="str">
            <v>RING PLATE</v>
          </cell>
          <cell r="F209">
            <v>1</v>
          </cell>
        </row>
        <row r="210">
          <cell r="A210" t="str">
            <v>3-TM7-F11170-M</v>
          </cell>
          <cell r="B210">
            <v>490</v>
          </cell>
          <cell r="C210" t="str">
            <v>TD</v>
          </cell>
          <cell r="D210" t="str">
            <v>TM7-F112701</v>
          </cell>
          <cell r="E210" t="str">
            <v>DISH END CM700</v>
          </cell>
          <cell r="F210">
            <v>1</v>
          </cell>
        </row>
        <row r="211">
          <cell r="A211" t="str">
            <v>3-TM7-F12600</v>
          </cell>
          <cell r="B211">
            <v>500</v>
          </cell>
          <cell r="C211" t="str">
            <v>TD</v>
          </cell>
          <cell r="D211" t="str">
            <v>TM7-F112B01</v>
          </cell>
          <cell r="E211" t="str">
            <v>DISH END SUPPORT</v>
          </cell>
          <cell r="F211">
            <v>1</v>
          </cell>
        </row>
        <row r="212">
          <cell r="A212" t="str">
            <v>3-TM7-F13200</v>
          </cell>
          <cell r="B212">
            <v>510</v>
          </cell>
          <cell r="C212" t="str">
            <v>TD</v>
          </cell>
          <cell r="D212" t="str">
            <v>TM7-F112C01-M</v>
          </cell>
          <cell r="E212" t="str">
            <v>REINFORCE JASA FLANGING</v>
          </cell>
          <cell r="F212">
            <v>1</v>
          </cell>
        </row>
        <row r="213">
          <cell r="A213" t="str">
            <v>3-TM7-F15000</v>
          </cell>
          <cell r="B213">
            <v>950</v>
          </cell>
          <cell r="C213" t="str">
            <v>TD</v>
          </cell>
          <cell r="D213" t="str">
            <v>TM7-F112E01</v>
          </cell>
          <cell r="E213" t="str">
            <v>REINFORCE</v>
          </cell>
          <cell r="F213">
            <v>24</v>
          </cell>
        </row>
        <row r="214">
          <cell r="A214" t="str">
            <v>3-TM7-F15100</v>
          </cell>
          <cell r="B214">
            <v>790</v>
          </cell>
          <cell r="C214" t="str">
            <v>TD</v>
          </cell>
          <cell r="D214" t="str">
            <v>TM7-F113001</v>
          </cell>
          <cell r="E214" t="str">
            <v>GASKET(203B102)</v>
          </cell>
          <cell r="F214">
            <v>2</v>
          </cell>
        </row>
        <row r="215">
          <cell r="A215" t="str">
            <v>3-TM7-F15500</v>
          </cell>
          <cell r="B215">
            <v>990</v>
          </cell>
          <cell r="C215" t="str">
            <v>TD</v>
          </cell>
          <cell r="D215" t="str">
            <v>TM7-F121001</v>
          </cell>
          <cell r="E215" t="str">
            <v>FRONT SUPPORT</v>
          </cell>
          <cell r="F215">
            <v>1</v>
          </cell>
        </row>
        <row r="216">
          <cell r="A216" t="str">
            <v>3-TM7-F161B0</v>
          </cell>
          <cell r="B216">
            <v>900</v>
          </cell>
          <cell r="C216" t="str">
            <v>TD</v>
          </cell>
          <cell r="D216" t="str">
            <v>TM7-M160000</v>
          </cell>
          <cell r="E216" t="str">
            <v xml:space="preserve"> U Bolt Assy</v>
          </cell>
          <cell r="F216">
            <v>4</v>
          </cell>
        </row>
        <row r="217">
          <cell r="A217" t="str">
            <v>3-TM7-F19000</v>
          </cell>
          <cell r="B217">
            <v>2790</v>
          </cell>
          <cell r="C217" t="str">
            <v>TD</v>
          </cell>
          <cell r="D217" t="str">
            <v>VE001-00020</v>
          </cell>
          <cell r="E217" t="str">
            <v>CABLE CONTROL 6,5M(203B101)</v>
          </cell>
          <cell r="F217">
            <v>1</v>
          </cell>
        </row>
        <row r="218">
          <cell r="A218" t="str">
            <v>3-TM7-G10000</v>
          </cell>
          <cell r="B218">
            <v>2810</v>
          </cell>
          <cell r="C218" t="str">
            <v>TD</v>
          </cell>
          <cell r="D218" t="str">
            <v>VE001-00190</v>
          </cell>
          <cell r="E218" t="str">
            <v>FUSE HOLDER 15A(204E201)</v>
          </cell>
          <cell r="F218">
            <v>1</v>
          </cell>
        </row>
        <row r="219">
          <cell r="A219" t="str">
            <v>3-TM7-G1000X</v>
          </cell>
          <cell r="B219">
            <v>2820</v>
          </cell>
          <cell r="C219" t="str">
            <v>TD</v>
          </cell>
          <cell r="D219" t="str">
            <v>VE001-00880</v>
          </cell>
          <cell r="E219" t="str">
            <v>CABLE CONTROL 3X3M (203B102)</v>
          </cell>
          <cell r="F219">
            <v>1</v>
          </cell>
        </row>
        <row r="220">
          <cell r="A220" t="str">
            <v>3-TM7-H11000</v>
          </cell>
          <cell r="B220">
            <v>1830</v>
          </cell>
          <cell r="C220" t="str">
            <v>TD</v>
          </cell>
          <cell r="D220" t="str">
            <v>VE001-00900</v>
          </cell>
          <cell r="E220" t="str">
            <v>CABLE 1MM2(203B202)REAR LAMP(204E303)</v>
          </cell>
          <cell r="F220">
            <v>25</v>
          </cell>
        </row>
        <row r="221">
          <cell r="A221" t="str">
            <v>3-TM7-H11100</v>
          </cell>
          <cell r="B221">
            <v>2800</v>
          </cell>
          <cell r="C221" t="str">
            <v>TD</v>
          </cell>
          <cell r="D221" t="str">
            <v>VE001-01230</v>
          </cell>
          <cell r="E221" t="str">
            <v>TOGGLE SWITCH 2 KAKI (204C203)</v>
          </cell>
          <cell r="F221">
            <v>2</v>
          </cell>
        </row>
        <row r="222">
          <cell r="A222" t="str">
            <v>3-TM7-H20000</v>
          </cell>
          <cell r="B222">
            <v>2990</v>
          </cell>
          <cell r="C222" t="str">
            <v>TD</v>
          </cell>
          <cell r="D222" t="str">
            <v>VE005-00020</v>
          </cell>
          <cell r="E222" t="str">
            <v>SCOEN CABLE 1.5F(204B201)</v>
          </cell>
          <cell r="F222">
            <v>2</v>
          </cell>
        </row>
        <row r="223">
          <cell r="A223" t="str">
            <v>3-TM7-L10000</v>
          </cell>
          <cell r="B223">
            <v>2830</v>
          </cell>
          <cell r="C223" t="str">
            <v>TD</v>
          </cell>
          <cell r="D223" t="str">
            <v>VH001-00780</v>
          </cell>
          <cell r="E223" t="str">
            <v>COUPLER 1"(204D202)</v>
          </cell>
          <cell r="F223">
            <v>1</v>
          </cell>
        </row>
        <row r="224">
          <cell r="A224" t="str">
            <v>3-TM7-M10000</v>
          </cell>
          <cell r="B224">
            <v>70</v>
          </cell>
          <cell r="C224" t="str">
            <v>TD</v>
          </cell>
          <cell r="D224" t="str">
            <v>VH001-02055</v>
          </cell>
          <cell r="E224" t="str">
            <v>OIL COOLER DYNACOOL</v>
          </cell>
          <cell r="F224">
            <v>1</v>
          </cell>
        </row>
        <row r="225">
          <cell r="A225" t="str">
            <v>3-TM7-Q11000</v>
          </cell>
          <cell r="B225">
            <v>40</v>
          </cell>
          <cell r="C225" t="str">
            <v>TD</v>
          </cell>
          <cell r="D225" t="str">
            <v>VH001-07280</v>
          </cell>
          <cell r="E225" t="str">
            <v>GEAR BOX ZF P4300</v>
          </cell>
          <cell r="F225">
            <v>1</v>
          </cell>
        </row>
        <row r="226">
          <cell r="A226" t="str">
            <v>3-TM7-Q11100</v>
          </cell>
          <cell r="B226">
            <v>2660</v>
          </cell>
          <cell r="C226" t="str">
            <v>TD</v>
          </cell>
          <cell r="D226" t="str">
            <v>VM001-00010</v>
          </cell>
          <cell r="E226" t="str">
            <v>U Bolt1 1/4</v>
          </cell>
          <cell r="F226">
            <v>2</v>
          </cell>
        </row>
        <row r="227">
          <cell r="A227" t="str">
            <v>3-TM7-T10000</v>
          </cell>
          <cell r="B227">
            <v>2840</v>
          </cell>
          <cell r="C227" t="str">
            <v>TD</v>
          </cell>
          <cell r="D227" t="str">
            <v>VM001-00420</v>
          </cell>
          <cell r="E227" t="str">
            <v>U BOLT 3/4"(204E201)</v>
          </cell>
          <cell r="F227">
            <v>8</v>
          </cell>
        </row>
        <row r="228">
          <cell r="A228" t="str">
            <v>3-TM7-T11000</v>
          </cell>
          <cell r="B228">
            <v>2850</v>
          </cell>
          <cell r="C228" t="str">
            <v>TD</v>
          </cell>
          <cell r="D228" t="str">
            <v>VM001-00470</v>
          </cell>
          <cell r="E228" t="str">
            <v>U BOLT 2"</v>
          </cell>
          <cell r="F228">
            <v>2</v>
          </cell>
        </row>
        <row r="229">
          <cell r="A229" t="str">
            <v>3-TM8-F10000</v>
          </cell>
          <cell r="B229">
            <v>1140</v>
          </cell>
          <cell r="C229" t="str">
            <v>TD</v>
          </cell>
          <cell r="D229" t="str">
            <v>VM001-00860</v>
          </cell>
          <cell r="E229" t="str">
            <v>PER TEKAN 1,5X17X480</v>
          </cell>
          <cell r="F229">
            <v>1</v>
          </cell>
        </row>
        <row r="230">
          <cell r="A230" t="str">
            <v>3-TM8-F11000</v>
          </cell>
          <cell r="B230">
            <v>2860</v>
          </cell>
          <cell r="C230" t="str">
            <v>TD</v>
          </cell>
          <cell r="D230" t="str">
            <v>VM001-01040</v>
          </cell>
          <cell r="E230" t="str">
            <v>STICKER LIFT HERE</v>
          </cell>
          <cell r="F230">
            <v>2</v>
          </cell>
        </row>
        <row r="231">
          <cell r="A231" t="str">
            <v>3-TMT-JF15500</v>
          </cell>
          <cell r="B231">
            <v>2870</v>
          </cell>
          <cell r="C231" t="str">
            <v>TD</v>
          </cell>
          <cell r="D231" t="str">
            <v>VM001-02070</v>
          </cell>
          <cell r="E231" t="str">
            <v>STIKER NOTICE / STAN</v>
          </cell>
          <cell r="F231">
            <v>1</v>
          </cell>
        </row>
        <row r="232">
          <cell r="A232" t="str">
            <v>3-VE001-0001</v>
          </cell>
          <cell r="B232">
            <v>2880</v>
          </cell>
          <cell r="C232" t="str">
            <v>TD</v>
          </cell>
          <cell r="D232" t="str">
            <v>VM001-02080</v>
          </cell>
          <cell r="E232" t="str">
            <v>STIKER NOTICEOIL COLOUR</v>
          </cell>
          <cell r="F232">
            <v>1</v>
          </cell>
        </row>
        <row r="233">
          <cell r="A233" t="str">
            <v>3-VE001-0002</v>
          </cell>
          <cell r="B233">
            <v>2220</v>
          </cell>
          <cell r="C233" t="str">
            <v>TD</v>
          </cell>
          <cell r="D233" t="str">
            <v>VM001-03630</v>
          </cell>
          <cell r="E233" t="str">
            <v>ELBOW WELD 1(203B303)</v>
          </cell>
          <cell r="F233">
            <v>1</v>
          </cell>
        </row>
        <row r="234">
          <cell r="A234" t="str">
            <v>3-VE002-0001</v>
          </cell>
          <cell r="B234">
            <v>2210</v>
          </cell>
          <cell r="C234" t="str">
            <v>TD</v>
          </cell>
          <cell r="D234" t="str">
            <v>VM001-03770</v>
          </cell>
          <cell r="E234" t="str">
            <v>KARET MUD FLAP 5X670X500</v>
          </cell>
          <cell r="F234">
            <v>2</v>
          </cell>
        </row>
        <row r="235">
          <cell r="A235" t="str">
            <v>3-VE003-0002</v>
          </cell>
          <cell r="B235">
            <v>2960</v>
          </cell>
          <cell r="C235" t="str">
            <v>TD</v>
          </cell>
          <cell r="D235" t="str">
            <v>VM001-05610</v>
          </cell>
          <cell r="E235" t="str">
            <v>DOUBLE NIPPLE 1/2" X 3/8"(204D201)</v>
          </cell>
          <cell r="F235">
            <v>1</v>
          </cell>
        </row>
        <row r="236">
          <cell r="A236" t="str">
            <v>3-VE006-2001</v>
          </cell>
          <cell r="B236">
            <v>2310</v>
          </cell>
          <cell r="C236" t="str">
            <v>TD</v>
          </cell>
          <cell r="D236" t="str">
            <v>VP001-02650</v>
          </cell>
          <cell r="E236" t="str">
            <v>TEE 3/4" (DRATE)</v>
          </cell>
          <cell r="F236">
            <v>2</v>
          </cell>
        </row>
        <row r="237">
          <cell r="A237" t="str">
            <v>3-VE007-0001</v>
          </cell>
          <cell r="B237">
            <v>1690</v>
          </cell>
          <cell r="C237" t="str">
            <v>TD</v>
          </cell>
          <cell r="D237" t="str">
            <v>VP001-02750</v>
          </cell>
          <cell r="E237" t="str">
            <v>AIR REGULATOR 3/8"(202C402)</v>
          </cell>
          <cell r="F237">
            <v>1</v>
          </cell>
        </row>
        <row r="238">
          <cell r="A238" t="str">
            <v>3-VE008-0001</v>
          </cell>
          <cell r="B238">
            <v>2910</v>
          </cell>
          <cell r="C238" t="str">
            <v>SM</v>
          </cell>
          <cell r="D238" t="str">
            <v>VP001-02750</v>
          </cell>
          <cell r="E238" t="str">
            <v>AIR REGULATOR 3/8"(202C402)</v>
          </cell>
          <cell r="F238">
            <v>1</v>
          </cell>
        </row>
        <row r="239">
          <cell r="A239" t="str">
            <v>3-VE009-0001</v>
          </cell>
          <cell r="B239">
            <v>2920</v>
          </cell>
          <cell r="C239" t="str">
            <v>TD</v>
          </cell>
          <cell r="D239" t="str">
            <v>VP001-03790</v>
          </cell>
          <cell r="E239" t="str">
            <v>DOUBLE NIPPLE 3/8(204D201)</v>
          </cell>
          <cell r="F239">
            <v>1</v>
          </cell>
        </row>
        <row r="240">
          <cell r="A240" t="str">
            <v>3-VE010-0001</v>
          </cell>
          <cell r="B240">
            <v>2650</v>
          </cell>
          <cell r="C240" t="str">
            <v>TD</v>
          </cell>
          <cell r="D240" t="str">
            <v>VP001-04760</v>
          </cell>
          <cell r="E240" t="str">
            <v>LEVEL GATE(204C101)</v>
          </cell>
          <cell r="F240">
            <v>1</v>
          </cell>
        </row>
        <row r="241">
          <cell r="A241" t="str">
            <v>3-VE018-2001</v>
          </cell>
          <cell r="B241">
            <v>2930</v>
          </cell>
          <cell r="C241" t="str">
            <v>TD</v>
          </cell>
          <cell r="D241" t="str">
            <v>VP001-04790</v>
          </cell>
          <cell r="E241" t="str">
            <v>PRESSURE GAUGE( 753410 )</v>
          </cell>
          <cell r="F241">
            <v>1</v>
          </cell>
        </row>
        <row r="242">
          <cell r="A242" t="str">
            <v>3-VH005-0001</v>
          </cell>
          <cell r="B242">
            <v>10</v>
          </cell>
          <cell r="C242" t="str">
            <v>TD</v>
          </cell>
          <cell r="D242">
            <v>0</v>
          </cell>
          <cell r="E242" t="str">
            <v>RAW MATERIAL</v>
          </cell>
          <cell r="F242">
            <v>1</v>
          </cell>
        </row>
        <row r="243">
          <cell r="A243" t="str">
            <v>3-VH006-0001</v>
          </cell>
          <cell r="B243" t="str">
            <v>FILTER</v>
          </cell>
          <cell r="C243" t="str">
            <v>PC</v>
          </cell>
          <cell r="D243">
            <v>0</v>
          </cell>
          <cell r="E243">
            <v>0</v>
          </cell>
          <cell r="F243">
            <v>0</v>
          </cell>
        </row>
        <row r="244">
          <cell r="A244" t="str">
            <v>3-VH007-0001</v>
          </cell>
          <cell r="B244" t="str">
            <v>PUMP, hydraulic</v>
          </cell>
          <cell r="C244" t="str">
            <v>PC</v>
          </cell>
          <cell r="D244">
            <v>0</v>
          </cell>
          <cell r="E244">
            <v>0</v>
          </cell>
          <cell r="F244">
            <v>0</v>
          </cell>
        </row>
        <row r="245">
          <cell r="A245" t="str">
            <v>3-VH007-0002</v>
          </cell>
          <cell r="B245" t="str">
            <v>PUMP, hydraulic</v>
          </cell>
          <cell r="C245" t="str">
            <v>PC</v>
          </cell>
          <cell r="D245">
            <v>0</v>
          </cell>
          <cell r="E245">
            <v>0</v>
          </cell>
          <cell r="F245">
            <v>0</v>
          </cell>
        </row>
        <row r="246">
          <cell r="A246" t="str">
            <v>3-VH009-0001</v>
          </cell>
          <cell r="B246" t="str">
            <v>OIL LEVEL</v>
          </cell>
          <cell r="C246" t="str">
            <v>PC</v>
          </cell>
          <cell r="D246">
            <v>0</v>
          </cell>
          <cell r="E246">
            <v>122423</v>
          </cell>
          <cell r="F246">
            <v>0</v>
          </cell>
        </row>
        <row r="247">
          <cell r="A247" t="str">
            <v>3-VH010-0001</v>
          </cell>
          <cell r="B247" t="str">
            <v>ELEMEN FILTER</v>
          </cell>
          <cell r="C247" t="str">
            <v>PC</v>
          </cell>
          <cell r="D247">
            <v>17</v>
          </cell>
          <cell r="E247">
            <v>41400</v>
          </cell>
          <cell r="F247">
            <v>703800</v>
          </cell>
        </row>
        <row r="248">
          <cell r="A248" t="str">
            <v>3-VM001-0001</v>
          </cell>
          <cell r="B248" t="str">
            <v>RANTAI 3MM</v>
          </cell>
          <cell r="C248" t="str">
            <v>PC</v>
          </cell>
          <cell r="D248">
            <v>24</v>
          </cell>
          <cell r="E248">
            <v>2850</v>
          </cell>
          <cell r="F248">
            <v>68400</v>
          </cell>
        </row>
        <row r="249">
          <cell r="A249" t="str">
            <v>3-VM001-0003</v>
          </cell>
          <cell r="B249" t="str">
            <v>CROSBY CHAIN DIA 3MM</v>
          </cell>
          <cell r="C249" t="str">
            <v>PC</v>
          </cell>
          <cell r="D249">
            <v>193</v>
          </cell>
          <cell r="E249">
            <v>4201</v>
          </cell>
          <cell r="F249">
            <v>810730</v>
          </cell>
        </row>
        <row r="250">
          <cell r="A250" t="str">
            <v>3-VM001-0005</v>
          </cell>
          <cell r="B250" t="str">
            <v>CROSBY CHAIN DIA 5MM</v>
          </cell>
          <cell r="C250" t="str">
            <v>PC</v>
          </cell>
          <cell r="D250">
            <v>125</v>
          </cell>
          <cell r="E250">
            <v>6600</v>
          </cell>
          <cell r="F250">
            <v>825000</v>
          </cell>
        </row>
        <row r="251">
          <cell r="A251" t="str">
            <v>3-VM005-2001</v>
          </cell>
          <cell r="B251" t="str">
            <v>U-BOLT</v>
          </cell>
          <cell r="C251" t="str">
            <v>PC</v>
          </cell>
          <cell r="D251">
            <v>0</v>
          </cell>
          <cell r="E251">
            <v>0</v>
          </cell>
          <cell r="F251">
            <v>0</v>
          </cell>
        </row>
        <row r="252">
          <cell r="A252" t="str">
            <v>3-VM005-2002</v>
          </cell>
          <cell r="B252" t="str">
            <v>U-BOLT</v>
          </cell>
          <cell r="C252" t="str">
            <v>PC</v>
          </cell>
          <cell r="D252">
            <v>0</v>
          </cell>
          <cell r="E252">
            <v>0</v>
          </cell>
          <cell r="F252">
            <v>0</v>
          </cell>
        </row>
        <row r="253">
          <cell r="A253" t="str">
            <v>3-VM007-2010-I</v>
          </cell>
          <cell r="B253" t="str">
            <v>W.RIMS 7,5X20-10-ISO</v>
          </cell>
          <cell r="C253" t="str">
            <v>PC</v>
          </cell>
          <cell r="D253">
            <v>3</v>
          </cell>
          <cell r="E253">
            <v>615181</v>
          </cell>
          <cell r="F253">
            <v>1845543</v>
          </cell>
        </row>
        <row r="254">
          <cell r="A254" t="str">
            <v>3-VM010-24101S</v>
          </cell>
          <cell r="B254" t="str">
            <v>RIM, 8.50-24-10S-ISO</v>
          </cell>
          <cell r="C254" t="str">
            <v>PC</v>
          </cell>
          <cell r="D254">
            <v>0</v>
          </cell>
          <cell r="E254">
            <v>125</v>
          </cell>
          <cell r="F254">
            <v>0</v>
          </cell>
        </row>
        <row r="255">
          <cell r="A255" t="str">
            <v>3-VM010-2410I</v>
          </cell>
          <cell r="B255" t="str">
            <v>RIM, 10-24-10S-ISO</v>
          </cell>
          <cell r="C255" t="str">
            <v>PC</v>
          </cell>
          <cell r="D255">
            <v>0</v>
          </cell>
          <cell r="E255">
            <v>1575000</v>
          </cell>
          <cell r="F255">
            <v>0</v>
          </cell>
        </row>
        <row r="256">
          <cell r="A256" t="str">
            <v>3-VM010-2510I</v>
          </cell>
          <cell r="B256" t="str">
            <v>W.RIMS 10X25-10S-ISO</v>
          </cell>
          <cell r="C256" t="str">
            <v>PC</v>
          </cell>
          <cell r="D256">
            <v>12</v>
          </cell>
          <cell r="E256">
            <v>1</v>
          </cell>
          <cell r="F256">
            <v>12</v>
          </cell>
        </row>
        <row r="257">
          <cell r="A257" t="str">
            <v>3-VM015-0000</v>
          </cell>
          <cell r="B257" t="str">
            <v>RINGFEDER H COUPLING</v>
          </cell>
          <cell r="C257" t="str">
            <v>PC</v>
          </cell>
          <cell r="D257">
            <v>5</v>
          </cell>
          <cell r="E257">
            <v>2394300</v>
          </cell>
          <cell r="F257">
            <v>11971501</v>
          </cell>
        </row>
        <row r="258">
          <cell r="A258" t="str">
            <v>3-VM016-0003</v>
          </cell>
          <cell r="B258" t="str">
            <v>WHEEL NUT LH(OUT/IN)</v>
          </cell>
          <cell r="C258" t="str">
            <v>PC</v>
          </cell>
          <cell r="D258">
            <v>185</v>
          </cell>
          <cell r="E258">
            <v>14894</v>
          </cell>
          <cell r="F258">
            <v>2755453</v>
          </cell>
        </row>
        <row r="259">
          <cell r="A259" t="str">
            <v>3-VM017-0003</v>
          </cell>
          <cell r="B259" t="str">
            <v>WHEEL NUT RH(OUT/IN)</v>
          </cell>
          <cell r="C259" t="str">
            <v>PC</v>
          </cell>
          <cell r="D259">
            <v>184</v>
          </cell>
          <cell r="E259">
            <v>14901</v>
          </cell>
          <cell r="F259">
            <v>2741773</v>
          </cell>
        </row>
        <row r="260">
          <cell r="A260" t="str">
            <v>3-VM018-0000</v>
          </cell>
          <cell r="B260" t="str">
            <v>TWIN AXLE BOOGIE LPT405</v>
          </cell>
          <cell r="C260" t="str">
            <v>PC</v>
          </cell>
          <cell r="D260">
            <v>0</v>
          </cell>
          <cell r="E260">
            <v>54074900</v>
          </cell>
          <cell r="F260">
            <v>0</v>
          </cell>
        </row>
        <row r="261">
          <cell r="A261" t="str">
            <v>3-VM018-0032</v>
          </cell>
          <cell r="B261" t="str">
            <v>SPRING TARIK DV</v>
          </cell>
          <cell r="C261" t="str">
            <v>PC</v>
          </cell>
          <cell r="D261">
            <v>106</v>
          </cell>
          <cell r="E261">
            <v>4500</v>
          </cell>
          <cell r="F261">
            <v>477000</v>
          </cell>
        </row>
        <row r="262">
          <cell r="A262" t="str">
            <v>3-VM039-0001</v>
          </cell>
          <cell r="B262" t="str">
            <v>GUARD, mud</v>
          </cell>
          <cell r="C262" t="str">
            <v>PC</v>
          </cell>
          <cell r="D262">
            <v>0</v>
          </cell>
          <cell r="E262">
            <v>0</v>
          </cell>
          <cell r="F262">
            <v>0</v>
          </cell>
        </row>
        <row r="263">
          <cell r="A263" t="str">
            <v>3-VM056-2001</v>
          </cell>
          <cell r="B263" t="str">
            <v>PROPELLER SHAFT L/T</v>
          </cell>
          <cell r="C263" t="str">
            <v>PC</v>
          </cell>
          <cell r="D263">
            <v>8</v>
          </cell>
          <cell r="E263">
            <v>240000</v>
          </cell>
          <cell r="F263">
            <v>1920000</v>
          </cell>
        </row>
        <row r="264">
          <cell r="A264" t="str">
            <v>3-VM069-2001</v>
          </cell>
          <cell r="B264" t="str">
            <v xml:space="preserve"> Gear Box</v>
          </cell>
          <cell r="C264" t="str">
            <v>PC</v>
          </cell>
          <cell r="D264">
            <v>0</v>
          </cell>
          <cell r="E264">
            <v>0</v>
          </cell>
          <cell r="F264">
            <v>0</v>
          </cell>
        </row>
        <row r="265">
          <cell r="A265" t="str">
            <v>3-VP001-01080</v>
          </cell>
          <cell r="B265" t="str">
            <v>PLUG 22 X 1.5</v>
          </cell>
          <cell r="C265" t="str">
            <v>PC</v>
          </cell>
          <cell r="D265">
            <v>23</v>
          </cell>
          <cell r="E265">
            <v>7980</v>
          </cell>
          <cell r="F265">
            <v>183540</v>
          </cell>
        </row>
        <row r="266">
          <cell r="A266" t="str">
            <v>3-VP001-01090</v>
          </cell>
          <cell r="B266" t="str">
            <v>PLUG 26 X 1.5</v>
          </cell>
          <cell r="C266" t="str">
            <v>PC</v>
          </cell>
          <cell r="D266">
            <v>28</v>
          </cell>
          <cell r="E266">
            <v>11640</v>
          </cell>
          <cell r="F266">
            <v>325920</v>
          </cell>
        </row>
        <row r="267">
          <cell r="A267" t="str">
            <v>3-VP001-02810</v>
          </cell>
          <cell r="B267" t="str">
            <v>DN 1 1/4 F X 1"M</v>
          </cell>
          <cell r="C267" t="str">
            <v>PC</v>
          </cell>
          <cell r="D267">
            <v>11</v>
          </cell>
          <cell r="E267">
            <v>5400</v>
          </cell>
          <cell r="F267">
            <v>59400</v>
          </cell>
        </row>
        <row r="268">
          <cell r="A268" t="str">
            <v>3-VP001-2001</v>
          </cell>
          <cell r="B268" t="str">
            <v>HOSE CON. 1/2X3/8M</v>
          </cell>
          <cell r="C268" t="str">
            <v>PC</v>
          </cell>
          <cell r="D268">
            <v>61</v>
          </cell>
          <cell r="E268">
            <v>12430</v>
          </cell>
          <cell r="F268">
            <v>758220</v>
          </cell>
        </row>
        <row r="269">
          <cell r="A269" t="str">
            <v>3-VP001-2002</v>
          </cell>
          <cell r="B269" t="str">
            <v>HOSE CON. 1/4"X3/8</v>
          </cell>
          <cell r="C269" t="str">
            <v>PC</v>
          </cell>
          <cell r="D269">
            <v>102</v>
          </cell>
          <cell r="E269">
            <v>3881</v>
          </cell>
          <cell r="F269">
            <v>395862</v>
          </cell>
        </row>
        <row r="270">
          <cell r="A270" t="str">
            <v>3-VP001-2003</v>
          </cell>
          <cell r="B270" t="str">
            <v>H.CON 1/2"X1/2"</v>
          </cell>
          <cell r="C270" t="str">
            <v>PC</v>
          </cell>
          <cell r="D270">
            <v>50</v>
          </cell>
          <cell r="E270">
            <v>15400</v>
          </cell>
          <cell r="F270">
            <v>770000</v>
          </cell>
        </row>
        <row r="271">
          <cell r="A271" t="str">
            <v>3-VP001-2005</v>
          </cell>
          <cell r="B271" t="str">
            <v>HOSE CON. 1" X 1"</v>
          </cell>
          <cell r="C271" t="str">
            <v>PC</v>
          </cell>
          <cell r="D271">
            <v>6</v>
          </cell>
          <cell r="E271">
            <v>10428</v>
          </cell>
          <cell r="F271">
            <v>62569</v>
          </cell>
        </row>
        <row r="272">
          <cell r="A272" t="str">
            <v>3-VP001-2007</v>
          </cell>
          <cell r="B272" t="str">
            <v>HOSE CON. 3/8 X 3/8"</v>
          </cell>
          <cell r="C272" t="str">
            <v>PC</v>
          </cell>
          <cell r="D272">
            <v>1</v>
          </cell>
          <cell r="E272">
            <v>17500</v>
          </cell>
          <cell r="F272">
            <v>17500</v>
          </cell>
        </row>
        <row r="273">
          <cell r="A273" t="str">
            <v>3-VP001-2009</v>
          </cell>
          <cell r="B273" t="str">
            <v>HOSE CON.</v>
          </cell>
          <cell r="C273" t="str">
            <v>PC</v>
          </cell>
          <cell r="D273">
            <v>0</v>
          </cell>
          <cell r="E273">
            <v>7200</v>
          </cell>
          <cell r="F273">
            <v>0</v>
          </cell>
        </row>
        <row r="274">
          <cell r="A274" t="str">
            <v>3-VP001-2010</v>
          </cell>
          <cell r="B274" t="str">
            <v>HOSE CON. 3/4"X1/2</v>
          </cell>
          <cell r="C274" t="str">
            <v>PC</v>
          </cell>
          <cell r="D274">
            <v>37</v>
          </cell>
          <cell r="E274">
            <v>10381</v>
          </cell>
          <cell r="F274">
            <v>384097</v>
          </cell>
        </row>
        <row r="275">
          <cell r="A275" t="str">
            <v>3-VP002-1003</v>
          </cell>
          <cell r="B275" t="str">
            <v>D. NIPPLE 1" X 3/4"</v>
          </cell>
          <cell r="C275" t="str">
            <v>PC</v>
          </cell>
          <cell r="D275">
            <v>58</v>
          </cell>
          <cell r="E275">
            <v>32510</v>
          </cell>
          <cell r="F275">
            <v>1885580</v>
          </cell>
        </row>
        <row r="276">
          <cell r="A276" t="str">
            <v>3-VP002-2002</v>
          </cell>
          <cell r="B276" t="str">
            <v>D. NIPPLE 1/2"X1/2"</v>
          </cell>
          <cell r="C276" t="str">
            <v>PC</v>
          </cell>
          <cell r="D276">
            <v>22</v>
          </cell>
          <cell r="E276">
            <v>2040</v>
          </cell>
          <cell r="F276">
            <v>44880</v>
          </cell>
        </row>
        <row r="277">
          <cell r="A277" t="str">
            <v>3-VP002-2003</v>
          </cell>
          <cell r="B277" t="str">
            <v>D. NIPPLE 3/4NPT X 3/4NPT (M)</v>
          </cell>
          <cell r="C277" t="str">
            <v>PC</v>
          </cell>
          <cell r="D277">
            <v>746</v>
          </cell>
          <cell r="E277">
            <v>3889</v>
          </cell>
          <cell r="F277">
            <v>2901194</v>
          </cell>
        </row>
        <row r="278">
          <cell r="A278" t="str">
            <v>3-VP002-2005</v>
          </cell>
          <cell r="B278" t="str">
            <v>D. NIPPLE 1 X 3/4 (M)</v>
          </cell>
          <cell r="C278" t="str">
            <v>PC</v>
          </cell>
          <cell r="D278">
            <v>0</v>
          </cell>
          <cell r="E278">
            <v>33000</v>
          </cell>
          <cell r="F278">
            <v>0</v>
          </cell>
        </row>
        <row r="279">
          <cell r="A279" t="str">
            <v>3-VP003-2001</v>
          </cell>
          <cell r="B279" t="str">
            <v>D. NIPPLE 3/8X3/8</v>
          </cell>
          <cell r="C279" t="str">
            <v>PC</v>
          </cell>
          <cell r="D279">
            <v>30</v>
          </cell>
          <cell r="E279">
            <v>18000</v>
          </cell>
          <cell r="F279">
            <v>540000</v>
          </cell>
        </row>
        <row r="280">
          <cell r="A280" t="str">
            <v>3-VP004-2002</v>
          </cell>
          <cell r="B280" t="str">
            <v>VALVE, REGULATOR</v>
          </cell>
          <cell r="C280" t="str">
            <v>PC</v>
          </cell>
          <cell r="D280">
            <v>9</v>
          </cell>
          <cell r="E280">
            <v>35000</v>
          </cell>
          <cell r="F280">
            <v>315000</v>
          </cell>
        </row>
        <row r="281">
          <cell r="A281" t="str">
            <v>3-VP005-0001</v>
          </cell>
          <cell r="B281" t="str">
            <v>PLUG 1/2"</v>
          </cell>
          <cell r="C281" t="str">
            <v>PC</v>
          </cell>
          <cell r="D281">
            <v>46</v>
          </cell>
          <cell r="E281">
            <v>420</v>
          </cell>
          <cell r="F281">
            <v>19320</v>
          </cell>
        </row>
        <row r="282">
          <cell r="A282" t="str">
            <v>3-VP005-0002</v>
          </cell>
          <cell r="B282" t="str">
            <v>PLUG 1/4"</v>
          </cell>
          <cell r="C282" t="str">
            <v>PC</v>
          </cell>
          <cell r="D282">
            <v>64</v>
          </cell>
          <cell r="E282">
            <v>5402</v>
          </cell>
          <cell r="F282">
            <v>345721</v>
          </cell>
        </row>
        <row r="283">
          <cell r="A283" t="str">
            <v>3-VP005-0003</v>
          </cell>
          <cell r="B283" t="str">
            <v>PLUG 3/8"</v>
          </cell>
          <cell r="C283" t="str">
            <v>PC</v>
          </cell>
          <cell r="D283">
            <v>176</v>
          </cell>
          <cell r="E283">
            <v>5382</v>
          </cell>
          <cell r="F283">
            <v>947232</v>
          </cell>
        </row>
        <row r="284">
          <cell r="A284" t="str">
            <v>3-VP006-2003</v>
          </cell>
          <cell r="B284" t="str">
            <v>CONNECTOR, TUBE</v>
          </cell>
          <cell r="C284" t="str">
            <v>PC</v>
          </cell>
          <cell r="D284">
            <v>12</v>
          </cell>
          <cell r="E284">
            <v>20039</v>
          </cell>
          <cell r="F284">
            <v>240473</v>
          </cell>
        </row>
        <row r="285">
          <cell r="A285" t="str">
            <v>3-VP006-2004</v>
          </cell>
          <cell r="B285" t="str">
            <v>CONNECTOR, tube (2)</v>
          </cell>
          <cell r="C285" t="str">
            <v>PC</v>
          </cell>
          <cell r="D285">
            <v>24</v>
          </cell>
          <cell r="E285">
            <v>24300</v>
          </cell>
          <cell r="F285">
            <v>583200</v>
          </cell>
        </row>
        <row r="286">
          <cell r="A286" t="str">
            <v>3-VP006-3002</v>
          </cell>
          <cell r="B286" t="str">
            <v>CONNECTOR, tube (1)</v>
          </cell>
          <cell r="C286" t="str">
            <v>PC</v>
          </cell>
          <cell r="D286">
            <v>24</v>
          </cell>
          <cell r="E286">
            <v>36000</v>
          </cell>
          <cell r="F286">
            <v>864000</v>
          </cell>
        </row>
        <row r="287">
          <cell r="A287" t="str">
            <v>3-VP007-2004</v>
          </cell>
          <cell r="B287" t="str">
            <v>Knee</v>
          </cell>
          <cell r="C287" t="str">
            <v>PC</v>
          </cell>
          <cell r="D287">
            <v>0</v>
          </cell>
          <cell r="E287">
            <v>0</v>
          </cell>
          <cell r="F287">
            <v>0</v>
          </cell>
        </row>
        <row r="288">
          <cell r="A288" t="str">
            <v>3-VP007-2096</v>
          </cell>
          <cell r="B288" t="str">
            <v>ELBOW</v>
          </cell>
          <cell r="C288" t="str">
            <v>PC</v>
          </cell>
          <cell r="D288">
            <v>0</v>
          </cell>
          <cell r="E288">
            <v>0</v>
          </cell>
          <cell r="F288">
            <v>0</v>
          </cell>
        </row>
        <row r="289">
          <cell r="A289" t="str">
            <v>3-VP009-1002</v>
          </cell>
          <cell r="B289" t="str">
            <v>NIPPLE, DOUBLE</v>
          </cell>
          <cell r="C289" t="str">
            <v>PC</v>
          </cell>
          <cell r="D289">
            <v>25</v>
          </cell>
          <cell r="E289">
            <v>36532</v>
          </cell>
          <cell r="F289">
            <v>913301</v>
          </cell>
        </row>
        <row r="290">
          <cell r="A290" t="str">
            <v>3-VP010-0001</v>
          </cell>
          <cell r="B290" t="str">
            <v>DRAIN VALVE 1/2"</v>
          </cell>
          <cell r="C290" t="str">
            <v>PC</v>
          </cell>
          <cell r="D290">
            <v>18</v>
          </cell>
          <cell r="E290">
            <v>17500</v>
          </cell>
          <cell r="F290">
            <v>315000</v>
          </cell>
        </row>
        <row r="291">
          <cell r="A291" t="str">
            <v>3-VP011-0003</v>
          </cell>
          <cell r="B291" t="str">
            <v>VALVE, BALL</v>
          </cell>
          <cell r="C291" t="str">
            <v>PC</v>
          </cell>
          <cell r="D291">
            <v>10</v>
          </cell>
          <cell r="E291">
            <v>49800</v>
          </cell>
          <cell r="F291">
            <v>498000</v>
          </cell>
        </row>
        <row r="292">
          <cell r="A292" t="str">
            <v>3-VP011-2005</v>
          </cell>
          <cell r="B292" t="str">
            <v>VALVE, ball</v>
          </cell>
          <cell r="C292" t="str">
            <v>PC</v>
          </cell>
          <cell r="D292">
            <v>12</v>
          </cell>
          <cell r="E292">
            <v>66250</v>
          </cell>
          <cell r="F292">
            <v>795000</v>
          </cell>
        </row>
        <row r="293">
          <cell r="A293" t="str">
            <v>3-VP012-0960</v>
          </cell>
          <cell r="B293" t="str">
            <v>COUPLER, quick</v>
          </cell>
          <cell r="C293" t="str">
            <v>PC</v>
          </cell>
          <cell r="D293">
            <v>0</v>
          </cell>
          <cell r="E293">
            <v>0</v>
          </cell>
          <cell r="F293">
            <v>0</v>
          </cell>
        </row>
        <row r="294">
          <cell r="A294" t="str">
            <v>3-VP012-2096</v>
          </cell>
          <cell r="B294" t="str">
            <v xml:space="preserve"> Cable Scoun 1</v>
          </cell>
          <cell r="C294" t="str">
            <v>PC</v>
          </cell>
          <cell r="D294">
            <v>0</v>
          </cell>
          <cell r="E294">
            <v>0</v>
          </cell>
          <cell r="F294">
            <v>0</v>
          </cell>
        </row>
        <row r="295">
          <cell r="A295" t="str">
            <v>3-VP013-0001</v>
          </cell>
          <cell r="B295" t="str">
            <v>PALM COUPLING (TTC 4)</v>
          </cell>
          <cell r="C295" t="str">
            <v>PC</v>
          </cell>
          <cell r="D295">
            <v>29</v>
          </cell>
          <cell r="E295">
            <v>25945</v>
          </cell>
          <cell r="F295">
            <v>752405</v>
          </cell>
        </row>
        <row r="296">
          <cell r="A296" t="str">
            <v>3-VP013-2096</v>
          </cell>
          <cell r="B296" t="str">
            <v xml:space="preserve"> Cable Scoun 2</v>
          </cell>
          <cell r="C296" t="str">
            <v>PC</v>
          </cell>
          <cell r="D296">
            <v>0</v>
          </cell>
          <cell r="E296">
            <v>0</v>
          </cell>
          <cell r="F296">
            <v>0</v>
          </cell>
        </row>
        <row r="297">
          <cell r="A297" t="str">
            <v>3-VP014-0001</v>
          </cell>
          <cell r="B297" t="str">
            <v>EMERGENCY RELIEF VALVE</v>
          </cell>
          <cell r="C297" t="str">
            <v>PC</v>
          </cell>
          <cell r="D297">
            <v>0</v>
          </cell>
          <cell r="E297">
            <v>159000</v>
          </cell>
          <cell r="F297">
            <v>0</v>
          </cell>
        </row>
        <row r="298">
          <cell r="A298" t="str">
            <v>3-VP014-2096</v>
          </cell>
          <cell r="B298" t="str">
            <v xml:space="preserve"> Cable Scount 3</v>
          </cell>
          <cell r="C298" t="str">
            <v>PC</v>
          </cell>
          <cell r="D298">
            <v>0</v>
          </cell>
          <cell r="E298">
            <v>0</v>
          </cell>
          <cell r="F298">
            <v>0</v>
          </cell>
        </row>
        <row r="299">
          <cell r="A299" t="str">
            <v>3-VP017-2006</v>
          </cell>
          <cell r="B299" t="str">
            <v>HOSE CON. 1/2"X3/8</v>
          </cell>
          <cell r="C299" t="str">
            <v>PC</v>
          </cell>
          <cell r="D299">
            <v>185</v>
          </cell>
          <cell r="E299">
            <v>5940</v>
          </cell>
          <cell r="F299">
            <v>1098900</v>
          </cell>
        </row>
        <row r="300">
          <cell r="A300" t="str">
            <v>3-VP025-0006</v>
          </cell>
          <cell r="B300" t="str">
            <v>TUBE (1)</v>
          </cell>
          <cell r="C300" t="str">
            <v>PC</v>
          </cell>
          <cell r="D300">
            <v>0</v>
          </cell>
          <cell r="E300">
            <v>32750</v>
          </cell>
          <cell r="F300">
            <v>0</v>
          </cell>
        </row>
        <row r="301">
          <cell r="A301" t="str">
            <v>3-VP047-0001</v>
          </cell>
          <cell r="B301" t="str">
            <v>VALVE, THREE WAY</v>
          </cell>
          <cell r="C301" t="str">
            <v>PC</v>
          </cell>
          <cell r="D301">
            <v>10</v>
          </cell>
          <cell r="E301">
            <v>221111</v>
          </cell>
          <cell r="F301">
            <v>2211111</v>
          </cell>
        </row>
        <row r="302">
          <cell r="A302" t="str">
            <v>3-VP051-2096</v>
          </cell>
          <cell r="B302" t="str">
            <v>Knee</v>
          </cell>
          <cell r="C302" t="str">
            <v>PC</v>
          </cell>
          <cell r="D302">
            <v>0</v>
          </cell>
          <cell r="E302">
            <v>3000</v>
          </cell>
          <cell r="F302">
            <v>0</v>
          </cell>
        </row>
        <row r="303">
          <cell r="A303" t="str">
            <v>3-VP055-0001</v>
          </cell>
          <cell r="B303" t="str">
            <v>Air breathe (AltER = ELF3-10-1-0) IDEX</v>
          </cell>
          <cell r="C303" t="str">
            <v>PC</v>
          </cell>
          <cell r="D303">
            <v>20</v>
          </cell>
          <cell r="E303">
            <v>218867</v>
          </cell>
          <cell r="F303">
            <v>4377338</v>
          </cell>
        </row>
        <row r="304">
          <cell r="A304" t="str">
            <v>3-VP061-0001</v>
          </cell>
          <cell r="B304" t="str">
            <v>Nipple</v>
          </cell>
          <cell r="C304" t="str">
            <v>PC</v>
          </cell>
          <cell r="D304">
            <v>17</v>
          </cell>
          <cell r="E304">
            <v>5000</v>
          </cell>
          <cell r="F304">
            <v>85000</v>
          </cell>
        </row>
        <row r="305">
          <cell r="A305" t="str">
            <v>3-VP068-0001</v>
          </cell>
          <cell r="B305" t="str">
            <v>Double Female</v>
          </cell>
          <cell r="C305" t="str">
            <v>PC</v>
          </cell>
          <cell r="D305">
            <v>0</v>
          </cell>
          <cell r="E305">
            <v>0</v>
          </cell>
          <cell r="F305">
            <v>0</v>
          </cell>
        </row>
        <row r="306">
          <cell r="A306" t="str">
            <v>3-W42-71-11310</v>
          </cell>
          <cell r="B306" t="str">
            <v>TEETH LF470</v>
          </cell>
          <cell r="C306" t="str">
            <v>PC</v>
          </cell>
          <cell r="D306">
            <v>0</v>
          </cell>
          <cell r="E306">
            <v>270000</v>
          </cell>
          <cell r="F306">
            <v>0</v>
          </cell>
        </row>
        <row r="307">
          <cell r="A307" t="str">
            <v>3-W42-71-13100</v>
          </cell>
          <cell r="B307" t="str">
            <v>PIN</v>
          </cell>
          <cell r="C307" t="str">
            <v>PC</v>
          </cell>
          <cell r="D307">
            <v>0</v>
          </cell>
          <cell r="E307">
            <v>0</v>
          </cell>
          <cell r="F307">
            <v>0</v>
          </cell>
        </row>
        <row r="308">
          <cell r="A308" t="str">
            <v>3-W42-71-13210</v>
          </cell>
          <cell r="B308" t="str">
            <v>PIN</v>
          </cell>
          <cell r="C308" t="str">
            <v>PC</v>
          </cell>
          <cell r="D308">
            <v>0</v>
          </cell>
          <cell r="E308">
            <v>0</v>
          </cell>
          <cell r="F308">
            <v>0</v>
          </cell>
        </row>
        <row r="309">
          <cell r="A309" t="str">
            <v>3-W42-71-13220</v>
          </cell>
          <cell r="B309" t="str">
            <v>PIN</v>
          </cell>
          <cell r="C309" t="str">
            <v>PC</v>
          </cell>
          <cell r="D309">
            <v>0</v>
          </cell>
          <cell r="E309">
            <v>0</v>
          </cell>
          <cell r="F309">
            <v>0</v>
          </cell>
        </row>
        <row r="310">
          <cell r="A310" t="str">
            <v>3-W50-60-13000</v>
          </cell>
          <cell r="B310" t="str">
            <v>PIPE</v>
          </cell>
          <cell r="C310" t="str">
            <v>PC</v>
          </cell>
          <cell r="D310">
            <v>0</v>
          </cell>
          <cell r="E310">
            <v>0</v>
          </cell>
          <cell r="F310">
            <v>0</v>
          </cell>
        </row>
        <row r="311">
          <cell r="A311" t="str">
            <v>3-W50-60-14000</v>
          </cell>
          <cell r="B311" t="str">
            <v>PIPE</v>
          </cell>
          <cell r="C311" t="str">
            <v>PC</v>
          </cell>
          <cell r="D311">
            <v>0</v>
          </cell>
          <cell r="E311">
            <v>0</v>
          </cell>
          <cell r="F311">
            <v>0</v>
          </cell>
        </row>
        <row r="312">
          <cell r="A312" t="str">
            <v>3-Y01-600-3311</v>
          </cell>
          <cell r="B312" t="str">
            <v>CYLINDER ASSY RH</v>
          </cell>
          <cell r="C312" t="str">
            <v>PC</v>
          </cell>
          <cell r="D312">
            <v>4</v>
          </cell>
          <cell r="E312">
            <v>1054800</v>
          </cell>
          <cell r="F312">
            <v>4219200</v>
          </cell>
        </row>
        <row r="313">
          <cell r="A313" t="str">
            <v>3-Y01-600-5110B</v>
          </cell>
          <cell r="B313" t="str">
            <v>HYD CYL RLG55 NEW</v>
          </cell>
          <cell r="C313" t="str">
            <v>PC</v>
          </cell>
          <cell r="D313">
            <v>5</v>
          </cell>
          <cell r="E313">
            <v>2640000</v>
          </cell>
          <cell r="F313">
            <v>13200000</v>
          </cell>
        </row>
        <row r="314">
          <cell r="A314" t="str">
            <v>3-Y01-601-5010</v>
          </cell>
          <cell r="B314" t="str">
            <v>HYD CYLINDER</v>
          </cell>
          <cell r="C314" t="str">
            <v>PC</v>
          </cell>
          <cell r="D314">
            <v>1</v>
          </cell>
          <cell r="E314">
            <v>866220</v>
          </cell>
          <cell r="F314">
            <v>866220</v>
          </cell>
        </row>
        <row r="315">
          <cell r="A315" t="str">
            <v>4 METER</v>
          </cell>
          <cell r="B315" t="str">
            <v>ELECTRIC EXTENSION</v>
          </cell>
          <cell r="C315" t="str">
            <v>PC</v>
          </cell>
          <cell r="D315">
            <v>0</v>
          </cell>
          <cell r="E315">
            <v>0</v>
          </cell>
          <cell r="F315">
            <v>0</v>
          </cell>
        </row>
        <row r="316">
          <cell r="A316" t="str">
            <v>4-145-60-11160</v>
          </cell>
          <cell r="B316" t="str">
            <v>TEE</v>
          </cell>
          <cell r="C316" t="str">
            <v>PC</v>
          </cell>
          <cell r="D316">
            <v>0</v>
          </cell>
          <cell r="E316">
            <v>0</v>
          </cell>
          <cell r="F316">
            <v>0</v>
          </cell>
        </row>
        <row r="317">
          <cell r="A317" t="str">
            <v>4-145-60-21110</v>
          </cell>
          <cell r="B317" t="str">
            <v>U-BOLT 1 1/2"</v>
          </cell>
          <cell r="C317" t="str">
            <v>PC</v>
          </cell>
          <cell r="D317">
            <v>0</v>
          </cell>
          <cell r="E317">
            <v>270</v>
          </cell>
          <cell r="F317">
            <v>0</v>
          </cell>
        </row>
        <row r="318">
          <cell r="A318" t="str">
            <v>45M-130</v>
          </cell>
          <cell r="B318" t="str">
            <v>VANE MOTOR VICKERS 45M-130</v>
          </cell>
          <cell r="C318" t="str">
            <v>PC</v>
          </cell>
          <cell r="D318">
            <v>0</v>
          </cell>
          <cell r="E318">
            <v>13886451</v>
          </cell>
          <cell r="F318">
            <v>0</v>
          </cell>
        </row>
        <row r="319">
          <cell r="A319" t="str">
            <v>485RC</v>
          </cell>
          <cell r="B319" t="str">
            <v>TOOTH</v>
          </cell>
          <cell r="C319" t="str">
            <v>PC</v>
          </cell>
          <cell r="D319">
            <v>0</v>
          </cell>
          <cell r="E319">
            <v>1094993</v>
          </cell>
          <cell r="F319">
            <v>0</v>
          </cell>
        </row>
        <row r="320">
          <cell r="A320" t="str">
            <v>4BE-0F1340P</v>
          </cell>
          <cell r="B320" t="str">
            <v>PLATE</v>
          </cell>
          <cell r="C320" t="str">
            <v>PC</v>
          </cell>
          <cell r="D320">
            <v>0</v>
          </cell>
          <cell r="E320">
            <v>404820</v>
          </cell>
          <cell r="F320">
            <v>0</v>
          </cell>
        </row>
        <row r="321">
          <cell r="A321" t="str">
            <v>4BE-0F1340P-M</v>
          </cell>
          <cell r="B321" t="str">
            <v>PLATE (JASA BPB)</v>
          </cell>
          <cell r="C321" t="str">
            <v>PC</v>
          </cell>
          <cell r="D321">
            <v>0</v>
          </cell>
          <cell r="E321">
            <v>1443702</v>
          </cell>
          <cell r="F321">
            <v>0</v>
          </cell>
        </row>
        <row r="322">
          <cell r="A322" t="str">
            <v>4BE-0F1350P</v>
          </cell>
          <cell r="B322" t="str">
            <v>PLATE</v>
          </cell>
          <cell r="C322" t="str">
            <v>PC</v>
          </cell>
          <cell r="D322">
            <v>0</v>
          </cell>
          <cell r="E322">
            <v>809200</v>
          </cell>
          <cell r="F322">
            <v>0</v>
          </cell>
        </row>
        <row r="323">
          <cell r="A323" t="str">
            <v>4BE-0F1350P-M</v>
          </cell>
          <cell r="B323" t="str">
            <v>PLATE (JASA BPB)</v>
          </cell>
          <cell r="C323" t="str">
            <v>PC</v>
          </cell>
          <cell r="D323">
            <v>0</v>
          </cell>
          <cell r="E323">
            <v>4056132</v>
          </cell>
          <cell r="F323">
            <v>0</v>
          </cell>
        </row>
        <row r="324">
          <cell r="A324" t="str">
            <v>4BE-0F1400P</v>
          </cell>
          <cell r="B324" t="str">
            <v>PLATE</v>
          </cell>
          <cell r="C324" t="str">
            <v>PC</v>
          </cell>
          <cell r="D324">
            <v>0</v>
          </cell>
          <cell r="E324">
            <v>385400</v>
          </cell>
          <cell r="F324">
            <v>0</v>
          </cell>
        </row>
        <row r="325">
          <cell r="A325" t="str">
            <v>4BE-0F1400P-M</v>
          </cell>
          <cell r="B325" t="str">
            <v>PLATE LH (JASA BPB)</v>
          </cell>
          <cell r="C325" t="str">
            <v>PC</v>
          </cell>
          <cell r="D325">
            <v>0</v>
          </cell>
          <cell r="E325">
            <v>1507393</v>
          </cell>
          <cell r="F325">
            <v>0</v>
          </cell>
        </row>
        <row r="326">
          <cell r="A326" t="str">
            <v>4BE-0F1500P</v>
          </cell>
          <cell r="B326" t="str">
            <v>PLATE</v>
          </cell>
          <cell r="C326" t="str">
            <v>PC</v>
          </cell>
          <cell r="D326">
            <v>0</v>
          </cell>
          <cell r="E326">
            <v>385400</v>
          </cell>
          <cell r="F326">
            <v>0</v>
          </cell>
        </row>
        <row r="327">
          <cell r="A327" t="str">
            <v>4BE-0F1500P-M</v>
          </cell>
          <cell r="B327" t="str">
            <v>PLATE RH (JASA BPB)</v>
          </cell>
          <cell r="C327" t="str">
            <v>PC</v>
          </cell>
          <cell r="D327">
            <v>0</v>
          </cell>
          <cell r="E327">
            <v>1507393</v>
          </cell>
          <cell r="F327">
            <v>0</v>
          </cell>
        </row>
        <row r="328">
          <cell r="A328" t="str">
            <v>4BE-0F1A00P</v>
          </cell>
          <cell r="B328" t="str">
            <v>BUSHING</v>
          </cell>
          <cell r="C328" t="str">
            <v>PC</v>
          </cell>
          <cell r="D328">
            <v>0</v>
          </cell>
          <cell r="E328">
            <v>726280</v>
          </cell>
          <cell r="F328">
            <v>0</v>
          </cell>
        </row>
        <row r="329">
          <cell r="A329" t="str">
            <v>4BE-0F1B00P</v>
          </cell>
          <cell r="B329" t="str">
            <v>BUSHING</v>
          </cell>
          <cell r="C329" t="str">
            <v>PC</v>
          </cell>
          <cell r="D329">
            <v>0</v>
          </cell>
          <cell r="E329">
            <v>544530</v>
          </cell>
          <cell r="F329">
            <v>0</v>
          </cell>
        </row>
        <row r="330">
          <cell r="A330" t="str">
            <v>4BE-0F1C20P</v>
          </cell>
          <cell r="B330" t="str">
            <v>O-RING</v>
          </cell>
          <cell r="C330" t="str">
            <v>PC</v>
          </cell>
          <cell r="D330">
            <v>0</v>
          </cell>
          <cell r="E330">
            <v>23000</v>
          </cell>
          <cell r="F330">
            <v>0</v>
          </cell>
        </row>
        <row r="331">
          <cell r="A331" t="str">
            <v>4-CG2-H1A000</v>
          </cell>
          <cell r="B331" t="str">
            <v>BLOCK</v>
          </cell>
          <cell r="C331" t="str">
            <v>PC</v>
          </cell>
          <cell r="D331">
            <v>3</v>
          </cell>
          <cell r="E331">
            <v>22350</v>
          </cell>
          <cell r="F331">
            <v>67050</v>
          </cell>
        </row>
        <row r="332">
          <cell r="A332" t="str">
            <v>4-CMN-50-J7410</v>
          </cell>
          <cell r="B332" t="str">
            <v>RODA</v>
          </cell>
          <cell r="C332" t="str">
            <v>PC</v>
          </cell>
          <cell r="D332">
            <v>2</v>
          </cell>
          <cell r="E332">
            <v>217200</v>
          </cell>
          <cell r="F332">
            <v>434400</v>
          </cell>
        </row>
        <row r="333">
          <cell r="A333" t="str">
            <v>4N-20</v>
          </cell>
          <cell r="B333" t="str">
            <v>PLUG1/4 NPT</v>
          </cell>
          <cell r="C333" t="str">
            <v>PC</v>
          </cell>
          <cell r="D333">
            <v>0</v>
          </cell>
          <cell r="E333">
            <v>41161</v>
          </cell>
          <cell r="F333">
            <v>0</v>
          </cell>
        </row>
        <row r="334">
          <cell r="A334" t="str">
            <v>4SH-20</v>
          </cell>
          <cell r="B334" t="str">
            <v>Press hose 1-1/4"pres320 bar</v>
          </cell>
          <cell r="C334" t="str">
            <v>PC</v>
          </cell>
          <cell r="D334">
            <v>0</v>
          </cell>
          <cell r="E334">
            <v>217322</v>
          </cell>
          <cell r="F334">
            <v>0</v>
          </cell>
        </row>
        <row r="335">
          <cell r="A335" t="str">
            <v>4-TL2-B11300</v>
          </cell>
          <cell r="B335" t="str">
            <v>CONNECTOR</v>
          </cell>
          <cell r="C335" t="str">
            <v>PC</v>
          </cell>
          <cell r="D335">
            <v>1</v>
          </cell>
          <cell r="E335">
            <v>5520</v>
          </cell>
          <cell r="F335">
            <v>5520</v>
          </cell>
        </row>
        <row r="336">
          <cell r="A336" t="str">
            <v>4-TL2-B11400</v>
          </cell>
          <cell r="B336" t="str">
            <v>CONNECTOR</v>
          </cell>
          <cell r="C336" t="str">
            <v>PC</v>
          </cell>
          <cell r="D336">
            <v>15</v>
          </cell>
          <cell r="E336">
            <v>5520</v>
          </cell>
          <cell r="F336">
            <v>82800</v>
          </cell>
        </row>
        <row r="337">
          <cell r="A337" t="str">
            <v>4-TL2-B11500</v>
          </cell>
          <cell r="B337" t="str">
            <v>HOSE CONNECTOR</v>
          </cell>
          <cell r="C337" t="str">
            <v>PC</v>
          </cell>
          <cell r="D337">
            <v>10</v>
          </cell>
          <cell r="E337">
            <v>48540</v>
          </cell>
          <cell r="F337">
            <v>485400</v>
          </cell>
        </row>
        <row r="338">
          <cell r="A338" t="str">
            <v>4-TL2-B11600</v>
          </cell>
          <cell r="B338" t="str">
            <v xml:space="preserve"> HOSE</v>
          </cell>
          <cell r="C338" t="str">
            <v>PC</v>
          </cell>
          <cell r="D338">
            <v>0</v>
          </cell>
          <cell r="E338">
            <v>106837</v>
          </cell>
          <cell r="F338">
            <v>0</v>
          </cell>
        </row>
        <row r="339">
          <cell r="A339" t="str">
            <v>4-TLT-36-21110</v>
          </cell>
          <cell r="B339" t="str">
            <v>CLAMP</v>
          </cell>
          <cell r="C339" t="str">
            <v>PC</v>
          </cell>
          <cell r="D339">
            <v>0</v>
          </cell>
          <cell r="E339">
            <v>0</v>
          </cell>
          <cell r="F339">
            <v>0</v>
          </cell>
        </row>
        <row r="340">
          <cell r="A340" t="str">
            <v>4-TM7-F11110-M</v>
          </cell>
          <cell r="B340" t="str">
            <v>BLADE CM NO 1 TEBAL</v>
          </cell>
          <cell r="C340" t="str">
            <v>PC</v>
          </cell>
          <cell r="D340">
            <v>0</v>
          </cell>
          <cell r="E340">
            <v>18738</v>
          </cell>
          <cell r="F340">
            <v>0</v>
          </cell>
        </row>
        <row r="341">
          <cell r="A341" t="str">
            <v>4-TM7-F11170-M</v>
          </cell>
          <cell r="B341" t="str">
            <v>BLADE CM NO 7 TEBAL</v>
          </cell>
          <cell r="C341" t="str">
            <v>PC</v>
          </cell>
          <cell r="D341">
            <v>0</v>
          </cell>
          <cell r="E341">
            <v>1</v>
          </cell>
          <cell r="F341">
            <v>0</v>
          </cell>
        </row>
        <row r="342">
          <cell r="A342" t="str">
            <v>4-TM7-F11190</v>
          </cell>
          <cell r="B342" t="str">
            <v>BLADE 8</v>
          </cell>
          <cell r="C342" t="str">
            <v>PC</v>
          </cell>
          <cell r="D342">
            <v>0</v>
          </cell>
          <cell r="E342">
            <v>1</v>
          </cell>
          <cell r="F342">
            <v>0</v>
          </cell>
        </row>
        <row r="343">
          <cell r="A343" t="str">
            <v>4-TM7-F112301</v>
          </cell>
          <cell r="B343" t="str">
            <v>RING TYRE ASSY</v>
          </cell>
          <cell r="C343" t="str">
            <v>PC</v>
          </cell>
          <cell r="D343">
            <v>0</v>
          </cell>
          <cell r="E343">
            <v>1575000</v>
          </cell>
          <cell r="F343">
            <v>0</v>
          </cell>
        </row>
        <row r="344">
          <cell r="A344" t="str">
            <v>4-TM7-F11240</v>
          </cell>
          <cell r="B344" t="str">
            <v xml:space="preserve"> Rear Cone Assy</v>
          </cell>
          <cell r="C344" t="str">
            <v>PC</v>
          </cell>
          <cell r="D344">
            <v>0</v>
          </cell>
          <cell r="E344">
            <v>0</v>
          </cell>
          <cell r="F344">
            <v>0</v>
          </cell>
        </row>
        <row r="345">
          <cell r="A345" t="str">
            <v>4-TM7-F11260</v>
          </cell>
          <cell r="B345" t="str">
            <v xml:space="preserve"> Front Cone Assy</v>
          </cell>
          <cell r="C345" t="str">
            <v>PC</v>
          </cell>
          <cell r="D345">
            <v>0</v>
          </cell>
          <cell r="E345">
            <v>0</v>
          </cell>
          <cell r="F345">
            <v>0</v>
          </cell>
        </row>
        <row r="346">
          <cell r="A346" t="str">
            <v>4-TM7-F112B01</v>
          </cell>
          <cell r="B346" t="str">
            <v xml:space="preserve"> DISH END SUPPORT</v>
          </cell>
          <cell r="C346" t="str">
            <v>PC</v>
          </cell>
          <cell r="D346">
            <v>1</v>
          </cell>
          <cell r="E346">
            <v>950000</v>
          </cell>
          <cell r="F346">
            <v>950000</v>
          </cell>
        </row>
        <row r="347">
          <cell r="A347" t="str">
            <v>4-TM7-F13200</v>
          </cell>
          <cell r="B347" t="str">
            <v>RUBBER, hopper</v>
          </cell>
          <cell r="C347" t="str">
            <v>PC</v>
          </cell>
          <cell r="D347">
            <v>6</v>
          </cell>
          <cell r="E347">
            <v>150000</v>
          </cell>
          <cell r="F347">
            <v>900000</v>
          </cell>
        </row>
        <row r="348">
          <cell r="A348" t="str">
            <v>4-TM7-F15560</v>
          </cell>
          <cell r="B348" t="str">
            <v>ROUND BAR (3)</v>
          </cell>
          <cell r="C348" t="str">
            <v>PC</v>
          </cell>
          <cell r="D348">
            <v>0</v>
          </cell>
          <cell r="E348">
            <v>52500</v>
          </cell>
          <cell r="F348">
            <v>0</v>
          </cell>
        </row>
        <row r="349">
          <cell r="A349" t="str">
            <v>4-TM7-F15600</v>
          </cell>
          <cell r="B349" t="str">
            <v>BUSHING</v>
          </cell>
          <cell r="C349" t="str">
            <v>PC</v>
          </cell>
          <cell r="D349">
            <v>0</v>
          </cell>
          <cell r="E349">
            <v>1</v>
          </cell>
          <cell r="F349">
            <v>0</v>
          </cell>
        </row>
        <row r="350">
          <cell r="A350" t="str">
            <v>4-TM7-F15760</v>
          </cell>
          <cell r="B350" t="str">
            <v>Spring</v>
          </cell>
          <cell r="C350" t="str">
            <v>PC</v>
          </cell>
          <cell r="D350">
            <v>0</v>
          </cell>
          <cell r="E350">
            <v>1</v>
          </cell>
          <cell r="F350">
            <v>0</v>
          </cell>
        </row>
        <row r="351">
          <cell r="A351" t="str">
            <v>4-TM7-F16130</v>
          </cell>
          <cell r="B351" t="str">
            <v>COLLAR</v>
          </cell>
          <cell r="C351" t="str">
            <v>PC</v>
          </cell>
          <cell r="D351">
            <v>66</v>
          </cell>
          <cell r="E351">
            <v>3600</v>
          </cell>
          <cell r="F351">
            <v>237600</v>
          </cell>
        </row>
        <row r="352">
          <cell r="A352" t="str">
            <v>4-TM7-F16150</v>
          </cell>
          <cell r="B352" t="str">
            <v>SPACER</v>
          </cell>
          <cell r="C352" t="str">
            <v>PC</v>
          </cell>
          <cell r="D352">
            <v>18</v>
          </cell>
          <cell r="E352">
            <v>22500</v>
          </cell>
          <cell r="F352">
            <v>51300</v>
          </cell>
        </row>
        <row r="353">
          <cell r="A353" t="str">
            <v>4-TM7-F16160</v>
          </cell>
          <cell r="B353" t="str">
            <v>Plate</v>
          </cell>
          <cell r="C353" t="str">
            <v>PC</v>
          </cell>
          <cell r="D353">
            <v>18</v>
          </cell>
          <cell r="E353">
            <v>2700</v>
          </cell>
          <cell r="F353">
            <v>18</v>
          </cell>
        </row>
        <row r="354">
          <cell r="A354" t="str">
            <v>4-TM7-F16180</v>
          </cell>
          <cell r="B354" t="str">
            <v>SHAFT PIN</v>
          </cell>
          <cell r="C354" t="str">
            <v>PC</v>
          </cell>
          <cell r="D354">
            <v>152</v>
          </cell>
          <cell r="E354">
            <v>1</v>
          </cell>
          <cell r="F354">
            <v>152</v>
          </cell>
        </row>
        <row r="355">
          <cell r="A355" t="str">
            <v>4-TM7-F161A0</v>
          </cell>
          <cell r="B355" t="str">
            <v>ROLLER</v>
          </cell>
          <cell r="C355" t="str">
            <v>PC</v>
          </cell>
          <cell r="D355">
            <v>73</v>
          </cell>
          <cell r="E355">
            <v>217200</v>
          </cell>
          <cell r="F355">
            <v>15855600</v>
          </cell>
        </row>
        <row r="356">
          <cell r="A356" t="str">
            <v>4-TM7-F161D0</v>
          </cell>
          <cell r="B356" t="str">
            <v>RACE, inner</v>
          </cell>
          <cell r="C356" t="str">
            <v>PC</v>
          </cell>
          <cell r="D356">
            <v>34</v>
          </cell>
          <cell r="E356">
            <v>30000</v>
          </cell>
          <cell r="F356">
            <v>1020000</v>
          </cell>
        </row>
        <row r="357">
          <cell r="A357" t="str">
            <v>4-TM7-F161E0</v>
          </cell>
          <cell r="B357" t="str">
            <v>RACE, outer</v>
          </cell>
          <cell r="C357" t="str">
            <v>PC</v>
          </cell>
          <cell r="D357">
            <v>34</v>
          </cell>
          <cell r="E357">
            <v>37500</v>
          </cell>
          <cell r="F357">
            <v>1275000</v>
          </cell>
        </row>
        <row r="358">
          <cell r="A358" t="str">
            <v>4-TM7-F161H0</v>
          </cell>
          <cell r="B358" t="str">
            <v>Shim 1</v>
          </cell>
          <cell r="C358" t="str">
            <v>PC</v>
          </cell>
          <cell r="D358">
            <v>20</v>
          </cell>
          <cell r="E358">
            <v>43056</v>
          </cell>
          <cell r="F358">
            <v>861111</v>
          </cell>
        </row>
        <row r="359">
          <cell r="A359" t="str">
            <v>4-TM7-F161J0</v>
          </cell>
          <cell r="B359" t="str">
            <v>Shim 2</v>
          </cell>
          <cell r="C359" t="str">
            <v>PC</v>
          </cell>
          <cell r="D359">
            <v>20</v>
          </cell>
          <cell r="E359">
            <v>42222</v>
          </cell>
          <cell r="F359">
            <v>844444</v>
          </cell>
        </row>
        <row r="360">
          <cell r="A360" t="str">
            <v>4-TM7-F161K0</v>
          </cell>
          <cell r="B360" t="str">
            <v>Shim 3</v>
          </cell>
          <cell r="C360" t="str">
            <v>PC</v>
          </cell>
          <cell r="D360">
            <v>20</v>
          </cell>
          <cell r="E360">
            <v>42222</v>
          </cell>
          <cell r="F360">
            <v>844444</v>
          </cell>
        </row>
        <row r="361">
          <cell r="A361" t="str">
            <v>4-TM7-F161L0</v>
          </cell>
          <cell r="B361" t="str">
            <v>Shim 4</v>
          </cell>
          <cell r="C361" t="str">
            <v>PC</v>
          </cell>
          <cell r="D361">
            <v>20</v>
          </cell>
          <cell r="E361">
            <v>45556</v>
          </cell>
          <cell r="F361">
            <v>911111</v>
          </cell>
        </row>
        <row r="362">
          <cell r="A362" t="str">
            <v>4-TM7-F16T10</v>
          </cell>
          <cell r="B362" t="str">
            <v>Shim 1</v>
          </cell>
          <cell r="C362" t="str">
            <v>PC</v>
          </cell>
          <cell r="D362">
            <v>20</v>
          </cell>
          <cell r="E362">
            <v>21667</v>
          </cell>
          <cell r="F362">
            <v>433333</v>
          </cell>
        </row>
        <row r="363">
          <cell r="A363" t="str">
            <v>4-TM7-F16T20</v>
          </cell>
          <cell r="B363" t="str">
            <v>Shim 2</v>
          </cell>
          <cell r="C363" t="str">
            <v>PC</v>
          </cell>
          <cell r="D363">
            <v>20</v>
          </cell>
          <cell r="E363">
            <v>21667</v>
          </cell>
          <cell r="F363">
            <v>433333</v>
          </cell>
        </row>
        <row r="364">
          <cell r="A364" t="str">
            <v>4-TM7-F16T30</v>
          </cell>
          <cell r="B364" t="str">
            <v>Shim 3</v>
          </cell>
          <cell r="C364" t="str">
            <v>PC</v>
          </cell>
          <cell r="D364">
            <v>20</v>
          </cell>
          <cell r="E364">
            <v>21667</v>
          </cell>
          <cell r="F364">
            <v>433333</v>
          </cell>
        </row>
        <row r="365">
          <cell r="A365" t="str">
            <v>4-TM7-F16T40</v>
          </cell>
          <cell r="B365" t="str">
            <v>Shim 4</v>
          </cell>
          <cell r="C365" t="str">
            <v>PC</v>
          </cell>
          <cell r="D365">
            <v>20</v>
          </cell>
          <cell r="E365">
            <v>21667</v>
          </cell>
          <cell r="F365">
            <v>433333</v>
          </cell>
        </row>
        <row r="366">
          <cell r="A366" t="str">
            <v>4-TM7-G1B000</v>
          </cell>
          <cell r="B366" t="str">
            <v>SPRING</v>
          </cell>
          <cell r="C366" t="str">
            <v>PC</v>
          </cell>
          <cell r="D366">
            <v>0</v>
          </cell>
          <cell r="E366">
            <v>1</v>
          </cell>
          <cell r="F366">
            <v>0</v>
          </cell>
        </row>
        <row r="367">
          <cell r="A367" t="str">
            <v>4-TM7-H16000</v>
          </cell>
          <cell r="B367" t="str">
            <v>HOSE, rubber</v>
          </cell>
          <cell r="C367" t="str">
            <v>PC</v>
          </cell>
          <cell r="D367">
            <v>34</v>
          </cell>
          <cell r="E367">
            <v>142759</v>
          </cell>
          <cell r="F367">
            <v>4853796</v>
          </cell>
        </row>
        <row r="368">
          <cell r="A368" t="str">
            <v>4-TM7-H19000</v>
          </cell>
          <cell r="B368" t="str">
            <v>HOSE, rubber</v>
          </cell>
          <cell r="C368" t="str">
            <v>PC</v>
          </cell>
          <cell r="D368">
            <v>40</v>
          </cell>
          <cell r="E368">
            <v>62690</v>
          </cell>
          <cell r="F368">
            <v>2507587</v>
          </cell>
        </row>
        <row r="369">
          <cell r="A369" t="str">
            <v>4-TM7-H1CT00</v>
          </cell>
          <cell r="B369" t="str">
            <v xml:space="preserve"> Hose</v>
          </cell>
          <cell r="C369" t="str">
            <v>PC</v>
          </cell>
          <cell r="D369">
            <v>0</v>
          </cell>
          <cell r="E369">
            <v>0</v>
          </cell>
          <cell r="F369">
            <v>0</v>
          </cell>
        </row>
        <row r="370">
          <cell r="A370" t="str">
            <v>4-TM7-H1CT20</v>
          </cell>
          <cell r="B370" t="str">
            <v xml:space="preserve"> Hose Nissan CWB 520</v>
          </cell>
          <cell r="C370" t="str">
            <v>PC</v>
          </cell>
          <cell r="D370">
            <v>0</v>
          </cell>
          <cell r="E370">
            <v>0</v>
          </cell>
          <cell r="F370">
            <v>0</v>
          </cell>
        </row>
        <row r="371">
          <cell r="A371" t="str">
            <v>4-TM7-M12000</v>
          </cell>
          <cell r="B371" t="str">
            <v>BRACKET 1, lower</v>
          </cell>
          <cell r="C371" t="str">
            <v>PC</v>
          </cell>
          <cell r="D371">
            <v>10</v>
          </cell>
          <cell r="E371">
            <v>20300</v>
          </cell>
          <cell r="F371">
            <v>203000</v>
          </cell>
        </row>
        <row r="372">
          <cell r="A372" t="str">
            <v>4-TM7-M13000</v>
          </cell>
          <cell r="B372" t="str">
            <v>BRACKET 1, upper</v>
          </cell>
          <cell r="C372" t="str">
            <v>PC</v>
          </cell>
          <cell r="D372">
            <v>10</v>
          </cell>
          <cell r="E372">
            <v>20000</v>
          </cell>
          <cell r="F372">
            <v>200000</v>
          </cell>
        </row>
        <row r="373">
          <cell r="A373" t="str">
            <v>4-TM7-M14000</v>
          </cell>
          <cell r="B373" t="str">
            <v>BRACKET 2, lower</v>
          </cell>
          <cell r="C373" t="str">
            <v>PC</v>
          </cell>
          <cell r="D373">
            <v>30</v>
          </cell>
          <cell r="E373">
            <v>14000</v>
          </cell>
          <cell r="F373">
            <v>420000</v>
          </cell>
        </row>
        <row r="374">
          <cell r="A374" t="str">
            <v>4-TM7-M15000</v>
          </cell>
          <cell r="B374" t="str">
            <v>BRACKET 2, upper</v>
          </cell>
          <cell r="C374" t="str">
            <v>PC</v>
          </cell>
          <cell r="D374">
            <v>30</v>
          </cell>
          <cell r="E374">
            <v>13650</v>
          </cell>
          <cell r="F374">
            <v>409500</v>
          </cell>
        </row>
        <row r="375">
          <cell r="A375" t="str">
            <v>4-TM7-Q11200</v>
          </cell>
          <cell r="B375" t="str">
            <v>HOSE, plastic</v>
          </cell>
          <cell r="C375" t="str">
            <v>PC</v>
          </cell>
          <cell r="D375">
            <v>100</v>
          </cell>
          <cell r="E375">
            <v>6000</v>
          </cell>
          <cell r="F375">
            <v>600000</v>
          </cell>
        </row>
        <row r="376">
          <cell r="A376" t="str">
            <v>4-TM7-Q12000</v>
          </cell>
          <cell r="B376" t="str">
            <v>HOSE, rubber</v>
          </cell>
          <cell r="C376" t="str">
            <v>PC</v>
          </cell>
          <cell r="D376">
            <v>0</v>
          </cell>
          <cell r="E376">
            <v>33000</v>
          </cell>
          <cell r="F376">
            <v>0</v>
          </cell>
        </row>
        <row r="377">
          <cell r="A377" t="str">
            <v>4-TM7-Q14000</v>
          </cell>
          <cell r="B377" t="str">
            <v>HOSE, rubber</v>
          </cell>
          <cell r="C377" t="str">
            <v>PC</v>
          </cell>
          <cell r="D377">
            <v>0</v>
          </cell>
          <cell r="E377">
            <v>0</v>
          </cell>
          <cell r="F377">
            <v>0</v>
          </cell>
        </row>
        <row r="378">
          <cell r="A378" t="str">
            <v>4-TM8-F11200</v>
          </cell>
          <cell r="B378" t="str">
            <v xml:space="preserve"> Drum Body Assy</v>
          </cell>
          <cell r="C378" t="str">
            <v>PC</v>
          </cell>
          <cell r="D378">
            <v>0</v>
          </cell>
          <cell r="E378">
            <v>0</v>
          </cell>
          <cell r="F378">
            <v>0</v>
          </cell>
        </row>
        <row r="379">
          <cell r="A379" t="str">
            <v>4-TM8-F11250</v>
          </cell>
          <cell r="B379" t="str">
            <v xml:space="preserve"> Cylinder</v>
          </cell>
          <cell r="C379" t="str">
            <v>PC</v>
          </cell>
          <cell r="D379">
            <v>0</v>
          </cell>
          <cell r="E379">
            <v>0</v>
          </cell>
          <cell r="F379">
            <v>0</v>
          </cell>
        </row>
        <row r="380">
          <cell r="A380" t="str">
            <v>4-VE004-0002</v>
          </cell>
          <cell r="B380" t="str">
            <v>CABLE, BLUE</v>
          </cell>
          <cell r="C380" t="str">
            <v>PC</v>
          </cell>
          <cell r="D380">
            <v>0</v>
          </cell>
          <cell r="E380">
            <v>0</v>
          </cell>
          <cell r="F380">
            <v>0</v>
          </cell>
        </row>
        <row r="381">
          <cell r="A381" t="str">
            <v>4-VE004-0003</v>
          </cell>
          <cell r="B381" t="str">
            <v>CABLE, RED</v>
          </cell>
          <cell r="C381" t="str">
            <v>PC</v>
          </cell>
          <cell r="D381">
            <v>0</v>
          </cell>
          <cell r="E381">
            <v>0</v>
          </cell>
          <cell r="F381">
            <v>0</v>
          </cell>
        </row>
        <row r="382">
          <cell r="A382" t="str">
            <v>4-VE010-2096</v>
          </cell>
          <cell r="B382" t="str">
            <v>TIE, wrap</v>
          </cell>
          <cell r="C382" t="str">
            <v>PC</v>
          </cell>
          <cell r="D382">
            <v>0</v>
          </cell>
          <cell r="E382">
            <v>0</v>
          </cell>
          <cell r="F382">
            <v>0</v>
          </cell>
        </row>
        <row r="383">
          <cell r="A383" t="str">
            <v>4-VE011-2096</v>
          </cell>
          <cell r="B383" t="str">
            <v>Isolator</v>
          </cell>
          <cell r="C383" t="str">
            <v>PC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4-VE014-2001</v>
          </cell>
          <cell r="B384" t="str">
            <v>CLIP</v>
          </cell>
          <cell r="C384" t="str">
            <v>PC</v>
          </cell>
          <cell r="D384">
            <v>0</v>
          </cell>
          <cell r="E384">
            <v>0</v>
          </cell>
          <cell r="F384">
            <v>0</v>
          </cell>
        </row>
        <row r="385">
          <cell r="A385" t="str">
            <v>4-VE015-2001</v>
          </cell>
          <cell r="B385" t="str">
            <v>CONDUIT</v>
          </cell>
          <cell r="C385" t="str">
            <v>PC</v>
          </cell>
          <cell r="D385">
            <v>0</v>
          </cell>
          <cell r="E385">
            <v>0</v>
          </cell>
          <cell r="F385">
            <v>0</v>
          </cell>
        </row>
        <row r="386">
          <cell r="A386" t="str">
            <v>4-VH001-2001</v>
          </cell>
          <cell r="B386" t="str">
            <v>O-RING</v>
          </cell>
          <cell r="C386" t="str">
            <v>PC</v>
          </cell>
          <cell r="D386">
            <v>17</v>
          </cell>
          <cell r="E386">
            <v>5498</v>
          </cell>
          <cell r="F386">
            <v>93458</v>
          </cell>
        </row>
        <row r="387">
          <cell r="A387" t="str">
            <v>4-VH001-2002</v>
          </cell>
          <cell r="B387" t="str">
            <v>O-RING</v>
          </cell>
          <cell r="C387" t="str">
            <v>PC</v>
          </cell>
          <cell r="D387">
            <v>28</v>
          </cell>
          <cell r="E387">
            <v>10108</v>
          </cell>
          <cell r="F387">
            <v>283035</v>
          </cell>
        </row>
        <row r="388">
          <cell r="A388" t="str">
            <v>4-VH008-0001</v>
          </cell>
          <cell r="B388" t="str">
            <v>SOCKET</v>
          </cell>
          <cell r="C388" t="str">
            <v>PC</v>
          </cell>
          <cell r="D388">
            <v>0</v>
          </cell>
          <cell r="E388">
            <v>0</v>
          </cell>
          <cell r="F388">
            <v>0</v>
          </cell>
        </row>
        <row r="389">
          <cell r="A389" t="str">
            <v>4-VH013-0001</v>
          </cell>
          <cell r="B389" t="str">
            <v>FLANGE, split</v>
          </cell>
          <cell r="C389" t="str">
            <v>PC</v>
          </cell>
          <cell r="D389">
            <v>40</v>
          </cell>
          <cell r="E389">
            <v>66857</v>
          </cell>
          <cell r="F389">
            <v>2674287</v>
          </cell>
        </row>
        <row r="390">
          <cell r="A390" t="str">
            <v>4-VH013-0002</v>
          </cell>
          <cell r="B390" t="str">
            <v>FLANGE, split</v>
          </cell>
          <cell r="C390" t="str">
            <v>PC</v>
          </cell>
          <cell r="D390">
            <v>40</v>
          </cell>
          <cell r="E390">
            <v>52936</v>
          </cell>
          <cell r="F390">
            <v>2117440</v>
          </cell>
        </row>
        <row r="391">
          <cell r="A391" t="str">
            <v>4-VH014-2001</v>
          </cell>
          <cell r="B391" t="str">
            <v>STEM, universal</v>
          </cell>
          <cell r="C391" t="str">
            <v>PC</v>
          </cell>
          <cell r="D391">
            <v>0</v>
          </cell>
          <cell r="E391">
            <v>0</v>
          </cell>
          <cell r="F391">
            <v>0</v>
          </cell>
        </row>
        <row r="392">
          <cell r="A392" t="str">
            <v>4-VH014-2002</v>
          </cell>
          <cell r="B392" t="str">
            <v>STEM, universal</v>
          </cell>
          <cell r="C392" t="str">
            <v>PC</v>
          </cell>
          <cell r="D392">
            <v>0</v>
          </cell>
          <cell r="E392">
            <v>0</v>
          </cell>
          <cell r="F392">
            <v>0</v>
          </cell>
        </row>
        <row r="393">
          <cell r="A393" t="str">
            <v>4-VH015-2001</v>
          </cell>
          <cell r="B393" t="str">
            <v>STEM, universal</v>
          </cell>
          <cell r="C393" t="str">
            <v>PC</v>
          </cell>
          <cell r="D393">
            <v>40</v>
          </cell>
          <cell r="E393">
            <v>69695</v>
          </cell>
          <cell r="F393">
            <v>2787785</v>
          </cell>
        </row>
        <row r="394">
          <cell r="A394" t="str">
            <v>4-VH016-2001</v>
          </cell>
          <cell r="B394" t="str">
            <v>STEM, universal</v>
          </cell>
          <cell r="C394" t="str">
            <v>PC</v>
          </cell>
          <cell r="D394">
            <v>29</v>
          </cell>
          <cell r="E394">
            <v>45399</v>
          </cell>
          <cell r="F394">
            <v>1316572</v>
          </cell>
        </row>
        <row r="395">
          <cell r="A395" t="str">
            <v>4-VM012-0001</v>
          </cell>
          <cell r="B395" t="str">
            <v>WRAP, tie</v>
          </cell>
          <cell r="C395" t="str">
            <v>PC</v>
          </cell>
          <cell r="D395">
            <v>0</v>
          </cell>
          <cell r="E395">
            <v>0</v>
          </cell>
          <cell r="F395">
            <v>0</v>
          </cell>
        </row>
        <row r="396">
          <cell r="A396" t="str">
            <v>4-VM045-0001</v>
          </cell>
          <cell r="B396" t="str">
            <v>CLIP</v>
          </cell>
          <cell r="C396" t="str">
            <v>PC</v>
          </cell>
          <cell r="D396">
            <v>0</v>
          </cell>
          <cell r="E396">
            <v>0</v>
          </cell>
          <cell r="F396">
            <v>0</v>
          </cell>
        </row>
        <row r="397">
          <cell r="A397" t="str">
            <v>4-VM046-0001</v>
          </cell>
          <cell r="B397" t="str">
            <v>CABLE, Control</v>
          </cell>
          <cell r="C397" t="str">
            <v>PC</v>
          </cell>
          <cell r="D397">
            <v>0</v>
          </cell>
          <cell r="E397">
            <v>865260</v>
          </cell>
          <cell r="F397">
            <v>0</v>
          </cell>
        </row>
        <row r="398">
          <cell r="A398" t="str">
            <v>4-VM046-0002</v>
          </cell>
          <cell r="B398" t="str">
            <v>CABLE, control 1</v>
          </cell>
          <cell r="C398" t="str">
            <v>PC</v>
          </cell>
          <cell r="D398">
            <v>2</v>
          </cell>
          <cell r="E398">
            <v>592020</v>
          </cell>
          <cell r="F398">
            <v>1184040</v>
          </cell>
        </row>
        <row r="399">
          <cell r="A399" t="str">
            <v>4-VM046-0003</v>
          </cell>
          <cell r="B399" t="str">
            <v>CABLE, control 3</v>
          </cell>
          <cell r="C399" t="str">
            <v>PC</v>
          </cell>
          <cell r="D399">
            <v>6</v>
          </cell>
          <cell r="E399">
            <v>956340</v>
          </cell>
          <cell r="F399">
            <v>5738040</v>
          </cell>
        </row>
        <row r="400">
          <cell r="A400" t="str">
            <v>4-VM047-0001</v>
          </cell>
          <cell r="B400" t="str">
            <v>CLEVIS</v>
          </cell>
          <cell r="C400" t="str">
            <v>PC</v>
          </cell>
          <cell r="D400">
            <v>0</v>
          </cell>
          <cell r="E400">
            <v>0</v>
          </cell>
          <cell r="F400">
            <v>0</v>
          </cell>
        </row>
        <row r="401">
          <cell r="A401" t="str">
            <v>4-VM048-0001</v>
          </cell>
          <cell r="B401" t="str">
            <v>LEVER, twin</v>
          </cell>
          <cell r="C401" t="str">
            <v>PC</v>
          </cell>
          <cell r="D401">
            <v>0</v>
          </cell>
          <cell r="E401">
            <v>0</v>
          </cell>
          <cell r="F401">
            <v>0</v>
          </cell>
        </row>
        <row r="402">
          <cell r="A402" t="str">
            <v>4-VM048-0002</v>
          </cell>
          <cell r="B402" t="str">
            <v>LEVER, friction</v>
          </cell>
          <cell r="C402" t="str">
            <v>PC</v>
          </cell>
          <cell r="D402">
            <v>0</v>
          </cell>
          <cell r="E402">
            <v>0</v>
          </cell>
          <cell r="F402">
            <v>0</v>
          </cell>
        </row>
        <row r="403">
          <cell r="A403" t="str">
            <v>4-VM049-0001</v>
          </cell>
          <cell r="B403" t="str">
            <v>PER TARIK 1X80</v>
          </cell>
          <cell r="C403" t="str">
            <v>PC</v>
          </cell>
          <cell r="D403">
            <v>134</v>
          </cell>
          <cell r="E403">
            <v>1571</v>
          </cell>
          <cell r="F403">
            <v>210514</v>
          </cell>
        </row>
        <row r="404">
          <cell r="A404" t="str">
            <v>4-VM050-2096</v>
          </cell>
          <cell r="B404" t="str">
            <v>Safety Valve 1/2</v>
          </cell>
          <cell r="C404" t="str">
            <v>PC</v>
          </cell>
          <cell r="D404">
            <v>4</v>
          </cell>
          <cell r="E404">
            <v>210000</v>
          </cell>
          <cell r="F404">
            <v>840000</v>
          </cell>
        </row>
        <row r="405">
          <cell r="A405" t="str">
            <v>4-VM052-0001</v>
          </cell>
          <cell r="B405" t="str">
            <v>Spring</v>
          </cell>
          <cell r="C405" t="str">
            <v>PC</v>
          </cell>
          <cell r="D405">
            <v>0</v>
          </cell>
          <cell r="E405">
            <v>1</v>
          </cell>
          <cell r="F405">
            <v>0</v>
          </cell>
        </row>
        <row r="406">
          <cell r="A406" t="str">
            <v>4-VM053-0001</v>
          </cell>
          <cell r="B406" t="str">
            <v>BEARING</v>
          </cell>
          <cell r="C406" t="str">
            <v>PC</v>
          </cell>
          <cell r="D406">
            <v>36</v>
          </cell>
          <cell r="E406">
            <v>139000</v>
          </cell>
          <cell r="F406">
            <v>5004000</v>
          </cell>
        </row>
        <row r="407">
          <cell r="A407" t="str">
            <v>4-VM054-0001</v>
          </cell>
          <cell r="B407" t="str">
            <v>SEAL</v>
          </cell>
          <cell r="C407" t="str">
            <v>PC</v>
          </cell>
          <cell r="D407">
            <v>36</v>
          </cell>
          <cell r="E407">
            <v>15600</v>
          </cell>
          <cell r="F407">
            <v>561600</v>
          </cell>
        </row>
        <row r="408">
          <cell r="A408" t="str">
            <v>4-VM055-0001</v>
          </cell>
          <cell r="B408" t="str">
            <v>PLATE, level</v>
          </cell>
          <cell r="C408" t="str">
            <v>PC</v>
          </cell>
          <cell r="D408">
            <v>0</v>
          </cell>
          <cell r="E408">
            <v>0</v>
          </cell>
          <cell r="F408">
            <v>0</v>
          </cell>
        </row>
        <row r="409">
          <cell r="A409" t="str">
            <v>4-VM055-0002</v>
          </cell>
          <cell r="B409" t="str">
            <v>NAME PLATE, hopper</v>
          </cell>
          <cell r="C409" t="str">
            <v>PC</v>
          </cell>
          <cell r="D409">
            <v>0</v>
          </cell>
          <cell r="E409">
            <v>0</v>
          </cell>
          <cell r="F409">
            <v>0</v>
          </cell>
        </row>
        <row r="410">
          <cell r="A410" t="str">
            <v>4-VM056-0001</v>
          </cell>
          <cell r="B410" t="str">
            <v>CUP NUT M10X1,5</v>
          </cell>
          <cell r="C410" t="str">
            <v>PC</v>
          </cell>
          <cell r="D410">
            <v>189</v>
          </cell>
          <cell r="E410">
            <v>150</v>
          </cell>
          <cell r="F410">
            <v>28350</v>
          </cell>
        </row>
        <row r="411">
          <cell r="A411" t="str">
            <v>4-VM056-0010</v>
          </cell>
          <cell r="B411" t="str">
            <v>CUP NUT M 10</v>
          </cell>
          <cell r="C411" t="str">
            <v>PC</v>
          </cell>
          <cell r="D411">
            <v>432</v>
          </cell>
          <cell r="E411">
            <v>468</v>
          </cell>
          <cell r="F411">
            <v>202176</v>
          </cell>
        </row>
        <row r="412">
          <cell r="A412" t="str">
            <v>4-VM060-2001</v>
          </cell>
          <cell r="B412" t="str">
            <v>WASHER</v>
          </cell>
          <cell r="C412" t="str">
            <v>PC</v>
          </cell>
          <cell r="D412">
            <v>118</v>
          </cell>
          <cell r="E412">
            <v>34300</v>
          </cell>
          <cell r="F412">
            <v>4047400</v>
          </cell>
        </row>
        <row r="413">
          <cell r="A413" t="str">
            <v>4-VP001-2005</v>
          </cell>
          <cell r="B413" t="str">
            <v xml:space="preserve"> Connector Hose</v>
          </cell>
          <cell r="C413" t="str">
            <v>PC</v>
          </cell>
          <cell r="D413">
            <v>0</v>
          </cell>
          <cell r="E413">
            <v>0</v>
          </cell>
          <cell r="F413">
            <v>0</v>
          </cell>
        </row>
        <row r="414">
          <cell r="A414" t="str">
            <v>4-VP001-3001</v>
          </cell>
          <cell r="B414" t="str">
            <v xml:space="preserve"> Connector Hose</v>
          </cell>
          <cell r="C414" t="str">
            <v>PC</v>
          </cell>
          <cell r="D414">
            <v>30</v>
          </cell>
          <cell r="E414">
            <v>12000</v>
          </cell>
          <cell r="F414">
            <v>360000</v>
          </cell>
        </row>
        <row r="415">
          <cell r="A415" t="str">
            <v>4-VP001-3002</v>
          </cell>
          <cell r="B415" t="str">
            <v xml:space="preserve"> Connector Hose</v>
          </cell>
          <cell r="C415" t="str">
            <v>PC</v>
          </cell>
          <cell r="D415">
            <v>0</v>
          </cell>
          <cell r="E415">
            <v>0</v>
          </cell>
          <cell r="F415">
            <v>0</v>
          </cell>
        </row>
        <row r="416">
          <cell r="A416" t="str">
            <v>4-VP001-3003</v>
          </cell>
          <cell r="B416" t="str">
            <v>HOSE CONNECTOR</v>
          </cell>
          <cell r="C416" t="str">
            <v>PC</v>
          </cell>
          <cell r="D416">
            <v>395</v>
          </cell>
          <cell r="E416">
            <v>1</v>
          </cell>
          <cell r="F416">
            <v>395</v>
          </cell>
        </row>
        <row r="417">
          <cell r="A417" t="str">
            <v>4-VP005-3001</v>
          </cell>
          <cell r="B417" t="str">
            <v xml:space="preserve"> U Bolt 1" </v>
          </cell>
          <cell r="C417" t="str">
            <v>PC</v>
          </cell>
          <cell r="D417">
            <v>66</v>
          </cell>
          <cell r="E417">
            <v>1200</v>
          </cell>
          <cell r="F417">
            <v>79200</v>
          </cell>
        </row>
        <row r="418">
          <cell r="A418" t="str">
            <v>4-VP005-3002</v>
          </cell>
          <cell r="B418" t="str">
            <v xml:space="preserve"> U bolt 3/4 " </v>
          </cell>
          <cell r="C418" t="str">
            <v>PC</v>
          </cell>
          <cell r="D418">
            <v>0</v>
          </cell>
          <cell r="E418">
            <v>1100</v>
          </cell>
          <cell r="F418">
            <v>0</v>
          </cell>
        </row>
        <row r="419">
          <cell r="A419" t="str">
            <v>4-VP005-3003</v>
          </cell>
          <cell r="B419" t="str">
            <v xml:space="preserve"> U Bolt 1/2" </v>
          </cell>
          <cell r="C419" t="str">
            <v>PC</v>
          </cell>
          <cell r="D419">
            <v>27</v>
          </cell>
          <cell r="E419">
            <v>500</v>
          </cell>
          <cell r="F419">
            <v>13500</v>
          </cell>
        </row>
        <row r="420">
          <cell r="A420" t="str">
            <v>4-VP007-3001</v>
          </cell>
          <cell r="B420" t="str">
            <v xml:space="preserve"> L Bow 3/4" </v>
          </cell>
          <cell r="C420" t="str">
            <v>PC</v>
          </cell>
          <cell r="D420">
            <v>4</v>
          </cell>
          <cell r="E420">
            <v>3791</v>
          </cell>
          <cell r="F420">
            <v>15162</v>
          </cell>
        </row>
        <row r="421">
          <cell r="A421" t="str">
            <v>4-VP008-3001</v>
          </cell>
          <cell r="B421" t="str">
            <v xml:space="preserve"> Tee 3/4" </v>
          </cell>
          <cell r="C421" t="str">
            <v>PC</v>
          </cell>
          <cell r="D421">
            <v>12</v>
          </cell>
          <cell r="E421">
            <v>9600</v>
          </cell>
          <cell r="F421">
            <v>115200</v>
          </cell>
        </row>
        <row r="422">
          <cell r="A422" t="str">
            <v>4-VP009-3001</v>
          </cell>
          <cell r="B422" t="str">
            <v xml:space="preserve"> Double Nipple 3/4" </v>
          </cell>
          <cell r="C422" t="str">
            <v>PC</v>
          </cell>
          <cell r="D422">
            <v>0</v>
          </cell>
          <cell r="E422">
            <v>0</v>
          </cell>
          <cell r="F422">
            <v>0</v>
          </cell>
        </row>
        <row r="423">
          <cell r="A423" t="str">
            <v>4-VP009-3002</v>
          </cell>
          <cell r="B423" t="str">
            <v xml:space="preserve"> Double Nipple 1/2" </v>
          </cell>
          <cell r="C423" t="str">
            <v>PC</v>
          </cell>
          <cell r="D423">
            <v>0</v>
          </cell>
          <cell r="E423">
            <v>0</v>
          </cell>
          <cell r="F423">
            <v>0</v>
          </cell>
        </row>
        <row r="424">
          <cell r="A424" t="str">
            <v>4-VP011-2002</v>
          </cell>
          <cell r="B424" t="str">
            <v>Ball Valve 1" KITZ</v>
          </cell>
          <cell r="C424" t="str">
            <v>PC</v>
          </cell>
          <cell r="D424">
            <v>18</v>
          </cell>
          <cell r="E424">
            <v>102676</v>
          </cell>
          <cell r="F424">
            <v>1848176</v>
          </cell>
        </row>
        <row r="425">
          <cell r="A425" t="str">
            <v>4-VP011-2005</v>
          </cell>
          <cell r="B425" t="str">
            <v xml:space="preserve"> Ball Valve 1/2" </v>
          </cell>
          <cell r="C425" t="str">
            <v>PC</v>
          </cell>
          <cell r="D425">
            <v>4</v>
          </cell>
          <cell r="E425">
            <v>52250</v>
          </cell>
          <cell r="F425">
            <v>209000</v>
          </cell>
        </row>
        <row r="426">
          <cell r="A426" t="str">
            <v>4-VP046-3002</v>
          </cell>
          <cell r="B426" t="str">
            <v>NOZZLE 1/2"</v>
          </cell>
          <cell r="C426" t="str">
            <v>PC</v>
          </cell>
          <cell r="D426">
            <v>49</v>
          </cell>
          <cell r="E426">
            <v>48668</v>
          </cell>
          <cell r="F426">
            <v>2384726</v>
          </cell>
        </row>
        <row r="427">
          <cell r="A427" t="str">
            <v>4-VP050-2096</v>
          </cell>
          <cell r="B427" t="str">
            <v>SAFETY VALVE</v>
          </cell>
          <cell r="C427" t="str">
            <v>PC</v>
          </cell>
          <cell r="D427">
            <v>12</v>
          </cell>
          <cell r="E427">
            <v>150000</v>
          </cell>
          <cell r="F427">
            <v>1800000</v>
          </cell>
        </row>
        <row r="428">
          <cell r="A428" t="str">
            <v>4-W35-71-11131</v>
          </cell>
          <cell r="B428" t="str">
            <v>SEAT</v>
          </cell>
          <cell r="C428" t="str">
            <v>PC</v>
          </cell>
          <cell r="D428">
            <v>0</v>
          </cell>
          <cell r="E428">
            <v>0</v>
          </cell>
          <cell r="F428">
            <v>0</v>
          </cell>
        </row>
        <row r="429">
          <cell r="A429" t="str">
            <v>4-W35-71-14100</v>
          </cell>
          <cell r="B429" t="str">
            <v>FLANGE</v>
          </cell>
          <cell r="C429" t="str">
            <v>PC</v>
          </cell>
          <cell r="D429">
            <v>0</v>
          </cell>
          <cell r="E429">
            <v>0</v>
          </cell>
          <cell r="F429">
            <v>0</v>
          </cell>
        </row>
        <row r="430">
          <cell r="A430" t="str">
            <v>4-W47-1600P</v>
          </cell>
          <cell r="B430" t="str">
            <v>RUBBER LF470</v>
          </cell>
          <cell r="C430" t="str">
            <v>PC</v>
          </cell>
          <cell r="D430">
            <v>40</v>
          </cell>
          <cell r="E430">
            <v>28500</v>
          </cell>
          <cell r="F430">
            <v>1140000</v>
          </cell>
        </row>
        <row r="431">
          <cell r="A431" t="str">
            <v>4-W50-60-12110</v>
          </cell>
          <cell r="B431" t="str">
            <v>CLAMP</v>
          </cell>
          <cell r="C431" t="str">
            <v>PC</v>
          </cell>
          <cell r="D431">
            <v>0</v>
          </cell>
          <cell r="E431">
            <v>0</v>
          </cell>
          <cell r="F431">
            <v>0</v>
          </cell>
        </row>
        <row r="432">
          <cell r="A432" t="str">
            <v>4-W50-70-11260</v>
          </cell>
          <cell r="B432" t="str">
            <v>HOOK T=36 X 135</v>
          </cell>
          <cell r="C432" t="str">
            <v>PC</v>
          </cell>
          <cell r="D432">
            <v>3</v>
          </cell>
          <cell r="E432">
            <v>30892</v>
          </cell>
          <cell r="F432">
            <v>92676</v>
          </cell>
        </row>
        <row r="433">
          <cell r="A433" t="str">
            <v>4-W50-70-16380</v>
          </cell>
          <cell r="B433" t="str">
            <v>RING PLATE</v>
          </cell>
          <cell r="C433" t="str">
            <v>PC</v>
          </cell>
          <cell r="D433">
            <v>0</v>
          </cell>
          <cell r="E433">
            <v>0</v>
          </cell>
          <cell r="F433">
            <v>0</v>
          </cell>
        </row>
        <row r="434">
          <cell r="A434" t="str">
            <v>5.178XUJ38.739</v>
          </cell>
          <cell r="B434" t="str">
            <v>DRIVE PRO</v>
          </cell>
          <cell r="C434" t="str">
            <v>PC</v>
          </cell>
          <cell r="D434">
            <v>25</v>
          </cell>
          <cell r="E434">
            <v>1</v>
          </cell>
          <cell r="F434">
            <v>25</v>
          </cell>
        </row>
        <row r="435">
          <cell r="A435" t="str">
            <v>5013.810 102277</v>
          </cell>
          <cell r="B435" t="str">
            <v>RELAY VALVE R-12</v>
          </cell>
          <cell r="C435" t="str">
            <v>PC</v>
          </cell>
          <cell r="D435">
            <v>0</v>
          </cell>
          <cell r="E435">
            <v>354750</v>
          </cell>
          <cell r="F435">
            <v>0</v>
          </cell>
        </row>
        <row r="436">
          <cell r="A436" t="str">
            <v>5013.810 106834</v>
          </cell>
          <cell r="B436" t="str">
            <v>SPRING BREAK VALVE ADR38SR3</v>
          </cell>
          <cell r="C436" t="str">
            <v>PC</v>
          </cell>
          <cell r="D436">
            <v>0</v>
          </cell>
          <cell r="E436">
            <v>562487</v>
          </cell>
          <cell r="F436">
            <v>0</v>
          </cell>
        </row>
        <row r="437">
          <cell r="A437" t="str">
            <v>5013.810 109001</v>
          </cell>
          <cell r="B437" t="str">
            <v>RELAY VALVE R-12P</v>
          </cell>
          <cell r="C437" t="str">
            <v>PC</v>
          </cell>
          <cell r="D437">
            <v>0</v>
          </cell>
          <cell r="E437">
            <v>1</v>
          </cell>
          <cell r="F437">
            <v>0</v>
          </cell>
        </row>
        <row r="438">
          <cell r="A438" t="str">
            <v>5013.810 204514</v>
          </cell>
          <cell r="B438" t="str">
            <v>PIPE PLUG 3/4"</v>
          </cell>
          <cell r="C438" t="str">
            <v>PC</v>
          </cell>
          <cell r="D438">
            <v>0</v>
          </cell>
          <cell r="E438">
            <v>13220</v>
          </cell>
          <cell r="F438">
            <v>0</v>
          </cell>
        </row>
        <row r="439">
          <cell r="A439" t="str">
            <v>5013.810 205053</v>
          </cell>
          <cell r="B439" t="str">
            <v>CONNECTOR  1/4"X3/8"</v>
          </cell>
          <cell r="C439" t="str">
            <v>PC</v>
          </cell>
          <cell r="D439">
            <v>0</v>
          </cell>
          <cell r="E439">
            <v>1</v>
          </cell>
          <cell r="F439">
            <v>0</v>
          </cell>
        </row>
        <row r="440">
          <cell r="A440" t="str">
            <v>5013.810 205102</v>
          </cell>
          <cell r="B440" t="str">
            <v>ELBOW 1/4"X3/8"</v>
          </cell>
          <cell r="C440" t="str">
            <v>PC</v>
          </cell>
          <cell r="D440">
            <v>0</v>
          </cell>
          <cell r="E440">
            <v>1</v>
          </cell>
          <cell r="F440">
            <v>0</v>
          </cell>
        </row>
        <row r="441">
          <cell r="A441" t="str">
            <v>5013.810 205106</v>
          </cell>
          <cell r="B441" t="str">
            <v>TEE 3/8"x3/8"</v>
          </cell>
          <cell r="C441" t="str">
            <v>PC</v>
          </cell>
          <cell r="D441">
            <v>0</v>
          </cell>
          <cell r="E441">
            <v>27994</v>
          </cell>
          <cell r="F441">
            <v>0</v>
          </cell>
        </row>
        <row r="442">
          <cell r="A442" t="str">
            <v>5013.810 205824</v>
          </cell>
          <cell r="B442" t="str">
            <v>CONNECTOR  3/8"X3/8"</v>
          </cell>
          <cell r="C442" t="str">
            <v>PC</v>
          </cell>
          <cell r="D442">
            <v>0</v>
          </cell>
          <cell r="E442">
            <v>1</v>
          </cell>
          <cell r="F442">
            <v>0</v>
          </cell>
        </row>
        <row r="443">
          <cell r="A443" t="str">
            <v>5013.810 216684</v>
          </cell>
          <cell r="B443" t="str">
            <v>CONNECTOR  1/2"MX5/8"</v>
          </cell>
          <cell r="C443" t="str">
            <v>PC</v>
          </cell>
          <cell r="D443">
            <v>0</v>
          </cell>
          <cell r="E443">
            <v>1</v>
          </cell>
          <cell r="F443">
            <v>0</v>
          </cell>
        </row>
        <row r="444">
          <cell r="A444" t="str">
            <v>5013.810 216685</v>
          </cell>
          <cell r="B444" t="str">
            <v>CONNECTOR  3/8"X5/8"</v>
          </cell>
          <cell r="C444" t="str">
            <v>PC</v>
          </cell>
          <cell r="D444">
            <v>0</v>
          </cell>
          <cell r="E444">
            <v>1</v>
          </cell>
          <cell r="F444">
            <v>0</v>
          </cell>
        </row>
        <row r="445">
          <cell r="A445" t="str">
            <v>5013.810 221121</v>
          </cell>
          <cell r="B445" t="str">
            <v>DRAIN COCK 1/4"M</v>
          </cell>
          <cell r="C445" t="str">
            <v>PC</v>
          </cell>
          <cell r="D445">
            <v>0</v>
          </cell>
          <cell r="E445">
            <v>1</v>
          </cell>
          <cell r="F445">
            <v>0</v>
          </cell>
        </row>
        <row r="446">
          <cell r="A446" t="str">
            <v>5013.810 221825</v>
          </cell>
          <cell r="B446" t="str">
            <v>ELBOW 1/2"mx5/8"</v>
          </cell>
          <cell r="C446" t="str">
            <v>PC</v>
          </cell>
          <cell r="D446">
            <v>15</v>
          </cell>
          <cell r="E446">
            <v>32278</v>
          </cell>
          <cell r="F446">
            <v>484173</v>
          </cell>
        </row>
        <row r="447">
          <cell r="A447" t="str">
            <v>5013.810 221924</v>
          </cell>
          <cell r="B447" t="str">
            <v>TEE 5/8"</v>
          </cell>
          <cell r="C447" t="str">
            <v>PC</v>
          </cell>
          <cell r="D447">
            <v>0</v>
          </cell>
          <cell r="E447">
            <v>1</v>
          </cell>
          <cell r="F447">
            <v>0</v>
          </cell>
        </row>
        <row r="448">
          <cell r="A448" t="str">
            <v>5013.810 221984</v>
          </cell>
          <cell r="B448" t="str">
            <v>TEE 5/8"</v>
          </cell>
          <cell r="C448" t="str">
            <v>PC</v>
          </cell>
          <cell r="D448">
            <v>24</v>
          </cell>
          <cell r="E448">
            <v>105173</v>
          </cell>
          <cell r="F448">
            <v>2524155</v>
          </cell>
        </row>
        <row r="449">
          <cell r="A449" t="str">
            <v>5013.810 222062</v>
          </cell>
          <cell r="B449" t="str">
            <v>ELBOW 1/2"MX3/8"</v>
          </cell>
          <cell r="C449" t="str">
            <v>PC</v>
          </cell>
          <cell r="D449">
            <v>0</v>
          </cell>
          <cell r="E449">
            <v>1</v>
          </cell>
          <cell r="F449">
            <v>0</v>
          </cell>
        </row>
        <row r="450">
          <cell r="A450" t="str">
            <v>5013.810 222063</v>
          </cell>
          <cell r="B450" t="str">
            <v>ELBOW 1/2"mx5/8"</v>
          </cell>
          <cell r="C450" t="str">
            <v>PC</v>
          </cell>
          <cell r="D450">
            <v>0</v>
          </cell>
          <cell r="E450">
            <v>15024</v>
          </cell>
          <cell r="F450">
            <v>0</v>
          </cell>
        </row>
        <row r="451">
          <cell r="A451" t="str">
            <v>5013.810 230111</v>
          </cell>
          <cell r="B451" t="str">
            <v>PLUG HEX 1/4"</v>
          </cell>
          <cell r="C451" t="str">
            <v>PC</v>
          </cell>
          <cell r="D451">
            <v>0</v>
          </cell>
          <cell r="E451">
            <v>1</v>
          </cell>
          <cell r="F451">
            <v>0</v>
          </cell>
        </row>
        <row r="452">
          <cell r="A452" t="str">
            <v>5013.810 234680</v>
          </cell>
          <cell r="B452" t="str">
            <v>RED BUSH 3/4"X3/8"X1/2"</v>
          </cell>
          <cell r="C452" t="str">
            <v>PC</v>
          </cell>
          <cell r="D452">
            <v>0</v>
          </cell>
          <cell r="E452">
            <v>1</v>
          </cell>
          <cell r="F452">
            <v>0</v>
          </cell>
        </row>
        <row r="453">
          <cell r="A453" t="str">
            <v>5013.810 238807</v>
          </cell>
          <cell r="B453" t="str">
            <v>PIPE PLUG 3/8"</v>
          </cell>
          <cell r="C453" t="str">
            <v>PC</v>
          </cell>
          <cell r="D453">
            <v>0</v>
          </cell>
          <cell r="E453">
            <v>1555</v>
          </cell>
          <cell r="F453">
            <v>0</v>
          </cell>
        </row>
        <row r="454">
          <cell r="A454" t="str">
            <v>5013.810 238822</v>
          </cell>
          <cell r="B454" t="str">
            <v>PIPE PLUG 1/2"</v>
          </cell>
          <cell r="C454" t="str">
            <v>PC</v>
          </cell>
          <cell r="D454">
            <v>0</v>
          </cell>
          <cell r="E454">
            <v>4406</v>
          </cell>
          <cell r="F454">
            <v>0</v>
          </cell>
        </row>
        <row r="455">
          <cell r="A455" t="str">
            <v>5013.810 239727</v>
          </cell>
          <cell r="B455" t="str">
            <v>ANCHOR TEE 3/8"X3/8"X1/2"</v>
          </cell>
          <cell r="C455" t="str">
            <v>PC</v>
          </cell>
          <cell r="D455">
            <v>27</v>
          </cell>
          <cell r="E455">
            <v>85185</v>
          </cell>
          <cell r="F455">
            <v>2300004</v>
          </cell>
        </row>
        <row r="456">
          <cell r="A456" t="str">
            <v>5013.810 246089</v>
          </cell>
          <cell r="B456" t="str">
            <v>TUBE INSERT 3/8 "</v>
          </cell>
          <cell r="C456" t="str">
            <v>PC</v>
          </cell>
          <cell r="D456">
            <v>136</v>
          </cell>
          <cell r="E456">
            <v>956</v>
          </cell>
          <cell r="F456">
            <v>130012</v>
          </cell>
        </row>
        <row r="457">
          <cell r="A457" t="str">
            <v>5013.810 247608</v>
          </cell>
          <cell r="B457" t="str">
            <v>TUBE INSERT 5/8 "</v>
          </cell>
          <cell r="C457" t="str">
            <v>PC</v>
          </cell>
          <cell r="D457">
            <v>6</v>
          </cell>
          <cell r="E457">
            <v>4481</v>
          </cell>
          <cell r="F457">
            <v>26885</v>
          </cell>
        </row>
        <row r="458">
          <cell r="A458" t="str">
            <v>5013.810 275363</v>
          </cell>
          <cell r="B458" t="str">
            <v>TEE 1/2"MX3/8"X3/8"</v>
          </cell>
          <cell r="C458" t="str">
            <v>PC</v>
          </cell>
          <cell r="D458">
            <v>0</v>
          </cell>
          <cell r="E458">
            <v>1</v>
          </cell>
          <cell r="F458">
            <v>0</v>
          </cell>
        </row>
        <row r="459">
          <cell r="A459" t="str">
            <v>5013.810 278850</v>
          </cell>
          <cell r="B459" t="str">
            <v>GLAD HAND SRVICE</v>
          </cell>
          <cell r="C459" t="str">
            <v>PC</v>
          </cell>
          <cell r="D459">
            <v>53</v>
          </cell>
          <cell r="E459">
            <v>45068</v>
          </cell>
          <cell r="F459">
            <v>2388617</v>
          </cell>
        </row>
        <row r="460">
          <cell r="A460" t="str">
            <v>5013.810 278851</v>
          </cell>
          <cell r="B460" t="str">
            <v>GLAD HAND EMERGENCY</v>
          </cell>
          <cell r="C460" t="str">
            <v>PC</v>
          </cell>
          <cell r="D460">
            <v>53</v>
          </cell>
          <cell r="E460">
            <v>45068</v>
          </cell>
          <cell r="F460">
            <v>2388617</v>
          </cell>
        </row>
        <row r="461">
          <cell r="A461" t="str">
            <v>5013.810 50888</v>
          </cell>
          <cell r="B461" t="str">
            <v>HOSE CLAMP</v>
          </cell>
          <cell r="C461" t="str">
            <v>PC</v>
          </cell>
          <cell r="D461">
            <v>0</v>
          </cell>
          <cell r="E461">
            <v>1</v>
          </cell>
          <cell r="F461">
            <v>0</v>
          </cell>
        </row>
        <row r="462">
          <cell r="A462" t="str">
            <v>5013.810 C50888</v>
          </cell>
          <cell r="B462" t="str">
            <v>HOSE CLAMP</v>
          </cell>
          <cell r="C462" t="str">
            <v>PC</v>
          </cell>
          <cell r="D462">
            <v>0</v>
          </cell>
          <cell r="E462">
            <v>1</v>
          </cell>
          <cell r="F462">
            <v>0</v>
          </cell>
        </row>
        <row r="463">
          <cell r="A463" t="str">
            <v>5013.810 C51278</v>
          </cell>
          <cell r="B463" t="str">
            <v>HOSE BARP 3/8"X1/2"</v>
          </cell>
          <cell r="C463" t="str">
            <v>PC</v>
          </cell>
          <cell r="D463">
            <v>0</v>
          </cell>
          <cell r="E463">
            <v>1</v>
          </cell>
          <cell r="F463">
            <v>0</v>
          </cell>
        </row>
        <row r="464">
          <cell r="A464" t="str">
            <v>5013.810 C51279</v>
          </cell>
          <cell r="B464" t="str">
            <v>HOSE BARP 1/2"X1/2"</v>
          </cell>
          <cell r="C464" t="str">
            <v>PC</v>
          </cell>
          <cell r="D464">
            <v>0</v>
          </cell>
          <cell r="E464">
            <v>1</v>
          </cell>
          <cell r="F464">
            <v>0</v>
          </cell>
        </row>
        <row r="465">
          <cell r="A465" t="str">
            <v>5013.810 C51282</v>
          </cell>
          <cell r="B465" t="str">
            <v>AIR TANK JUMBO 13"</v>
          </cell>
          <cell r="C465" t="str">
            <v>PC</v>
          </cell>
          <cell r="D465">
            <v>0</v>
          </cell>
          <cell r="E465">
            <v>1</v>
          </cell>
          <cell r="F465">
            <v>0</v>
          </cell>
        </row>
        <row r="466">
          <cell r="A466" t="str">
            <v>5013.810 C51341</v>
          </cell>
          <cell r="B466" t="str">
            <v>NIPPLE HEX 1/2"X1/2"</v>
          </cell>
          <cell r="C466" t="str">
            <v>PC</v>
          </cell>
          <cell r="D466">
            <v>0</v>
          </cell>
          <cell r="E466">
            <v>1</v>
          </cell>
          <cell r="F466">
            <v>0</v>
          </cell>
        </row>
        <row r="467">
          <cell r="A467" t="str">
            <v>5013.810 C51408</v>
          </cell>
          <cell r="B467" t="str">
            <v>AIR TANK STANDARD 9.5"</v>
          </cell>
          <cell r="C467" t="str">
            <v>PC</v>
          </cell>
          <cell r="D467">
            <v>0</v>
          </cell>
          <cell r="E467">
            <v>1</v>
          </cell>
          <cell r="F467">
            <v>0</v>
          </cell>
        </row>
        <row r="468">
          <cell r="A468" t="str">
            <v>5013.810 C51410</v>
          </cell>
          <cell r="B468" t="str">
            <v>NIPPLE HEX 3/4"X1/2"</v>
          </cell>
          <cell r="C468" t="str">
            <v>PC</v>
          </cell>
          <cell r="D468">
            <v>0</v>
          </cell>
          <cell r="E468">
            <v>1</v>
          </cell>
          <cell r="F468">
            <v>0</v>
          </cell>
        </row>
        <row r="469">
          <cell r="A469" t="str">
            <v>5013.810 C51668</v>
          </cell>
          <cell r="B469" t="str">
            <v>CUT OUT COCK 1/2"NPT</v>
          </cell>
          <cell r="C469" t="str">
            <v>PC</v>
          </cell>
          <cell r="D469">
            <v>3</v>
          </cell>
          <cell r="E469">
            <v>68531</v>
          </cell>
          <cell r="F469">
            <v>205592</v>
          </cell>
        </row>
        <row r="470">
          <cell r="A470" t="str">
            <v>5013.810 M3430468</v>
          </cell>
          <cell r="B470" t="str">
            <v>SPRING BRAKE TR3030W</v>
          </cell>
          <cell r="C470" t="str">
            <v>PC</v>
          </cell>
          <cell r="D470">
            <v>0</v>
          </cell>
          <cell r="E470">
            <v>1</v>
          </cell>
          <cell r="F470">
            <v>0</v>
          </cell>
        </row>
        <row r="471">
          <cell r="A471" t="str">
            <v>5013.810-278850</v>
          </cell>
          <cell r="B471" t="str">
            <v xml:space="preserve"> GLAD HAND SERVICE</v>
          </cell>
          <cell r="C471" t="str">
            <v>PC</v>
          </cell>
          <cell r="D471">
            <v>0</v>
          </cell>
          <cell r="E471">
            <v>39442</v>
          </cell>
          <cell r="F471">
            <v>0</v>
          </cell>
        </row>
        <row r="472">
          <cell r="A472" t="str">
            <v>5013.810-278851</v>
          </cell>
          <cell r="B472" t="str">
            <v xml:space="preserve"> GLAD HAND SERVICE</v>
          </cell>
          <cell r="C472" t="str">
            <v>PC</v>
          </cell>
          <cell r="D472">
            <v>0</v>
          </cell>
          <cell r="E472">
            <v>39442</v>
          </cell>
          <cell r="F472">
            <v>0</v>
          </cell>
        </row>
        <row r="473">
          <cell r="A473" t="str">
            <v>5021N-B912018/01</v>
          </cell>
          <cell r="B473" t="str">
            <v xml:space="preserve"> TANDEM AXLE 12T+SUSP</v>
          </cell>
          <cell r="C473" t="str">
            <v>PC</v>
          </cell>
          <cell r="D473">
            <v>0</v>
          </cell>
          <cell r="E473">
            <v>20283520</v>
          </cell>
          <cell r="F473">
            <v>0</v>
          </cell>
        </row>
        <row r="474">
          <cell r="A474" t="str">
            <v>5100-2S-12B</v>
          </cell>
          <cell r="B474" t="str">
            <v>QUICK COUPLER (MALE)</v>
          </cell>
          <cell r="C474" t="str">
            <v>PC</v>
          </cell>
          <cell r="D474">
            <v>0</v>
          </cell>
          <cell r="E474">
            <v>92735</v>
          </cell>
          <cell r="F474">
            <v>0</v>
          </cell>
        </row>
        <row r="475">
          <cell r="A475" t="str">
            <v>5100-S2-12B</v>
          </cell>
          <cell r="B475" t="str">
            <v>QRC MALE</v>
          </cell>
          <cell r="C475" t="str">
            <v>PC</v>
          </cell>
          <cell r="D475">
            <v>2</v>
          </cell>
          <cell r="E475">
            <v>295845</v>
          </cell>
          <cell r="F475">
            <v>591689</v>
          </cell>
        </row>
        <row r="476">
          <cell r="A476" t="str">
            <v>5100-S5-12B</v>
          </cell>
          <cell r="B476" t="str">
            <v>QRC FEMALE</v>
          </cell>
          <cell r="C476" t="str">
            <v>PC</v>
          </cell>
          <cell r="D476">
            <v>2</v>
          </cell>
          <cell r="E476">
            <v>373214</v>
          </cell>
          <cell r="F476">
            <v>746427</v>
          </cell>
        </row>
        <row r="477">
          <cell r="A477" t="str">
            <v>5117-077</v>
          </cell>
          <cell r="B477" t="str">
            <v>ROTATOR GV17S/203</v>
          </cell>
          <cell r="C477" t="str">
            <v>PC</v>
          </cell>
          <cell r="D477">
            <v>2</v>
          </cell>
          <cell r="E477">
            <v>8342760</v>
          </cell>
          <cell r="F477">
            <v>16685520</v>
          </cell>
        </row>
        <row r="478">
          <cell r="A478" t="str">
            <v>540-49-22000-00</v>
          </cell>
          <cell r="B478" t="str">
            <v>Mech PDH 200-1MX</v>
          </cell>
          <cell r="C478" t="str">
            <v>PC</v>
          </cell>
          <cell r="D478">
            <v>0</v>
          </cell>
          <cell r="E478">
            <v>9200000</v>
          </cell>
          <cell r="F478">
            <v>0</v>
          </cell>
        </row>
        <row r="479">
          <cell r="A479" t="str">
            <v>561-35-62880</v>
          </cell>
          <cell r="B479" t="str">
            <v>JOINT</v>
          </cell>
          <cell r="C479" t="str">
            <v>PC</v>
          </cell>
          <cell r="D479">
            <v>17</v>
          </cell>
          <cell r="E479">
            <v>20200</v>
          </cell>
          <cell r="F479">
            <v>343400</v>
          </cell>
        </row>
        <row r="480">
          <cell r="A480" t="str">
            <v>561-35-62881</v>
          </cell>
          <cell r="B480" t="str">
            <v xml:space="preserve"> JOINT</v>
          </cell>
          <cell r="C480" t="str">
            <v>PC</v>
          </cell>
          <cell r="D480">
            <v>17</v>
          </cell>
          <cell r="E480">
            <v>56000</v>
          </cell>
          <cell r="F480">
            <v>952000</v>
          </cell>
        </row>
        <row r="481">
          <cell r="A481" t="str">
            <v>561-46-61161</v>
          </cell>
          <cell r="B481" t="str">
            <v>CROSS MEMBER</v>
          </cell>
          <cell r="C481" t="str">
            <v>PC</v>
          </cell>
          <cell r="D481">
            <v>0</v>
          </cell>
          <cell r="E481">
            <v>275000</v>
          </cell>
          <cell r="F481">
            <v>0</v>
          </cell>
        </row>
        <row r="482">
          <cell r="A482" t="str">
            <v>561-46-61222</v>
          </cell>
          <cell r="B482" t="str">
            <v>CROSS UNDER</v>
          </cell>
          <cell r="C482" t="str">
            <v>PC</v>
          </cell>
          <cell r="D482">
            <v>0</v>
          </cell>
          <cell r="E482">
            <v>0</v>
          </cell>
          <cell r="F482">
            <v>0</v>
          </cell>
        </row>
        <row r="483">
          <cell r="A483" t="str">
            <v>561-46-61232</v>
          </cell>
          <cell r="B483" t="str">
            <v>MEMBER CROSS</v>
          </cell>
          <cell r="C483" t="str">
            <v>PC</v>
          </cell>
          <cell r="D483">
            <v>0</v>
          </cell>
          <cell r="E483">
            <v>275000</v>
          </cell>
          <cell r="F483">
            <v>0</v>
          </cell>
        </row>
        <row r="484">
          <cell r="A484" t="str">
            <v>561-46-61241</v>
          </cell>
          <cell r="B484" t="str">
            <v>MEMBER ( L )</v>
          </cell>
          <cell r="C484" t="str">
            <v>PC</v>
          </cell>
          <cell r="D484">
            <v>0</v>
          </cell>
          <cell r="E484">
            <v>0</v>
          </cell>
          <cell r="F484">
            <v>0</v>
          </cell>
        </row>
        <row r="485">
          <cell r="A485" t="str">
            <v>561-46-61291</v>
          </cell>
          <cell r="B485" t="str">
            <v>BUSHING</v>
          </cell>
          <cell r="C485" t="str">
            <v>PC</v>
          </cell>
          <cell r="D485">
            <v>0</v>
          </cell>
          <cell r="E485">
            <v>50000</v>
          </cell>
          <cell r="F485">
            <v>0</v>
          </cell>
        </row>
        <row r="486">
          <cell r="A486" t="str">
            <v>561-46-61313</v>
          </cell>
          <cell r="B486" t="str">
            <v>MEMBER VERTICAL ( L )</v>
          </cell>
          <cell r="C486" t="str">
            <v>PC</v>
          </cell>
          <cell r="D486">
            <v>0</v>
          </cell>
          <cell r="E486">
            <v>0</v>
          </cell>
          <cell r="F486">
            <v>0</v>
          </cell>
        </row>
        <row r="487">
          <cell r="A487" t="str">
            <v>561-46-61323</v>
          </cell>
          <cell r="B487" t="str">
            <v>MEMBER VERTICAL ( R )</v>
          </cell>
          <cell r="C487" t="str">
            <v>PC</v>
          </cell>
          <cell r="D487">
            <v>0</v>
          </cell>
          <cell r="E487">
            <v>0</v>
          </cell>
          <cell r="F487">
            <v>0</v>
          </cell>
        </row>
        <row r="488">
          <cell r="A488" t="str">
            <v>561-46-61333</v>
          </cell>
          <cell r="B488" t="str">
            <v>BRACKET ( L )</v>
          </cell>
          <cell r="C488" t="str">
            <v>PC</v>
          </cell>
          <cell r="D488">
            <v>0</v>
          </cell>
          <cell r="E488">
            <v>0</v>
          </cell>
          <cell r="F488">
            <v>0</v>
          </cell>
        </row>
        <row r="489">
          <cell r="A489" t="str">
            <v>561-46-61343</v>
          </cell>
          <cell r="B489" t="str">
            <v>BRACKET ( R )</v>
          </cell>
          <cell r="C489" t="str">
            <v>PC</v>
          </cell>
          <cell r="D489">
            <v>0</v>
          </cell>
          <cell r="E489">
            <v>0</v>
          </cell>
          <cell r="F489">
            <v>0</v>
          </cell>
        </row>
        <row r="490">
          <cell r="A490" t="str">
            <v>561-46-61372</v>
          </cell>
          <cell r="B490" t="str">
            <v>HOIST CROSS ( L )</v>
          </cell>
          <cell r="C490" t="str">
            <v>PC</v>
          </cell>
          <cell r="D490">
            <v>0</v>
          </cell>
          <cell r="E490">
            <v>0</v>
          </cell>
          <cell r="F490">
            <v>0</v>
          </cell>
        </row>
        <row r="491">
          <cell r="A491" t="str">
            <v>561-46-61382</v>
          </cell>
          <cell r="B491" t="str">
            <v>HOIST CROSS ( R )</v>
          </cell>
          <cell r="C491" t="str">
            <v>PC</v>
          </cell>
          <cell r="D491">
            <v>0</v>
          </cell>
          <cell r="E491">
            <v>0</v>
          </cell>
          <cell r="F491">
            <v>0</v>
          </cell>
        </row>
        <row r="492">
          <cell r="A492" t="str">
            <v>561-46-61390</v>
          </cell>
          <cell r="B492" t="str">
            <v>BOSS</v>
          </cell>
          <cell r="C492" t="str">
            <v>PC</v>
          </cell>
          <cell r="D492">
            <v>0</v>
          </cell>
          <cell r="E492">
            <v>538400</v>
          </cell>
          <cell r="F492">
            <v>0</v>
          </cell>
        </row>
        <row r="493">
          <cell r="A493" t="str">
            <v>561-46-61412</v>
          </cell>
          <cell r="B493" t="str">
            <v>SUPPORT ( L )</v>
          </cell>
          <cell r="C493" t="str">
            <v>PC</v>
          </cell>
          <cell r="D493">
            <v>0</v>
          </cell>
          <cell r="E493">
            <v>0</v>
          </cell>
          <cell r="F493">
            <v>0</v>
          </cell>
        </row>
        <row r="494">
          <cell r="A494" t="str">
            <v>561-46-61422</v>
          </cell>
          <cell r="B494" t="str">
            <v>SUPPORT ( R )</v>
          </cell>
          <cell r="C494" t="str">
            <v>PC</v>
          </cell>
          <cell r="D494">
            <v>0</v>
          </cell>
          <cell r="E494">
            <v>0</v>
          </cell>
          <cell r="F494">
            <v>0</v>
          </cell>
        </row>
        <row r="495">
          <cell r="A495" t="str">
            <v>561-46-61620</v>
          </cell>
          <cell r="B495" t="str">
            <v>VERTICAL CROSS ( L )</v>
          </cell>
          <cell r="C495" t="str">
            <v>PC</v>
          </cell>
          <cell r="D495">
            <v>0</v>
          </cell>
          <cell r="E495">
            <v>0</v>
          </cell>
          <cell r="F495">
            <v>0</v>
          </cell>
        </row>
        <row r="496">
          <cell r="A496" t="str">
            <v>561-46-61630</v>
          </cell>
          <cell r="B496" t="str">
            <v>VERTICAL CROSS ( R )</v>
          </cell>
          <cell r="C496" t="str">
            <v>PC</v>
          </cell>
          <cell r="D496">
            <v>0</v>
          </cell>
          <cell r="E496">
            <v>0</v>
          </cell>
          <cell r="F496">
            <v>0</v>
          </cell>
        </row>
        <row r="497">
          <cell r="A497" t="str">
            <v>561-46-61B00</v>
          </cell>
          <cell r="B497" t="str">
            <v>PIPE</v>
          </cell>
          <cell r="C497" t="str">
            <v>PC</v>
          </cell>
          <cell r="D497">
            <v>0</v>
          </cell>
          <cell r="E497">
            <v>0</v>
          </cell>
          <cell r="F497">
            <v>0</v>
          </cell>
        </row>
        <row r="498">
          <cell r="A498" t="str">
            <v>561-46-61B60</v>
          </cell>
          <cell r="B498" t="str">
            <v>MEMBER</v>
          </cell>
          <cell r="C498" t="str">
            <v>PC</v>
          </cell>
          <cell r="D498">
            <v>0</v>
          </cell>
          <cell r="E498">
            <v>0</v>
          </cell>
          <cell r="F498">
            <v>0</v>
          </cell>
        </row>
        <row r="499">
          <cell r="A499" t="str">
            <v>561-46-61B80</v>
          </cell>
          <cell r="B499" t="str">
            <v>MEMBER</v>
          </cell>
          <cell r="C499" t="str">
            <v>PC</v>
          </cell>
          <cell r="D499">
            <v>0</v>
          </cell>
          <cell r="E499">
            <v>0</v>
          </cell>
          <cell r="F499">
            <v>0</v>
          </cell>
        </row>
        <row r="500">
          <cell r="A500" t="str">
            <v>561-46-61C80</v>
          </cell>
          <cell r="B500" t="str">
            <v>BAR</v>
          </cell>
          <cell r="C500" t="str">
            <v>PC</v>
          </cell>
          <cell r="D500">
            <v>11</v>
          </cell>
          <cell r="E500">
            <v>18000</v>
          </cell>
          <cell r="F500">
            <v>198000</v>
          </cell>
        </row>
        <row r="501">
          <cell r="A501" t="str">
            <v>561-46-61D10</v>
          </cell>
          <cell r="B501" t="str">
            <v>MEMBER</v>
          </cell>
          <cell r="C501" t="str">
            <v>PC</v>
          </cell>
          <cell r="D501">
            <v>0</v>
          </cell>
          <cell r="E501">
            <v>0</v>
          </cell>
          <cell r="F501">
            <v>0</v>
          </cell>
        </row>
        <row r="502">
          <cell r="A502" t="str">
            <v>561-46-61D30</v>
          </cell>
          <cell r="B502" t="str">
            <v>MEMBER</v>
          </cell>
          <cell r="C502" t="str">
            <v>PC</v>
          </cell>
          <cell r="D502">
            <v>0</v>
          </cell>
          <cell r="E502">
            <v>0</v>
          </cell>
          <cell r="F502">
            <v>0</v>
          </cell>
        </row>
        <row r="503">
          <cell r="A503" t="str">
            <v>561-46-61F60</v>
          </cell>
          <cell r="B503" t="str">
            <v>MEMBER VERTICAL</v>
          </cell>
          <cell r="C503" t="str">
            <v>PC</v>
          </cell>
          <cell r="D503">
            <v>0</v>
          </cell>
          <cell r="E503">
            <v>0</v>
          </cell>
          <cell r="F503">
            <v>0</v>
          </cell>
        </row>
        <row r="504">
          <cell r="A504" t="str">
            <v>561-46-61F70</v>
          </cell>
          <cell r="B504" t="str">
            <v>PLATE</v>
          </cell>
          <cell r="C504" t="str">
            <v>PC</v>
          </cell>
          <cell r="D504">
            <v>0</v>
          </cell>
          <cell r="E504">
            <v>0</v>
          </cell>
          <cell r="F504">
            <v>0</v>
          </cell>
        </row>
        <row r="505">
          <cell r="A505" t="str">
            <v>561-46-61F80</v>
          </cell>
          <cell r="B505" t="str">
            <v>MEMBER VERTICAL</v>
          </cell>
          <cell r="C505" t="str">
            <v>PC</v>
          </cell>
          <cell r="D505">
            <v>0</v>
          </cell>
          <cell r="E505">
            <v>0</v>
          </cell>
          <cell r="F505">
            <v>0</v>
          </cell>
        </row>
        <row r="506">
          <cell r="A506" t="str">
            <v>561-46-61G40</v>
          </cell>
          <cell r="B506" t="str">
            <v>BOSS</v>
          </cell>
          <cell r="C506" t="str">
            <v>PC</v>
          </cell>
          <cell r="D506">
            <v>14</v>
          </cell>
          <cell r="E506">
            <v>52850</v>
          </cell>
          <cell r="F506">
            <v>739900</v>
          </cell>
        </row>
        <row r="507">
          <cell r="A507" t="str">
            <v>561-46-61G50</v>
          </cell>
          <cell r="B507" t="str">
            <v>BOSS</v>
          </cell>
          <cell r="C507" t="str">
            <v>PC</v>
          </cell>
          <cell r="D507">
            <v>14</v>
          </cell>
          <cell r="E507">
            <v>41600</v>
          </cell>
          <cell r="F507">
            <v>582400</v>
          </cell>
        </row>
        <row r="508">
          <cell r="A508" t="str">
            <v>561-46-61G60</v>
          </cell>
          <cell r="B508" t="str">
            <v>BOSS</v>
          </cell>
          <cell r="C508" t="str">
            <v>PC</v>
          </cell>
          <cell r="D508">
            <v>0</v>
          </cell>
          <cell r="E508">
            <v>100000</v>
          </cell>
          <cell r="F508">
            <v>0</v>
          </cell>
        </row>
        <row r="509">
          <cell r="A509" t="str">
            <v>561-46-61J40</v>
          </cell>
          <cell r="B509" t="str">
            <v>BOSS</v>
          </cell>
          <cell r="C509" t="str">
            <v>PC</v>
          </cell>
          <cell r="D509">
            <v>8</v>
          </cell>
          <cell r="E509">
            <v>70700</v>
          </cell>
          <cell r="F509">
            <v>565600</v>
          </cell>
        </row>
        <row r="510">
          <cell r="A510" t="str">
            <v>561-46-61K60</v>
          </cell>
          <cell r="B510" t="str">
            <v>PLATE</v>
          </cell>
          <cell r="C510" t="str">
            <v>PC</v>
          </cell>
          <cell r="D510">
            <v>0</v>
          </cell>
          <cell r="E510">
            <v>47842</v>
          </cell>
          <cell r="F510">
            <v>0</v>
          </cell>
        </row>
        <row r="511">
          <cell r="A511" t="str">
            <v>561-46-61M10</v>
          </cell>
          <cell r="B511" t="str">
            <v>REAR CROSS</v>
          </cell>
          <cell r="C511" t="str">
            <v>PC</v>
          </cell>
          <cell r="D511">
            <v>0</v>
          </cell>
          <cell r="E511">
            <v>0</v>
          </cell>
          <cell r="F511">
            <v>0</v>
          </cell>
        </row>
        <row r="512">
          <cell r="A512" t="str">
            <v>561-46-61M30</v>
          </cell>
          <cell r="B512" t="str">
            <v>REAR CROSS</v>
          </cell>
          <cell r="C512" t="str">
            <v>PC</v>
          </cell>
          <cell r="D512">
            <v>0</v>
          </cell>
          <cell r="E512">
            <v>0</v>
          </cell>
          <cell r="F512">
            <v>0</v>
          </cell>
        </row>
        <row r="513">
          <cell r="A513" t="str">
            <v>561-46-61R10</v>
          </cell>
          <cell r="B513" t="str">
            <v>PLATE</v>
          </cell>
          <cell r="C513" t="str">
            <v>PC</v>
          </cell>
          <cell r="D513">
            <v>6</v>
          </cell>
          <cell r="E513">
            <v>37048</v>
          </cell>
          <cell r="F513">
            <v>222286</v>
          </cell>
        </row>
        <row r="514">
          <cell r="A514" t="str">
            <v>561-46-61Y30</v>
          </cell>
          <cell r="B514" t="str">
            <v>SEAT</v>
          </cell>
          <cell r="C514" t="str">
            <v>PC</v>
          </cell>
          <cell r="D514">
            <v>20</v>
          </cell>
          <cell r="E514">
            <v>8000</v>
          </cell>
          <cell r="F514">
            <v>160000</v>
          </cell>
        </row>
        <row r="515">
          <cell r="A515" t="str">
            <v>561-46-64132-04</v>
          </cell>
          <cell r="B515" t="str">
            <v xml:space="preserve"> SEAT</v>
          </cell>
          <cell r="C515" t="str">
            <v>PC</v>
          </cell>
          <cell r="D515">
            <v>17</v>
          </cell>
          <cell r="E515">
            <v>14300</v>
          </cell>
          <cell r="F515">
            <v>243100</v>
          </cell>
        </row>
        <row r="516">
          <cell r="A516" t="str">
            <v>561-46-6AAE60</v>
          </cell>
          <cell r="B516" t="str">
            <v xml:space="preserve"> PLATE</v>
          </cell>
          <cell r="C516" t="str">
            <v>PC</v>
          </cell>
          <cell r="D516">
            <v>0</v>
          </cell>
          <cell r="E516">
            <v>25300</v>
          </cell>
          <cell r="F516">
            <v>0</v>
          </cell>
        </row>
        <row r="517">
          <cell r="A517" t="str">
            <v>561-74-61105</v>
          </cell>
          <cell r="B517" t="str">
            <v>BODY SUB ASS'Y</v>
          </cell>
          <cell r="C517" t="str">
            <v>PC</v>
          </cell>
          <cell r="D517">
            <v>0</v>
          </cell>
          <cell r="E517">
            <v>122037441</v>
          </cell>
          <cell r="F517">
            <v>0</v>
          </cell>
        </row>
        <row r="518">
          <cell r="A518" t="str">
            <v>561-74-61432</v>
          </cell>
          <cell r="B518" t="str">
            <v xml:space="preserve"> GUARD</v>
          </cell>
          <cell r="C518" t="str">
            <v>PC</v>
          </cell>
          <cell r="D518">
            <v>0</v>
          </cell>
          <cell r="E518">
            <v>900509</v>
          </cell>
          <cell r="F518">
            <v>0</v>
          </cell>
        </row>
        <row r="519">
          <cell r="A519" t="str">
            <v>561-835000P</v>
          </cell>
          <cell r="B519" t="str">
            <v>BODY LINER HD785-5 (50%)</v>
          </cell>
          <cell r="C519" t="str">
            <v>PC</v>
          </cell>
          <cell r="D519">
            <v>0</v>
          </cell>
          <cell r="E519">
            <v>16016785</v>
          </cell>
          <cell r="F519">
            <v>0</v>
          </cell>
        </row>
        <row r="520">
          <cell r="A520" t="str">
            <v>561-8361E70Q</v>
          </cell>
          <cell r="B520" t="str">
            <v>PLATE</v>
          </cell>
          <cell r="C520" t="str">
            <v>PC</v>
          </cell>
          <cell r="D520">
            <v>0</v>
          </cell>
          <cell r="E520">
            <v>974826</v>
          </cell>
          <cell r="F520">
            <v>0</v>
          </cell>
        </row>
        <row r="521">
          <cell r="A521" t="str">
            <v>561-8361E81AP</v>
          </cell>
          <cell r="B521" t="str">
            <v>PLATE</v>
          </cell>
          <cell r="C521" t="str">
            <v>PC</v>
          </cell>
          <cell r="D521">
            <v>0</v>
          </cell>
          <cell r="E521">
            <v>0</v>
          </cell>
          <cell r="F521">
            <v>0</v>
          </cell>
        </row>
        <row r="522">
          <cell r="A522" t="str">
            <v>561-8361E81BP</v>
          </cell>
          <cell r="B522" t="str">
            <v>PLATE</v>
          </cell>
          <cell r="C522" t="str">
            <v>PC</v>
          </cell>
          <cell r="D522">
            <v>0</v>
          </cell>
          <cell r="E522">
            <v>0</v>
          </cell>
          <cell r="F522">
            <v>0</v>
          </cell>
        </row>
        <row r="523">
          <cell r="A523" t="str">
            <v>561-8361E81CP</v>
          </cell>
          <cell r="B523" t="str">
            <v>PLATE</v>
          </cell>
          <cell r="C523" t="str">
            <v>PC</v>
          </cell>
          <cell r="D523">
            <v>0</v>
          </cell>
          <cell r="E523">
            <v>0</v>
          </cell>
          <cell r="F523">
            <v>0</v>
          </cell>
        </row>
        <row r="524">
          <cell r="A524" t="str">
            <v>561-8361E81Q</v>
          </cell>
          <cell r="B524" t="str">
            <v>PLATE</v>
          </cell>
          <cell r="C524" t="str">
            <v>PC</v>
          </cell>
          <cell r="D524">
            <v>0</v>
          </cell>
          <cell r="E524">
            <v>0</v>
          </cell>
          <cell r="F524">
            <v>0</v>
          </cell>
        </row>
        <row r="525">
          <cell r="A525" t="str">
            <v>561-8361F11AP</v>
          </cell>
          <cell r="B525" t="str">
            <v>PLATE</v>
          </cell>
          <cell r="C525" t="str">
            <v>PC</v>
          </cell>
          <cell r="D525">
            <v>0</v>
          </cell>
          <cell r="E525">
            <v>0</v>
          </cell>
          <cell r="F525">
            <v>0</v>
          </cell>
        </row>
        <row r="526">
          <cell r="A526" t="str">
            <v>561-8361F11BP</v>
          </cell>
          <cell r="B526" t="str">
            <v>PLATE</v>
          </cell>
          <cell r="C526" t="str">
            <v>PC</v>
          </cell>
          <cell r="D526">
            <v>0</v>
          </cell>
          <cell r="E526">
            <v>0</v>
          </cell>
          <cell r="F526">
            <v>0</v>
          </cell>
        </row>
        <row r="527">
          <cell r="A527" t="str">
            <v>561-8361F11CP</v>
          </cell>
          <cell r="B527" t="str">
            <v>PLATE</v>
          </cell>
          <cell r="C527" t="str">
            <v>PC</v>
          </cell>
          <cell r="D527">
            <v>0</v>
          </cell>
          <cell r="E527">
            <v>0</v>
          </cell>
          <cell r="F527">
            <v>0</v>
          </cell>
        </row>
        <row r="528">
          <cell r="A528" t="str">
            <v>561-8361F11Q</v>
          </cell>
          <cell r="B528" t="str">
            <v>PLATE</v>
          </cell>
          <cell r="C528" t="str">
            <v>PC</v>
          </cell>
          <cell r="D528">
            <v>0</v>
          </cell>
          <cell r="E528">
            <v>0</v>
          </cell>
          <cell r="F528">
            <v>0</v>
          </cell>
        </row>
        <row r="529">
          <cell r="A529" t="str">
            <v>561-8361J10AP</v>
          </cell>
          <cell r="B529" t="str">
            <v>PLATE</v>
          </cell>
          <cell r="C529" t="str">
            <v>PC</v>
          </cell>
          <cell r="D529">
            <v>0</v>
          </cell>
          <cell r="E529">
            <v>0</v>
          </cell>
          <cell r="F529">
            <v>0</v>
          </cell>
        </row>
        <row r="530">
          <cell r="A530" t="str">
            <v>561-8361J10BP</v>
          </cell>
          <cell r="B530" t="str">
            <v>PLATE</v>
          </cell>
          <cell r="C530" t="str">
            <v>PC</v>
          </cell>
          <cell r="D530">
            <v>0</v>
          </cell>
          <cell r="E530">
            <v>0</v>
          </cell>
          <cell r="F530">
            <v>0</v>
          </cell>
        </row>
        <row r="531">
          <cell r="A531" t="str">
            <v>561-8361J10Q</v>
          </cell>
          <cell r="B531" t="str">
            <v>PLATE</v>
          </cell>
          <cell r="C531" t="str">
            <v>PC</v>
          </cell>
          <cell r="D531">
            <v>0</v>
          </cell>
          <cell r="E531">
            <v>0</v>
          </cell>
          <cell r="F531">
            <v>0</v>
          </cell>
        </row>
        <row r="532">
          <cell r="A532" t="str">
            <v>561-8361J30AP</v>
          </cell>
          <cell r="B532" t="str">
            <v>PLATE</v>
          </cell>
          <cell r="C532" t="str">
            <v>PC</v>
          </cell>
          <cell r="D532">
            <v>0</v>
          </cell>
          <cell r="E532">
            <v>0</v>
          </cell>
          <cell r="F532">
            <v>0</v>
          </cell>
        </row>
        <row r="533">
          <cell r="A533" t="str">
            <v>561-8361J30BP</v>
          </cell>
          <cell r="B533" t="str">
            <v>PLATE</v>
          </cell>
          <cell r="C533" t="str">
            <v>PC</v>
          </cell>
          <cell r="D533">
            <v>0</v>
          </cell>
          <cell r="E533">
            <v>0</v>
          </cell>
          <cell r="F533">
            <v>0</v>
          </cell>
        </row>
        <row r="534">
          <cell r="A534" t="str">
            <v>561-8361J30Q</v>
          </cell>
          <cell r="B534" t="str">
            <v>PLATE</v>
          </cell>
          <cell r="C534" t="str">
            <v>PC</v>
          </cell>
          <cell r="D534">
            <v>0</v>
          </cell>
          <cell r="E534">
            <v>0</v>
          </cell>
          <cell r="F534">
            <v>0</v>
          </cell>
        </row>
        <row r="535">
          <cell r="A535" t="str">
            <v>561-8361J60P</v>
          </cell>
          <cell r="B535" t="str">
            <v>PLATE</v>
          </cell>
          <cell r="C535" t="str">
            <v>PC</v>
          </cell>
          <cell r="D535">
            <v>0</v>
          </cell>
          <cell r="E535">
            <v>0</v>
          </cell>
          <cell r="F535">
            <v>0</v>
          </cell>
        </row>
        <row r="536">
          <cell r="A536" t="str">
            <v>561-8361J80P</v>
          </cell>
          <cell r="B536" t="str">
            <v>PLATE</v>
          </cell>
          <cell r="C536" t="str">
            <v>PC</v>
          </cell>
          <cell r="D536">
            <v>0</v>
          </cell>
          <cell r="E536">
            <v>0</v>
          </cell>
          <cell r="F536">
            <v>0</v>
          </cell>
        </row>
        <row r="537">
          <cell r="A537" t="str">
            <v>561-83-64111</v>
          </cell>
          <cell r="B537" t="str">
            <v>SPILL GUARD HD785</v>
          </cell>
          <cell r="C537" t="str">
            <v>PC</v>
          </cell>
          <cell r="D537">
            <v>0</v>
          </cell>
          <cell r="E537">
            <v>867913</v>
          </cell>
          <cell r="F537">
            <v>0</v>
          </cell>
        </row>
        <row r="538">
          <cell r="A538" t="str">
            <v>561-83-64111-01-M</v>
          </cell>
          <cell r="B538" t="str">
            <v>JASA SHP</v>
          </cell>
          <cell r="C538" t="str">
            <v>PC</v>
          </cell>
          <cell r="D538">
            <v>6</v>
          </cell>
          <cell r="E538">
            <v>6000</v>
          </cell>
          <cell r="F538">
            <v>36000</v>
          </cell>
        </row>
        <row r="539">
          <cell r="A539" t="str">
            <v>561-83-64111-02-M</v>
          </cell>
          <cell r="B539" t="str">
            <v>JASA SHP</v>
          </cell>
          <cell r="C539" t="str">
            <v>PC</v>
          </cell>
          <cell r="D539">
            <v>3</v>
          </cell>
          <cell r="E539">
            <v>8000</v>
          </cell>
          <cell r="F539">
            <v>24000</v>
          </cell>
        </row>
        <row r="540">
          <cell r="A540" t="str">
            <v>561-83X100P</v>
          </cell>
          <cell r="B540" t="str">
            <v>PLATE</v>
          </cell>
          <cell r="C540" t="str">
            <v>PC</v>
          </cell>
          <cell r="D540">
            <v>0</v>
          </cell>
          <cell r="E540">
            <v>0</v>
          </cell>
          <cell r="F540">
            <v>0</v>
          </cell>
        </row>
        <row r="541">
          <cell r="A541" t="str">
            <v>561-83X200P</v>
          </cell>
          <cell r="B541" t="str">
            <v>PLATE</v>
          </cell>
          <cell r="C541" t="str">
            <v>PC</v>
          </cell>
          <cell r="D541">
            <v>0</v>
          </cell>
          <cell r="E541">
            <v>0</v>
          </cell>
          <cell r="F541">
            <v>0</v>
          </cell>
        </row>
        <row r="542">
          <cell r="A542" t="str">
            <v>561-83X300P</v>
          </cell>
          <cell r="B542" t="str">
            <v>PLATE</v>
          </cell>
          <cell r="C542" t="str">
            <v>PC</v>
          </cell>
          <cell r="D542">
            <v>0</v>
          </cell>
          <cell r="E542">
            <v>0</v>
          </cell>
          <cell r="F542">
            <v>0</v>
          </cell>
        </row>
        <row r="543">
          <cell r="A543" t="str">
            <v>561-83X400P</v>
          </cell>
          <cell r="B543" t="str">
            <v>PLATE</v>
          </cell>
          <cell r="C543" t="str">
            <v>PC</v>
          </cell>
          <cell r="D543">
            <v>0</v>
          </cell>
          <cell r="E543">
            <v>0</v>
          </cell>
          <cell r="F543">
            <v>0</v>
          </cell>
        </row>
        <row r="544">
          <cell r="A544" t="str">
            <v>561-89-62A81</v>
          </cell>
          <cell r="B544" t="str">
            <v xml:space="preserve"> PLATE</v>
          </cell>
          <cell r="C544" t="str">
            <v>PC</v>
          </cell>
          <cell r="D544">
            <v>9</v>
          </cell>
          <cell r="E544">
            <v>5773</v>
          </cell>
          <cell r="F544">
            <v>9</v>
          </cell>
        </row>
        <row r="545">
          <cell r="A545" t="str">
            <v>561-EX1000P</v>
          </cell>
          <cell r="B545" t="str">
            <v>EXT WALL HD785-5</v>
          </cell>
          <cell r="C545" t="str">
            <v>PC</v>
          </cell>
          <cell r="D545">
            <v>0</v>
          </cell>
          <cell r="E545">
            <v>0</v>
          </cell>
          <cell r="F545">
            <v>0</v>
          </cell>
        </row>
        <row r="546">
          <cell r="A546" t="str">
            <v>566-46-11890</v>
          </cell>
          <cell r="B546" t="str">
            <v>HOOK</v>
          </cell>
          <cell r="C546" t="str">
            <v>PC</v>
          </cell>
          <cell r="D546">
            <v>0</v>
          </cell>
          <cell r="E546">
            <v>50000</v>
          </cell>
          <cell r="F546">
            <v>0</v>
          </cell>
        </row>
        <row r="547">
          <cell r="A547" t="str">
            <v>566-74-41460</v>
          </cell>
          <cell r="B547" t="str">
            <v xml:space="preserve"> GUARD (L)</v>
          </cell>
          <cell r="C547" t="str">
            <v>PC</v>
          </cell>
          <cell r="D547">
            <v>0</v>
          </cell>
          <cell r="E547">
            <v>55491</v>
          </cell>
          <cell r="F547">
            <v>0</v>
          </cell>
        </row>
        <row r="548">
          <cell r="A548" t="str">
            <v>566-74-41470</v>
          </cell>
          <cell r="B548" t="str">
            <v xml:space="preserve"> GUARD (L)</v>
          </cell>
          <cell r="C548" t="str">
            <v>PC</v>
          </cell>
          <cell r="D548">
            <v>0</v>
          </cell>
          <cell r="E548">
            <v>55491</v>
          </cell>
          <cell r="F548">
            <v>0</v>
          </cell>
        </row>
        <row r="549">
          <cell r="A549" t="str">
            <v>569-40-61220</v>
          </cell>
          <cell r="B549" t="str">
            <v>SEAT</v>
          </cell>
          <cell r="C549" t="str">
            <v>PC</v>
          </cell>
          <cell r="D549">
            <v>14</v>
          </cell>
          <cell r="E549">
            <v>6600</v>
          </cell>
          <cell r="F549">
            <v>92400</v>
          </cell>
        </row>
        <row r="550">
          <cell r="A550" t="str">
            <v>569-74-61101-2</v>
          </cell>
          <cell r="B550" t="str">
            <v>BODY SUB. ASSY</v>
          </cell>
          <cell r="C550" t="str">
            <v>PC</v>
          </cell>
          <cell r="D550">
            <v>0</v>
          </cell>
          <cell r="E550">
            <v>0</v>
          </cell>
          <cell r="F550">
            <v>0</v>
          </cell>
        </row>
        <row r="551">
          <cell r="A551" t="str">
            <v>569-74-61910</v>
          </cell>
          <cell r="B551" t="str">
            <v xml:space="preserve"> GUARD</v>
          </cell>
          <cell r="C551" t="str">
            <v>PC</v>
          </cell>
          <cell r="D551">
            <v>0</v>
          </cell>
          <cell r="E551">
            <v>197488</v>
          </cell>
          <cell r="F551">
            <v>0</v>
          </cell>
        </row>
        <row r="552">
          <cell r="A552" t="str">
            <v>569-74-61930</v>
          </cell>
          <cell r="B552" t="str">
            <v>OPERATOR GUARD RH</v>
          </cell>
          <cell r="C552" t="str">
            <v>PC</v>
          </cell>
          <cell r="D552">
            <v>0</v>
          </cell>
          <cell r="E552">
            <v>0</v>
          </cell>
          <cell r="F552">
            <v>0</v>
          </cell>
        </row>
        <row r="553">
          <cell r="A553" t="str">
            <v>569-81-61810</v>
          </cell>
          <cell r="B553" t="str">
            <v>SPIEL GUARD CENTER</v>
          </cell>
          <cell r="C553" t="str">
            <v>PC</v>
          </cell>
          <cell r="D553">
            <v>0</v>
          </cell>
          <cell r="E553">
            <v>0</v>
          </cell>
          <cell r="F553">
            <v>0</v>
          </cell>
        </row>
        <row r="554">
          <cell r="A554" t="str">
            <v>569-81-61820</v>
          </cell>
          <cell r="B554" t="str">
            <v>SPIEL GUARD L/H</v>
          </cell>
          <cell r="C554" t="str">
            <v>PC</v>
          </cell>
          <cell r="D554">
            <v>0</v>
          </cell>
          <cell r="E554">
            <v>0</v>
          </cell>
          <cell r="F554">
            <v>0</v>
          </cell>
        </row>
        <row r="555">
          <cell r="A555" t="str">
            <v>569-81-61830</v>
          </cell>
          <cell r="B555" t="str">
            <v>SPIEL GUARD R/H</v>
          </cell>
          <cell r="C555" t="str">
            <v>PC</v>
          </cell>
          <cell r="D555">
            <v>0</v>
          </cell>
          <cell r="E555">
            <v>0</v>
          </cell>
          <cell r="F555">
            <v>0</v>
          </cell>
        </row>
        <row r="556">
          <cell r="A556" t="str">
            <v>569-83-61B1P</v>
          </cell>
          <cell r="B556" t="str">
            <v>PLATE</v>
          </cell>
          <cell r="C556" t="str">
            <v>PC</v>
          </cell>
          <cell r="D556">
            <v>0</v>
          </cell>
          <cell r="E556">
            <v>0</v>
          </cell>
          <cell r="F556">
            <v>0</v>
          </cell>
        </row>
        <row r="557">
          <cell r="A557" t="str">
            <v>569-83-61B2P</v>
          </cell>
          <cell r="B557" t="str">
            <v>PLATE</v>
          </cell>
          <cell r="C557" t="str">
            <v>PC</v>
          </cell>
          <cell r="D557">
            <v>0</v>
          </cell>
          <cell r="E557">
            <v>949050</v>
          </cell>
          <cell r="F557">
            <v>0</v>
          </cell>
        </row>
        <row r="558">
          <cell r="A558" t="str">
            <v>569-83-61B5P</v>
          </cell>
          <cell r="B558" t="str">
            <v>PLATE</v>
          </cell>
          <cell r="C558" t="str">
            <v>PC</v>
          </cell>
          <cell r="D558">
            <v>0</v>
          </cell>
          <cell r="E558">
            <v>0</v>
          </cell>
          <cell r="F558">
            <v>0</v>
          </cell>
        </row>
        <row r="559">
          <cell r="A559" t="str">
            <v>569-83-61B7AP</v>
          </cell>
          <cell r="B559" t="str">
            <v>PLATE</v>
          </cell>
          <cell r="C559" t="str">
            <v>PC</v>
          </cell>
          <cell r="D559">
            <v>0</v>
          </cell>
          <cell r="E559">
            <v>0</v>
          </cell>
          <cell r="F559">
            <v>0</v>
          </cell>
        </row>
        <row r="560">
          <cell r="A560" t="str">
            <v>569-83-61B7BP</v>
          </cell>
          <cell r="B560" t="str">
            <v>PLATE</v>
          </cell>
          <cell r="C560" t="str">
            <v>PC</v>
          </cell>
          <cell r="D560">
            <v>0</v>
          </cell>
          <cell r="E560">
            <v>0</v>
          </cell>
          <cell r="F560">
            <v>0</v>
          </cell>
        </row>
        <row r="561">
          <cell r="A561" t="str">
            <v>569-83-61B7CP</v>
          </cell>
          <cell r="B561" t="str">
            <v>PLATE</v>
          </cell>
          <cell r="C561" t="str">
            <v>PC</v>
          </cell>
          <cell r="D561">
            <v>0</v>
          </cell>
          <cell r="E561">
            <v>0</v>
          </cell>
          <cell r="F561">
            <v>0</v>
          </cell>
        </row>
        <row r="562">
          <cell r="A562" t="str">
            <v>569-83-61B7P</v>
          </cell>
          <cell r="B562" t="str">
            <v>PLATE</v>
          </cell>
          <cell r="C562" t="str">
            <v>PC</v>
          </cell>
          <cell r="D562">
            <v>0</v>
          </cell>
          <cell r="E562">
            <v>0</v>
          </cell>
          <cell r="F562">
            <v>0</v>
          </cell>
        </row>
        <row r="563">
          <cell r="A563" t="str">
            <v>569-83-61B8AP</v>
          </cell>
          <cell r="B563" t="str">
            <v>PLATE</v>
          </cell>
          <cell r="C563" t="str">
            <v>PC</v>
          </cell>
          <cell r="D563">
            <v>0</v>
          </cell>
          <cell r="E563">
            <v>0</v>
          </cell>
          <cell r="F563">
            <v>0</v>
          </cell>
        </row>
        <row r="564">
          <cell r="A564" t="str">
            <v>569-83-61B8P</v>
          </cell>
          <cell r="B564" t="str">
            <v>PLATE</v>
          </cell>
          <cell r="C564" t="str">
            <v>PC</v>
          </cell>
          <cell r="D564">
            <v>0</v>
          </cell>
          <cell r="E564">
            <v>0</v>
          </cell>
          <cell r="F564">
            <v>0</v>
          </cell>
        </row>
        <row r="565">
          <cell r="A565" t="str">
            <v>569-83-61C1AP</v>
          </cell>
          <cell r="B565" t="str">
            <v>PLATE</v>
          </cell>
          <cell r="C565" t="str">
            <v>PC</v>
          </cell>
          <cell r="D565">
            <v>0</v>
          </cell>
          <cell r="E565">
            <v>0</v>
          </cell>
          <cell r="F565">
            <v>0</v>
          </cell>
        </row>
        <row r="566">
          <cell r="A566" t="str">
            <v>569-83-61C1BP</v>
          </cell>
          <cell r="B566" t="str">
            <v>PLATE</v>
          </cell>
          <cell r="C566" t="str">
            <v>PC</v>
          </cell>
          <cell r="D566">
            <v>0</v>
          </cell>
          <cell r="E566">
            <v>0</v>
          </cell>
          <cell r="F566">
            <v>0</v>
          </cell>
        </row>
        <row r="567">
          <cell r="A567" t="str">
            <v>569-83-61C1CP</v>
          </cell>
          <cell r="B567" t="str">
            <v>PLATE</v>
          </cell>
          <cell r="C567" t="str">
            <v>PC</v>
          </cell>
          <cell r="D567">
            <v>0</v>
          </cell>
          <cell r="E567">
            <v>0</v>
          </cell>
          <cell r="F567">
            <v>0</v>
          </cell>
        </row>
        <row r="568">
          <cell r="A568" t="str">
            <v>569-83-61C1P</v>
          </cell>
          <cell r="B568" t="str">
            <v>PLATE</v>
          </cell>
          <cell r="C568" t="str">
            <v>PC</v>
          </cell>
          <cell r="D568">
            <v>0</v>
          </cell>
          <cell r="E568">
            <v>0</v>
          </cell>
          <cell r="F568">
            <v>0</v>
          </cell>
        </row>
        <row r="569">
          <cell r="A569" t="str">
            <v>569-83-61C2AP</v>
          </cell>
          <cell r="B569" t="str">
            <v>PLATE</v>
          </cell>
          <cell r="C569" t="str">
            <v>PC</v>
          </cell>
          <cell r="D569">
            <v>0</v>
          </cell>
          <cell r="E569">
            <v>0</v>
          </cell>
          <cell r="F569">
            <v>0</v>
          </cell>
        </row>
        <row r="570">
          <cell r="A570" t="str">
            <v>569-83-61C2P</v>
          </cell>
          <cell r="B570" t="str">
            <v>PLATE</v>
          </cell>
          <cell r="C570" t="str">
            <v>PC</v>
          </cell>
          <cell r="D570">
            <v>0</v>
          </cell>
          <cell r="E570">
            <v>0</v>
          </cell>
          <cell r="F570">
            <v>0</v>
          </cell>
        </row>
        <row r="571">
          <cell r="A571" t="str">
            <v>569-8363101</v>
          </cell>
          <cell r="B571" t="str">
            <v>BODY LINER HD/465</v>
          </cell>
          <cell r="C571" t="str">
            <v>PC</v>
          </cell>
          <cell r="D571">
            <v>0</v>
          </cell>
          <cell r="E571">
            <v>27534870</v>
          </cell>
          <cell r="F571">
            <v>0</v>
          </cell>
        </row>
        <row r="572">
          <cell r="A572" t="str">
            <v>569-836310P</v>
          </cell>
          <cell r="B572" t="str">
            <v>BODY LINER HD465 (50%)</v>
          </cell>
          <cell r="C572" t="str">
            <v>PC</v>
          </cell>
          <cell r="D572">
            <v>0</v>
          </cell>
          <cell r="E572">
            <v>0</v>
          </cell>
          <cell r="F572">
            <v>0</v>
          </cell>
        </row>
        <row r="573">
          <cell r="A573" t="str">
            <v>582-52-12150</v>
          </cell>
          <cell r="B573" t="str">
            <v>JOINT</v>
          </cell>
          <cell r="C573" t="str">
            <v>PC</v>
          </cell>
          <cell r="D573">
            <v>17</v>
          </cell>
          <cell r="E573">
            <v>13700</v>
          </cell>
          <cell r="F573">
            <v>232900</v>
          </cell>
        </row>
        <row r="574">
          <cell r="A574" t="str">
            <v>5857A-V59</v>
          </cell>
          <cell r="B574" t="str">
            <v xml:space="preserve"> SUPER V ADAPTER</v>
          </cell>
          <cell r="C574" t="str">
            <v>PC</v>
          </cell>
          <cell r="D574">
            <v>0</v>
          </cell>
          <cell r="E574">
            <v>2863440</v>
          </cell>
          <cell r="F574">
            <v>0</v>
          </cell>
        </row>
        <row r="575">
          <cell r="A575" t="str">
            <v>610-218-341</v>
          </cell>
          <cell r="B575" t="str">
            <v>HOSE STOP 1/2"</v>
          </cell>
          <cell r="C575" t="str">
            <v>PC</v>
          </cell>
          <cell r="D575">
            <v>0</v>
          </cell>
          <cell r="E575">
            <v>131139</v>
          </cell>
          <cell r="F575">
            <v>0</v>
          </cell>
        </row>
        <row r="576">
          <cell r="A576" t="str">
            <v>610-224-050</v>
          </cell>
          <cell r="B576" t="str">
            <v>BARE HOSE REEL  500 SERIES</v>
          </cell>
          <cell r="C576" t="str">
            <v>PC</v>
          </cell>
          <cell r="D576">
            <v>0</v>
          </cell>
          <cell r="E576">
            <v>5654970</v>
          </cell>
          <cell r="F576">
            <v>0</v>
          </cell>
        </row>
        <row r="577">
          <cell r="A577" t="str">
            <v>610-224-056</v>
          </cell>
          <cell r="B577" t="str">
            <v>HOSE REEL GREASE</v>
          </cell>
          <cell r="C577" t="str">
            <v>PC</v>
          </cell>
          <cell r="D577">
            <v>0</v>
          </cell>
          <cell r="E577">
            <v>9026919</v>
          </cell>
          <cell r="F577">
            <v>0</v>
          </cell>
        </row>
        <row r="578">
          <cell r="A578" t="str">
            <v>610-237-728</v>
          </cell>
          <cell r="B578" t="str">
            <v>BARE HOSE REEL 700 SERIES</v>
          </cell>
          <cell r="C578" t="str">
            <v>PC</v>
          </cell>
          <cell r="D578">
            <v>0</v>
          </cell>
          <cell r="E578">
            <v>7221551</v>
          </cell>
          <cell r="F578">
            <v>0</v>
          </cell>
        </row>
        <row r="579">
          <cell r="A579" t="str">
            <v>610-237-873</v>
          </cell>
          <cell r="B579" t="str">
            <v xml:space="preserve"> HOSE STOP 3/4"</v>
          </cell>
          <cell r="C579" t="str">
            <v>PC</v>
          </cell>
          <cell r="D579">
            <v>0</v>
          </cell>
          <cell r="E579">
            <v>264253</v>
          </cell>
          <cell r="F579">
            <v>0</v>
          </cell>
        </row>
        <row r="580">
          <cell r="A580" t="str">
            <v>610-237-881-0</v>
          </cell>
          <cell r="B580" t="str">
            <v xml:space="preserve"> HOSE REEL OIL</v>
          </cell>
          <cell r="C580" t="str">
            <v>PC</v>
          </cell>
          <cell r="D580">
            <v>0</v>
          </cell>
          <cell r="E580">
            <v>43935784</v>
          </cell>
          <cell r="F580">
            <v>0</v>
          </cell>
        </row>
        <row r="581">
          <cell r="A581" t="str">
            <v>610-237-881-1</v>
          </cell>
          <cell r="B581" t="str">
            <v xml:space="preserve"> HOSE REEL FUEL</v>
          </cell>
          <cell r="C581" t="str">
            <v>PC</v>
          </cell>
          <cell r="D581">
            <v>0</v>
          </cell>
          <cell r="E581">
            <v>10373368</v>
          </cell>
          <cell r="F581">
            <v>0</v>
          </cell>
        </row>
        <row r="582">
          <cell r="A582" t="str">
            <v>610-239-888</v>
          </cell>
          <cell r="B582" t="str">
            <v>AIR DRIVEN GRS PUMP</v>
          </cell>
          <cell r="C582" t="str">
            <v>PC</v>
          </cell>
          <cell r="D582">
            <v>0</v>
          </cell>
          <cell r="E582">
            <v>9956590</v>
          </cell>
          <cell r="F582">
            <v>0</v>
          </cell>
        </row>
        <row r="583">
          <cell r="A583" t="str">
            <v>610-241-910</v>
          </cell>
          <cell r="B583" t="str">
            <v>HOSE REEL WASTE OIL</v>
          </cell>
          <cell r="C583" t="str">
            <v>PC</v>
          </cell>
          <cell r="D583">
            <v>0</v>
          </cell>
          <cell r="E583">
            <v>10822923</v>
          </cell>
          <cell r="F583">
            <v>0</v>
          </cell>
        </row>
        <row r="584">
          <cell r="A584" t="str">
            <v>610-D51-277</v>
          </cell>
          <cell r="B584" t="str">
            <v>DIAPHRAGM PUMP WATER</v>
          </cell>
          <cell r="C584" t="str">
            <v>PC</v>
          </cell>
          <cell r="D584">
            <v>0</v>
          </cell>
          <cell r="E584">
            <v>5051005</v>
          </cell>
          <cell r="F584">
            <v>0</v>
          </cell>
        </row>
        <row r="585">
          <cell r="A585" t="str">
            <v>610-D73-525</v>
          </cell>
          <cell r="B585" t="str">
            <v>DIAPHRAGM WASTE OIL</v>
          </cell>
          <cell r="C585" t="str">
            <v>PC</v>
          </cell>
          <cell r="D585">
            <v>0</v>
          </cell>
          <cell r="E585">
            <v>6446204</v>
          </cell>
          <cell r="F585">
            <v>0</v>
          </cell>
        </row>
        <row r="586">
          <cell r="A586" t="str">
            <v>614614-50A</v>
          </cell>
          <cell r="B586" t="str">
            <v>HOSE RAIL 1/2"-15M-ARO (C/W GUN)</v>
          </cell>
          <cell r="C586" t="str">
            <v>PC</v>
          </cell>
          <cell r="D586">
            <v>0</v>
          </cell>
          <cell r="E586">
            <v>3877632</v>
          </cell>
          <cell r="F586">
            <v>0</v>
          </cell>
        </row>
        <row r="587">
          <cell r="A587" t="str">
            <v>66/01/03359</v>
          </cell>
          <cell r="B587" t="str">
            <v>.OIL COOLER</v>
          </cell>
          <cell r="C587" t="str">
            <v>PC</v>
          </cell>
          <cell r="D587">
            <v>0</v>
          </cell>
          <cell r="E587">
            <v>707743</v>
          </cell>
          <cell r="F587">
            <v>0</v>
          </cell>
        </row>
        <row r="588">
          <cell r="A588" t="str">
            <v>7/16JIC-M8-1</v>
          </cell>
          <cell r="B588" t="str">
            <v xml:space="preserve"> NIPPLE 7.16JIXCM8X1</v>
          </cell>
          <cell r="C588" t="str">
            <v>PC</v>
          </cell>
          <cell r="D588">
            <v>32</v>
          </cell>
          <cell r="E588">
            <v>10037</v>
          </cell>
          <cell r="F588">
            <v>321181</v>
          </cell>
        </row>
        <row r="589">
          <cell r="A589" t="str">
            <v>702-16-01230</v>
          </cell>
          <cell r="B589" t="str">
            <v>VALVE ASSY</v>
          </cell>
          <cell r="C589" t="str">
            <v>PC</v>
          </cell>
          <cell r="D589">
            <v>1</v>
          </cell>
          <cell r="E589">
            <v>1488330</v>
          </cell>
          <cell r="F589">
            <v>1488330</v>
          </cell>
        </row>
        <row r="590">
          <cell r="A590" t="str">
            <v>709-70-74800</v>
          </cell>
          <cell r="B590" t="str">
            <v>VALVE ASSY</v>
          </cell>
          <cell r="C590" t="str">
            <v>PC</v>
          </cell>
          <cell r="D590">
            <v>20</v>
          </cell>
          <cell r="E590">
            <v>1162800</v>
          </cell>
          <cell r="F590">
            <v>23256000</v>
          </cell>
        </row>
        <row r="591">
          <cell r="A591" t="str">
            <v>730203/01</v>
          </cell>
          <cell r="B591" t="str">
            <v>AIR TANK 25LTR</v>
          </cell>
          <cell r="C591" t="str">
            <v>PC</v>
          </cell>
          <cell r="D591">
            <v>15</v>
          </cell>
          <cell r="E591">
            <v>165078</v>
          </cell>
          <cell r="F591">
            <v>2476170</v>
          </cell>
        </row>
        <row r="592">
          <cell r="A592" t="str">
            <v>742-050-121243</v>
          </cell>
          <cell r="B592" t="str">
            <v xml:space="preserve"> ORNAMESH 5X4X8</v>
          </cell>
          <cell r="C592" t="str">
            <v>PC</v>
          </cell>
          <cell r="D592">
            <v>0</v>
          </cell>
          <cell r="E592">
            <v>374000</v>
          </cell>
          <cell r="F592">
            <v>0</v>
          </cell>
        </row>
        <row r="593">
          <cell r="A593" t="str">
            <v>781100/01</v>
          </cell>
          <cell r="B593" t="str">
            <v>YORK KINGPIN 2"</v>
          </cell>
          <cell r="C593" t="str">
            <v>PC</v>
          </cell>
          <cell r="D593">
            <v>0</v>
          </cell>
          <cell r="E593">
            <v>121765</v>
          </cell>
          <cell r="F593">
            <v>0</v>
          </cell>
        </row>
        <row r="594">
          <cell r="A594" t="str">
            <v>790451/02/30</v>
          </cell>
          <cell r="B594" t="str">
            <v>TURN TABLE 30 TONNE</v>
          </cell>
          <cell r="C594" t="str">
            <v>PC</v>
          </cell>
          <cell r="D594">
            <v>0</v>
          </cell>
          <cell r="E594">
            <v>0</v>
          </cell>
          <cell r="F594">
            <v>0</v>
          </cell>
        </row>
        <row r="595">
          <cell r="A595" t="str">
            <v>8002-2100-X01</v>
          </cell>
          <cell r="B595" t="str">
            <v>SINGLE AXLE YORK</v>
          </cell>
          <cell r="C595" t="str">
            <v>PC</v>
          </cell>
          <cell r="D595">
            <v>2</v>
          </cell>
          <cell r="E595">
            <v>1</v>
          </cell>
          <cell r="F595">
            <v>2</v>
          </cell>
        </row>
        <row r="596">
          <cell r="A596" t="str">
            <v>8003-2365</v>
          </cell>
          <cell r="B596" t="str">
            <v>AXLE BOGIE 8003 YORK</v>
          </cell>
          <cell r="C596" t="str">
            <v>PC</v>
          </cell>
          <cell r="D596">
            <v>11</v>
          </cell>
          <cell r="E596">
            <v>2207088</v>
          </cell>
          <cell r="F596">
            <v>24277968</v>
          </cell>
        </row>
        <row r="597">
          <cell r="A597" t="str">
            <v>80-SQPB</v>
          </cell>
          <cell r="B597" t="str">
            <v>CENTR.PUMP EBARA 80SQPB</v>
          </cell>
          <cell r="C597" t="str">
            <v>PC</v>
          </cell>
          <cell r="D597">
            <v>0</v>
          </cell>
          <cell r="E597">
            <v>1250000</v>
          </cell>
          <cell r="F597">
            <v>0</v>
          </cell>
        </row>
        <row r="598">
          <cell r="A598" t="str">
            <v>80-SQPB-SC</v>
          </cell>
          <cell r="B598" t="str">
            <v xml:space="preserve"> SUCTION COVER EBARA</v>
          </cell>
          <cell r="C598" t="str">
            <v>PC</v>
          </cell>
          <cell r="D598">
            <v>0</v>
          </cell>
          <cell r="E598">
            <v>170000</v>
          </cell>
          <cell r="F598">
            <v>0</v>
          </cell>
        </row>
        <row r="599">
          <cell r="A599" t="str">
            <v>85420A</v>
          </cell>
          <cell r="B599" t="str">
            <v xml:space="preserve"> ROTATING 24V - NARVA</v>
          </cell>
          <cell r="C599" t="str">
            <v>PC</v>
          </cell>
          <cell r="D599">
            <v>0</v>
          </cell>
          <cell r="E599">
            <v>548102</v>
          </cell>
          <cell r="F599">
            <v>0</v>
          </cell>
        </row>
        <row r="600">
          <cell r="A600" t="str">
            <v>85457A</v>
          </cell>
          <cell r="B600" t="str">
            <v xml:space="preserve"> ROTARY LAMP NARVA TYPE 85457A</v>
          </cell>
          <cell r="C600" t="str">
            <v>PC</v>
          </cell>
          <cell r="D600">
            <v>0</v>
          </cell>
          <cell r="E600">
            <v>2483267</v>
          </cell>
          <cell r="F600">
            <v>0</v>
          </cell>
        </row>
        <row r="601">
          <cell r="A601" t="str">
            <v>900011/G/30-24</v>
          </cell>
          <cell r="B601" t="str">
            <v>TREE AXLE BRAKE SYST   W/ BRAKE CHAMBER</v>
          </cell>
          <cell r="C601" t="str">
            <v>PC</v>
          </cell>
          <cell r="D601">
            <v>0</v>
          </cell>
          <cell r="E601">
            <v>1</v>
          </cell>
          <cell r="F601">
            <v>0</v>
          </cell>
        </row>
        <row r="602">
          <cell r="A602" t="str">
            <v>900096/G</v>
          </cell>
          <cell r="B602" t="str">
            <v>Brake System Kit</v>
          </cell>
          <cell r="C602" t="str">
            <v>PC</v>
          </cell>
          <cell r="D602">
            <v>0</v>
          </cell>
          <cell r="E602">
            <v>1</v>
          </cell>
          <cell r="F602">
            <v>0</v>
          </cell>
        </row>
        <row r="603">
          <cell r="A603" t="str">
            <v>900119E/G</v>
          </cell>
          <cell r="B603" t="str">
            <v xml:space="preserve"> 3AXLE BRAKE.S-WO MAX</v>
          </cell>
          <cell r="C603" t="str">
            <v>PC</v>
          </cell>
          <cell r="D603">
            <v>0</v>
          </cell>
          <cell r="E603">
            <v>3317511</v>
          </cell>
          <cell r="F603">
            <v>0</v>
          </cell>
        </row>
        <row r="604">
          <cell r="A604" t="str">
            <v>900119E/G/30</v>
          </cell>
          <cell r="B604" t="str">
            <v>TRI AXLE BRAKE SYSTEM</v>
          </cell>
          <cell r="C604" t="str">
            <v>PC</v>
          </cell>
          <cell r="D604">
            <v>8</v>
          </cell>
          <cell r="E604">
            <v>7205159</v>
          </cell>
          <cell r="F604">
            <v>57641270</v>
          </cell>
        </row>
        <row r="605">
          <cell r="A605" t="str">
            <v>900212-00X30</v>
          </cell>
          <cell r="B605" t="str">
            <v xml:space="preserve"> TANDEM AXLE KIT</v>
          </cell>
          <cell r="C605" t="str">
            <v>PC</v>
          </cell>
          <cell r="D605">
            <v>5</v>
          </cell>
          <cell r="E605">
            <v>4301678</v>
          </cell>
          <cell r="F605">
            <v>21508390</v>
          </cell>
        </row>
        <row r="606">
          <cell r="A606" t="str">
            <v>900215-00</v>
          </cell>
          <cell r="B606" t="str">
            <v xml:space="preserve"> 2AXLE BRAKE.S-WO MAX</v>
          </cell>
          <cell r="C606" t="str">
            <v>PC</v>
          </cell>
          <cell r="D606">
            <v>0</v>
          </cell>
          <cell r="E606">
            <v>2453251</v>
          </cell>
          <cell r="F606">
            <v>0</v>
          </cell>
        </row>
        <row r="607">
          <cell r="A607" t="str">
            <v>900215-00X00</v>
          </cell>
          <cell r="B607" t="str">
            <v>TANDEM BRAKE KIT FOR TRAILER</v>
          </cell>
          <cell r="C607" t="str">
            <v>PC</v>
          </cell>
          <cell r="D607">
            <v>0</v>
          </cell>
          <cell r="E607">
            <v>0</v>
          </cell>
          <cell r="F607">
            <v>0</v>
          </cell>
        </row>
        <row r="608">
          <cell r="A608" t="str">
            <v>91-017/018</v>
          </cell>
          <cell r="B608" t="str">
            <v>ALKYD THINNER</v>
          </cell>
          <cell r="C608" t="str">
            <v>PC</v>
          </cell>
          <cell r="D608">
            <v>0</v>
          </cell>
          <cell r="E608">
            <v>1</v>
          </cell>
          <cell r="F608">
            <v>0</v>
          </cell>
        </row>
        <row r="609">
          <cell r="A609" t="str">
            <v>937X385</v>
          </cell>
          <cell r="B609" t="str">
            <v>ADAPTER</v>
          </cell>
          <cell r="C609" t="str">
            <v>PC</v>
          </cell>
          <cell r="D609">
            <v>10</v>
          </cell>
          <cell r="E609">
            <v>1115165</v>
          </cell>
          <cell r="F609">
            <v>11151650</v>
          </cell>
        </row>
        <row r="610">
          <cell r="A610" t="str">
            <v>9FT-B20000P</v>
          </cell>
          <cell r="B610" t="str">
            <v xml:space="preserve"> MAN HOLE ASSY</v>
          </cell>
          <cell r="C610" t="str">
            <v>PC</v>
          </cell>
          <cell r="D610">
            <v>0</v>
          </cell>
          <cell r="E610">
            <v>704150</v>
          </cell>
          <cell r="F610">
            <v>0</v>
          </cell>
        </row>
        <row r="611">
          <cell r="A611" t="str">
            <v>A16BMT16BMT</v>
          </cell>
          <cell r="B611" t="str">
            <v>NIPPLE 1" BSPT</v>
          </cell>
          <cell r="C611" t="str">
            <v>PC</v>
          </cell>
          <cell r="D611">
            <v>3</v>
          </cell>
          <cell r="E611">
            <v>39228</v>
          </cell>
          <cell r="F611">
            <v>117684</v>
          </cell>
        </row>
        <row r="612">
          <cell r="A612" t="str">
            <v>A20NM20NM</v>
          </cell>
          <cell r="B612" t="str">
            <v xml:space="preserve"> D.N 1 1/4"X1 1/4"NPT </v>
          </cell>
          <cell r="C612" t="str">
            <v>PC</v>
          </cell>
          <cell r="D612">
            <v>0</v>
          </cell>
          <cell r="E612">
            <v>55610</v>
          </cell>
          <cell r="F612">
            <v>0</v>
          </cell>
        </row>
        <row r="613">
          <cell r="A613" t="str">
            <v>A24NPTM24NPTM</v>
          </cell>
          <cell r="B613" t="str">
            <v>Niplle 1-1/2 NPTX1-1/2NPT</v>
          </cell>
          <cell r="C613" t="str">
            <v>PC</v>
          </cell>
          <cell r="D613">
            <v>2</v>
          </cell>
          <cell r="E613">
            <v>113234</v>
          </cell>
          <cell r="F613">
            <v>226467</v>
          </cell>
        </row>
        <row r="614">
          <cell r="A614" t="str">
            <v>A400-T21-19</v>
          </cell>
          <cell r="B614" t="str">
            <v>LANDING GEAR JOST</v>
          </cell>
          <cell r="C614" t="str">
            <v>PC</v>
          </cell>
          <cell r="D614">
            <v>8</v>
          </cell>
          <cell r="E614">
            <v>2333503</v>
          </cell>
          <cell r="F614">
            <v>18668022</v>
          </cell>
        </row>
        <row r="615">
          <cell r="A615" t="str">
            <v>A45-B133000</v>
          </cell>
          <cell r="B615" t="str">
            <v>BODY SKIN</v>
          </cell>
          <cell r="C615" t="str">
            <v>PC</v>
          </cell>
          <cell r="D615">
            <v>0</v>
          </cell>
          <cell r="E615">
            <v>0</v>
          </cell>
          <cell r="F615">
            <v>0</v>
          </cell>
        </row>
        <row r="616">
          <cell r="A616" t="str">
            <v>A45-F200000</v>
          </cell>
          <cell r="B616" t="str">
            <v>EXT 5TH WHEEL</v>
          </cell>
          <cell r="C616" t="str">
            <v>PC</v>
          </cell>
          <cell r="D616">
            <v>0</v>
          </cell>
          <cell r="E616">
            <v>0</v>
          </cell>
          <cell r="F616">
            <v>0</v>
          </cell>
        </row>
        <row r="617">
          <cell r="A617" t="str">
            <v>A4V71HW2</v>
          </cell>
          <cell r="B617" t="str">
            <v>HYD PUMP</v>
          </cell>
          <cell r="C617" t="str">
            <v>PC</v>
          </cell>
          <cell r="D617">
            <v>73</v>
          </cell>
          <cell r="E617">
            <v>2896249</v>
          </cell>
          <cell r="F617">
            <v>211426177</v>
          </cell>
        </row>
        <row r="618">
          <cell r="A618" t="str">
            <v>A4VTG71HW/32L</v>
          </cell>
          <cell r="B618" t="str">
            <v>HYD PUMP</v>
          </cell>
          <cell r="C618" t="str">
            <v>PC</v>
          </cell>
          <cell r="D618">
            <v>45</v>
          </cell>
          <cell r="E618">
            <v>2104883</v>
          </cell>
          <cell r="F618">
            <v>94719735</v>
          </cell>
        </row>
        <row r="619">
          <cell r="A619" t="str">
            <v>A9720</v>
          </cell>
          <cell r="B619" t="str">
            <v>WORKING LAMP</v>
          </cell>
          <cell r="C619" t="str">
            <v>PC</v>
          </cell>
          <cell r="D619">
            <v>0</v>
          </cell>
          <cell r="E619">
            <v>3840480</v>
          </cell>
          <cell r="F619">
            <v>0</v>
          </cell>
        </row>
        <row r="620">
          <cell r="A620" t="str">
            <v>ABT-D3-10</v>
          </cell>
          <cell r="B620" t="str">
            <v>AIR BLABE VICKERS ABT-D3-10</v>
          </cell>
          <cell r="C620" t="str">
            <v>PC</v>
          </cell>
          <cell r="D620">
            <v>0</v>
          </cell>
          <cell r="E620">
            <v>383568</v>
          </cell>
          <cell r="F620">
            <v>0</v>
          </cell>
        </row>
        <row r="621">
          <cell r="A621" t="str">
            <v>ACCU-HEAD</v>
          </cell>
          <cell r="B621" t="str">
            <v>Kepala accu kuningan</v>
          </cell>
          <cell r="C621" t="str">
            <v>PC</v>
          </cell>
          <cell r="D621">
            <v>0</v>
          </cell>
          <cell r="E621">
            <v>9000</v>
          </cell>
          <cell r="F621">
            <v>0</v>
          </cell>
        </row>
        <row r="622">
          <cell r="A622" t="str">
            <v>AN-20</v>
          </cell>
          <cell r="B622" t="str">
            <v>PLUG</v>
          </cell>
          <cell r="C622" t="str">
            <v>PC</v>
          </cell>
          <cell r="D622">
            <v>0</v>
          </cell>
          <cell r="E622">
            <v>43173</v>
          </cell>
          <cell r="F622">
            <v>0</v>
          </cell>
        </row>
        <row r="623">
          <cell r="A623" t="str">
            <v>AR-2500-026</v>
          </cell>
          <cell r="B623" t="str">
            <v>Air Regulator (AR2500)</v>
          </cell>
          <cell r="C623" t="str">
            <v>PC</v>
          </cell>
          <cell r="D623">
            <v>0</v>
          </cell>
          <cell r="E623">
            <v>230000</v>
          </cell>
          <cell r="F623">
            <v>0</v>
          </cell>
        </row>
        <row r="624">
          <cell r="A624" t="str">
            <v>AR-4000</v>
          </cell>
          <cell r="B624" t="str">
            <v>REGULATOR SMC AR4000</v>
          </cell>
          <cell r="C624" t="str">
            <v>PC</v>
          </cell>
          <cell r="D624">
            <v>3</v>
          </cell>
          <cell r="E624">
            <v>350000</v>
          </cell>
          <cell r="F624">
            <v>1050000</v>
          </cell>
        </row>
        <row r="625">
          <cell r="A625" t="str">
            <v>ARH-1</v>
          </cell>
          <cell r="B625" t="str">
            <v>Rubber Hose 1"</v>
          </cell>
          <cell r="C625" t="str">
            <v>PC</v>
          </cell>
          <cell r="D625">
            <v>50</v>
          </cell>
          <cell r="E625">
            <v>33000</v>
          </cell>
          <cell r="F625">
            <v>1650000</v>
          </cell>
        </row>
        <row r="626">
          <cell r="A626" t="str">
            <v>ARH-1/2</v>
          </cell>
          <cell r="B626" t="str">
            <v>Rubber Hose 1/2</v>
          </cell>
          <cell r="C626" t="str">
            <v>PC</v>
          </cell>
          <cell r="D626">
            <v>0</v>
          </cell>
          <cell r="E626">
            <v>19000</v>
          </cell>
          <cell r="F626">
            <v>0</v>
          </cell>
        </row>
        <row r="627">
          <cell r="A627" t="str">
            <v>ARH-3/8</v>
          </cell>
          <cell r="B627" t="str">
            <v>Rubber Hose 3/8</v>
          </cell>
          <cell r="C627" t="str">
            <v>PC</v>
          </cell>
          <cell r="D627">
            <v>0</v>
          </cell>
          <cell r="E627">
            <v>11</v>
          </cell>
          <cell r="F627">
            <v>0</v>
          </cell>
        </row>
        <row r="628">
          <cell r="A628" t="str">
            <v>AS-0024/2-L</v>
          </cell>
          <cell r="B628" t="str">
            <v>RETAINER</v>
          </cell>
          <cell r="C628" t="str">
            <v>PC</v>
          </cell>
          <cell r="D628">
            <v>0</v>
          </cell>
          <cell r="E628">
            <v>14000</v>
          </cell>
          <cell r="F628">
            <v>0</v>
          </cell>
        </row>
        <row r="629">
          <cell r="A629" t="str">
            <v>AS-0024/3-L</v>
          </cell>
          <cell r="B629" t="str">
            <v>RETAINER SPRING</v>
          </cell>
          <cell r="C629" t="str">
            <v>PC</v>
          </cell>
          <cell r="D629">
            <v>0</v>
          </cell>
          <cell r="E629">
            <v>14000</v>
          </cell>
          <cell r="F629">
            <v>0</v>
          </cell>
        </row>
        <row r="630">
          <cell r="A630" t="str">
            <v>AS025-250</v>
          </cell>
          <cell r="B630" t="str">
            <v>AIR RECEIVER</v>
          </cell>
          <cell r="C630" t="str">
            <v>PC</v>
          </cell>
          <cell r="D630">
            <v>0</v>
          </cell>
          <cell r="E630">
            <v>7662750</v>
          </cell>
          <cell r="F630">
            <v>0</v>
          </cell>
        </row>
        <row r="631">
          <cell r="A631" t="str">
            <v>ASN-311</v>
          </cell>
          <cell r="B631" t="str">
            <v>IDEC 3 WAY SELECTOR ASN311</v>
          </cell>
          <cell r="C631" t="str">
            <v>PC</v>
          </cell>
          <cell r="D631">
            <v>0</v>
          </cell>
          <cell r="E631">
            <v>1</v>
          </cell>
          <cell r="F631">
            <v>0</v>
          </cell>
        </row>
        <row r="632">
          <cell r="A632" t="str">
            <v>AXX-F10000P</v>
          </cell>
          <cell r="B632" t="str">
            <v>EXT-5TH WHEEL</v>
          </cell>
          <cell r="C632" t="str">
            <v>PC</v>
          </cell>
          <cell r="D632">
            <v>0</v>
          </cell>
          <cell r="E632">
            <v>8258128</v>
          </cell>
          <cell r="F632">
            <v>0</v>
          </cell>
        </row>
        <row r="633">
          <cell r="A633" t="str">
            <v>AXX-F10000P-M</v>
          </cell>
          <cell r="B633" t="str">
            <v>EXT FIFTH WHEEL WESTERN STAR</v>
          </cell>
          <cell r="C633" t="str">
            <v>PC</v>
          </cell>
          <cell r="D633">
            <v>0</v>
          </cell>
          <cell r="E633">
            <v>1</v>
          </cell>
          <cell r="F633">
            <v>0</v>
          </cell>
        </row>
        <row r="634">
          <cell r="A634" t="str">
            <v>B-1001-03525</v>
          </cell>
          <cell r="B634" t="str">
            <v>O-RING</v>
          </cell>
          <cell r="C634" t="str">
            <v>PC</v>
          </cell>
          <cell r="D634">
            <v>184</v>
          </cell>
          <cell r="E634">
            <v>3790</v>
          </cell>
          <cell r="F634">
            <v>697360</v>
          </cell>
        </row>
        <row r="635">
          <cell r="A635" t="str">
            <v>B-1010-31030</v>
          </cell>
          <cell r="B635" t="str">
            <v>BOLT M.10X30(5.6)</v>
          </cell>
          <cell r="C635" t="str">
            <v>PC</v>
          </cell>
          <cell r="D635">
            <v>12</v>
          </cell>
          <cell r="E635">
            <v>1522</v>
          </cell>
          <cell r="F635">
            <v>18264</v>
          </cell>
        </row>
        <row r="636">
          <cell r="A636" t="str">
            <v>B-1010-31260</v>
          </cell>
          <cell r="B636" t="str">
            <v>BOLT M.12X60(SUS)</v>
          </cell>
          <cell r="C636" t="str">
            <v>PC</v>
          </cell>
          <cell r="D636">
            <v>0</v>
          </cell>
          <cell r="E636">
            <v>3973</v>
          </cell>
          <cell r="F636">
            <v>0</v>
          </cell>
        </row>
        <row r="637">
          <cell r="A637" t="str">
            <v>B-1010-31613</v>
          </cell>
          <cell r="B637" t="str">
            <v>NUT M.16(SUS)</v>
          </cell>
          <cell r="C637" t="str">
            <v>PC</v>
          </cell>
          <cell r="D637">
            <v>0</v>
          </cell>
          <cell r="E637">
            <v>7785</v>
          </cell>
          <cell r="F637">
            <v>0</v>
          </cell>
        </row>
        <row r="638">
          <cell r="A638" t="str">
            <v>B-1010-31632</v>
          </cell>
          <cell r="B638" t="str">
            <v>PLATE W5-16(SUS)</v>
          </cell>
          <cell r="C638" t="str">
            <v>PC</v>
          </cell>
          <cell r="D638">
            <v>0</v>
          </cell>
          <cell r="E638">
            <v>7785</v>
          </cell>
          <cell r="F638">
            <v>0</v>
          </cell>
        </row>
        <row r="639">
          <cell r="A639" t="str">
            <v>B-1010-31648</v>
          </cell>
          <cell r="B639" t="str">
            <v>SPRING W5-16(SUS)</v>
          </cell>
          <cell r="C639" t="str">
            <v>PC</v>
          </cell>
          <cell r="D639">
            <v>0</v>
          </cell>
          <cell r="E639">
            <v>1</v>
          </cell>
          <cell r="F639">
            <v>0</v>
          </cell>
        </row>
        <row r="640">
          <cell r="A640" t="str">
            <v>B-1010-31660</v>
          </cell>
          <cell r="B640" t="str">
            <v>BOLT M.16X60(SUS)</v>
          </cell>
          <cell r="C640" t="str">
            <v>PC</v>
          </cell>
          <cell r="D640">
            <v>0</v>
          </cell>
          <cell r="E640">
            <v>7436</v>
          </cell>
          <cell r="F640">
            <v>0</v>
          </cell>
        </row>
        <row r="641">
          <cell r="A641" t="str">
            <v>B-1010-31670</v>
          </cell>
          <cell r="B641" t="str">
            <v>BOLT M.16X60(SUS)</v>
          </cell>
          <cell r="C641" t="str">
            <v>PC</v>
          </cell>
          <cell r="D641">
            <v>0</v>
          </cell>
          <cell r="E641">
            <v>8305</v>
          </cell>
          <cell r="F641">
            <v>0</v>
          </cell>
        </row>
        <row r="642">
          <cell r="A642" t="str">
            <v>B-1010-31675</v>
          </cell>
          <cell r="B642" t="str">
            <v>BOLT M.16X75(SUS)</v>
          </cell>
          <cell r="C642" t="str">
            <v>PC</v>
          </cell>
          <cell r="D642">
            <v>70</v>
          </cell>
          <cell r="E642">
            <v>8065</v>
          </cell>
          <cell r="F642">
            <v>564550</v>
          </cell>
        </row>
        <row r="643">
          <cell r="A643" t="str">
            <v>B-1010-32000</v>
          </cell>
          <cell r="B643" t="str">
            <v>BOLT M.20X100(SUS)</v>
          </cell>
          <cell r="C643" t="str">
            <v>PC</v>
          </cell>
          <cell r="D643">
            <v>0</v>
          </cell>
          <cell r="E643">
            <v>1</v>
          </cell>
          <cell r="F643">
            <v>0</v>
          </cell>
        </row>
        <row r="644">
          <cell r="A644" t="str">
            <v>B-1010-32016</v>
          </cell>
          <cell r="B644" t="str">
            <v>NUT M.20(SUS)</v>
          </cell>
          <cell r="C644" t="str">
            <v>PC</v>
          </cell>
          <cell r="D644">
            <v>0</v>
          </cell>
          <cell r="E644">
            <v>1</v>
          </cell>
          <cell r="F644">
            <v>0</v>
          </cell>
        </row>
        <row r="645">
          <cell r="A645" t="str">
            <v>B-1010-32032</v>
          </cell>
          <cell r="B645" t="str">
            <v>PLATE W5 M-20(SUS)</v>
          </cell>
          <cell r="C645" t="str">
            <v>PC</v>
          </cell>
          <cell r="D645">
            <v>0</v>
          </cell>
          <cell r="E645">
            <v>7785</v>
          </cell>
          <cell r="F645">
            <v>0</v>
          </cell>
        </row>
        <row r="646">
          <cell r="A646" t="str">
            <v>B-1010-32050</v>
          </cell>
          <cell r="B646" t="str">
            <v>BOLT M.20X150(SUS)</v>
          </cell>
          <cell r="C646" t="str">
            <v>PC</v>
          </cell>
          <cell r="D646">
            <v>0</v>
          </cell>
          <cell r="E646">
            <v>1</v>
          </cell>
          <cell r="F646">
            <v>0</v>
          </cell>
        </row>
        <row r="647">
          <cell r="A647" t="str">
            <v>B-1010-32060</v>
          </cell>
          <cell r="B647" t="str">
            <v>BOLT M.20X60(5.6)</v>
          </cell>
          <cell r="C647" t="str">
            <v>PC</v>
          </cell>
          <cell r="D647">
            <v>33</v>
          </cell>
          <cell r="E647">
            <v>10054</v>
          </cell>
          <cell r="F647">
            <v>331782</v>
          </cell>
        </row>
        <row r="648">
          <cell r="A648" t="str">
            <v>B-1010-32070</v>
          </cell>
          <cell r="B648" t="str">
            <v>BOLT M.3X40(8.8)</v>
          </cell>
          <cell r="C648" t="str">
            <v>PC</v>
          </cell>
          <cell r="D648">
            <v>56</v>
          </cell>
          <cell r="E648">
            <v>15633</v>
          </cell>
          <cell r="F648">
            <v>875448</v>
          </cell>
        </row>
        <row r="649">
          <cell r="A649" t="str">
            <v>B-1010-50320</v>
          </cell>
          <cell r="B649" t="str">
            <v>BOLT</v>
          </cell>
          <cell r="C649" t="str">
            <v>PC</v>
          </cell>
          <cell r="D649">
            <v>0</v>
          </cell>
          <cell r="E649">
            <v>0</v>
          </cell>
          <cell r="F649">
            <v>0</v>
          </cell>
        </row>
        <row r="650">
          <cell r="A650" t="str">
            <v>B-1010-50340</v>
          </cell>
          <cell r="B650" t="str">
            <v>BOLT M.3X40(8.8)</v>
          </cell>
          <cell r="C650" t="str">
            <v>PC</v>
          </cell>
          <cell r="D650">
            <v>70</v>
          </cell>
          <cell r="E650">
            <v>75</v>
          </cell>
          <cell r="F650">
            <v>5250</v>
          </cell>
        </row>
        <row r="651">
          <cell r="A651" t="str">
            <v>B-1010-50435</v>
          </cell>
          <cell r="B651" t="str">
            <v>BOLT M.4X35(8.8)</v>
          </cell>
          <cell r="C651" t="str">
            <v>PC</v>
          </cell>
          <cell r="D651">
            <v>909</v>
          </cell>
          <cell r="E651">
            <v>1075</v>
          </cell>
          <cell r="F651">
            <v>977175</v>
          </cell>
        </row>
        <row r="652">
          <cell r="A652" t="str">
            <v>B-1010-50440</v>
          </cell>
          <cell r="B652" t="str">
            <v>BOLT M4X40</v>
          </cell>
          <cell r="C652" t="str">
            <v>PC</v>
          </cell>
          <cell r="D652">
            <v>200</v>
          </cell>
          <cell r="E652">
            <v>1995</v>
          </cell>
          <cell r="F652">
            <v>399000</v>
          </cell>
        </row>
        <row r="653">
          <cell r="A653" t="str">
            <v>B-1010-50516</v>
          </cell>
          <cell r="B653" t="str">
            <v>Bolt</v>
          </cell>
          <cell r="C653" t="str">
            <v>PC</v>
          </cell>
          <cell r="D653">
            <v>276</v>
          </cell>
          <cell r="E653">
            <v>885</v>
          </cell>
          <cell r="F653">
            <v>244260</v>
          </cell>
        </row>
        <row r="654">
          <cell r="A654" t="str">
            <v>B-1010-50520</v>
          </cell>
          <cell r="B654" t="str">
            <v>BOLT M.5X20(8.8)</v>
          </cell>
          <cell r="C654" t="str">
            <v>PC</v>
          </cell>
          <cell r="D654">
            <v>0</v>
          </cell>
          <cell r="E654">
            <v>306</v>
          </cell>
          <cell r="F654">
            <v>0</v>
          </cell>
        </row>
        <row r="655">
          <cell r="A655" t="str">
            <v>B-1010-50530</v>
          </cell>
          <cell r="B655" t="str">
            <v>BOLT M.5X30(8.8)</v>
          </cell>
          <cell r="C655" t="str">
            <v>PC</v>
          </cell>
          <cell r="D655">
            <v>2419</v>
          </cell>
          <cell r="E655">
            <v>690</v>
          </cell>
          <cell r="F655">
            <v>1669110</v>
          </cell>
        </row>
        <row r="656">
          <cell r="A656" t="str">
            <v>B-1010-50550</v>
          </cell>
          <cell r="B656" t="str">
            <v>BOLT M.5X50(8.8)</v>
          </cell>
          <cell r="C656" t="str">
            <v>PC</v>
          </cell>
          <cell r="D656">
            <v>5</v>
          </cell>
          <cell r="E656">
            <v>90</v>
          </cell>
          <cell r="F656">
            <v>450</v>
          </cell>
        </row>
        <row r="657">
          <cell r="A657" t="str">
            <v>B-1010-50610</v>
          </cell>
          <cell r="B657" t="str">
            <v>BOLT M.6X10</v>
          </cell>
          <cell r="C657" t="str">
            <v>PC</v>
          </cell>
          <cell r="D657">
            <v>646</v>
          </cell>
          <cell r="E657">
            <v>141</v>
          </cell>
          <cell r="F657">
            <v>90900</v>
          </cell>
        </row>
        <row r="658">
          <cell r="A658" t="str">
            <v>B-1010-50616</v>
          </cell>
          <cell r="B658" t="str">
            <v>BOLT M.6X16</v>
          </cell>
          <cell r="C658" t="str">
            <v>PC</v>
          </cell>
          <cell r="D658">
            <v>286</v>
          </cell>
          <cell r="E658">
            <v>143</v>
          </cell>
          <cell r="F658">
            <v>40911</v>
          </cell>
        </row>
        <row r="659">
          <cell r="A659" t="str">
            <v>B-1010-50616-G</v>
          </cell>
          <cell r="B659" t="str">
            <v xml:space="preserve"> BOLT 6X16 GALVANIS</v>
          </cell>
          <cell r="C659" t="str">
            <v>PC</v>
          </cell>
          <cell r="D659">
            <v>240</v>
          </cell>
          <cell r="E659">
            <v>160</v>
          </cell>
          <cell r="F659">
            <v>38400</v>
          </cell>
        </row>
        <row r="660">
          <cell r="A660" t="str">
            <v>B-1010-50620</v>
          </cell>
          <cell r="B660" t="str">
            <v>BOLT M.6X20</v>
          </cell>
          <cell r="C660" t="str">
            <v>PC</v>
          </cell>
          <cell r="D660">
            <v>0</v>
          </cell>
          <cell r="E660">
            <v>0</v>
          </cell>
          <cell r="F660">
            <v>0</v>
          </cell>
        </row>
        <row r="661">
          <cell r="A661" t="str">
            <v>B-1010-50625</v>
          </cell>
          <cell r="B661" t="str">
            <v>BOLT M.6X25(8.8)</v>
          </cell>
          <cell r="C661" t="str">
            <v>PC</v>
          </cell>
          <cell r="D661">
            <v>1216</v>
          </cell>
          <cell r="E661">
            <v>151</v>
          </cell>
          <cell r="F661">
            <v>183105</v>
          </cell>
        </row>
        <row r="662">
          <cell r="A662" t="str">
            <v>B-1010-50630</v>
          </cell>
          <cell r="B662" t="str">
            <v>Bolt</v>
          </cell>
          <cell r="C662" t="str">
            <v>PC</v>
          </cell>
          <cell r="D662">
            <v>658</v>
          </cell>
          <cell r="E662">
            <v>165</v>
          </cell>
          <cell r="F662">
            <v>108570</v>
          </cell>
        </row>
        <row r="663">
          <cell r="A663" t="str">
            <v>B-1010-50635</v>
          </cell>
          <cell r="B663" t="str">
            <v>BOLT M.6X35(8.8)</v>
          </cell>
          <cell r="C663" t="str">
            <v>PC</v>
          </cell>
          <cell r="D663">
            <v>130</v>
          </cell>
          <cell r="E663">
            <v>75</v>
          </cell>
          <cell r="F663">
            <v>9750</v>
          </cell>
        </row>
        <row r="664">
          <cell r="A664" t="str">
            <v>B-1010-50640</v>
          </cell>
          <cell r="B664" t="str">
            <v>BOLT M.6X40(8.8)</v>
          </cell>
          <cell r="C664" t="str">
            <v>PC</v>
          </cell>
          <cell r="D664">
            <v>352</v>
          </cell>
          <cell r="E664">
            <v>51</v>
          </cell>
          <cell r="F664">
            <v>17952</v>
          </cell>
        </row>
        <row r="665">
          <cell r="A665" t="str">
            <v>B-1010-50815</v>
          </cell>
          <cell r="B665" t="str">
            <v>BOLT M.8X15(8.8)</v>
          </cell>
          <cell r="C665" t="str">
            <v>PC</v>
          </cell>
          <cell r="D665">
            <v>200</v>
          </cell>
          <cell r="E665">
            <v>230</v>
          </cell>
          <cell r="F665">
            <v>46000</v>
          </cell>
        </row>
        <row r="666">
          <cell r="A666" t="str">
            <v>B-1010-50820</v>
          </cell>
          <cell r="B666" t="str">
            <v>BOLT</v>
          </cell>
          <cell r="C666" t="str">
            <v>PC</v>
          </cell>
          <cell r="D666">
            <v>1550</v>
          </cell>
          <cell r="E666">
            <v>275</v>
          </cell>
          <cell r="F666">
            <v>426250</v>
          </cell>
        </row>
        <row r="667">
          <cell r="A667" t="str">
            <v>B-1010-50825</v>
          </cell>
          <cell r="B667" t="str">
            <v>BOLT M.8X25</v>
          </cell>
          <cell r="C667" t="str">
            <v>PC</v>
          </cell>
          <cell r="D667">
            <v>822</v>
          </cell>
          <cell r="E667">
            <v>289</v>
          </cell>
          <cell r="F667">
            <v>237152</v>
          </cell>
        </row>
        <row r="668">
          <cell r="A668" t="str">
            <v>B-1010-50830</v>
          </cell>
          <cell r="B668" t="str">
            <v>BOLT M.8X30</v>
          </cell>
          <cell r="C668" t="str">
            <v>PC</v>
          </cell>
          <cell r="D668">
            <v>1001</v>
          </cell>
          <cell r="E668">
            <v>308</v>
          </cell>
          <cell r="F668">
            <v>308051</v>
          </cell>
        </row>
        <row r="669">
          <cell r="A669" t="str">
            <v>B-1010-50835</v>
          </cell>
          <cell r="B669" t="str">
            <v>BOLT M8X35</v>
          </cell>
          <cell r="C669" t="str">
            <v>PC</v>
          </cell>
          <cell r="D669">
            <v>1700</v>
          </cell>
          <cell r="E669">
            <v>343</v>
          </cell>
          <cell r="F669">
            <v>583100</v>
          </cell>
        </row>
        <row r="670">
          <cell r="A670" t="str">
            <v>B-1010-50840</v>
          </cell>
          <cell r="B670" t="str">
            <v>BOLT M.8X40(8.8)</v>
          </cell>
          <cell r="C670" t="str">
            <v>PC</v>
          </cell>
          <cell r="D670">
            <v>528</v>
          </cell>
          <cell r="E670">
            <v>198</v>
          </cell>
          <cell r="F670">
            <v>104544</v>
          </cell>
        </row>
        <row r="671">
          <cell r="A671" t="str">
            <v>B-1010-50845</v>
          </cell>
          <cell r="B671" t="str">
            <v>BOLT M.8X45(8.8)</v>
          </cell>
          <cell r="C671" t="str">
            <v>PC</v>
          </cell>
          <cell r="D671">
            <v>169</v>
          </cell>
          <cell r="E671">
            <v>216</v>
          </cell>
          <cell r="F671">
            <v>36504</v>
          </cell>
        </row>
        <row r="672">
          <cell r="A672" t="str">
            <v>B-1010-50850</v>
          </cell>
          <cell r="B672" t="str">
            <v>BOLT M.8X50(8.8)</v>
          </cell>
          <cell r="C672" t="str">
            <v>PC</v>
          </cell>
          <cell r="D672">
            <v>292</v>
          </cell>
          <cell r="E672">
            <v>332</v>
          </cell>
          <cell r="F672">
            <v>97028</v>
          </cell>
        </row>
        <row r="673">
          <cell r="A673" t="str">
            <v>B-1010-50860</v>
          </cell>
          <cell r="B673" t="str">
            <v>BOLT M.8X60(8.8)</v>
          </cell>
          <cell r="C673" t="str">
            <v>PC</v>
          </cell>
          <cell r="D673">
            <v>1859</v>
          </cell>
          <cell r="E673">
            <v>258</v>
          </cell>
          <cell r="F673">
            <v>479622</v>
          </cell>
        </row>
        <row r="674">
          <cell r="A674" t="str">
            <v>B-1010-50870</v>
          </cell>
          <cell r="B674" t="str">
            <v>Bolt M8X70</v>
          </cell>
          <cell r="C674" t="str">
            <v>PC</v>
          </cell>
          <cell r="D674">
            <v>60</v>
          </cell>
          <cell r="E674">
            <v>530</v>
          </cell>
          <cell r="F674">
            <v>31800</v>
          </cell>
        </row>
        <row r="675">
          <cell r="A675" t="str">
            <v>B-1010-50885</v>
          </cell>
          <cell r="B675" t="str">
            <v>BOLT M8X85</v>
          </cell>
          <cell r="C675" t="str">
            <v>PC</v>
          </cell>
          <cell r="D675">
            <v>140</v>
          </cell>
          <cell r="E675">
            <v>1150</v>
          </cell>
          <cell r="F675">
            <v>161000</v>
          </cell>
        </row>
        <row r="676">
          <cell r="A676" t="str">
            <v>B-1010-50895</v>
          </cell>
          <cell r="B676" t="str">
            <v>Bolt (B-1010-50895)</v>
          </cell>
          <cell r="C676" t="str">
            <v>PC</v>
          </cell>
          <cell r="D676">
            <v>0</v>
          </cell>
          <cell r="E676">
            <v>438</v>
          </cell>
          <cell r="F676">
            <v>0</v>
          </cell>
        </row>
        <row r="677">
          <cell r="A677" t="str">
            <v>B-1010-51010</v>
          </cell>
          <cell r="B677" t="str">
            <v>BOLT</v>
          </cell>
          <cell r="C677" t="str">
            <v>PC</v>
          </cell>
          <cell r="D677">
            <v>558</v>
          </cell>
          <cell r="E677">
            <v>1107</v>
          </cell>
          <cell r="F677">
            <v>617870</v>
          </cell>
        </row>
        <row r="678">
          <cell r="A678" t="str">
            <v>B-1010-51016</v>
          </cell>
          <cell r="B678" t="str">
            <v>Bolt M10X16</v>
          </cell>
          <cell r="C678" t="str">
            <v>PC</v>
          </cell>
          <cell r="D678">
            <v>500</v>
          </cell>
          <cell r="E678">
            <v>517</v>
          </cell>
          <cell r="F678">
            <v>258500</v>
          </cell>
        </row>
        <row r="679">
          <cell r="A679" t="str">
            <v>B-1010-51020</v>
          </cell>
          <cell r="B679" t="str">
            <v>BOLT M10X20</v>
          </cell>
          <cell r="C679" t="str">
            <v>PC</v>
          </cell>
          <cell r="D679">
            <v>158</v>
          </cell>
          <cell r="E679">
            <v>326</v>
          </cell>
          <cell r="F679">
            <v>51554</v>
          </cell>
        </row>
        <row r="680">
          <cell r="A680" t="str">
            <v>B-1010-51025</v>
          </cell>
          <cell r="B680" t="str">
            <v>BOLT M10X25</v>
          </cell>
          <cell r="C680" t="str">
            <v>PC</v>
          </cell>
          <cell r="D680">
            <v>1450</v>
          </cell>
          <cell r="E680">
            <v>336</v>
          </cell>
          <cell r="F680">
            <v>487382</v>
          </cell>
        </row>
        <row r="681">
          <cell r="A681" t="str">
            <v>B-1010-51030</v>
          </cell>
          <cell r="B681" t="str">
            <v>BOLT M.10X30 (8.8)</v>
          </cell>
          <cell r="C681" t="str">
            <v>PC</v>
          </cell>
          <cell r="D681">
            <v>562</v>
          </cell>
          <cell r="E681">
            <v>605</v>
          </cell>
          <cell r="F681">
            <v>340106</v>
          </cell>
        </row>
        <row r="682">
          <cell r="A682" t="str">
            <v>B-1010-51030-G</v>
          </cell>
          <cell r="B682" t="str">
            <v xml:space="preserve"> BOLT 10X30 GALVANIS</v>
          </cell>
          <cell r="C682" t="str">
            <v>PC</v>
          </cell>
          <cell r="D682">
            <v>300</v>
          </cell>
          <cell r="E682">
            <v>605</v>
          </cell>
          <cell r="F682">
            <v>181500</v>
          </cell>
        </row>
        <row r="683">
          <cell r="A683" t="str">
            <v>B-1010-51035</v>
          </cell>
          <cell r="B683" t="str">
            <v>BOLT M10X35</v>
          </cell>
          <cell r="C683" t="str">
            <v>PC</v>
          </cell>
          <cell r="D683">
            <v>649</v>
          </cell>
          <cell r="E683">
            <v>616</v>
          </cell>
          <cell r="F683">
            <v>399662</v>
          </cell>
        </row>
        <row r="684">
          <cell r="A684" t="str">
            <v>B-1010-51040</v>
          </cell>
          <cell r="B684" t="str">
            <v>BOLT M.10X40 (8.8)</v>
          </cell>
          <cell r="C684" t="str">
            <v>PC</v>
          </cell>
          <cell r="D684">
            <v>332</v>
          </cell>
          <cell r="E684">
            <v>597</v>
          </cell>
          <cell r="F684">
            <v>198360</v>
          </cell>
        </row>
        <row r="685">
          <cell r="A685" t="str">
            <v>B-1010-51045</v>
          </cell>
          <cell r="B685" t="str">
            <v>BOLT M10X45</v>
          </cell>
          <cell r="C685" t="str">
            <v>PC</v>
          </cell>
          <cell r="D685">
            <v>189</v>
          </cell>
          <cell r="E685">
            <v>600</v>
          </cell>
          <cell r="F685">
            <v>113400</v>
          </cell>
        </row>
        <row r="686">
          <cell r="A686" t="str">
            <v>B-1010-51045-FD</v>
          </cell>
          <cell r="B686" t="str">
            <v xml:space="preserve"> BOLT M10X45 FULL DRT</v>
          </cell>
          <cell r="C686" t="str">
            <v>PC</v>
          </cell>
          <cell r="D686">
            <v>80</v>
          </cell>
          <cell r="E686">
            <v>1595</v>
          </cell>
          <cell r="F686">
            <v>127600</v>
          </cell>
        </row>
        <row r="687">
          <cell r="A687" t="str">
            <v>B-1010-51050</v>
          </cell>
          <cell r="B687" t="str">
            <v>BOLT M.10X50 (8.8)</v>
          </cell>
          <cell r="C687" t="str">
            <v>PC</v>
          </cell>
          <cell r="D687">
            <v>476</v>
          </cell>
          <cell r="E687">
            <v>378</v>
          </cell>
          <cell r="F687">
            <v>179928</v>
          </cell>
        </row>
        <row r="688">
          <cell r="A688" t="str">
            <v>B-1010-51055</v>
          </cell>
          <cell r="B688" t="str">
            <v>BOLT M.10X55 (8.8)</v>
          </cell>
          <cell r="C688" t="str">
            <v>PC</v>
          </cell>
          <cell r="D688">
            <v>1029</v>
          </cell>
          <cell r="E688">
            <v>726</v>
          </cell>
          <cell r="F688">
            <v>746975</v>
          </cell>
        </row>
        <row r="689">
          <cell r="A689" t="str">
            <v>B-1010-51060</v>
          </cell>
          <cell r="B689" t="str">
            <v>BOLT M.10X60 (8.8)</v>
          </cell>
          <cell r="C689" t="str">
            <v>PC</v>
          </cell>
          <cell r="D689">
            <v>366</v>
          </cell>
          <cell r="E689">
            <v>1780</v>
          </cell>
          <cell r="F689">
            <v>651323</v>
          </cell>
        </row>
        <row r="690">
          <cell r="A690" t="str">
            <v>B-1010-51070</v>
          </cell>
          <cell r="B690" t="str">
            <v>BOLT M.10X70 (8.8)</v>
          </cell>
          <cell r="C690" t="str">
            <v>PC</v>
          </cell>
          <cell r="D690">
            <v>408</v>
          </cell>
          <cell r="E690">
            <v>900</v>
          </cell>
          <cell r="F690">
            <v>367200</v>
          </cell>
        </row>
        <row r="691">
          <cell r="A691" t="str">
            <v>B-1010-51075</v>
          </cell>
          <cell r="B691" t="str">
            <v>BOLT M.10X75 (8.8)</v>
          </cell>
          <cell r="C691" t="str">
            <v>PC</v>
          </cell>
          <cell r="D691">
            <v>500</v>
          </cell>
          <cell r="E691">
            <v>850</v>
          </cell>
          <cell r="F691">
            <v>425000</v>
          </cell>
        </row>
        <row r="692">
          <cell r="A692" t="str">
            <v>B-1010-51220</v>
          </cell>
          <cell r="B692" t="str">
            <v>BOLT M.12X20 (8.8)</v>
          </cell>
          <cell r="C692" t="str">
            <v>PC</v>
          </cell>
          <cell r="D692">
            <v>472</v>
          </cell>
          <cell r="E692">
            <v>726</v>
          </cell>
          <cell r="F692">
            <v>342672</v>
          </cell>
        </row>
        <row r="693">
          <cell r="A693" t="str">
            <v>B-1010-51225</v>
          </cell>
          <cell r="B693" t="str">
            <v>BOLT M12X25</v>
          </cell>
          <cell r="C693" t="str">
            <v>PC</v>
          </cell>
          <cell r="D693">
            <v>236</v>
          </cell>
          <cell r="E693">
            <v>775</v>
          </cell>
          <cell r="F693">
            <v>182885</v>
          </cell>
        </row>
        <row r="694">
          <cell r="A694" t="str">
            <v>B-1010-51230</v>
          </cell>
          <cell r="B694" t="str">
            <v>BOLT M.12X30 (8.8)</v>
          </cell>
          <cell r="C694" t="str">
            <v>PC</v>
          </cell>
          <cell r="D694">
            <v>69</v>
          </cell>
          <cell r="E694">
            <v>633</v>
          </cell>
          <cell r="F694">
            <v>43682</v>
          </cell>
        </row>
        <row r="695">
          <cell r="A695" t="str">
            <v>B-1010-51235</v>
          </cell>
          <cell r="B695" t="str">
            <v>BOLT M12X35</v>
          </cell>
          <cell r="C695" t="str">
            <v>PC</v>
          </cell>
          <cell r="D695">
            <v>368</v>
          </cell>
          <cell r="E695">
            <v>836</v>
          </cell>
          <cell r="F695">
            <v>307539</v>
          </cell>
        </row>
        <row r="696">
          <cell r="A696" t="str">
            <v>B-1010-51240</v>
          </cell>
          <cell r="B696" t="str">
            <v>BOLT M.12X40 (8.8)</v>
          </cell>
          <cell r="C696" t="str">
            <v>PC</v>
          </cell>
          <cell r="D696">
            <v>94</v>
          </cell>
          <cell r="E696">
            <v>508</v>
          </cell>
          <cell r="F696">
            <v>47752</v>
          </cell>
        </row>
        <row r="697">
          <cell r="A697" t="str">
            <v>B-1010-51245</v>
          </cell>
          <cell r="B697" t="str">
            <v>BOLT M12X45 (8.8)</v>
          </cell>
          <cell r="C697" t="str">
            <v>PC</v>
          </cell>
          <cell r="D697">
            <v>817</v>
          </cell>
          <cell r="E697">
            <v>596</v>
          </cell>
          <cell r="F697">
            <v>487020</v>
          </cell>
        </row>
        <row r="698">
          <cell r="A698" t="str">
            <v>B-1010-51250</v>
          </cell>
          <cell r="B698" t="str">
            <v>BOLT M12X50 (8.8)</v>
          </cell>
          <cell r="C698" t="str">
            <v>PC</v>
          </cell>
          <cell r="D698">
            <v>239</v>
          </cell>
          <cell r="E698">
            <v>747</v>
          </cell>
          <cell r="F698">
            <v>178565</v>
          </cell>
        </row>
        <row r="699">
          <cell r="A699" t="str">
            <v>B-1010-51255</v>
          </cell>
          <cell r="B699" t="str">
            <v>BOLT M12X55</v>
          </cell>
          <cell r="C699" t="str">
            <v>PC</v>
          </cell>
          <cell r="D699">
            <v>906</v>
          </cell>
          <cell r="E699">
            <v>983</v>
          </cell>
          <cell r="F699">
            <v>890972</v>
          </cell>
        </row>
        <row r="700">
          <cell r="A700" t="str">
            <v>B-1010-51260</v>
          </cell>
          <cell r="B700" t="str">
            <v>BOLT M12X60</v>
          </cell>
          <cell r="C700" t="str">
            <v>PC</v>
          </cell>
          <cell r="D700">
            <v>411</v>
          </cell>
          <cell r="E700">
            <v>1036</v>
          </cell>
          <cell r="F700">
            <v>426000</v>
          </cell>
        </row>
        <row r="701">
          <cell r="A701" t="str">
            <v>B-1010-51265</v>
          </cell>
          <cell r="B701" t="str">
            <v>BOLT M12X65 (8.8)</v>
          </cell>
          <cell r="C701" t="str">
            <v>PC</v>
          </cell>
          <cell r="D701">
            <v>128</v>
          </cell>
          <cell r="E701">
            <v>636</v>
          </cell>
          <cell r="F701">
            <v>81408</v>
          </cell>
        </row>
        <row r="702">
          <cell r="A702" t="str">
            <v>B-1010-51270</v>
          </cell>
          <cell r="B702" t="str">
            <v>BOLT M12X70 (8.8)</v>
          </cell>
          <cell r="C702" t="str">
            <v>PC</v>
          </cell>
          <cell r="D702">
            <v>760</v>
          </cell>
          <cell r="E702">
            <v>757</v>
          </cell>
          <cell r="F702">
            <v>575410</v>
          </cell>
        </row>
        <row r="703">
          <cell r="A703" t="str">
            <v>B-1010-51275</v>
          </cell>
          <cell r="B703" t="str">
            <v>BOLT M12X75 (8.8)</v>
          </cell>
          <cell r="C703" t="str">
            <v>PC</v>
          </cell>
          <cell r="D703">
            <v>332</v>
          </cell>
          <cell r="E703">
            <v>690</v>
          </cell>
          <cell r="F703">
            <v>229080</v>
          </cell>
        </row>
        <row r="704">
          <cell r="A704" t="str">
            <v>B-1010-51280</v>
          </cell>
          <cell r="B704" t="str">
            <v>BOLT M12X80 (8.8)</v>
          </cell>
          <cell r="C704" t="str">
            <v>PC</v>
          </cell>
          <cell r="D704">
            <v>210</v>
          </cell>
          <cell r="E704">
            <v>720</v>
          </cell>
          <cell r="F704">
            <v>151200</v>
          </cell>
        </row>
        <row r="705">
          <cell r="A705" t="str">
            <v>B-1010-51290</v>
          </cell>
          <cell r="B705" t="str">
            <v>BOLT M12X90 (8.8)</v>
          </cell>
          <cell r="C705" t="str">
            <v>PC</v>
          </cell>
          <cell r="D705">
            <v>405</v>
          </cell>
          <cell r="E705">
            <v>954</v>
          </cell>
          <cell r="F705">
            <v>386370</v>
          </cell>
        </row>
        <row r="706">
          <cell r="A706" t="str">
            <v>B-1010-51400</v>
          </cell>
          <cell r="B706" t="str">
            <v>BOLT M.14x100</v>
          </cell>
          <cell r="C706" t="str">
            <v>PC</v>
          </cell>
          <cell r="D706">
            <v>0</v>
          </cell>
          <cell r="E706">
            <v>1</v>
          </cell>
          <cell r="F706">
            <v>0</v>
          </cell>
        </row>
        <row r="707">
          <cell r="A707" t="str">
            <v>B-1010-51425</v>
          </cell>
          <cell r="B707" t="str">
            <v xml:space="preserve"> Bolt M14X25</v>
          </cell>
          <cell r="C707" t="str">
            <v>PC</v>
          </cell>
          <cell r="D707">
            <v>0</v>
          </cell>
          <cell r="E707">
            <v>0</v>
          </cell>
          <cell r="F707">
            <v>0</v>
          </cell>
        </row>
        <row r="708">
          <cell r="A708" t="str">
            <v>B-1010-51435</v>
          </cell>
          <cell r="B708" t="str">
            <v>BOLT M14X35 (8.8)</v>
          </cell>
          <cell r="C708" t="str">
            <v>PC</v>
          </cell>
          <cell r="D708">
            <v>408</v>
          </cell>
          <cell r="E708">
            <v>1246</v>
          </cell>
          <cell r="F708">
            <v>508382</v>
          </cell>
        </row>
        <row r="709">
          <cell r="A709" t="str">
            <v>B-1010-51440</v>
          </cell>
          <cell r="B709" t="str">
            <v>BOLT M14X40 (8.8)</v>
          </cell>
          <cell r="C709" t="str">
            <v>PC</v>
          </cell>
          <cell r="D709">
            <v>94</v>
          </cell>
          <cell r="E709">
            <v>1223</v>
          </cell>
          <cell r="F709">
            <v>114962</v>
          </cell>
        </row>
        <row r="710">
          <cell r="A710" t="str">
            <v>B-1010-51445</v>
          </cell>
          <cell r="B710" t="str">
            <v>BOLT M14X45 (8.8)</v>
          </cell>
          <cell r="C710" t="str">
            <v>PC</v>
          </cell>
          <cell r="D710">
            <v>557</v>
          </cell>
          <cell r="E710">
            <v>1729</v>
          </cell>
          <cell r="F710">
            <v>962975</v>
          </cell>
        </row>
        <row r="711">
          <cell r="A711" t="str">
            <v>B-1010-51450</v>
          </cell>
          <cell r="B711" t="str">
            <v>BOLT M14X50 (8.8)</v>
          </cell>
          <cell r="C711" t="str">
            <v>PC</v>
          </cell>
          <cell r="D711">
            <v>634</v>
          </cell>
          <cell r="E711">
            <v>1701</v>
          </cell>
          <cell r="F711">
            <v>1078345</v>
          </cell>
        </row>
        <row r="712">
          <cell r="A712" t="str">
            <v>B-1010-51455</v>
          </cell>
          <cell r="B712" t="str">
            <v>BOLT M14X55 (8.8)</v>
          </cell>
          <cell r="C712" t="str">
            <v>PC</v>
          </cell>
          <cell r="D712">
            <v>848</v>
          </cell>
          <cell r="E712">
            <v>1716</v>
          </cell>
          <cell r="F712">
            <v>1455509</v>
          </cell>
        </row>
        <row r="713">
          <cell r="A713" t="str">
            <v>B-1010-51460</v>
          </cell>
          <cell r="B713" t="str">
            <v>BOLT M14X60 (8.8)</v>
          </cell>
          <cell r="C713" t="str">
            <v>PC</v>
          </cell>
          <cell r="D713">
            <v>431</v>
          </cell>
          <cell r="E713">
            <v>840</v>
          </cell>
          <cell r="F713">
            <v>362040</v>
          </cell>
        </row>
        <row r="714">
          <cell r="A714" t="str">
            <v>B-1010-51470</v>
          </cell>
          <cell r="B714" t="str">
            <v>BOLT M14X70 (8.8)</v>
          </cell>
          <cell r="C714" t="str">
            <v>PC</v>
          </cell>
          <cell r="D714">
            <v>78</v>
          </cell>
          <cell r="E714">
            <v>930</v>
          </cell>
          <cell r="F714">
            <v>72540</v>
          </cell>
        </row>
        <row r="715">
          <cell r="A715" t="str">
            <v>B-1010-51620</v>
          </cell>
          <cell r="B715" t="str">
            <v>BOLT M.16X20 (8.8)</v>
          </cell>
          <cell r="C715" t="str">
            <v>PC</v>
          </cell>
          <cell r="D715">
            <v>596</v>
          </cell>
          <cell r="E715">
            <v>1653</v>
          </cell>
          <cell r="F715">
            <v>985303</v>
          </cell>
        </row>
        <row r="716">
          <cell r="A716" t="str">
            <v>B-1010-51630</v>
          </cell>
          <cell r="B716" t="str">
            <v>BOLT M.16X30 (8.8)</v>
          </cell>
          <cell r="C716" t="str">
            <v>PC</v>
          </cell>
          <cell r="D716">
            <v>98</v>
          </cell>
          <cell r="E716">
            <v>1657</v>
          </cell>
          <cell r="F716">
            <v>162432</v>
          </cell>
        </row>
        <row r="717">
          <cell r="A717" t="str">
            <v>B-1010-51635</v>
          </cell>
          <cell r="B717" t="str">
            <v>BOLT M.16X35 (8.8)</v>
          </cell>
          <cell r="C717" t="str">
            <v>PC</v>
          </cell>
          <cell r="D717">
            <v>1835</v>
          </cell>
          <cell r="E717">
            <v>892</v>
          </cell>
          <cell r="F717">
            <v>1637054</v>
          </cell>
        </row>
        <row r="718">
          <cell r="A718" t="str">
            <v>B-1010-51640</v>
          </cell>
          <cell r="B718" t="str">
            <v>BOLT M16X40</v>
          </cell>
          <cell r="C718" t="str">
            <v>PC</v>
          </cell>
          <cell r="D718">
            <v>839</v>
          </cell>
          <cell r="E718">
            <v>1101</v>
          </cell>
          <cell r="F718">
            <v>923516</v>
          </cell>
        </row>
        <row r="719">
          <cell r="A719" t="str">
            <v>B-1010-51645</v>
          </cell>
          <cell r="B719" t="str">
            <v>BOLT M.16X45 (8.8)</v>
          </cell>
          <cell r="C719" t="str">
            <v>PC</v>
          </cell>
          <cell r="D719">
            <v>1085</v>
          </cell>
          <cell r="E719">
            <v>1593</v>
          </cell>
          <cell r="F719">
            <v>1728389</v>
          </cell>
        </row>
        <row r="720">
          <cell r="A720" t="str">
            <v>B-1010-51650</v>
          </cell>
          <cell r="B720" t="str">
            <v>BOLT M.16X50 (8.8)</v>
          </cell>
          <cell r="C720" t="str">
            <v>PC</v>
          </cell>
          <cell r="D720">
            <v>1100</v>
          </cell>
          <cell r="E720">
            <v>1602</v>
          </cell>
          <cell r="F720">
            <v>1762269</v>
          </cell>
        </row>
        <row r="721">
          <cell r="A721" t="str">
            <v>B-1010-51655</v>
          </cell>
          <cell r="B721" t="str">
            <v>BOLT M.16X55 (8.8)</v>
          </cell>
          <cell r="C721" t="str">
            <v>PC</v>
          </cell>
          <cell r="D721">
            <v>791</v>
          </cell>
          <cell r="E721">
            <v>1844</v>
          </cell>
          <cell r="F721">
            <v>1458781</v>
          </cell>
        </row>
        <row r="722">
          <cell r="A722" t="str">
            <v>B-1010-51660</v>
          </cell>
          <cell r="B722" t="str">
            <v>BOLT M.16X60 (8.8)</v>
          </cell>
          <cell r="C722" t="str">
            <v>PC</v>
          </cell>
          <cell r="D722">
            <v>753</v>
          </cell>
          <cell r="E722">
            <v>1898</v>
          </cell>
          <cell r="F722">
            <v>1429340</v>
          </cell>
        </row>
        <row r="723">
          <cell r="A723" t="str">
            <v>B-1010-51665</v>
          </cell>
          <cell r="B723" t="str">
            <v>BOLT M.16X65 (8.8)</v>
          </cell>
          <cell r="C723" t="str">
            <v>PC</v>
          </cell>
          <cell r="D723">
            <v>179</v>
          </cell>
          <cell r="E723">
            <v>1747</v>
          </cell>
          <cell r="F723">
            <v>312702</v>
          </cell>
        </row>
        <row r="724">
          <cell r="A724" t="str">
            <v>B-1010-51670</v>
          </cell>
          <cell r="B724" t="str">
            <v>BOLT M.16X70 (8.8)</v>
          </cell>
          <cell r="C724" t="str">
            <v>PC</v>
          </cell>
          <cell r="D724">
            <v>588</v>
          </cell>
          <cell r="E724">
            <v>2018</v>
          </cell>
          <cell r="F724">
            <v>1186376</v>
          </cell>
        </row>
        <row r="725">
          <cell r="A725" t="str">
            <v>B-1010-51675</v>
          </cell>
          <cell r="B725" t="str">
            <v>BOLT M.16X75 (8.8)</v>
          </cell>
          <cell r="C725" t="str">
            <v>PC</v>
          </cell>
          <cell r="D725">
            <v>185</v>
          </cell>
          <cell r="E725">
            <v>2174</v>
          </cell>
          <cell r="F725">
            <v>402240</v>
          </cell>
        </row>
        <row r="726">
          <cell r="A726" t="str">
            <v>B-1010-51680</v>
          </cell>
          <cell r="B726" t="str">
            <v>BOLT M.16X80 (8.8)</v>
          </cell>
          <cell r="C726" t="str">
            <v>PC</v>
          </cell>
          <cell r="D726">
            <v>0</v>
          </cell>
          <cell r="E726">
            <v>1290</v>
          </cell>
          <cell r="F726">
            <v>0</v>
          </cell>
        </row>
        <row r="727">
          <cell r="A727" t="str">
            <v>B-1010-51690</v>
          </cell>
          <cell r="B727" t="str">
            <v>BOLT M.16X90 (8.8)</v>
          </cell>
          <cell r="C727" t="str">
            <v>PC</v>
          </cell>
          <cell r="D727">
            <v>0</v>
          </cell>
          <cell r="E727">
            <v>1399</v>
          </cell>
          <cell r="F727">
            <v>0</v>
          </cell>
        </row>
        <row r="728">
          <cell r="A728" t="str">
            <v>B-1010-51815</v>
          </cell>
          <cell r="B728" t="str">
            <v>BOLT M.18X15 (8.8)</v>
          </cell>
          <cell r="C728" t="str">
            <v>PC</v>
          </cell>
          <cell r="D728">
            <v>16</v>
          </cell>
          <cell r="E728">
            <v>1770</v>
          </cell>
          <cell r="F728">
            <v>28320</v>
          </cell>
        </row>
        <row r="729">
          <cell r="A729" t="str">
            <v>B-1010-51840</v>
          </cell>
          <cell r="B729" t="str">
            <v>BOLT M.18X40 (8.8)</v>
          </cell>
          <cell r="C729" t="str">
            <v>PC</v>
          </cell>
          <cell r="D729">
            <v>184</v>
          </cell>
          <cell r="E729">
            <v>871</v>
          </cell>
          <cell r="F729">
            <v>160264</v>
          </cell>
        </row>
        <row r="730">
          <cell r="A730" t="str">
            <v>B-1010-51850</v>
          </cell>
          <cell r="B730" t="str">
            <v>BOLT M.18X50 (8.8)</v>
          </cell>
          <cell r="C730" t="str">
            <v>PC</v>
          </cell>
          <cell r="D730">
            <v>510</v>
          </cell>
          <cell r="E730">
            <v>999</v>
          </cell>
          <cell r="F730">
            <v>509490</v>
          </cell>
        </row>
        <row r="731">
          <cell r="A731" t="str">
            <v>B-1010-51860</v>
          </cell>
          <cell r="B731" t="str">
            <v>BOLT M.18X60 (8.8)</v>
          </cell>
          <cell r="C731" t="str">
            <v>PC</v>
          </cell>
          <cell r="D731">
            <v>146</v>
          </cell>
          <cell r="E731">
            <v>3022</v>
          </cell>
          <cell r="F731">
            <v>441230</v>
          </cell>
        </row>
        <row r="732">
          <cell r="A732" t="str">
            <v>B-1010-51865</v>
          </cell>
          <cell r="B732" t="str">
            <v>BOLT M.18X65</v>
          </cell>
          <cell r="C732" t="str">
            <v>PC</v>
          </cell>
          <cell r="D732">
            <v>100</v>
          </cell>
          <cell r="E732">
            <v>4368</v>
          </cell>
          <cell r="F732">
            <v>436800</v>
          </cell>
        </row>
        <row r="733">
          <cell r="A733" t="str">
            <v>B-1010-51870</v>
          </cell>
          <cell r="B733" t="str">
            <v>BOLT M.18X70 (8.8)</v>
          </cell>
          <cell r="C733" t="str">
            <v>PC</v>
          </cell>
          <cell r="D733">
            <v>100</v>
          </cell>
          <cell r="E733">
            <v>4512</v>
          </cell>
          <cell r="F733">
            <v>451200</v>
          </cell>
        </row>
        <row r="734">
          <cell r="A734" t="str">
            <v>B-1010-51875</v>
          </cell>
          <cell r="B734" t="str">
            <v>BOLT M.18X75 (8.8)</v>
          </cell>
          <cell r="C734" t="str">
            <v>PC</v>
          </cell>
          <cell r="D734">
            <v>100</v>
          </cell>
          <cell r="E734">
            <v>4739</v>
          </cell>
          <cell r="F734">
            <v>473900</v>
          </cell>
        </row>
        <row r="735">
          <cell r="A735" t="str">
            <v>B-1010-52040</v>
          </cell>
          <cell r="B735" t="str">
            <v>BOLT M.20X40 (8.8)</v>
          </cell>
          <cell r="C735" t="str">
            <v>PC</v>
          </cell>
          <cell r="D735">
            <v>160</v>
          </cell>
          <cell r="E735">
            <v>2734</v>
          </cell>
          <cell r="F735">
            <v>437422</v>
          </cell>
        </row>
        <row r="736">
          <cell r="A736" t="str">
            <v>B-1010-52045</v>
          </cell>
          <cell r="B736" t="str">
            <v>BOLT M.20X45 (8.8)</v>
          </cell>
          <cell r="C736" t="str">
            <v>PC</v>
          </cell>
          <cell r="D736">
            <v>96</v>
          </cell>
          <cell r="E736">
            <v>2650</v>
          </cell>
          <cell r="F736">
            <v>254384</v>
          </cell>
        </row>
        <row r="737">
          <cell r="A737" t="str">
            <v>B-1010-52050</v>
          </cell>
          <cell r="B737" t="str">
            <v>BOLT</v>
          </cell>
          <cell r="C737" t="str">
            <v>PC</v>
          </cell>
          <cell r="D737">
            <v>202</v>
          </cell>
          <cell r="E737">
            <v>3139</v>
          </cell>
          <cell r="F737">
            <v>634041</v>
          </cell>
        </row>
        <row r="738">
          <cell r="A738" t="str">
            <v>B-1010-52055</v>
          </cell>
          <cell r="B738" t="str">
            <v>BOLT M.20X55 (8.8)</v>
          </cell>
          <cell r="C738" t="str">
            <v>PC</v>
          </cell>
          <cell r="D738">
            <v>8</v>
          </cell>
          <cell r="E738">
            <v>2498</v>
          </cell>
          <cell r="F738">
            <v>19983</v>
          </cell>
        </row>
        <row r="739">
          <cell r="A739" t="str">
            <v>B-1010-52060</v>
          </cell>
          <cell r="B739" t="str">
            <v>BOLT M.20X60 (8.8)</v>
          </cell>
          <cell r="C739" t="str">
            <v>PC</v>
          </cell>
          <cell r="D739">
            <v>96</v>
          </cell>
          <cell r="E739">
            <v>3212</v>
          </cell>
          <cell r="F739">
            <v>308371</v>
          </cell>
        </row>
        <row r="740">
          <cell r="A740" t="str">
            <v>B-1010-52065</v>
          </cell>
          <cell r="B740" t="str">
            <v>BOLT M.20X65 (8.8)</v>
          </cell>
          <cell r="C740" t="str">
            <v>PC</v>
          </cell>
          <cell r="D740">
            <v>114</v>
          </cell>
          <cell r="E740">
            <v>1840</v>
          </cell>
          <cell r="F740">
            <v>209760</v>
          </cell>
        </row>
        <row r="741">
          <cell r="A741" t="str">
            <v>B-1010-52070</v>
          </cell>
          <cell r="B741" t="str">
            <v>BOLT M.20X70 (8.8)</v>
          </cell>
          <cell r="C741" t="str">
            <v>PC</v>
          </cell>
          <cell r="D741">
            <v>84</v>
          </cell>
          <cell r="E741">
            <v>3400</v>
          </cell>
          <cell r="F741">
            <v>285600</v>
          </cell>
        </row>
        <row r="742">
          <cell r="A742" t="str">
            <v>B-1010-52075</v>
          </cell>
          <cell r="B742" t="str">
            <v>BOLT M.20X75 (8.8)</v>
          </cell>
          <cell r="C742" t="str">
            <v>PC</v>
          </cell>
          <cell r="D742">
            <v>92</v>
          </cell>
          <cell r="E742">
            <v>3522</v>
          </cell>
          <cell r="F742">
            <v>324038</v>
          </cell>
        </row>
        <row r="743">
          <cell r="A743" t="str">
            <v>B-1010-52080</v>
          </cell>
          <cell r="B743" t="str">
            <v>BOLT M.20X80 (8.8)</v>
          </cell>
          <cell r="C743" t="str">
            <v>PC</v>
          </cell>
          <cell r="D743">
            <v>496</v>
          </cell>
          <cell r="E743">
            <v>2565</v>
          </cell>
          <cell r="F743">
            <v>1272066</v>
          </cell>
        </row>
        <row r="744">
          <cell r="A744" t="str">
            <v>B-1010-52090</v>
          </cell>
          <cell r="B744" t="str">
            <v>BOLT M.20X90 (8.8)</v>
          </cell>
          <cell r="C744" t="str">
            <v>PC</v>
          </cell>
          <cell r="D744">
            <v>848</v>
          </cell>
          <cell r="E744">
            <v>2771</v>
          </cell>
          <cell r="F744">
            <v>2350052</v>
          </cell>
        </row>
        <row r="745">
          <cell r="A745" t="str">
            <v>B-1010-52250</v>
          </cell>
          <cell r="B745" t="str">
            <v>BOLT M.22X50 (8.8)</v>
          </cell>
          <cell r="C745" t="str">
            <v>PC</v>
          </cell>
          <cell r="D745">
            <v>112</v>
          </cell>
          <cell r="E745">
            <v>5016</v>
          </cell>
          <cell r="F745">
            <v>561792</v>
          </cell>
        </row>
        <row r="746">
          <cell r="A746" t="str">
            <v>B-1010-52260</v>
          </cell>
          <cell r="B746" t="str">
            <v>BOLT M.22X60 (8.8)</v>
          </cell>
          <cell r="C746" t="str">
            <v>PC</v>
          </cell>
          <cell r="D746">
            <v>195</v>
          </cell>
          <cell r="E746">
            <v>2820</v>
          </cell>
          <cell r="F746">
            <v>549900</v>
          </cell>
        </row>
        <row r="747">
          <cell r="A747" t="str">
            <v>B-1010-52265</v>
          </cell>
          <cell r="B747" t="str">
            <v>BOLT M.22X65 (8.8)</v>
          </cell>
          <cell r="C747" t="str">
            <v>PC</v>
          </cell>
          <cell r="D747">
            <v>1510</v>
          </cell>
          <cell r="E747">
            <v>1797</v>
          </cell>
          <cell r="F747">
            <v>2713470</v>
          </cell>
        </row>
        <row r="748">
          <cell r="A748" t="str">
            <v>B-1010-52280</v>
          </cell>
          <cell r="B748" t="str">
            <v>BOLT M.22X80 (8.8)</v>
          </cell>
          <cell r="C748" t="str">
            <v>PC</v>
          </cell>
          <cell r="D748">
            <v>1205</v>
          </cell>
          <cell r="E748">
            <v>3330</v>
          </cell>
          <cell r="F748">
            <v>4012650</v>
          </cell>
        </row>
        <row r="749">
          <cell r="A749" t="str">
            <v>B-1010-52430</v>
          </cell>
          <cell r="B749" t="str">
            <v>BOLT M.24X30 (8.8)</v>
          </cell>
          <cell r="C749" t="str">
            <v>PC</v>
          </cell>
          <cell r="D749">
            <v>178</v>
          </cell>
          <cell r="E749">
            <v>3309</v>
          </cell>
          <cell r="F749">
            <v>589002</v>
          </cell>
        </row>
        <row r="750">
          <cell r="A750" t="str">
            <v>B-1010-52435</v>
          </cell>
          <cell r="B750" t="str">
            <v>BOLT M.24X35 (8.8)</v>
          </cell>
          <cell r="C750" t="str">
            <v>PC</v>
          </cell>
          <cell r="D750">
            <v>74</v>
          </cell>
          <cell r="E750">
            <v>3861</v>
          </cell>
          <cell r="F750">
            <v>285714</v>
          </cell>
        </row>
        <row r="751">
          <cell r="A751" t="str">
            <v>B-1010-52455</v>
          </cell>
          <cell r="B751" t="str">
            <v>BOLT M.24X55 (8.8)</v>
          </cell>
          <cell r="C751" t="str">
            <v>PC</v>
          </cell>
          <cell r="D751">
            <v>2</v>
          </cell>
          <cell r="E751">
            <v>3426</v>
          </cell>
          <cell r="F751">
            <v>6852</v>
          </cell>
        </row>
        <row r="752">
          <cell r="A752" t="str">
            <v>B-1010-52460</v>
          </cell>
          <cell r="B752" t="str">
            <v>BOLT M.24X60 (8.8)</v>
          </cell>
          <cell r="C752" t="str">
            <v>PC</v>
          </cell>
          <cell r="D752">
            <v>103</v>
          </cell>
          <cell r="E752">
            <v>4401</v>
          </cell>
          <cell r="F752">
            <v>453328</v>
          </cell>
        </row>
        <row r="753">
          <cell r="A753" t="str">
            <v>B-1010-52475</v>
          </cell>
          <cell r="B753" t="str">
            <v xml:space="preserve"> BOLT M.24X75 8.8</v>
          </cell>
          <cell r="C753" t="str">
            <v>PC</v>
          </cell>
          <cell r="D753">
            <v>0</v>
          </cell>
          <cell r="E753">
            <v>6730</v>
          </cell>
          <cell r="F753">
            <v>0</v>
          </cell>
        </row>
        <row r="754">
          <cell r="A754" t="str">
            <v>B-1010-52490</v>
          </cell>
          <cell r="B754" t="str">
            <v>BOLT M.24X90 (8.8)</v>
          </cell>
          <cell r="C754" t="str">
            <v>PC</v>
          </cell>
          <cell r="D754">
            <v>104</v>
          </cell>
          <cell r="E754">
            <v>6652</v>
          </cell>
          <cell r="F754">
            <v>691778</v>
          </cell>
        </row>
        <row r="755">
          <cell r="A755" t="str">
            <v>B-1010-53090</v>
          </cell>
          <cell r="B755" t="str">
            <v>BOLT M.30X90 (8.8)</v>
          </cell>
          <cell r="C755" t="str">
            <v>PC</v>
          </cell>
          <cell r="D755">
            <v>60</v>
          </cell>
          <cell r="E755">
            <v>19950</v>
          </cell>
          <cell r="F755">
            <v>1197000</v>
          </cell>
        </row>
        <row r="756">
          <cell r="A756" t="str">
            <v>B-1010-61025</v>
          </cell>
          <cell r="B756" t="str">
            <v>BOLT M6X25-10.9</v>
          </cell>
          <cell r="C756" t="str">
            <v>PC</v>
          </cell>
          <cell r="D756">
            <v>40</v>
          </cell>
          <cell r="E756">
            <v>4902</v>
          </cell>
          <cell r="F756">
            <v>196080</v>
          </cell>
        </row>
        <row r="757">
          <cell r="A757" t="str">
            <v>B-1010-61245</v>
          </cell>
          <cell r="B757" t="str">
            <v>Bolt M2X45-10.9</v>
          </cell>
          <cell r="C757" t="str">
            <v>PC</v>
          </cell>
          <cell r="D757">
            <v>32</v>
          </cell>
          <cell r="E757">
            <v>3445</v>
          </cell>
          <cell r="F757">
            <v>110240</v>
          </cell>
        </row>
        <row r="758">
          <cell r="A758" t="str">
            <v>B-1010-61260</v>
          </cell>
          <cell r="B758" t="str">
            <v>BOLT M12X60</v>
          </cell>
          <cell r="C758" t="str">
            <v>PC</v>
          </cell>
          <cell r="D758">
            <v>32</v>
          </cell>
          <cell r="E758">
            <v>4130</v>
          </cell>
          <cell r="F758">
            <v>132160</v>
          </cell>
        </row>
        <row r="759">
          <cell r="A759" t="str">
            <v>B-1010-61270</v>
          </cell>
          <cell r="B759" t="str">
            <v xml:space="preserve"> BOLT M12X70 10.9</v>
          </cell>
          <cell r="C759" t="str">
            <v>PC</v>
          </cell>
          <cell r="D759">
            <v>40</v>
          </cell>
          <cell r="E759">
            <v>4820</v>
          </cell>
          <cell r="F759">
            <v>192800</v>
          </cell>
        </row>
        <row r="760">
          <cell r="A760" t="str">
            <v>B-1010-61435</v>
          </cell>
          <cell r="B760" t="str">
            <v xml:space="preserve"> Bolt M.14X35-10.9</v>
          </cell>
          <cell r="C760" t="str">
            <v>PC</v>
          </cell>
          <cell r="D760">
            <v>0</v>
          </cell>
          <cell r="E760">
            <v>0</v>
          </cell>
          <cell r="F760">
            <v>0</v>
          </cell>
        </row>
        <row r="761">
          <cell r="A761" t="str">
            <v>B-1010-61440FD</v>
          </cell>
          <cell r="B761" t="str">
            <v>BOLT M.14X40 (10.9)</v>
          </cell>
          <cell r="C761" t="str">
            <v>PC</v>
          </cell>
          <cell r="D761">
            <v>48</v>
          </cell>
          <cell r="E761">
            <v>2496</v>
          </cell>
          <cell r="F761">
            <v>119808</v>
          </cell>
        </row>
        <row r="762">
          <cell r="A762" t="str">
            <v>B-1010-61460</v>
          </cell>
          <cell r="B762" t="str">
            <v xml:space="preserve"> BOLT M14X60 10.9</v>
          </cell>
          <cell r="C762" t="str">
            <v>PC</v>
          </cell>
          <cell r="D762">
            <v>32</v>
          </cell>
          <cell r="E762">
            <v>7280</v>
          </cell>
          <cell r="F762">
            <v>232960</v>
          </cell>
        </row>
        <row r="763">
          <cell r="A763" t="str">
            <v>B-1010-62060</v>
          </cell>
          <cell r="B763" t="str">
            <v>BOLT M20X2,5-60</v>
          </cell>
          <cell r="C763" t="str">
            <v>PC</v>
          </cell>
          <cell r="D763">
            <v>0</v>
          </cell>
          <cell r="E763">
            <v>13650</v>
          </cell>
          <cell r="F763">
            <v>0</v>
          </cell>
        </row>
        <row r="764">
          <cell r="A764" t="str">
            <v>B-1010-62070</v>
          </cell>
          <cell r="B764" t="str">
            <v xml:space="preserve"> BOLT M20X70 10.9</v>
          </cell>
          <cell r="C764" t="str">
            <v>PC</v>
          </cell>
          <cell r="D764">
            <v>6</v>
          </cell>
          <cell r="E764">
            <v>15930</v>
          </cell>
          <cell r="F764">
            <v>95580</v>
          </cell>
        </row>
        <row r="765">
          <cell r="A765" t="str">
            <v>B-1010-62475</v>
          </cell>
          <cell r="B765" t="str">
            <v>BOLT M.24X75 (10.9)</v>
          </cell>
          <cell r="C765" t="str">
            <v>PC</v>
          </cell>
          <cell r="D765">
            <v>10</v>
          </cell>
          <cell r="E765">
            <v>16260</v>
          </cell>
          <cell r="F765">
            <v>162600</v>
          </cell>
        </row>
        <row r="766">
          <cell r="A766" t="str">
            <v>B-1010-63070</v>
          </cell>
          <cell r="B766" t="str">
            <v xml:space="preserve"> BOLT M.30X70 (10.9) F/D</v>
          </cell>
          <cell r="C766" t="str">
            <v>PC</v>
          </cell>
          <cell r="D766">
            <v>12</v>
          </cell>
          <cell r="E766">
            <v>59175</v>
          </cell>
          <cell r="F766">
            <v>710100</v>
          </cell>
        </row>
        <row r="767">
          <cell r="A767" t="str">
            <v>B-1010-71220</v>
          </cell>
          <cell r="B767" t="str">
            <v>BOLT M.12X20 (12.9)</v>
          </cell>
          <cell r="C767" t="str">
            <v>PC</v>
          </cell>
          <cell r="D767">
            <v>36</v>
          </cell>
          <cell r="E767">
            <v>3600</v>
          </cell>
          <cell r="F767">
            <v>129600</v>
          </cell>
        </row>
        <row r="768">
          <cell r="A768" t="str">
            <v>B-1010-71230</v>
          </cell>
          <cell r="B768" t="str">
            <v>BOLT M12X30-12.9</v>
          </cell>
          <cell r="C768" t="str">
            <v>PC</v>
          </cell>
          <cell r="D768">
            <v>0</v>
          </cell>
          <cell r="E768">
            <v>0</v>
          </cell>
          <cell r="F768">
            <v>0</v>
          </cell>
        </row>
        <row r="769">
          <cell r="A769" t="str">
            <v>B-1010-71280</v>
          </cell>
          <cell r="B769" t="str">
            <v>BOLT M.12X80 grd12.9</v>
          </cell>
          <cell r="C769" t="str">
            <v>PC</v>
          </cell>
          <cell r="D769">
            <v>6</v>
          </cell>
          <cell r="E769">
            <v>34666</v>
          </cell>
          <cell r="F769">
            <v>207996</v>
          </cell>
        </row>
        <row r="770">
          <cell r="A770" t="str">
            <v>B-1010-71630</v>
          </cell>
          <cell r="B770" t="str">
            <v>BOLT M.16X30 (12.9)</v>
          </cell>
          <cell r="C770" t="str">
            <v>PC</v>
          </cell>
          <cell r="D770">
            <v>40</v>
          </cell>
          <cell r="E770">
            <v>4872</v>
          </cell>
          <cell r="F770">
            <v>194880</v>
          </cell>
        </row>
        <row r="771">
          <cell r="A771" t="str">
            <v>B-1010-71660</v>
          </cell>
          <cell r="B771" t="str">
            <v>BOLT M.16X60</v>
          </cell>
          <cell r="C771" t="str">
            <v>PC</v>
          </cell>
          <cell r="D771">
            <v>0</v>
          </cell>
          <cell r="E771">
            <v>13500</v>
          </cell>
          <cell r="F771">
            <v>0</v>
          </cell>
        </row>
        <row r="772">
          <cell r="A772" t="str">
            <v>B-1010-71665</v>
          </cell>
          <cell r="B772" t="str">
            <v>BOLT M.16X65 (12.9)</v>
          </cell>
          <cell r="C772" t="str">
            <v>PC</v>
          </cell>
          <cell r="D772">
            <v>216</v>
          </cell>
          <cell r="E772">
            <v>8496</v>
          </cell>
          <cell r="F772">
            <v>1835136</v>
          </cell>
        </row>
        <row r="773">
          <cell r="A773" t="str">
            <v>B-1010-71680</v>
          </cell>
          <cell r="B773" t="str">
            <v>BOLT M.16X80 grd12.9</v>
          </cell>
          <cell r="C773" t="str">
            <v>PC</v>
          </cell>
          <cell r="D773">
            <v>0</v>
          </cell>
          <cell r="E773">
            <v>17428</v>
          </cell>
          <cell r="F773">
            <v>0</v>
          </cell>
        </row>
        <row r="774">
          <cell r="A774" t="str">
            <v>B-1010-72070</v>
          </cell>
          <cell r="B774" t="str">
            <v xml:space="preserve"> BOLT M20X70-12.9</v>
          </cell>
          <cell r="C774" t="str">
            <v>PC</v>
          </cell>
          <cell r="D774">
            <v>0</v>
          </cell>
          <cell r="E774">
            <v>22500</v>
          </cell>
          <cell r="F774">
            <v>0</v>
          </cell>
        </row>
        <row r="775">
          <cell r="A775" t="str">
            <v>B-1010-72260</v>
          </cell>
          <cell r="B775" t="str">
            <v xml:space="preserve"> BOLT M22X60 12.9</v>
          </cell>
          <cell r="C775" t="str">
            <v>PC</v>
          </cell>
          <cell r="D775">
            <v>0</v>
          </cell>
          <cell r="E775">
            <v>25500</v>
          </cell>
          <cell r="F775">
            <v>0</v>
          </cell>
        </row>
        <row r="776">
          <cell r="A776" t="str">
            <v>B-1010-72475</v>
          </cell>
          <cell r="B776" t="str">
            <v>BOLT M.24X75 (12.9)</v>
          </cell>
          <cell r="C776" t="str">
            <v>PC</v>
          </cell>
          <cell r="D776">
            <v>30</v>
          </cell>
          <cell r="E776">
            <v>19500</v>
          </cell>
          <cell r="F776">
            <v>585000</v>
          </cell>
        </row>
        <row r="777">
          <cell r="A777" t="str">
            <v>B-1010-73070</v>
          </cell>
          <cell r="B777" t="str">
            <v xml:space="preserve"> BOLT 30X70-12.9</v>
          </cell>
          <cell r="C777" t="str">
            <v>PC</v>
          </cell>
          <cell r="D777">
            <v>0</v>
          </cell>
          <cell r="E777">
            <v>71945</v>
          </cell>
          <cell r="F777">
            <v>0</v>
          </cell>
        </row>
        <row r="778">
          <cell r="A778" t="str">
            <v>B-1010-73090</v>
          </cell>
          <cell r="B778" t="str">
            <v>BOLT M.30X90 (12.9)</v>
          </cell>
          <cell r="C778" t="str">
            <v>PC</v>
          </cell>
          <cell r="D778">
            <v>20</v>
          </cell>
          <cell r="E778">
            <v>55500</v>
          </cell>
          <cell r="F778">
            <v>1110000</v>
          </cell>
        </row>
        <row r="779">
          <cell r="A779" t="str">
            <v>B1010M-06-06</v>
          </cell>
          <cell r="B779" t="str">
            <v>ADAPTOR</v>
          </cell>
          <cell r="C779" t="str">
            <v>PC</v>
          </cell>
          <cell r="D779">
            <v>0</v>
          </cell>
          <cell r="E779">
            <v>0</v>
          </cell>
          <cell r="F779">
            <v>0</v>
          </cell>
        </row>
        <row r="780">
          <cell r="A780" t="str">
            <v>B1010M-08-08</v>
          </cell>
          <cell r="B780" t="str">
            <v>ADAPTOR</v>
          </cell>
          <cell r="C780" t="str">
            <v>PC</v>
          </cell>
          <cell r="D780">
            <v>0</v>
          </cell>
          <cell r="E780">
            <v>0</v>
          </cell>
          <cell r="F780">
            <v>0</v>
          </cell>
        </row>
        <row r="781">
          <cell r="A781" t="str">
            <v>B1010M-16-16</v>
          </cell>
          <cell r="B781" t="str">
            <v>ADAPTOR</v>
          </cell>
          <cell r="C781" t="str">
            <v>PC</v>
          </cell>
          <cell r="D781">
            <v>0</v>
          </cell>
          <cell r="E781">
            <v>0</v>
          </cell>
          <cell r="F781">
            <v>0</v>
          </cell>
        </row>
        <row r="782">
          <cell r="A782" t="str">
            <v>B-1011-31400</v>
          </cell>
          <cell r="B782" t="str">
            <v>BOLT M.14X100</v>
          </cell>
          <cell r="C782" t="str">
            <v>PC</v>
          </cell>
          <cell r="D782">
            <v>0</v>
          </cell>
          <cell r="E782">
            <v>7785</v>
          </cell>
          <cell r="F782">
            <v>0</v>
          </cell>
        </row>
        <row r="783">
          <cell r="A783" t="str">
            <v>B-1011-31620</v>
          </cell>
          <cell r="B783" t="str">
            <v>BOLT M.16X120 (SUS)</v>
          </cell>
          <cell r="C783" t="str">
            <v>PC</v>
          </cell>
          <cell r="D783">
            <v>52</v>
          </cell>
          <cell r="E783">
            <v>11677</v>
          </cell>
          <cell r="F783">
            <v>607204</v>
          </cell>
        </row>
        <row r="784">
          <cell r="A784" t="str">
            <v>B-1011-32000</v>
          </cell>
          <cell r="B784" t="str">
            <v>BOLT M.16X100(SUS)</v>
          </cell>
          <cell r="C784" t="str">
            <v>PC</v>
          </cell>
          <cell r="D784">
            <v>0</v>
          </cell>
          <cell r="E784">
            <v>25850</v>
          </cell>
          <cell r="F784">
            <v>0</v>
          </cell>
        </row>
        <row r="785">
          <cell r="A785" t="str">
            <v>B-1011-32030</v>
          </cell>
          <cell r="B785" t="str">
            <v>BOLT M.20X130 (8.8)</v>
          </cell>
          <cell r="C785" t="str">
            <v>PC</v>
          </cell>
          <cell r="D785">
            <v>20</v>
          </cell>
          <cell r="E785">
            <v>26122</v>
          </cell>
          <cell r="F785">
            <v>522440</v>
          </cell>
        </row>
        <row r="786">
          <cell r="A786" t="str">
            <v>B-1011-32050</v>
          </cell>
          <cell r="B786" t="str">
            <v>BOLT M.20X150(SUS)</v>
          </cell>
          <cell r="C786" t="str">
            <v>PC</v>
          </cell>
          <cell r="D786">
            <v>0</v>
          </cell>
          <cell r="E786">
            <v>36400</v>
          </cell>
          <cell r="F786">
            <v>0</v>
          </cell>
        </row>
        <row r="787">
          <cell r="A787" t="str">
            <v>B-1011-50800</v>
          </cell>
          <cell r="B787" t="str">
            <v>BOLT M.8X100 (8.8)</v>
          </cell>
          <cell r="C787" t="str">
            <v>PC</v>
          </cell>
          <cell r="D787">
            <v>827</v>
          </cell>
          <cell r="E787">
            <v>420</v>
          </cell>
          <cell r="F787">
            <v>347340</v>
          </cell>
        </row>
        <row r="788">
          <cell r="A788" t="str">
            <v>B1011-51000</v>
          </cell>
          <cell r="B788" t="str">
            <v>Bolt (B-1011-51000)</v>
          </cell>
          <cell r="C788" t="str">
            <v>PC</v>
          </cell>
          <cell r="D788">
            <v>0</v>
          </cell>
          <cell r="E788">
            <v>438</v>
          </cell>
          <cell r="F788">
            <v>0</v>
          </cell>
        </row>
        <row r="789">
          <cell r="A789" t="str">
            <v>B-1011-51000</v>
          </cell>
          <cell r="B789" t="str">
            <v>BOLT M10X100 (8.8)</v>
          </cell>
          <cell r="C789" t="str">
            <v>PC</v>
          </cell>
          <cell r="D789">
            <v>2124</v>
          </cell>
          <cell r="E789">
            <v>1299</v>
          </cell>
          <cell r="F789">
            <v>2758711</v>
          </cell>
        </row>
        <row r="790">
          <cell r="A790" t="str">
            <v>B-1011-51010</v>
          </cell>
          <cell r="B790" t="str">
            <v>BOLT M10X110 (8.8)</v>
          </cell>
          <cell r="C790" t="str">
            <v>PC</v>
          </cell>
          <cell r="D790">
            <v>387</v>
          </cell>
          <cell r="E790">
            <v>627</v>
          </cell>
          <cell r="F790">
            <v>242656</v>
          </cell>
        </row>
        <row r="791">
          <cell r="A791" t="str">
            <v>B-1011-51200</v>
          </cell>
          <cell r="B791" t="str">
            <v>BOLT M12X100 (8.8)</v>
          </cell>
          <cell r="C791" t="str">
            <v>PC</v>
          </cell>
          <cell r="D791">
            <v>281</v>
          </cell>
          <cell r="E791">
            <v>1026</v>
          </cell>
          <cell r="F791">
            <v>288306</v>
          </cell>
        </row>
        <row r="792">
          <cell r="A792" t="str">
            <v>B-1011-51210</v>
          </cell>
          <cell r="B792" t="str">
            <v>BOLT M12X110 (8.8)</v>
          </cell>
          <cell r="C792" t="str">
            <v>PC</v>
          </cell>
          <cell r="D792">
            <v>67</v>
          </cell>
          <cell r="E792">
            <v>1104</v>
          </cell>
          <cell r="F792">
            <v>73968</v>
          </cell>
        </row>
        <row r="793">
          <cell r="A793" t="str">
            <v>B-1011-51220</v>
          </cell>
          <cell r="B793" t="str">
            <v>BOLT M12X120 (8.8)</v>
          </cell>
          <cell r="C793" t="str">
            <v>PC</v>
          </cell>
          <cell r="D793">
            <v>50</v>
          </cell>
          <cell r="E793">
            <v>1182</v>
          </cell>
          <cell r="F793">
            <v>59100</v>
          </cell>
        </row>
        <row r="794">
          <cell r="A794" t="str">
            <v>B-1011-51230</v>
          </cell>
          <cell r="B794" t="str">
            <v>BOLT M12X130 (8.8)</v>
          </cell>
          <cell r="C794" t="str">
            <v>PC</v>
          </cell>
          <cell r="D794">
            <v>109</v>
          </cell>
          <cell r="E794">
            <v>1955</v>
          </cell>
          <cell r="F794">
            <v>213095</v>
          </cell>
        </row>
        <row r="795">
          <cell r="A795" t="str">
            <v>B-1011-51240</v>
          </cell>
          <cell r="B795" t="str">
            <v>BOLT M.20X140</v>
          </cell>
          <cell r="C795" t="str">
            <v>PC</v>
          </cell>
          <cell r="D795">
            <v>10</v>
          </cell>
          <cell r="E795">
            <v>2420</v>
          </cell>
          <cell r="F795">
            <v>24200</v>
          </cell>
        </row>
        <row r="796">
          <cell r="A796" t="str">
            <v>B-1011-51250</v>
          </cell>
          <cell r="B796" t="str">
            <v>BOLT M12X150 (8.8)</v>
          </cell>
          <cell r="C796" t="str">
            <v>PC</v>
          </cell>
          <cell r="D796">
            <v>96</v>
          </cell>
          <cell r="E796">
            <v>1398</v>
          </cell>
          <cell r="F796">
            <v>134208</v>
          </cell>
        </row>
        <row r="797">
          <cell r="A797" t="str">
            <v>B-1011-51400</v>
          </cell>
          <cell r="B797" t="str">
            <v>BOLT M.14X100</v>
          </cell>
          <cell r="C797" t="str">
            <v>PC</v>
          </cell>
          <cell r="D797">
            <v>59</v>
          </cell>
          <cell r="E797">
            <v>2876</v>
          </cell>
          <cell r="F797">
            <v>169684</v>
          </cell>
        </row>
        <row r="798">
          <cell r="A798" t="str">
            <v>B-1011-51600</v>
          </cell>
          <cell r="B798" t="str">
            <v>BOLT M16X100 (8.8)</v>
          </cell>
          <cell r="C798" t="str">
            <v>PC</v>
          </cell>
          <cell r="D798">
            <v>156</v>
          </cell>
          <cell r="E798">
            <v>1506</v>
          </cell>
          <cell r="F798">
            <v>234936</v>
          </cell>
        </row>
        <row r="799">
          <cell r="A799" t="str">
            <v>B-1011-51610</v>
          </cell>
          <cell r="B799" t="str">
            <v>BOLT M16X110 (8.8)</v>
          </cell>
          <cell r="C799" t="str">
            <v>PC</v>
          </cell>
          <cell r="D799">
            <v>53</v>
          </cell>
          <cell r="E799">
            <v>1915</v>
          </cell>
          <cell r="F799">
            <v>101508</v>
          </cell>
        </row>
        <row r="800">
          <cell r="A800" t="str">
            <v>B-1011-51620</v>
          </cell>
          <cell r="B800" t="str">
            <v>BOLT M16X120</v>
          </cell>
          <cell r="C800" t="str">
            <v>PC</v>
          </cell>
          <cell r="D800">
            <v>70</v>
          </cell>
          <cell r="E800">
            <v>3204</v>
          </cell>
          <cell r="F800">
            <v>224250</v>
          </cell>
        </row>
        <row r="801">
          <cell r="A801" t="str">
            <v>B-1011-51630</v>
          </cell>
          <cell r="B801" t="str">
            <v>BOLT M16X130 (8.8)</v>
          </cell>
          <cell r="C801" t="str">
            <v>PC</v>
          </cell>
          <cell r="D801">
            <v>182</v>
          </cell>
          <cell r="E801">
            <v>3446</v>
          </cell>
          <cell r="F801">
            <v>627109</v>
          </cell>
        </row>
        <row r="802">
          <cell r="A802" t="str">
            <v>B-1011-51640</v>
          </cell>
          <cell r="B802" t="str">
            <v>BOLT M16X140 (8.8)</v>
          </cell>
          <cell r="C802" t="str">
            <v>PC</v>
          </cell>
          <cell r="D802">
            <v>3</v>
          </cell>
          <cell r="E802">
            <v>2040</v>
          </cell>
          <cell r="F802">
            <v>6120</v>
          </cell>
        </row>
        <row r="803">
          <cell r="A803" t="str">
            <v>B-1011-51650</v>
          </cell>
          <cell r="B803" t="str">
            <v>BOLT M16X150 (8.8)</v>
          </cell>
          <cell r="C803" t="str">
            <v>PC</v>
          </cell>
          <cell r="D803">
            <v>0</v>
          </cell>
          <cell r="E803">
            <v>1189</v>
          </cell>
          <cell r="F803">
            <v>0</v>
          </cell>
        </row>
        <row r="804">
          <cell r="A804" t="str">
            <v>B-1011-51660</v>
          </cell>
          <cell r="B804" t="str">
            <v>BOLT M16X160 (8.8)</v>
          </cell>
          <cell r="C804" t="str">
            <v>PC</v>
          </cell>
          <cell r="D804">
            <v>106</v>
          </cell>
          <cell r="E804">
            <v>11825</v>
          </cell>
          <cell r="F804">
            <v>1253450</v>
          </cell>
        </row>
        <row r="805">
          <cell r="A805" t="str">
            <v>B-1011-51670</v>
          </cell>
          <cell r="B805" t="str">
            <v>BOLT M16X170 (8.8)</v>
          </cell>
          <cell r="C805" t="str">
            <v>PC</v>
          </cell>
          <cell r="D805">
            <v>28</v>
          </cell>
          <cell r="E805">
            <v>10665</v>
          </cell>
          <cell r="F805">
            <v>298623</v>
          </cell>
        </row>
        <row r="806">
          <cell r="A806" t="str">
            <v>B-1011-51690</v>
          </cell>
          <cell r="B806" t="str">
            <v>BOLT M16X190 (8.8)</v>
          </cell>
          <cell r="C806" t="str">
            <v>PC</v>
          </cell>
          <cell r="D806">
            <v>2</v>
          </cell>
          <cell r="E806">
            <v>5861</v>
          </cell>
          <cell r="F806">
            <v>11722</v>
          </cell>
        </row>
        <row r="807">
          <cell r="A807" t="str">
            <v>B-1011-51830</v>
          </cell>
          <cell r="B807" t="str">
            <v xml:space="preserve"> BOLT M.18X130 8.8</v>
          </cell>
          <cell r="C807" t="str">
            <v>PC</v>
          </cell>
          <cell r="D807">
            <v>18</v>
          </cell>
          <cell r="E807">
            <v>6545</v>
          </cell>
          <cell r="F807">
            <v>117810</v>
          </cell>
        </row>
        <row r="808">
          <cell r="A808" t="str">
            <v>B-1011-52000</v>
          </cell>
          <cell r="B808" t="str">
            <v>BOLT M.20 X 100</v>
          </cell>
          <cell r="C808" t="str">
            <v>PC</v>
          </cell>
          <cell r="D808">
            <v>0</v>
          </cell>
          <cell r="E808">
            <v>0</v>
          </cell>
          <cell r="F808">
            <v>0</v>
          </cell>
        </row>
        <row r="809">
          <cell r="A809" t="str">
            <v>B-1011-52000-FD</v>
          </cell>
          <cell r="B809" t="str">
            <v>BOLT M20X100 (8.8) FULL DRT</v>
          </cell>
          <cell r="C809" t="str">
            <v>PC</v>
          </cell>
          <cell r="D809">
            <v>360</v>
          </cell>
          <cell r="E809">
            <v>7500</v>
          </cell>
          <cell r="F809">
            <v>2700000</v>
          </cell>
        </row>
        <row r="810">
          <cell r="A810" t="str">
            <v>B-1011-52010</v>
          </cell>
          <cell r="B810" t="str">
            <v>BOLT M20X110</v>
          </cell>
          <cell r="C810" t="str">
            <v>PC</v>
          </cell>
          <cell r="D810">
            <v>216</v>
          </cell>
          <cell r="E810">
            <v>4539</v>
          </cell>
          <cell r="F810">
            <v>980398</v>
          </cell>
        </row>
        <row r="811">
          <cell r="A811" t="str">
            <v>B-1011-52020</v>
          </cell>
          <cell r="B811" t="str">
            <v>BOLT M20x120</v>
          </cell>
          <cell r="C811" t="str">
            <v>PC</v>
          </cell>
          <cell r="D811">
            <v>0</v>
          </cell>
          <cell r="E811">
            <v>0</v>
          </cell>
          <cell r="F811">
            <v>0</v>
          </cell>
        </row>
        <row r="812">
          <cell r="A812" t="str">
            <v>B-1011-52030</v>
          </cell>
          <cell r="B812" t="str">
            <v>BOLT M20X130 (8.8)</v>
          </cell>
          <cell r="C812" t="str">
            <v>PC</v>
          </cell>
          <cell r="D812">
            <v>206</v>
          </cell>
          <cell r="E812">
            <v>1925</v>
          </cell>
          <cell r="F812">
            <v>396550</v>
          </cell>
        </row>
        <row r="813">
          <cell r="A813" t="str">
            <v>B-1011-52040</v>
          </cell>
          <cell r="B813" t="str">
            <v>BOLT M20X140 (8.8) =B-1012-52040</v>
          </cell>
          <cell r="C813" t="str">
            <v>PC</v>
          </cell>
          <cell r="D813">
            <v>0</v>
          </cell>
          <cell r="E813">
            <v>5775</v>
          </cell>
          <cell r="F813">
            <v>0</v>
          </cell>
        </row>
        <row r="814">
          <cell r="A814" t="str">
            <v>B-1011-52050</v>
          </cell>
          <cell r="B814" t="str">
            <v>BOLT M20X150 (8.8)</v>
          </cell>
          <cell r="C814" t="str">
            <v>PC</v>
          </cell>
          <cell r="D814">
            <v>10</v>
          </cell>
          <cell r="E814">
            <v>4050</v>
          </cell>
          <cell r="F814">
            <v>40500</v>
          </cell>
        </row>
        <row r="815">
          <cell r="A815" t="str">
            <v>B-1011-52070</v>
          </cell>
          <cell r="B815" t="str">
            <v>BOLT M20X170</v>
          </cell>
          <cell r="C815" t="str">
            <v>PC</v>
          </cell>
          <cell r="D815">
            <v>0</v>
          </cell>
          <cell r="E815">
            <v>0</v>
          </cell>
          <cell r="F815">
            <v>0</v>
          </cell>
        </row>
        <row r="816">
          <cell r="A816" t="str">
            <v>B-1011-52080</v>
          </cell>
          <cell r="B816" t="str">
            <v>BOLT M20X180 (8.8)</v>
          </cell>
          <cell r="C816" t="str">
            <v>PC</v>
          </cell>
          <cell r="D816">
            <v>35</v>
          </cell>
          <cell r="E816">
            <v>7680</v>
          </cell>
          <cell r="F816">
            <v>268800</v>
          </cell>
        </row>
        <row r="817">
          <cell r="A817" t="str">
            <v>B-1011-52200</v>
          </cell>
          <cell r="B817" t="str">
            <v>BOLT M22X100 (8.8)</v>
          </cell>
          <cell r="C817" t="str">
            <v>PC</v>
          </cell>
          <cell r="D817">
            <v>93</v>
          </cell>
          <cell r="E817">
            <v>2274</v>
          </cell>
          <cell r="F817">
            <v>211482</v>
          </cell>
        </row>
        <row r="818">
          <cell r="A818" t="str">
            <v>B-1011-52230</v>
          </cell>
          <cell r="B818" t="str">
            <v>BOLT M22X130 (8.8)</v>
          </cell>
          <cell r="C818" t="str">
            <v>PC</v>
          </cell>
          <cell r="D818">
            <v>211</v>
          </cell>
          <cell r="E818">
            <v>2780</v>
          </cell>
          <cell r="F818">
            <v>586580</v>
          </cell>
        </row>
        <row r="819">
          <cell r="A819" t="str">
            <v>B-1011-52430</v>
          </cell>
          <cell r="B819" t="str">
            <v>BOLT M24X130 (8.8)</v>
          </cell>
          <cell r="C819" t="str">
            <v>PC</v>
          </cell>
          <cell r="D819">
            <v>5</v>
          </cell>
          <cell r="E819">
            <v>5688</v>
          </cell>
          <cell r="F819">
            <v>28440</v>
          </cell>
        </row>
        <row r="820">
          <cell r="A820" t="str">
            <v>B-1011-52450</v>
          </cell>
          <cell r="B820" t="str">
            <v xml:space="preserve"> BOLT 24X150-8.8</v>
          </cell>
          <cell r="C820" t="str">
            <v>PC</v>
          </cell>
          <cell r="D820">
            <v>3</v>
          </cell>
          <cell r="E820">
            <v>10500</v>
          </cell>
          <cell r="F820">
            <v>31500</v>
          </cell>
        </row>
        <row r="821">
          <cell r="A821" t="str">
            <v>B-1011-53010</v>
          </cell>
          <cell r="B821" t="str">
            <v>BOLT M30X110 (8.8)</v>
          </cell>
          <cell r="C821" t="str">
            <v>PC</v>
          </cell>
          <cell r="D821">
            <v>18</v>
          </cell>
          <cell r="E821">
            <v>28067</v>
          </cell>
          <cell r="F821">
            <v>505206</v>
          </cell>
        </row>
        <row r="822">
          <cell r="A822" t="str">
            <v>B-1011-53030</v>
          </cell>
          <cell r="B822" t="str">
            <v>BOLT M30X130 (8.8)</v>
          </cell>
          <cell r="C822" t="str">
            <v>PC</v>
          </cell>
          <cell r="D822">
            <v>20</v>
          </cell>
          <cell r="E822">
            <v>28809</v>
          </cell>
          <cell r="F822">
            <v>576180</v>
          </cell>
        </row>
        <row r="823">
          <cell r="A823" t="str">
            <v>B-1011-53050</v>
          </cell>
          <cell r="B823" t="str">
            <v>BOLT M30X150 (8.8)</v>
          </cell>
          <cell r="C823" t="str">
            <v>PC</v>
          </cell>
          <cell r="D823">
            <v>3</v>
          </cell>
          <cell r="E823">
            <v>19454</v>
          </cell>
          <cell r="F823">
            <v>58362</v>
          </cell>
        </row>
        <row r="824">
          <cell r="A824" t="str">
            <v>B-1011-71455</v>
          </cell>
          <cell r="B824" t="str">
            <v>BOLT M14X55 (12.9)</v>
          </cell>
          <cell r="C824" t="str">
            <v>PC</v>
          </cell>
          <cell r="D824">
            <v>460</v>
          </cell>
          <cell r="E824">
            <v>17700</v>
          </cell>
          <cell r="F824">
            <v>8142000</v>
          </cell>
        </row>
        <row r="825">
          <cell r="A825" t="str">
            <v>B-1011-72000</v>
          </cell>
          <cell r="B825" t="str">
            <v xml:space="preserve"> BOLT M20X100 12.9</v>
          </cell>
          <cell r="C825" t="str">
            <v>PC</v>
          </cell>
          <cell r="D825">
            <v>10</v>
          </cell>
          <cell r="E825">
            <v>32142</v>
          </cell>
          <cell r="F825">
            <v>321420</v>
          </cell>
        </row>
        <row r="826">
          <cell r="A826" t="str">
            <v>B-1011-72020</v>
          </cell>
          <cell r="B826" t="str">
            <v>BOLT M20X120 (12.9)</v>
          </cell>
          <cell r="C826" t="str">
            <v>PC</v>
          </cell>
          <cell r="D826">
            <v>6</v>
          </cell>
          <cell r="E826">
            <v>16080</v>
          </cell>
          <cell r="F826">
            <v>96480</v>
          </cell>
        </row>
        <row r="827">
          <cell r="A827" t="str">
            <v>B-1011-72400</v>
          </cell>
          <cell r="B827" t="str">
            <v xml:space="preserve"> BOLT M.24X100 12.9</v>
          </cell>
          <cell r="C827" t="str">
            <v>PC</v>
          </cell>
          <cell r="D827">
            <v>18</v>
          </cell>
          <cell r="E827">
            <v>43250</v>
          </cell>
          <cell r="F827">
            <v>778500</v>
          </cell>
        </row>
        <row r="828">
          <cell r="A828" t="str">
            <v>B-1011-72420</v>
          </cell>
          <cell r="B828" t="str">
            <v>BOLT M24X120 (12.9)</v>
          </cell>
          <cell r="C828" t="str">
            <v>PC</v>
          </cell>
          <cell r="D828">
            <v>5</v>
          </cell>
          <cell r="E828">
            <v>41400</v>
          </cell>
          <cell r="F828">
            <v>207000</v>
          </cell>
        </row>
        <row r="829">
          <cell r="A829" t="str">
            <v>B-1012-51600</v>
          </cell>
          <cell r="B829" t="str">
            <v>BOLT M16X200 (8.8)</v>
          </cell>
          <cell r="C829" t="str">
            <v>PC</v>
          </cell>
          <cell r="D829">
            <v>200</v>
          </cell>
          <cell r="E829">
            <v>6390</v>
          </cell>
          <cell r="F829">
            <v>1278000</v>
          </cell>
        </row>
        <row r="830">
          <cell r="A830" t="str">
            <v>B-1012-51620</v>
          </cell>
          <cell r="B830" t="str">
            <v>BOLT M16X220 (8.8)</v>
          </cell>
          <cell r="C830" t="str">
            <v>PC</v>
          </cell>
          <cell r="D830">
            <v>31</v>
          </cell>
          <cell r="E830">
            <v>11585</v>
          </cell>
          <cell r="F830">
            <v>359127</v>
          </cell>
        </row>
        <row r="831">
          <cell r="A831" t="str">
            <v>B-1012-52000</v>
          </cell>
          <cell r="B831" t="str">
            <v>BOLT M20X200 (8.8)</v>
          </cell>
          <cell r="C831" t="str">
            <v>PC</v>
          </cell>
          <cell r="D831">
            <v>100</v>
          </cell>
          <cell r="E831">
            <v>13800</v>
          </cell>
          <cell r="F831">
            <v>1380000</v>
          </cell>
        </row>
        <row r="832">
          <cell r="A832" t="str">
            <v>B-1012-52020</v>
          </cell>
          <cell r="B832" t="str">
            <v xml:space="preserve"> BOLT M20X220 (8.8)</v>
          </cell>
          <cell r="C832" t="str">
            <v>PC</v>
          </cell>
          <cell r="D832">
            <v>0</v>
          </cell>
          <cell r="E832">
            <v>19257</v>
          </cell>
          <cell r="F832">
            <v>0</v>
          </cell>
        </row>
        <row r="833">
          <cell r="A833" t="str">
            <v>B-1012-52040</v>
          </cell>
          <cell r="B833" t="str">
            <v>BOLT M.20X140 = B-1011-52040</v>
          </cell>
          <cell r="C833" t="str">
            <v>PC</v>
          </cell>
          <cell r="D833">
            <v>50</v>
          </cell>
          <cell r="E833">
            <v>6116</v>
          </cell>
          <cell r="F833">
            <v>305800</v>
          </cell>
        </row>
        <row r="834">
          <cell r="A834" t="str">
            <v>B-1012-52050</v>
          </cell>
          <cell r="B834" t="str">
            <v xml:space="preserve"> BOLT M20X250 8.8</v>
          </cell>
          <cell r="C834" t="str">
            <v>PC</v>
          </cell>
          <cell r="D834">
            <v>10</v>
          </cell>
          <cell r="E834">
            <v>21883</v>
          </cell>
          <cell r="F834">
            <v>218830</v>
          </cell>
        </row>
        <row r="835">
          <cell r="A835" t="str">
            <v>B-1012-52080</v>
          </cell>
          <cell r="B835" t="str">
            <v>BOLT M20X280 (8.8)</v>
          </cell>
          <cell r="C835" t="str">
            <v>PC</v>
          </cell>
          <cell r="D835">
            <v>282</v>
          </cell>
          <cell r="E835">
            <v>25627</v>
          </cell>
          <cell r="F835">
            <v>7226729</v>
          </cell>
        </row>
        <row r="836">
          <cell r="A836" t="str">
            <v>B-1012-52420</v>
          </cell>
          <cell r="B836" t="str">
            <v>BOLT M.24X220 (8.8)</v>
          </cell>
          <cell r="C836" t="str">
            <v>PC</v>
          </cell>
          <cell r="D836">
            <v>0</v>
          </cell>
          <cell r="E836">
            <v>29520</v>
          </cell>
          <cell r="F836">
            <v>0</v>
          </cell>
        </row>
        <row r="837">
          <cell r="A837" t="str">
            <v>B-1012-53630</v>
          </cell>
          <cell r="B837" t="str">
            <v>BOLT M36X230 (8.8)</v>
          </cell>
          <cell r="C837" t="str">
            <v>PC</v>
          </cell>
          <cell r="D837">
            <v>6</v>
          </cell>
          <cell r="E837">
            <v>59271</v>
          </cell>
          <cell r="F837">
            <v>355626</v>
          </cell>
        </row>
        <row r="838">
          <cell r="A838" t="str">
            <v>B-1012-54225</v>
          </cell>
          <cell r="B838" t="str">
            <v>BOLT M42X225 (8.8)</v>
          </cell>
          <cell r="C838" t="str">
            <v>PC</v>
          </cell>
          <cell r="D838">
            <v>8</v>
          </cell>
          <cell r="E838">
            <v>88230</v>
          </cell>
          <cell r="F838">
            <v>705840</v>
          </cell>
        </row>
        <row r="839">
          <cell r="A839" t="str">
            <v>B-1012-61600</v>
          </cell>
          <cell r="B839" t="str">
            <v>BOLT M16X200 (10.9)</v>
          </cell>
          <cell r="C839" t="str">
            <v>PC</v>
          </cell>
          <cell r="D839">
            <v>14</v>
          </cell>
          <cell r="E839">
            <v>17952</v>
          </cell>
          <cell r="F839">
            <v>251328</v>
          </cell>
        </row>
        <row r="840">
          <cell r="A840" t="str">
            <v>B-1012-71820</v>
          </cell>
          <cell r="B840" t="str">
            <v>BOLT M18X220 (12.9)</v>
          </cell>
          <cell r="C840" t="str">
            <v>PC</v>
          </cell>
          <cell r="D840">
            <v>2</v>
          </cell>
          <cell r="E840">
            <v>28800</v>
          </cell>
          <cell r="F840">
            <v>57600</v>
          </cell>
        </row>
        <row r="841">
          <cell r="A841" t="str">
            <v>B-1012-72040</v>
          </cell>
          <cell r="B841" t="str">
            <v>BOLT M20X240 (12.9)</v>
          </cell>
          <cell r="C841" t="str">
            <v>PC</v>
          </cell>
          <cell r="D841">
            <v>2</v>
          </cell>
          <cell r="E841">
            <v>28080</v>
          </cell>
          <cell r="F841">
            <v>56160</v>
          </cell>
        </row>
        <row r="842">
          <cell r="A842" t="str">
            <v>B-1012-72060</v>
          </cell>
          <cell r="B842" t="str">
            <v>BOLT M20X260 (12.9)</v>
          </cell>
          <cell r="C842" t="str">
            <v>PC</v>
          </cell>
          <cell r="D842">
            <v>3</v>
          </cell>
          <cell r="E842">
            <v>30120</v>
          </cell>
          <cell r="F842">
            <v>90360</v>
          </cell>
        </row>
        <row r="843">
          <cell r="A843" t="str">
            <v>B-1016-51060</v>
          </cell>
          <cell r="B843" t="str">
            <v>Bolt</v>
          </cell>
          <cell r="C843" t="str">
            <v>PC</v>
          </cell>
          <cell r="D843">
            <v>520</v>
          </cell>
          <cell r="E843">
            <v>2475</v>
          </cell>
          <cell r="F843">
            <v>1287000</v>
          </cell>
        </row>
        <row r="844">
          <cell r="A844" t="str">
            <v>B-1016-51650</v>
          </cell>
          <cell r="B844" t="str">
            <v>BOLT M.16X50 (8.8)FULL DRAT</v>
          </cell>
          <cell r="C844" t="str">
            <v>PC</v>
          </cell>
          <cell r="D844">
            <v>0</v>
          </cell>
          <cell r="E844">
            <v>0</v>
          </cell>
          <cell r="F844">
            <v>0</v>
          </cell>
        </row>
        <row r="845">
          <cell r="A845" t="str">
            <v>B1030M-12-12</v>
          </cell>
          <cell r="B845" t="str">
            <v>ADAPTOR BULKHEAD</v>
          </cell>
          <cell r="C845" t="str">
            <v>PC</v>
          </cell>
          <cell r="D845">
            <v>0</v>
          </cell>
          <cell r="E845">
            <v>0</v>
          </cell>
          <cell r="F845">
            <v>0</v>
          </cell>
        </row>
        <row r="846">
          <cell r="A846" t="str">
            <v>B1040M/1216</v>
          </cell>
          <cell r="B846" t="str">
            <v xml:space="preserve"> NIPLE 1"NPTX21/16JIC</v>
          </cell>
          <cell r="C846" t="str">
            <v>PC</v>
          </cell>
          <cell r="D846">
            <v>0</v>
          </cell>
          <cell r="E846">
            <v>54887</v>
          </cell>
          <cell r="F846">
            <v>0</v>
          </cell>
        </row>
        <row r="847">
          <cell r="A847" t="str">
            <v>B1040M-02-20</v>
          </cell>
          <cell r="B847" t="str">
            <v>ADAPTOR</v>
          </cell>
          <cell r="C847" t="str">
            <v>PC</v>
          </cell>
          <cell r="D847">
            <v>0</v>
          </cell>
          <cell r="E847">
            <v>0</v>
          </cell>
          <cell r="F847">
            <v>0</v>
          </cell>
        </row>
        <row r="848">
          <cell r="A848" t="str">
            <v>B1040M-06-06</v>
          </cell>
          <cell r="B848" t="str">
            <v>ADAPTOR</v>
          </cell>
          <cell r="C848" t="str">
            <v>PC</v>
          </cell>
          <cell r="D848">
            <v>0</v>
          </cell>
          <cell r="E848">
            <v>0</v>
          </cell>
          <cell r="F848">
            <v>0</v>
          </cell>
        </row>
        <row r="849">
          <cell r="A849" t="str">
            <v>B1040M-08-08</v>
          </cell>
          <cell r="B849" t="str">
            <v>ADAPTOR</v>
          </cell>
          <cell r="C849" t="str">
            <v>PC</v>
          </cell>
          <cell r="D849">
            <v>0</v>
          </cell>
          <cell r="E849">
            <v>0</v>
          </cell>
          <cell r="F849">
            <v>0</v>
          </cell>
        </row>
        <row r="850">
          <cell r="A850" t="str">
            <v>B1040M-16-12</v>
          </cell>
          <cell r="B850" t="str">
            <v>ADAPTOR</v>
          </cell>
          <cell r="C850" t="str">
            <v>PC</v>
          </cell>
          <cell r="D850">
            <v>0</v>
          </cell>
          <cell r="E850">
            <v>0</v>
          </cell>
          <cell r="F850">
            <v>0</v>
          </cell>
        </row>
        <row r="851">
          <cell r="A851" t="str">
            <v>B1040M-16-16</v>
          </cell>
          <cell r="B851" t="str">
            <v>Niplle 1"NPTX1,5/16 JIC</v>
          </cell>
          <cell r="C851" t="str">
            <v>PC</v>
          </cell>
          <cell r="D851">
            <v>0</v>
          </cell>
          <cell r="E851">
            <v>90778</v>
          </cell>
          <cell r="F851">
            <v>0</v>
          </cell>
        </row>
        <row r="852">
          <cell r="A852" t="str">
            <v>B1040M-20-20</v>
          </cell>
          <cell r="B852" t="str">
            <v xml:space="preserve"> D.N 5/4NPT X 13/8JIC</v>
          </cell>
          <cell r="C852" t="str">
            <v>PC</v>
          </cell>
          <cell r="D852">
            <v>0</v>
          </cell>
          <cell r="E852">
            <v>126323</v>
          </cell>
          <cell r="F852">
            <v>0</v>
          </cell>
        </row>
        <row r="853">
          <cell r="A853" t="str">
            <v>B1040M-24-24</v>
          </cell>
          <cell r="B853" t="str">
            <v>Niplle 1-1/2 NPTX1-7/8 JIC</v>
          </cell>
          <cell r="C853" t="str">
            <v>PC</v>
          </cell>
          <cell r="D853">
            <v>0</v>
          </cell>
          <cell r="E853">
            <v>100440</v>
          </cell>
          <cell r="F853">
            <v>0</v>
          </cell>
        </row>
        <row r="854">
          <cell r="A854" t="str">
            <v>B-1050-50820</v>
          </cell>
          <cell r="B854" t="str">
            <v>BOLT M.8X20</v>
          </cell>
          <cell r="C854" t="str">
            <v>PC</v>
          </cell>
          <cell r="D854">
            <v>520</v>
          </cell>
          <cell r="E854">
            <v>1211</v>
          </cell>
          <cell r="F854">
            <v>629760</v>
          </cell>
        </row>
        <row r="855">
          <cell r="A855" t="str">
            <v>B-1050-50825</v>
          </cell>
          <cell r="B855" t="str">
            <v>BOLT M8X25 (8.8)-DH</v>
          </cell>
          <cell r="C855" t="str">
            <v>PC</v>
          </cell>
          <cell r="D855">
            <v>136</v>
          </cell>
          <cell r="E855">
            <v>1537</v>
          </cell>
          <cell r="F855">
            <v>209032</v>
          </cell>
        </row>
        <row r="856">
          <cell r="A856" t="str">
            <v>B-1050-50850</v>
          </cell>
          <cell r="B856" t="str">
            <v>BOLT</v>
          </cell>
          <cell r="C856" t="str">
            <v>PC</v>
          </cell>
          <cell r="D856">
            <v>546</v>
          </cell>
          <cell r="E856">
            <v>3900</v>
          </cell>
          <cell r="F856">
            <v>2129400</v>
          </cell>
        </row>
        <row r="857">
          <cell r="A857" t="str">
            <v>B-1050-51020</v>
          </cell>
          <cell r="B857" t="str">
            <v>BOLT M10X20X1,25</v>
          </cell>
          <cell r="C857" t="str">
            <v>PC</v>
          </cell>
          <cell r="D857">
            <v>125</v>
          </cell>
          <cell r="E857">
            <v>359</v>
          </cell>
          <cell r="F857">
            <v>44875</v>
          </cell>
        </row>
        <row r="858">
          <cell r="A858" t="str">
            <v>B-1050-51025</v>
          </cell>
          <cell r="B858" t="str">
            <v>BOLT M10X25X1,25</v>
          </cell>
          <cell r="C858" t="str">
            <v>PC</v>
          </cell>
          <cell r="D858">
            <v>2817</v>
          </cell>
          <cell r="E858">
            <v>513</v>
          </cell>
          <cell r="F858">
            <v>1446121</v>
          </cell>
        </row>
        <row r="859">
          <cell r="A859" t="str">
            <v>B-1050-51030</v>
          </cell>
          <cell r="B859" t="str">
            <v>BOLT M.10X30-DH</v>
          </cell>
          <cell r="C859" t="str">
            <v>PC</v>
          </cell>
          <cell r="D859">
            <v>936</v>
          </cell>
          <cell r="E859">
            <v>2010</v>
          </cell>
          <cell r="F859">
            <v>1881360</v>
          </cell>
        </row>
        <row r="860">
          <cell r="A860" t="str">
            <v>B-1050-51030.</v>
          </cell>
          <cell r="B860" t="str">
            <v>BOLT M10X30 (8.8)</v>
          </cell>
          <cell r="C860" t="str">
            <v>PC</v>
          </cell>
          <cell r="D860">
            <v>0</v>
          </cell>
          <cell r="E860">
            <v>2010</v>
          </cell>
          <cell r="F860">
            <v>0</v>
          </cell>
        </row>
        <row r="861">
          <cell r="A861" t="str">
            <v>B-1050-51035</v>
          </cell>
          <cell r="B861" t="str">
            <v>BOLT M10X35X1,25</v>
          </cell>
          <cell r="C861" t="str">
            <v>PC</v>
          </cell>
          <cell r="D861">
            <v>107</v>
          </cell>
          <cell r="E861">
            <v>2316</v>
          </cell>
          <cell r="F861">
            <v>247855</v>
          </cell>
        </row>
        <row r="862">
          <cell r="A862" t="str">
            <v>B-1050-51045</v>
          </cell>
          <cell r="B862" t="str">
            <v>BOLT M10X45X1,25</v>
          </cell>
          <cell r="C862" t="str">
            <v>PC</v>
          </cell>
          <cell r="D862">
            <v>30</v>
          </cell>
          <cell r="E862">
            <v>438</v>
          </cell>
          <cell r="F862">
            <v>13140</v>
          </cell>
        </row>
        <row r="863">
          <cell r="A863" t="str">
            <v>B-1050-51220</v>
          </cell>
          <cell r="B863" t="str">
            <v>BOLT M12X20X1,5 8.8</v>
          </cell>
          <cell r="C863" t="str">
            <v>PC</v>
          </cell>
          <cell r="D863">
            <v>43</v>
          </cell>
          <cell r="E863">
            <v>1530</v>
          </cell>
          <cell r="F863">
            <v>65790</v>
          </cell>
        </row>
        <row r="864">
          <cell r="A864" t="str">
            <v>B-1050-51225</v>
          </cell>
          <cell r="B864" t="str">
            <v>BOLT M12X25X1,25 8.8</v>
          </cell>
          <cell r="C864" t="str">
            <v>PC</v>
          </cell>
          <cell r="D864">
            <v>358</v>
          </cell>
          <cell r="E864">
            <v>514</v>
          </cell>
          <cell r="F864">
            <v>184012</v>
          </cell>
        </row>
        <row r="865">
          <cell r="A865" t="str">
            <v>B-1050-51230</v>
          </cell>
          <cell r="B865" t="str">
            <v>BOLT M12X30X1,25 8.8</v>
          </cell>
          <cell r="C865" t="str">
            <v>PC</v>
          </cell>
          <cell r="D865">
            <v>1152</v>
          </cell>
          <cell r="E865">
            <v>2413</v>
          </cell>
          <cell r="F865">
            <v>2779546</v>
          </cell>
        </row>
        <row r="866">
          <cell r="A866" t="str">
            <v>B-1050-51235</v>
          </cell>
          <cell r="B866" t="str">
            <v>BOLT M12X35X1,25 8.8</v>
          </cell>
          <cell r="C866" t="str">
            <v>PC</v>
          </cell>
          <cell r="D866">
            <v>648</v>
          </cell>
          <cell r="E866">
            <v>2706</v>
          </cell>
          <cell r="F866">
            <v>1753338</v>
          </cell>
        </row>
        <row r="867">
          <cell r="A867" t="str">
            <v>B-1050-51240</v>
          </cell>
          <cell r="B867" t="str">
            <v>BOLT M12</v>
          </cell>
          <cell r="C867" t="str">
            <v>PC</v>
          </cell>
          <cell r="D867">
            <v>763</v>
          </cell>
          <cell r="E867">
            <v>2460</v>
          </cell>
          <cell r="F867">
            <v>1877242</v>
          </cell>
        </row>
        <row r="868">
          <cell r="A868" t="str">
            <v>B-1050-51245</v>
          </cell>
          <cell r="B868" t="str">
            <v>BOLT M12X45</v>
          </cell>
          <cell r="C868" t="str">
            <v>PC</v>
          </cell>
          <cell r="D868">
            <v>579</v>
          </cell>
          <cell r="E868">
            <v>3475</v>
          </cell>
          <cell r="F868">
            <v>2011747</v>
          </cell>
        </row>
        <row r="869">
          <cell r="A869" t="str">
            <v>B-1050-51260</v>
          </cell>
          <cell r="B869" t="str">
            <v>BOLT M12X60X1,5</v>
          </cell>
          <cell r="C869" t="str">
            <v>PC</v>
          </cell>
          <cell r="D869">
            <v>20</v>
          </cell>
          <cell r="E869">
            <v>2580</v>
          </cell>
          <cell r="F869">
            <v>51600</v>
          </cell>
        </row>
        <row r="870">
          <cell r="A870" t="str">
            <v>B-1050-51265</v>
          </cell>
          <cell r="B870" t="str">
            <v>BOLT M12X65X1,25 8.8</v>
          </cell>
          <cell r="C870" t="str">
            <v>PC</v>
          </cell>
          <cell r="D870">
            <v>15</v>
          </cell>
          <cell r="E870">
            <v>1157</v>
          </cell>
          <cell r="F870">
            <v>17355</v>
          </cell>
        </row>
        <row r="871">
          <cell r="A871" t="str">
            <v>B-1050-51270</v>
          </cell>
          <cell r="B871" t="str">
            <v>BOLT M12X70X1,5  8.8</v>
          </cell>
          <cell r="C871" t="str">
            <v>PC</v>
          </cell>
          <cell r="D871">
            <v>11</v>
          </cell>
          <cell r="E871">
            <v>803</v>
          </cell>
          <cell r="F871">
            <v>8833</v>
          </cell>
        </row>
        <row r="872">
          <cell r="A872" t="str">
            <v>B-1050-51425</v>
          </cell>
          <cell r="B872" t="str">
            <v xml:space="preserve"> BOLT M14X25  8.8</v>
          </cell>
          <cell r="C872" t="str">
            <v>PC</v>
          </cell>
          <cell r="D872">
            <v>0</v>
          </cell>
          <cell r="E872">
            <v>4730</v>
          </cell>
          <cell r="F872">
            <v>0</v>
          </cell>
        </row>
        <row r="873">
          <cell r="A873" t="str">
            <v>B-1050-51430</v>
          </cell>
          <cell r="B873" t="str">
            <v>BOLT M14X30X1,25</v>
          </cell>
          <cell r="C873" t="str">
            <v>PC</v>
          </cell>
          <cell r="D873">
            <v>100</v>
          </cell>
          <cell r="E873">
            <v>2400</v>
          </cell>
          <cell r="F873">
            <v>240000</v>
          </cell>
        </row>
        <row r="874">
          <cell r="A874" t="str">
            <v>B-1050-51440</v>
          </cell>
          <cell r="B874" t="str">
            <v>BOLT M14x40</v>
          </cell>
          <cell r="C874" t="str">
            <v>PC</v>
          </cell>
          <cell r="D874">
            <v>462</v>
          </cell>
          <cell r="E874">
            <v>1539</v>
          </cell>
          <cell r="F874">
            <v>711064</v>
          </cell>
        </row>
        <row r="875">
          <cell r="A875" t="str">
            <v>B-1050-51445</v>
          </cell>
          <cell r="B875" t="str">
            <v>BOLT M14X45X1,5  8.8</v>
          </cell>
          <cell r="C875" t="str">
            <v>PC</v>
          </cell>
          <cell r="D875">
            <v>2392</v>
          </cell>
          <cell r="E875">
            <v>943</v>
          </cell>
          <cell r="F875">
            <v>2255656</v>
          </cell>
        </row>
        <row r="876">
          <cell r="A876" t="str">
            <v>B-1050-51450</v>
          </cell>
          <cell r="B876" t="str">
            <v>BOLT M14X50X1,25 8.8</v>
          </cell>
          <cell r="C876" t="str">
            <v>PC</v>
          </cell>
          <cell r="D876">
            <v>486</v>
          </cell>
          <cell r="E876">
            <v>1670</v>
          </cell>
          <cell r="F876">
            <v>811420</v>
          </cell>
        </row>
        <row r="877">
          <cell r="A877" t="str">
            <v>B-1050-51460</v>
          </cell>
          <cell r="B877" t="str">
            <v>BOLT M14X60X1,5  8.8</v>
          </cell>
          <cell r="C877" t="str">
            <v>PC</v>
          </cell>
          <cell r="D877">
            <v>297</v>
          </cell>
          <cell r="E877">
            <v>1235</v>
          </cell>
          <cell r="F877">
            <v>366795</v>
          </cell>
        </row>
        <row r="878">
          <cell r="A878" t="str">
            <v>B-1050-51612</v>
          </cell>
          <cell r="B878" t="str">
            <v xml:space="preserve"> Bolt</v>
          </cell>
          <cell r="C878" t="str">
            <v>PC</v>
          </cell>
          <cell r="D878">
            <v>0</v>
          </cell>
          <cell r="E878">
            <v>0</v>
          </cell>
          <cell r="F878">
            <v>0</v>
          </cell>
        </row>
        <row r="879">
          <cell r="A879" t="str">
            <v>B-1050-51630</v>
          </cell>
          <cell r="B879" t="str">
            <v>BOLT M16X30 8.8</v>
          </cell>
          <cell r="C879" t="str">
            <v>PC</v>
          </cell>
          <cell r="D879">
            <v>200</v>
          </cell>
          <cell r="E879">
            <v>5512</v>
          </cell>
          <cell r="F879">
            <v>1102400</v>
          </cell>
        </row>
        <row r="880">
          <cell r="A880" t="str">
            <v>B-1050-51635</v>
          </cell>
          <cell r="B880" t="str">
            <v>BOLT M16X35 8.8</v>
          </cell>
          <cell r="C880" t="str">
            <v>PC</v>
          </cell>
          <cell r="D880">
            <v>8</v>
          </cell>
          <cell r="E880">
            <v>3675</v>
          </cell>
          <cell r="F880">
            <v>29400</v>
          </cell>
        </row>
        <row r="881">
          <cell r="A881" t="str">
            <v>B-1050-51640</v>
          </cell>
          <cell r="B881" t="str">
            <v>BOLT M16X40X1,5  8.8</v>
          </cell>
          <cell r="C881" t="str">
            <v>PC</v>
          </cell>
          <cell r="D881">
            <v>100</v>
          </cell>
          <cell r="E881">
            <v>5534</v>
          </cell>
          <cell r="F881">
            <v>553400</v>
          </cell>
        </row>
        <row r="882">
          <cell r="A882" t="str">
            <v>B-1050-51645</v>
          </cell>
          <cell r="B882" t="str">
            <v xml:space="preserve"> BOLT 16X45 DH-8.8</v>
          </cell>
          <cell r="C882" t="str">
            <v>PC</v>
          </cell>
          <cell r="D882">
            <v>100</v>
          </cell>
          <cell r="E882">
            <v>6890</v>
          </cell>
          <cell r="F882">
            <v>689000</v>
          </cell>
        </row>
        <row r="883">
          <cell r="A883" t="str">
            <v>B-1050-51650</v>
          </cell>
          <cell r="B883" t="str">
            <v>BOLT M16X50X1,5  8.8</v>
          </cell>
          <cell r="C883" t="str">
            <v>PC</v>
          </cell>
          <cell r="D883">
            <v>301</v>
          </cell>
          <cell r="E883">
            <v>6449</v>
          </cell>
          <cell r="F883">
            <v>1941201</v>
          </cell>
        </row>
        <row r="884">
          <cell r="A884" t="str">
            <v>B-1050-51655</v>
          </cell>
          <cell r="B884" t="str">
            <v xml:space="preserve"> BOLT M16X55X1,5</v>
          </cell>
          <cell r="C884" t="str">
            <v>PC</v>
          </cell>
          <cell r="D884">
            <v>290</v>
          </cell>
          <cell r="E884">
            <v>7616</v>
          </cell>
          <cell r="F884">
            <v>2208531</v>
          </cell>
        </row>
        <row r="885">
          <cell r="A885" t="str">
            <v>B-1050-51660</v>
          </cell>
          <cell r="B885" t="str">
            <v xml:space="preserve"> BOLT M16X60X1,5 8.8</v>
          </cell>
          <cell r="C885" t="str">
            <v>PC</v>
          </cell>
          <cell r="D885">
            <v>412</v>
          </cell>
          <cell r="E885">
            <v>2602</v>
          </cell>
          <cell r="F885">
            <v>1072024</v>
          </cell>
        </row>
        <row r="886">
          <cell r="A886" t="str">
            <v>B-1050-51665</v>
          </cell>
          <cell r="B886" t="str">
            <v>BOLT M16X65X1/5 8.8</v>
          </cell>
          <cell r="C886" t="str">
            <v>PC</v>
          </cell>
          <cell r="D886">
            <v>65</v>
          </cell>
          <cell r="E886">
            <v>4888</v>
          </cell>
          <cell r="F886">
            <v>317720</v>
          </cell>
        </row>
        <row r="887">
          <cell r="A887" t="str">
            <v>B-1050-51675</v>
          </cell>
          <cell r="B887" t="str">
            <v>BOLT M16X75X1,5 8.8</v>
          </cell>
          <cell r="C887" t="str">
            <v>PC</v>
          </cell>
          <cell r="D887">
            <v>905</v>
          </cell>
          <cell r="E887">
            <v>2876</v>
          </cell>
          <cell r="F887">
            <v>2602961</v>
          </cell>
        </row>
        <row r="888">
          <cell r="A888" t="str">
            <v>B-1050-51690</v>
          </cell>
          <cell r="B888" t="str">
            <v>BOLT M16X90X1.5 8.8</v>
          </cell>
          <cell r="C888" t="str">
            <v>PC</v>
          </cell>
          <cell r="D888">
            <v>4</v>
          </cell>
          <cell r="E888">
            <v>6900</v>
          </cell>
          <cell r="F888">
            <v>27600</v>
          </cell>
        </row>
        <row r="889">
          <cell r="A889" t="str">
            <v>B-1050-51875</v>
          </cell>
          <cell r="B889" t="str">
            <v>BOLT M18X75X1,5 8.8</v>
          </cell>
          <cell r="C889" t="str">
            <v>PC</v>
          </cell>
          <cell r="D889">
            <v>186</v>
          </cell>
          <cell r="E889">
            <v>2492</v>
          </cell>
          <cell r="F889">
            <v>463512</v>
          </cell>
        </row>
        <row r="890">
          <cell r="A890" t="str">
            <v>B-1050-52065</v>
          </cell>
          <cell r="B890" t="str">
            <v xml:space="preserve"> Bolt</v>
          </cell>
          <cell r="C890" t="str">
            <v>PC</v>
          </cell>
          <cell r="D890">
            <v>0</v>
          </cell>
          <cell r="E890">
            <v>0</v>
          </cell>
          <cell r="F890">
            <v>0</v>
          </cell>
        </row>
        <row r="891">
          <cell r="A891" t="str">
            <v>B-1050-52070</v>
          </cell>
          <cell r="B891" t="str">
            <v xml:space="preserve"> BOLT M.20X70X1.5</v>
          </cell>
          <cell r="C891" t="str">
            <v>PC</v>
          </cell>
          <cell r="D891">
            <v>14</v>
          </cell>
          <cell r="E891">
            <v>13000</v>
          </cell>
          <cell r="F891">
            <v>182000</v>
          </cell>
        </row>
        <row r="892">
          <cell r="A892" t="str">
            <v>B-1050-52075</v>
          </cell>
          <cell r="B892" t="str">
            <v>BOLT M20X75X1.5 8.8</v>
          </cell>
          <cell r="C892" t="str">
            <v>PC</v>
          </cell>
          <cell r="D892">
            <v>100</v>
          </cell>
          <cell r="E892">
            <v>7800</v>
          </cell>
          <cell r="F892">
            <v>780000</v>
          </cell>
        </row>
        <row r="893">
          <cell r="A893" t="str">
            <v>B-1050-52095</v>
          </cell>
          <cell r="B893" t="str">
            <v>BOLT M20X90 8.8</v>
          </cell>
          <cell r="C893" t="str">
            <v>PC</v>
          </cell>
          <cell r="D893">
            <v>50</v>
          </cell>
          <cell r="E893">
            <v>4983</v>
          </cell>
          <cell r="F893">
            <v>249150</v>
          </cell>
        </row>
        <row r="894">
          <cell r="A894" t="str">
            <v>B-1050-52460</v>
          </cell>
          <cell r="B894" t="str">
            <v>BOLT</v>
          </cell>
          <cell r="C894" t="str">
            <v>PC</v>
          </cell>
          <cell r="D894">
            <v>4</v>
          </cell>
          <cell r="E894">
            <v>18750</v>
          </cell>
          <cell r="F894">
            <v>75000</v>
          </cell>
        </row>
        <row r="895">
          <cell r="A895" t="str">
            <v>B-1050-53070</v>
          </cell>
          <cell r="B895" t="str">
            <v>BOLT M30X70 8.8</v>
          </cell>
          <cell r="C895" t="str">
            <v>PC</v>
          </cell>
          <cell r="D895">
            <v>55</v>
          </cell>
          <cell r="E895">
            <v>28498</v>
          </cell>
          <cell r="F895">
            <v>1567383</v>
          </cell>
        </row>
        <row r="896">
          <cell r="A896" t="str">
            <v>B-1050-60840</v>
          </cell>
          <cell r="B896" t="str">
            <v xml:space="preserve"> BOLT M8X40 DH-10.9</v>
          </cell>
          <cell r="C896" t="str">
            <v>PC</v>
          </cell>
          <cell r="D896">
            <v>509</v>
          </cell>
          <cell r="E896">
            <v>1350</v>
          </cell>
          <cell r="F896">
            <v>687150</v>
          </cell>
        </row>
        <row r="897">
          <cell r="A897" t="str">
            <v>B-1050-61025</v>
          </cell>
          <cell r="B897" t="str">
            <v>Bolt M 10 x 25 (10.9)drate halus</v>
          </cell>
          <cell r="C897" t="str">
            <v>PC</v>
          </cell>
          <cell r="D897">
            <v>133</v>
          </cell>
          <cell r="E897">
            <v>1780</v>
          </cell>
          <cell r="F897">
            <v>236740</v>
          </cell>
        </row>
        <row r="898">
          <cell r="A898" t="str">
            <v>B-1050-61030</v>
          </cell>
          <cell r="B898" t="str">
            <v>Bolt M 10 x 30  (10.9) drate halus</v>
          </cell>
          <cell r="C898" t="str">
            <v>PC</v>
          </cell>
          <cell r="D898">
            <v>86</v>
          </cell>
          <cell r="E898">
            <v>1980</v>
          </cell>
          <cell r="F898">
            <v>170280</v>
          </cell>
        </row>
        <row r="899">
          <cell r="A899" t="str">
            <v>B-1050-61240</v>
          </cell>
          <cell r="B899" t="str">
            <v xml:space="preserve"> BOLT M12X40 DH-10.9</v>
          </cell>
          <cell r="C899" t="str">
            <v>PC</v>
          </cell>
          <cell r="D899">
            <v>0</v>
          </cell>
          <cell r="E899">
            <v>7800</v>
          </cell>
          <cell r="F899">
            <v>0</v>
          </cell>
        </row>
        <row r="900">
          <cell r="A900" t="str">
            <v>B-1050-61245</v>
          </cell>
          <cell r="B900" t="str">
            <v xml:space="preserve"> BOLT M12X45-DH 10.9</v>
          </cell>
          <cell r="C900" t="str">
            <v>PC</v>
          </cell>
          <cell r="D900">
            <v>0</v>
          </cell>
          <cell r="E900">
            <v>8775</v>
          </cell>
          <cell r="F900">
            <v>0</v>
          </cell>
        </row>
        <row r="901">
          <cell r="A901" t="str">
            <v>B-1050-61260</v>
          </cell>
          <cell r="B901" t="str">
            <v xml:space="preserve"> BOLT M12X60-DH 10.9</v>
          </cell>
          <cell r="C901" t="str">
            <v>PC</v>
          </cell>
          <cell r="D901">
            <v>0</v>
          </cell>
          <cell r="E901">
            <v>11700</v>
          </cell>
          <cell r="F901">
            <v>0</v>
          </cell>
        </row>
        <row r="902">
          <cell r="A902" t="str">
            <v>B-1050-61270</v>
          </cell>
          <cell r="B902" t="str">
            <v xml:space="preserve"> BOLT M12X70-DH 10.9</v>
          </cell>
          <cell r="C902" t="str">
            <v>PC</v>
          </cell>
          <cell r="D902">
            <v>0</v>
          </cell>
          <cell r="E902">
            <v>13650</v>
          </cell>
          <cell r="F902">
            <v>0</v>
          </cell>
        </row>
        <row r="903">
          <cell r="A903" t="str">
            <v>B-1050-61440</v>
          </cell>
          <cell r="B903" t="str">
            <v xml:space="preserve"> BOLT M14X40 DH-10.9</v>
          </cell>
          <cell r="C903" t="str">
            <v>PC</v>
          </cell>
          <cell r="D903">
            <v>2</v>
          </cell>
          <cell r="E903">
            <v>8400</v>
          </cell>
          <cell r="F903">
            <v>16800</v>
          </cell>
        </row>
        <row r="904">
          <cell r="A904" t="str">
            <v>B-1050-61460</v>
          </cell>
          <cell r="B904" t="str">
            <v xml:space="preserve"> BOLT M14X60-DH 10.9</v>
          </cell>
          <cell r="C904" t="str">
            <v>PC</v>
          </cell>
          <cell r="D904">
            <v>0</v>
          </cell>
          <cell r="E904">
            <v>12600</v>
          </cell>
          <cell r="F904">
            <v>0</v>
          </cell>
        </row>
        <row r="905">
          <cell r="A905" t="str">
            <v>B-1050-61675</v>
          </cell>
          <cell r="B905" t="str">
            <v>BOLT M16X75 10.9</v>
          </cell>
          <cell r="C905" t="str">
            <v>PC</v>
          </cell>
          <cell r="D905">
            <v>44</v>
          </cell>
          <cell r="E905">
            <v>9000</v>
          </cell>
          <cell r="F905">
            <v>396000</v>
          </cell>
        </row>
        <row r="906">
          <cell r="A906" t="str">
            <v>B-1050-61680</v>
          </cell>
          <cell r="B906" t="str">
            <v>BOLT M.16X80 (10.9)</v>
          </cell>
          <cell r="C906" t="str">
            <v>PC</v>
          </cell>
          <cell r="D906">
            <v>53</v>
          </cell>
          <cell r="E906">
            <v>6363</v>
          </cell>
          <cell r="F906">
            <v>337239</v>
          </cell>
        </row>
        <row r="907">
          <cell r="A907" t="str">
            <v>B-1050-62070</v>
          </cell>
          <cell r="B907" t="str">
            <v xml:space="preserve"> BOLT M20X70-DH 10.9</v>
          </cell>
          <cell r="C907" t="str">
            <v>PC</v>
          </cell>
          <cell r="D907">
            <v>0</v>
          </cell>
          <cell r="E907">
            <v>15930</v>
          </cell>
          <cell r="F907">
            <v>0</v>
          </cell>
        </row>
        <row r="908">
          <cell r="A908" t="str">
            <v>B-1050-71670</v>
          </cell>
          <cell r="B908" t="str">
            <v>BOLT M.16X70 12.9</v>
          </cell>
          <cell r="C908" t="str">
            <v>PC</v>
          </cell>
          <cell r="D908">
            <v>380</v>
          </cell>
          <cell r="E908">
            <v>10080</v>
          </cell>
          <cell r="F908">
            <v>3830400</v>
          </cell>
        </row>
        <row r="909">
          <cell r="A909" t="str">
            <v>B-1050-71675</v>
          </cell>
          <cell r="B909" t="str">
            <v>BOLT M16X75 12.9</v>
          </cell>
          <cell r="C909" t="str">
            <v>PC</v>
          </cell>
          <cell r="D909">
            <v>15</v>
          </cell>
          <cell r="E909">
            <v>9150</v>
          </cell>
          <cell r="F909">
            <v>137250</v>
          </cell>
        </row>
        <row r="910">
          <cell r="A910" t="str">
            <v>B-1050-71680</v>
          </cell>
          <cell r="B910" t="str">
            <v>BOLT M16X80 12.9</v>
          </cell>
          <cell r="C910" t="str">
            <v>PC</v>
          </cell>
          <cell r="D910">
            <v>53</v>
          </cell>
          <cell r="E910">
            <v>6363</v>
          </cell>
          <cell r="F910">
            <v>337239</v>
          </cell>
        </row>
        <row r="911">
          <cell r="A911" t="str">
            <v>B-1051-51040</v>
          </cell>
          <cell r="B911" t="str">
            <v>BOLT M10X140X1,25 8.8</v>
          </cell>
          <cell r="C911" t="str">
            <v>PC</v>
          </cell>
          <cell r="D911">
            <v>7</v>
          </cell>
          <cell r="E911">
            <v>1348</v>
          </cell>
          <cell r="F911">
            <v>9436</v>
          </cell>
        </row>
        <row r="912">
          <cell r="A912" t="str">
            <v>B-1051-51650</v>
          </cell>
          <cell r="B912" t="str">
            <v>BOLT M16X150X1,5 8.8</v>
          </cell>
          <cell r="C912" t="str">
            <v>PC</v>
          </cell>
          <cell r="D912">
            <v>200</v>
          </cell>
          <cell r="E912">
            <v>6793</v>
          </cell>
          <cell r="F912">
            <v>1358674</v>
          </cell>
        </row>
        <row r="913">
          <cell r="A913" t="str">
            <v>B-1051-52010</v>
          </cell>
          <cell r="B913" t="str">
            <v xml:space="preserve"> Bolt</v>
          </cell>
          <cell r="C913" t="str">
            <v>PC</v>
          </cell>
          <cell r="D913">
            <v>0</v>
          </cell>
          <cell r="E913">
            <v>0</v>
          </cell>
          <cell r="F913">
            <v>0</v>
          </cell>
        </row>
        <row r="914">
          <cell r="A914" t="str">
            <v>B-1051-61620</v>
          </cell>
          <cell r="B914" t="str">
            <v xml:space="preserve"> BOLT M16X120 DH-10.9</v>
          </cell>
          <cell r="C914" t="str">
            <v>PC</v>
          </cell>
          <cell r="D914">
            <v>0</v>
          </cell>
          <cell r="E914">
            <v>18450</v>
          </cell>
          <cell r="F914">
            <v>0</v>
          </cell>
        </row>
        <row r="915">
          <cell r="A915" t="str">
            <v>B1080M-12-12</v>
          </cell>
          <cell r="B915" t="str">
            <v xml:space="preserve"> NIPLE 3/4" </v>
          </cell>
          <cell r="C915" t="str">
            <v>PC</v>
          </cell>
          <cell r="D915">
            <v>0</v>
          </cell>
          <cell r="E915">
            <v>13</v>
          </cell>
          <cell r="F915">
            <v>0</v>
          </cell>
        </row>
        <row r="916">
          <cell r="A916" t="str">
            <v>B1140M-06-06</v>
          </cell>
          <cell r="B916" t="str">
            <v>ADAPTOR</v>
          </cell>
          <cell r="C916" t="str">
            <v>PC</v>
          </cell>
          <cell r="D916">
            <v>0</v>
          </cell>
          <cell r="E916">
            <v>0</v>
          </cell>
          <cell r="F916">
            <v>0</v>
          </cell>
        </row>
        <row r="917">
          <cell r="A917" t="str">
            <v>B-1210-00820</v>
          </cell>
          <cell r="B917" t="str">
            <v>BOLT INBUSH M 8X20</v>
          </cell>
          <cell r="C917" t="str">
            <v>PC</v>
          </cell>
          <cell r="D917">
            <v>167</v>
          </cell>
          <cell r="E917">
            <v>347</v>
          </cell>
          <cell r="F917">
            <v>57949</v>
          </cell>
        </row>
        <row r="918">
          <cell r="A918" t="str">
            <v>B-1210-00825</v>
          </cell>
          <cell r="B918" t="str">
            <v>BOLT INBUSH M 8X25</v>
          </cell>
          <cell r="C918" t="str">
            <v>PC</v>
          </cell>
          <cell r="D918">
            <v>707</v>
          </cell>
          <cell r="E918">
            <v>360</v>
          </cell>
          <cell r="F918">
            <v>254520</v>
          </cell>
        </row>
        <row r="919">
          <cell r="A919" t="str">
            <v>B-1210-00830</v>
          </cell>
          <cell r="B919" t="str">
            <v xml:space="preserve"> B.INBUSH M 8X30</v>
          </cell>
          <cell r="C919" t="str">
            <v>PC</v>
          </cell>
          <cell r="D919">
            <v>536</v>
          </cell>
          <cell r="E919">
            <v>1050</v>
          </cell>
          <cell r="F919">
            <v>562800</v>
          </cell>
        </row>
        <row r="920">
          <cell r="A920" t="str">
            <v>B-1210-01020</v>
          </cell>
          <cell r="B920" t="str">
            <v>BOLT INBUSH M 10X20</v>
          </cell>
          <cell r="C920" t="str">
            <v>PC</v>
          </cell>
          <cell r="D920">
            <v>35</v>
          </cell>
          <cell r="E920">
            <v>243</v>
          </cell>
          <cell r="F920">
            <v>8505</v>
          </cell>
        </row>
        <row r="921">
          <cell r="A921" t="str">
            <v>B-1210-01025</v>
          </cell>
          <cell r="B921" t="str">
            <v>BOLT INBUSH M 10X25</v>
          </cell>
          <cell r="C921" t="str">
            <v>PC</v>
          </cell>
          <cell r="D921">
            <v>360</v>
          </cell>
          <cell r="E921">
            <v>668</v>
          </cell>
          <cell r="F921">
            <v>240480</v>
          </cell>
        </row>
        <row r="922">
          <cell r="A922" t="str">
            <v>B-1210-01035</v>
          </cell>
          <cell r="B922" t="str">
            <v>BOLT INBUSH M10X35</v>
          </cell>
          <cell r="C922" t="str">
            <v>PC</v>
          </cell>
          <cell r="D922">
            <v>117</v>
          </cell>
          <cell r="E922">
            <v>955</v>
          </cell>
          <cell r="F922">
            <v>111749</v>
          </cell>
        </row>
        <row r="923">
          <cell r="A923" t="str">
            <v>B-1210-01230</v>
          </cell>
          <cell r="B923" t="str">
            <v>BOLT INBUSH M12X30</v>
          </cell>
          <cell r="C923" t="str">
            <v>PC</v>
          </cell>
          <cell r="D923">
            <v>34</v>
          </cell>
          <cell r="E923">
            <v>1758</v>
          </cell>
          <cell r="F923">
            <v>59772</v>
          </cell>
        </row>
        <row r="924">
          <cell r="A924" t="str">
            <v>B-1210-01270</v>
          </cell>
          <cell r="B924" t="str">
            <v>BOLT INBUSH M12X70</v>
          </cell>
          <cell r="C924" t="str">
            <v>PC</v>
          </cell>
          <cell r="D924">
            <v>65</v>
          </cell>
          <cell r="E924">
            <v>2256</v>
          </cell>
          <cell r="F924">
            <v>146640</v>
          </cell>
        </row>
        <row r="925">
          <cell r="A925" t="str">
            <v>B-1210-01660</v>
          </cell>
          <cell r="B925" t="str">
            <v>BOLT INBUSH M12X30</v>
          </cell>
          <cell r="C925" t="str">
            <v>PC</v>
          </cell>
          <cell r="D925">
            <v>5</v>
          </cell>
          <cell r="E925">
            <v>3822</v>
          </cell>
          <cell r="F925">
            <v>19110</v>
          </cell>
        </row>
        <row r="926">
          <cell r="A926" t="str">
            <v>B-1210-02050</v>
          </cell>
          <cell r="B926" t="str">
            <v>BOLT INBUSH M20X50</v>
          </cell>
          <cell r="C926" t="str">
            <v>PC</v>
          </cell>
          <cell r="D926">
            <v>2</v>
          </cell>
          <cell r="E926">
            <v>1</v>
          </cell>
          <cell r="F926">
            <v>2</v>
          </cell>
        </row>
        <row r="927">
          <cell r="A927" t="str">
            <v>B-1210-50838</v>
          </cell>
          <cell r="B927" t="str">
            <v xml:space="preserve"> BOLT 1/2"X1.5-13UNC</v>
          </cell>
          <cell r="C927" t="str">
            <v>PC</v>
          </cell>
          <cell r="D927">
            <v>80</v>
          </cell>
          <cell r="E927">
            <v>1143</v>
          </cell>
          <cell r="F927">
            <v>91440</v>
          </cell>
        </row>
        <row r="928">
          <cell r="A928" t="str">
            <v>B-1210-51000</v>
          </cell>
          <cell r="B928" t="str">
            <v>B.INBUSH M.10X100</v>
          </cell>
          <cell r="C928" t="str">
            <v>PC</v>
          </cell>
          <cell r="D928">
            <v>34</v>
          </cell>
          <cell r="E928">
            <v>4300</v>
          </cell>
          <cell r="F928">
            <v>146200</v>
          </cell>
        </row>
        <row r="929">
          <cell r="A929" t="str">
            <v>B-1210-51020</v>
          </cell>
          <cell r="B929" t="str">
            <v>BOLT M.10X20</v>
          </cell>
          <cell r="C929" t="str">
            <v>PC</v>
          </cell>
          <cell r="D929">
            <v>34</v>
          </cell>
          <cell r="E929">
            <v>1100</v>
          </cell>
          <cell r="F929">
            <v>37400</v>
          </cell>
        </row>
        <row r="930">
          <cell r="A930" t="str">
            <v>B-1210-51025</v>
          </cell>
          <cell r="B930" t="str">
            <v>BOLT</v>
          </cell>
          <cell r="C930" t="str">
            <v>PC</v>
          </cell>
          <cell r="D930">
            <v>86</v>
          </cell>
          <cell r="E930">
            <v>2975</v>
          </cell>
          <cell r="F930">
            <v>255850</v>
          </cell>
        </row>
        <row r="931">
          <cell r="A931" t="str">
            <v>B-1210-51050</v>
          </cell>
          <cell r="B931" t="str">
            <v>BOLT INBUSH M.10X50</v>
          </cell>
          <cell r="C931" t="str">
            <v>PC</v>
          </cell>
          <cell r="D931">
            <v>8</v>
          </cell>
          <cell r="E931">
            <v>1099</v>
          </cell>
          <cell r="F931">
            <v>8793</v>
          </cell>
        </row>
        <row r="932">
          <cell r="A932" t="str">
            <v>B-1210-51250</v>
          </cell>
          <cell r="B932" t="str">
            <v>BOLT INBUSH 1/2" X 50 - 13 UNC</v>
          </cell>
          <cell r="C932" t="str">
            <v>PC</v>
          </cell>
          <cell r="D932">
            <v>44</v>
          </cell>
          <cell r="E932">
            <v>5527</v>
          </cell>
          <cell r="F932">
            <v>243200</v>
          </cell>
        </row>
        <row r="933">
          <cell r="A933" t="str">
            <v>B-1210-51280</v>
          </cell>
          <cell r="B933" t="str">
            <v>BOLT INBUSH M.20X80</v>
          </cell>
          <cell r="C933" t="str">
            <v>PC</v>
          </cell>
          <cell r="D933">
            <v>7</v>
          </cell>
          <cell r="E933">
            <v>1171</v>
          </cell>
          <cell r="F933">
            <v>8197</v>
          </cell>
        </row>
        <row r="934">
          <cell r="A934" t="str">
            <v>B-1210-51645</v>
          </cell>
          <cell r="B934" t="str">
            <v>BOLT INBUSH M16X45</v>
          </cell>
          <cell r="C934" t="str">
            <v>PC</v>
          </cell>
          <cell r="D934">
            <v>25</v>
          </cell>
          <cell r="E934">
            <v>1845</v>
          </cell>
          <cell r="F934">
            <v>46125</v>
          </cell>
        </row>
        <row r="935">
          <cell r="A935" t="str">
            <v>B-1210-51650</v>
          </cell>
          <cell r="B935" t="str">
            <v>BOLT INBUSH M.16X50</v>
          </cell>
          <cell r="C935" t="str">
            <v>PC</v>
          </cell>
          <cell r="D935">
            <v>60</v>
          </cell>
          <cell r="E935">
            <v>2050</v>
          </cell>
          <cell r="F935">
            <v>123000</v>
          </cell>
        </row>
        <row r="936">
          <cell r="A936" t="str">
            <v>B-1210-51670</v>
          </cell>
          <cell r="B936" t="str">
            <v>BOLT INBUSH M16X70</v>
          </cell>
          <cell r="C936" t="str">
            <v>PC</v>
          </cell>
          <cell r="D936">
            <v>162</v>
          </cell>
          <cell r="E936">
            <v>3289</v>
          </cell>
          <cell r="F936">
            <v>532818</v>
          </cell>
        </row>
        <row r="937">
          <cell r="A937" t="str">
            <v>B-1210-51675</v>
          </cell>
          <cell r="B937" t="str">
            <v>BOLT INBUSH M.16X75</v>
          </cell>
          <cell r="C937" t="str">
            <v>PC</v>
          </cell>
          <cell r="D937">
            <v>26</v>
          </cell>
          <cell r="E937">
            <v>2970</v>
          </cell>
          <cell r="F937">
            <v>77220</v>
          </cell>
        </row>
        <row r="938">
          <cell r="A938" t="str">
            <v>B-1210-52090</v>
          </cell>
          <cell r="B938" t="str">
            <v>BOLT INBUSH M.20X90</v>
          </cell>
          <cell r="C938" t="str">
            <v>PC</v>
          </cell>
          <cell r="D938">
            <v>24</v>
          </cell>
          <cell r="E938">
            <v>5908</v>
          </cell>
          <cell r="F938">
            <v>141792</v>
          </cell>
        </row>
        <row r="939">
          <cell r="A939" t="str">
            <v>B-1210-60830</v>
          </cell>
          <cell r="B939" t="str">
            <v xml:space="preserve"> Bolt Inbush Pump</v>
          </cell>
          <cell r="C939" t="str">
            <v>PC</v>
          </cell>
          <cell r="D939">
            <v>44</v>
          </cell>
          <cell r="E939">
            <v>1050</v>
          </cell>
          <cell r="F939">
            <v>46200</v>
          </cell>
        </row>
        <row r="940">
          <cell r="A940" t="str">
            <v>B-1210-61230</v>
          </cell>
          <cell r="B940" t="str">
            <v xml:space="preserve"> Bolt Inbush PTO</v>
          </cell>
          <cell r="C940" t="str">
            <v>PC</v>
          </cell>
          <cell r="D940">
            <v>344</v>
          </cell>
          <cell r="E940">
            <v>1780</v>
          </cell>
          <cell r="F940">
            <v>612320</v>
          </cell>
        </row>
        <row r="941">
          <cell r="A941" t="str">
            <v>B-1210-70860</v>
          </cell>
          <cell r="B941" t="str">
            <v>BOLT INBUSH M 8 X 60</v>
          </cell>
          <cell r="C941" t="str">
            <v>PC</v>
          </cell>
          <cell r="D941">
            <v>50</v>
          </cell>
          <cell r="E941">
            <v>2100</v>
          </cell>
          <cell r="F941">
            <v>105000</v>
          </cell>
        </row>
        <row r="942">
          <cell r="A942" t="str">
            <v>B-1210-72450</v>
          </cell>
          <cell r="B942" t="str">
            <v xml:space="preserve"> INBUSH M.14X50-12.9</v>
          </cell>
          <cell r="C942" t="str">
            <v>PC</v>
          </cell>
          <cell r="D942">
            <v>0</v>
          </cell>
          <cell r="E942">
            <v>7435</v>
          </cell>
          <cell r="F942">
            <v>0</v>
          </cell>
        </row>
        <row r="943">
          <cell r="A943" t="str">
            <v>B-1210-72455</v>
          </cell>
          <cell r="B943" t="str">
            <v>B INBUSH M.24X55 10.9</v>
          </cell>
          <cell r="C943" t="str">
            <v>PC</v>
          </cell>
          <cell r="D943">
            <v>4</v>
          </cell>
          <cell r="E943">
            <v>23760</v>
          </cell>
          <cell r="F943">
            <v>95040</v>
          </cell>
        </row>
        <row r="944">
          <cell r="A944" t="str">
            <v>B1210M-12-12-12</v>
          </cell>
          <cell r="B944" t="str">
            <v xml:space="preserve"> TEE-CONNECTOR</v>
          </cell>
          <cell r="C944" t="str">
            <v>PC</v>
          </cell>
          <cell r="D944">
            <v>16</v>
          </cell>
          <cell r="E944">
            <v>89691</v>
          </cell>
          <cell r="F944">
            <v>1435052</v>
          </cell>
        </row>
        <row r="945">
          <cell r="A945" t="str">
            <v>B1210M-16-16-16</v>
          </cell>
          <cell r="B945" t="str">
            <v>ADAPTOR</v>
          </cell>
          <cell r="C945" t="str">
            <v>PC</v>
          </cell>
          <cell r="D945">
            <v>0</v>
          </cell>
          <cell r="E945">
            <v>0</v>
          </cell>
          <cell r="F945">
            <v>0</v>
          </cell>
        </row>
        <row r="946">
          <cell r="A946" t="str">
            <v>B-1211-50850</v>
          </cell>
          <cell r="B946" t="str">
            <v>BOLT INBUSH M 8X150</v>
          </cell>
          <cell r="C946" t="str">
            <v>PC</v>
          </cell>
          <cell r="D946">
            <v>59</v>
          </cell>
          <cell r="E946">
            <v>4560</v>
          </cell>
          <cell r="F946">
            <v>269040</v>
          </cell>
        </row>
        <row r="947">
          <cell r="A947" t="str">
            <v>B-1211-52010</v>
          </cell>
          <cell r="B947" t="str">
            <v>BOLT INBUSH M 20X110</v>
          </cell>
          <cell r="C947" t="str">
            <v>PC</v>
          </cell>
          <cell r="D947">
            <v>20</v>
          </cell>
          <cell r="E947">
            <v>7620</v>
          </cell>
          <cell r="F947">
            <v>152400</v>
          </cell>
        </row>
        <row r="948">
          <cell r="A948" t="str">
            <v>B-1211-71900</v>
          </cell>
          <cell r="B948" t="str">
            <v>BOLT INBUSH 3/4" x 4"</v>
          </cell>
          <cell r="C948" t="str">
            <v>PC</v>
          </cell>
          <cell r="D948">
            <v>100</v>
          </cell>
          <cell r="E948">
            <v>22869</v>
          </cell>
          <cell r="F948">
            <v>2286900</v>
          </cell>
        </row>
        <row r="949">
          <cell r="A949" t="str">
            <v>B-1220-00520</v>
          </cell>
          <cell r="B949" t="str">
            <v>SCREW M.5X20</v>
          </cell>
          <cell r="C949" t="str">
            <v>PC</v>
          </cell>
          <cell r="D949">
            <v>0</v>
          </cell>
          <cell r="E949">
            <v>50</v>
          </cell>
          <cell r="F949">
            <v>0</v>
          </cell>
        </row>
        <row r="950">
          <cell r="A950" t="str">
            <v>B-1220-04010</v>
          </cell>
          <cell r="B950" t="str">
            <v>SCREW M.4X10</v>
          </cell>
          <cell r="C950" t="str">
            <v>PC</v>
          </cell>
          <cell r="D950">
            <v>136</v>
          </cell>
          <cell r="E950">
            <v>12</v>
          </cell>
          <cell r="F950">
            <v>1632</v>
          </cell>
        </row>
        <row r="951">
          <cell r="A951" t="str">
            <v>B-1220-04015</v>
          </cell>
          <cell r="B951" t="str">
            <v>SCREW M.4X15</v>
          </cell>
          <cell r="C951" t="str">
            <v>PC</v>
          </cell>
          <cell r="D951">
            <v>3918</v>
          </cell>
          <cell r="E951">
            <v>14</v>
          </cell>
          <cell r="F951">
            <v>54852</v>
          </cell>
        </row>
        <row r="952">
          <cell r="A952" t="str">
            <v>B-1220-04016</v>
          </cell>
          <cell r="B952" t="str">
            <v>SCREW M.4X16</v>
          </cell>
          <cell r="C952" t="str">
            <v>PC</v>
          </cell>
          <cell r="D952">
            <v>1430</v>
          </cell>
          <cell r="E952">
            <v>60</v>
          </cell>
          <cell r="F952">
            <v>85800</v>
          </cell>
        </row>
        <row r="953">
          <cell r="A953" t="str">
            <v>B-1220-04030</v>
          </cell>
          <cell r="B953" t="str">
            <v>SCREW M.4X30</v>
          </cell>
          <cell r="C953" t="str">
            <v>PC</v>
          </cell>
          <cell r="D953">
            <v>400</v>
          </cell>
          <cell r="E953">
            <v>25</v>
          </cell>
          <cell r="F953">
            <v>10000</v>
          </cell>
        </row>
        <row r="954">
          <cell r="A954" t="str">
            <v>B-1220-05010</v>
          </cell>
          <cell r="B954" t="str">
            <v>SCREW</v>
          </cell>
          <cell r="C954" t="str">
            <v>PC</v>
          </cell>
          <cell r="D954">
            <v>13</v>
          </cell>
          <cell r="E954">
            <v>18</v>
          </cell>
          <cell r="F954">
            <v>234</v>
          </cell>
        </row>
        <row r="955">
          <cell r="A955" t="str">
            <v>B-1220-05030</v>
          </cell>
          <cell r="B955" t="str">
            <v>SCREW M.5X30</v>
          </cell>
          <cell r="C955" t="str">
            <v>PC</v>
          </cell>
          <cell r="D955">
            <v>5468</v>
          </cell>
          <cell r="E955">
            <v>23</v>
          </cell>
          <cell r="F955">
            <v>125764</v>
          </cell>
        </row>
        <row r="956">
          <cell r="A956" t="str">
            <v>B-1220-50520</v>
          </cell>
          <cell r="B956" t="str">
            <v>BOLT SCREW 5X20</v>
          </cell>
          <cell r="C956" t="str">
            <v>PC</v>
          </cell>
          <cell r="D956">
            <v>1800</v>
          </cell>
          <cell r="E956">
            <v>45</v>
          </cell>
          <cell r="F956">
            <v>81000</v>
          </cell>
        </row>
        <row r="957">
          <cell r="A957" t="str">
            <v>B-1230-01030</v>
          </cell>
          <cell r="B957" t="str">
            <v>COUNTER SINK</v>
          </cell>
          <cell r="C957" t="str">
            <v>PC</v>
          </cell>
          <cell r="D957">
            <v>0</v>
          </cell>
          <cell r="E957">
            <v>4400</v>
          </cell>
          <cell r="F957">
            <v>0</v>
          </cell>
        </row>
        <row r="958">
          <cell r="A958" t="str">
            <v>B-1230-50440</v>
          </cell>
          <cell r="B958" t="str">
            <v>HEX C.SUNK SCREW M.4X40</v>
          </cell>
          <cell r="C958" t="str">
            <v>PC</v>
          </cell>
          <cell r="D958">
            <v>5849</v>
          </cell>
          <cell r="E958">
            <v>50</v>
          </cell>
          <cell r="F958">
            <v>292450</v>
          </cell>
        </row>
        <row r="959">
          <cell r="A959" t="str">
            <v>B-1230-50830</v>
          </cell>
          <cell r="B959" t="str">
            <v>HEX C.SUNK SCREW M.8X30-8.8</v>
          </cell>
          <cell r="C959" t="str">
            <v>PC</v>
          </cell>
          <cell r="D959">
            <v>200</v>
          </cell>
          <cell r="E959">
            <v>1260</v>
          </cell>
          <cell r="F959">
            <v>252000</v>
          </cell>
        </row>
        <row r="960">
          <cell r="A960" t="str">
            <v>B-1230-50845</v>
          </cell>
          <cell r="B960" t="str">
            <v>HEX C.SUNK SCREW M.8X45</v>
          </cell>
          <cell r="C960" t="str">
            <v>PC</v>
          </cell>
          <cell r="D960">
            <v>246</v>
          </cell>
          <cell r="E960">
            <v>489</v>
          </cell>
          <cell r="F960">
            <v>120294</v>
          </cell>
        </row>
        <row r="961">
          <cell r="A961" t="str">
            <v>B-1230-50850</v>
          </cell>
          <cell r="B961" t="str">
            <v xml:space="preserve"> HEX C.SUNK SCREW M.8X50</v>
          </cell>
          <cell r="C961" t="str">
            <v>PC</v>
          </cell>
          <cell r="D961">
            <v>747</v>
          </cell>
          <cell r="E961">
            <v>815</v>
          </cell>
          <cell r="F961">
            <v>608805</v>
          </cell>
        </row>
        <row r="962">
          <cell r="A962" t="str">
            <v>B-1230-51015</v>
          </cell>
          <cell r="B962" t="str">
            <v>HEX C.SUNK SCREW M.10X15</v>
          </cell>
          <cell r="C962" t="str">
            <v>PC</v>
          </cell>
          <cell r="D962">
            <v>5</v>
          </cell>
          <cell r="E962">
            <v>87</v>
          </cell>
          <cell r="F962">
            <v>435</v>
          </cell>
        </row>
        <row r="963">
          <cell r="A963" t="str">
            <v>B-1230-51030</v>
          </cell>
          <cell r="B963" t="str">
            <v>HEX C.SUNK SCREW M.10X30</v>
          </cell>
          <cell r="C963" t="str">
            <v>PC</v>
          </cell>
          <cell r="D963">
            <v>80</v>
          </cell>
          <cell r="E963">
            <v>3267</v>
          </cell>
          <cell r="F963">
            <v>261360</v>
          </cell>
        </row>
        <row r="964">
          <cell r="A964" t="str">
            <v>B-1230-51035</v>
          </cell>
          <cell r="B964" t="str">
            <v>HEX C.SUNK SCREW M.10X35</v>
          </cell>
          <cell r="C964" t="str">
            <v>PC</v>
          </cell>
          <cell r="D964">
            <v>188</v>
          </cell>
          <cell r="E964">
            <v>2580</v>
          </cell>
          <cell r="F964">
            <v>485040</v>
          </cell>
        </row>
        <row r="965">
          <cell r="A965" t="str">
            <v>B-1230-51235</v>
          </cell>
          <cell r="B965" t="str">
            <v>HEX C.SUNK SCREW M.12X35</v>
          </cell>
          <cell r="C965" t="str">
            <v>PC</v>
          </cell>
          <cell r="D965">
            <v>120</v>
          </cell>
          <cell r="E965">
            <v>3168</v>
          </cell>
          <cell r="F965">
            <v>380160</v>
          </cell>
        </row>
        <row r="966">
          <cell r="A966" t="str">
            <v>B-1230-51290</v>
          </cell>
          <cell r="B966" t="str">
            <v>HEX C.SUNK SCREW M.12X90</v>
          </cell>
          <cell r="C966" t="str">
            <v>PC</v>
          </cell>
          <cell r="D966">
            <v>8</v>
          </cell>
          <cell r="E966">
            <v>5058</v>
          </cell>
          <cell r="F966">
            <v>40464</v>
          </cell>
        </row>
        <row r="967">
          <cell r="A967" t="str">
            <v>B-1230-52270</v>
          </cell>
          <cell r="B967" t="str">
            <v>HEX C.SUNK SCREW M.22X70</v>
          </cell>
          <cell r="C967" t="str">
            <v>PC</v>
          </cell>
          <cell r="D967">
            <v>41</v>
          </cell>
          <cell r="E967">
            <v>7515</v>
          </cell>
          <cell r="F967">
            <v>308115</v>
          </cell>
        </row>
        <row r="968">
          <cell r="A968" t="str">
            <v>B-1231-51000</v>
          </cell>
          <cell r="B968" t="str">
            <v>HEX C.SUNK SCREW M.10X100-8.8</v>
          </cell>
          <cell r="C968" t="str">
            <v>PC</v>
          </cell>
          <cell r="D968">
            <v>100</v>
          </cell>
          <cell r="E968">
            <v>5319</v>
          </cell>
          <cell r="F968">
            <v>531900</v>
          </cell>
        </row>
        <row r="969">
          <cell r="A969" t="str">
            <v>B-1231-51200</v>
          </cell>
          <cell r="B969" t="str">
            <v>HEX C.SUNK SCREW M.12X100</v>
          </cell>
          <cell r="C969" t="str">
            <v>PC</v>
          </cell>
          <cell r="D969">
            <v>45</v>
          </cell>
          <cell r="E969">
            <v>5097</v>
          </cell>
          <cell r="F969">
            <v>229365</v>
          </cell>
        </row>
        <row r="970">
          <cell r="A970" t="str">
            <v>B-1240-00412</v>
          </cell>
          <cell r="B970" t="str">
            <v>SCREW</v>
          </cell>
          <cell r="C970" t="str">
            <v>PC</v>
          </cell>
          <cell r="D970">
            <v>0</v>
          </cell>
          <cell r="E970">
            <v>0</v>
          </cell>
          <cell r="F970">
            <v>0</v>
          </cell>
        </row>
        <row r="971">
          <cell r="A971" t="str">
            <v>B-1240-00415</v>
          </cell>
          <cell r="B971" t="str">
            <v>SLOTTED C.SUNK SCREW M.4X15</v>
          </cell>
          <cell r="C971" t="str">
            <v>PC</v>
          </cell>
          <cell r="D971">
            <v>504</v>
          </cell>
          <cell r="E971">
            <v>20</v>
          </cell>
          <cell r="F971">
            <v>10048</v>
          </cell>
        </row>
        <row r="972">
          <cell r="A972" t="str">
            <v>B-1240-00420</v>
          </cell>
          <cell r="B972" t="str">
            <v>SLOTTED C.SUNK SCREW M.4X20</v>
          </cell>
          <cell r="C972" t="str">
            <v>PC</v>
          </cell>
          <cell r="D972">
            <v>49</v>
          </cell>
          <cell r="E972">
            <v>21</v>
          </cell>
          <cell r="F972">
            <v>1029</v>
          </cell>
        </row>
        <row r="973">
          <cell r="A973" t="str">
            <v>B-1240-00510</v>
          </cell>
          <cell r="B973" t="str">
            <v>SCREW M.5X10</v>
          </cell>
          <cell r="C973" t="str">
            <v>PC</v>
          </cell>
          <cell r="D973">
            <v>104</v>
          </cell>
          <cell r="E973">
            <v>57</v>
          </cell>
          <cell r="F973">
            <v>5928</v>
          </cell>
        </row>
        <row r="974">
          <cell r="A974" t="str">
            <v>B-1240-00615</v>
          </cell>
          <cell r="B974" t="str">
            <v xml:space="preserve"> SLOTTED C.SUNK SCREW M.6X15</v>
          </cell>
          <cell r="C974" t="str">
            <v>PC</v>
          </cell>
          <cell r="D974">
            <v>20</v>
          </cell>
          <cell r="E974">
            <v>30</v>
          </cell>
          <cell r="F974">
            <v>600</v>
          </cell>
        </row>
        <row r="975">
          <cell r="A975" t="str">
            <v>B-1240-00620</v>
          </cell>
          <cell r="B975" t="str">
            <v>SLOTTED C.SUNK SCREW M.6X20</v>
          </cell>
          <cell r="C975" t="str">
            <v>PC</v>
          </cell>
          <cell r="D975">
            <v>35</v>
          </cell>
          <cell r="E975">
            <v>171</v>
          </cell>
          <cell r="F975">
            <v>5985</v>
          </cell>
        </row>
        <row r="976">
          <cell r="A976" t="str">
            <v>B-1240-00825</v>
          </cell>
          <cell r="B976" t="str">
            <v>SLOTTED C.SUNK SCREW M.8X25</v>
          </cell>
          <cell r="C976" t="str">
            <v>PC</v>
          </cell>
          <cell r="D976">
            <v>900</v>
          </cell>
          <cell r="E976">
            <v>1170</v>
          </cell>
          <cell r="F976">
            <v>1053000</v>
          </cell>
        </row>
        <row r="977">
          <cell r="A977" t="str">
            <v>B-1240-00830</v>
          </cell>
          <cell r="B977" t="str">
            <v>SLOTTED C.SUNK SCREW M.8X30</v>
          </cell>
          <cell r="C977" t="str">
            <v>PC</v>
          </cell>
          <cell r="D977">
            <v>0</v>
          </cell>
          <cell r="E977">
            <v>1168</v>
          </cell>
          <cell r="F977">
            <v>0</v>
          </cell>
        </row>
        <row r="978">
          <cell r="A978" t="str">
            <v>B-1240-00835</v>
          </cell>
          <cell r="B978" t="str">
            <v>SLOTTED C.SUNK SCREW M.8X35</v>
          </cell>
          <cell r="C978" t="str">
            <v>PC</v>
          </cell>
          <cell r="D978">
            <v>152</v>
          </cell>
          <cell r="E978">
            <v>102</v>
          </cell>
          <cell r="F978">
            <v>15504</v>
          </cell>
        </row>
        <row r="979">
          <cell r="A979" t="str">
            <v>B-1240-00850</v>
          </cell>
          <cell r="B979" t="str">
            <v>SLOTTED C.SUNK SCREW M.8X50</v>
          </cell>
          <cell r="C979" t="str">
            <v>PC</v>
          </cell>
          <cell r="D979">
            <v>750</v>
          </cell>
          <cell r="E979">
            <v>990</v>
          </cell>
          <cell r="F979">
            <v>742500</v>
          </cell>
        </row>
        <row r="980">
          <cell r="A980" t="str">
            <v>B-1240-01020</v>
          </cell>
          <cell r="B980" t="str">
            <v>COUNTER SINK</v>
          </cell>
          <cell r="C980" t="str">
            <v>PC</v>
          </cell>
          <cell r="D980">
            <v>102</v>
          </cell>
          <cell r="E980">
            <v>3828</v>
          </cell>
          <cell r="F980">
            <v>390420</v>
          </cell>
        </row>
        <row r="981">
          <cell r="A981" t="str">
            <v>B-1240-01030</v>
          </cell>
          <cell r="B981" t="str">
            <v>SLOTTED C.SUNK SCREW M.10X30</v>
          </cell>
          <cell r="C981" t="str">
            <v>PC</v>
          </cell>
          <cell r="D981">
            <v>26</v>
          </cell>
          <cell r="E981">
            <v>323</v>
          </cell>
          <cell r="F981">
            <v>8398</v>
          </cell>
        </row>
        <row r="982">
          <cell r="A982" t="str">
            <v>B-1240-50410</v>
          </cell>
          <cell r="B982" t="str">
            <v xml:space="preserve"> Bolt</v>
          </cell>
          <cell r="C982" t="str">
            <v>PC</v>
          </cell>
          <cell r="D982">
            <v>0</v>
          </cell>
          <cell r="E982">
            <v>0</v>
          </cell>
          <cell r="F982">
            <v>0</v>
          </cell>
        </row>
        <row r="983">
          <cell r="A983" t="str">
            <v>B-1240-50825</v>
          </cell>
          <cell r="B983" t="str">
            <v>SLOTTED C.SUNK SCREW M.8X25-8.8</v>
          </cell>
          <cell r="C983" t="str">
            <v>PC</v>
          </cell>
          <cell r="D983">
            <v>100</v>
          </cell>
          <cell r="E983">
            <v>81</v>
          </cell>
          <cell r="F983">
            <v>8100</v>
          </cell>
        </row>
        <row r="984">
          <cell r="A984" t="str">
            <v>B-1240-60640</v>
          </cell>
          <cell r="B984" t="str">
            <v>SLOTTED C.SUNK SCREW M.6X40-10.9</v>
          </cell>
          <cell r="C984" t="str">
            <v>PC</v>
          </cell>
          <cell r="D984">
            <v>1800</v>
          </cell>
          <cell r="E984">
            <v>1080</v>
          </cell>
          <cell r="F984">
            <v>1944000</v>
          </cell>
        </row>
        <row r="985">
          <cell r="A985" t="str">
            <v>B-1250-00835</v>
          </cell>
          <cell r="B985" t="str">
            <v>SCREW C.SUNK M.8X35</v>
          </cell>
          <cell r="C985" t="str">
            <v>PC</v>
          </cell>
          <cell r="D985">
            <v>500</v>
          </cell>
          <cell r="E985">
            <v>682</v>
          </cell>
          <cell r="F985">
            <v>341000</v>
          </cell>
        </row>
        <row r="986">
          <cell r="A986" t="str">
            <v>B-1250-01035</v>
          </cell>
          <cell r="B986" t="str">
            <v>SCREW C.SUNK M.10X35</v>
          </cell>
          <cell r="C986" t="str">
            <v>PC</v>
          </cell>
          <cell r="D986">
            <v>266</v>
          </cell>
          <cell r="E986">
            <v>318</v>
          </cell>
          <cell r="F986">
            <v>84588</v>
          </cell>
        </row>
        <row r="987">
          <cell r="A987" t="str">
            <v>B-1250-01230</v>
          </cell>
          <cell r="B987" t="str">
            <v>SCREW C.SUNK M.12X30</v>
          </cell>
          <cell r="C987" t="str">
            <v>PC</v>
          </cell>
          <cell r="D987">
            <v>794</v>
          </cell>
          <cell r="E987">
            <v>4800</v>
          </cell>
          <cell r="F987">
            <v>3811200</v>
          </cell>
        </row>
        <row r="988">
          <cell r="A988" t="str">
            <v>B-1250-01235</v>
          </cell>
          <cell r="B988" t="str">
            <v>SCREW C.SUNK M.12X35</v>
          </cell>
          <cell r="C988" t="str">
            <v>PC</v>
          </cell>
          <cell r="D988">
            <v>254</v>
          </cell>
          <cell r="E988">
            <v>1758</v>
          </cell>
          <cell r="F988">
            <v>446532</v>
          </cell>
        </row>
        <row r="989">
          <cell r="A989" t="str">
            <v>B-1250-01250</v>
          </cell>
          <cell r="B989" t="str">
            <v>SCREW C.SUNK M.12X50</v>
          </cell>
          <cell r="C989" t="str">
            <v>PC</v>
          </cell>
          <cell r="D989">
            <v>9</v>
          </cell>
          <cell r="E989">
            <v>477</v>
          </cell>
          <cell r="F989">
            <v>4293</v>
          </cell>
        </row>
        <row r="990">
          <cell r="A990" t="str">
            <v>B-1250-01260</v>
          </cell>
          <cell r="B990" t="str">
            <v>SCREW C.SUNK M.12X60</v>
          </cell>
          <cell r="C990" t="str">
            <v>PC</v>
          </cell>
          <cell r="D990">
            <v>64</v>
          </cell>
          <cell r="E990">
            <v>3162</v>
          </cell>
          <cell r="F990">
            <v>202368</v>
          </cell>
        </row>
        <row r="991">
          <cell r="A991" t="str">
            <v>B-1250-01660</v>
          </cell>
          <cell r="B991" t="str">
            <v>SCREW C.SUNK M.16X60</v>
          </cell>
          <cell r="C991" t="str">
            <v>PC</v>
          </cell>
          <cell r="D991">
            <v>640</v>
          </cell>
          <cell r="E991">
            <v>4500</v>
          </cell>
          <cell r="F991">
            <v>2880000</v>
          </cell>
        </row>
        <row r="992">
          <cell r="A992" t="str">
            <v>B-1250-02060</v>
          </cell>
          <cell r="B992" t="str">
            <v>SCREW C.SUNK M.20X60</v>
          </cell>
          <cell r="C992" t="str">
            <v>PC</v>
          </cell>
          <cell r="D992">
            <v>125</v>
          </cell>
          <cell r="E992">
            <v>7386</v>
          </cell>
          <cell r="F992">
            <v>923250</v>
          </cell>
        </row>
        <row r="993">
          <cell r="A993" t="str">
            <v>B-1250-71030</v>
          </cell>
          <cell r="B993" t="str">
            <v xml:space="preserve"> B INBUS10X30(10.9)DH</v>
          </cell>
          <cell r="C993" t="str">
            <v>PC</v>
          </cell>
          <cell r="D993">
            <v>63</v>
          </cell>
          <cell r="E993">
            <v>3300</v>
          </cell>
          <cell r="F993">
            <v>207900</v>
          </cell>
        </row>
        <row r="994">
          <cell r="A994" t="str">
            <v>B-1510-01008</v>
          </cell>
          <cell r="B994" t="str">
            <v>Bolt</v>
          </cell>
          <cell r="C994" t="str">
            <v>PC</v>
          </cell>
          <cell r="D994">
            <v>0</v>
          </cell>
          <cell r="E994">
            <v>1</v>
          </cell>
          <cell r="F994">
            <v>0</v>
          </cell>
        </row>
        <row r="995">
          <cell r="A995" t="str">
            <v>B-1510-31008</v>
          </cell>
          <cell r="B995" t="str">
            <v>NUT (KS) M.10-SUS</v>
          </cell>
          <cell r="C995" t="str">
            <v>PC</v>
          </cell>
          <cell r="D995">
            <v>2</v>
          </cell>
          <cell r="E995">
            <v>550</v>
          </cell>
          <cell r="F995">
            <v>1100</v>
          </cell>
        </row>
        <row r="996">
          <cell r="A996" t="str">
            <v>B-1510-31613</v>
          </cell>
          <cell r="B996" t="str">
            <v>NUT (KS) M.16-SUS</v>
          </cell>
          <cell r="C996" t="str">
            <v>PC</v>
          </cell>
          <cell r="D996">
            <v>167</v>
          </cell>
          <cell r="E996">
            <v>1929</v>
          </cell>
          <cell r="F996">
            <v>322221</v>
          </cell>
        </row>
        <row r="997">
          <cell r="A997" t="str">
            <v>B-1510-32016</v>
          </cell>
          <cell r="B997" t="str">
            <v>NUT (KS) M.20-SUS</v>
          </cell>
          <cell r="C997" t="str">
            <v>PC</v>
          </cell>
          <cell r="D997">
            <v>165</v>
          </cell>
          <cell r="E997">
            <v>3209</v>
          </cell>
          <cell r="F997">
            <v>529529</v>
          </cell>
        </row>
        <row r="998">
          <cell r="A998" t="str">
            <v>B-1510-50403</v>
          </cell>
          <cell r="B998" t="str">
            <v>NUT (KS) M.4-8.8</v>
          </cell>
          <cell r="C998" t="str">
            <v>PC</v>
          </cell>
          <cell r="D998">
            <v>20</v>
          </cell>
          <cell r="E998">
            <v>12</v>
          </cell>
          <cell r="F998">
            <v>240</v>
          </cell>
        </row>
        <row r="999">
          <cell r="A999" t="str">
            <v>B-1510-50430</v>
          </cell>
          <cell r="B999" t="str">
            <v>NUT M.4</v>
          </cell>
          <cell r="C999" t="str">
            <v>PC</v>
          </cell>
          <cell r="D999">
            <v>1000</v>
          </cell>
          <cell r="E999">
            <v>35</v>
          </cell>
          <cell r="F999">
            <v>35000</v>
          </cell>
        </row>
        <row r="1000">
          <cell r="A1000" t="str">
            <v>B-1510-50504</v>
          </cell>
          <cell r="B1000" t="str">
            <v>NUT (KS) M.5-8.8</v>
          </cell>
          <cell r="C1000" t="str">
            <v>PC</v>
          </cell>
          <cell r="D1000">
            <v>1508</v>
          </cell>
          <cell r="E1000">
            <v>28</v>
          </cell>
          <cell r="F1000">
            <v>42808</v>
          </cell>
        </row>
        <row r="1001">
          <cell r="A1001" t="str">
            <v>B-1510-50506</v>
          </cell>
          <cell r="B1001" t="str">
            <v>NUT</v>
          </cell>
          <cell r="C1001" t="str">
            <v>PC</v>
          </cell>
          <cell r="D1001">
            <v>0</v>
          </cell>
          <cell r="E1001">
            <v>0</v>
          </cell>
          <cell r="F1001">
            <v>0</v>
          </cell>
        </row>
        <row r="1002">
          <cell r="A1002" t="str">
            <v>B-1510-50605</v>
          </cell>
          <cell r="B1002" t="str">
            <v>NUT M.6</v>
          </cell>
          <cell r="C1002" t="str">
            <v>PC</v>
          </cell>
          <cell r="D1002">
            <v>944</v>
          </cell>
          <cell r="E1002">
            <v>43</v>
          </cell>
          <cell r="F1002">
            <v>40523</v>
          </cell>
        </row>
        <row r="1003">
          <cell r="A1003" t="str">
            <v>B1510-50806</v>
          </cell>
          <cell r="B1003" t="str">
            <v xml:space="preserve"> Nut</v>
          </cell>
          <cell r="C1003" t="str">
            <v>PC</v>
          </cell>
          <cell r="D1003">
            <v>0</v>
          </cell>
          <cell r="E1003">
            <v>0</v>
          </cell>
          <cell r="F1003">
            <v>0</v>
          </cell>
        </row>
        <row r="1004">
          <cell r="A1004" t="str">
            <v>B-1510-50806</v>
          </cell>
          <cell r="B1004" t="str">
            <v>NUT M.8</v>
          </cell>
          <cell r="C1004" t="str">
            <v>PC</v>
          </cell>
          <cell r="D1004">
            <v>2210</v>
          </cell>
          <cell r="E1004">
            <v>89</v>
          </cell>
          <cell r="F1004">
            <v>196279</v>
          </cell>
        </row>
        <row r="1005">
          <cell r="A1005" t="str">
            <v>B-1510-51008</v>
          </cell>
          <cell r="B1005" t="str">
            <v>NUT M.10</v>
          </cell>
          <cell r="C1005" t="str">
            <v>PC</v>
          </cell>
          <cell r="D1005">
            <v>1326</v>
          </cell>
          <cell r="E1005">
            <v>187</v>
          </cell>
          <cell r="F1005">
            <v>247339</v>
          </cell>
        </row>
        <row r="1006">
          <cell r="A1006" t="str">
            <v>B-1510-51210</v>
          </cell>
          <cell r="B1006" t="str">
            <v>NUT (KS) M.12-8.8</v>
          </cell>
          <cell r="C1006" t="str">
            <v>PC</v>
          </cell>
          <cell r="D1006">
            <v>1050</v>
          </cell>
          <cell r="E1006">
            <v>286</v>
          </cell>
          <cell r="F1006">
            <v>299995</v>
          </cell>
        </row>
        <row r="1007">
          <cell r="A1007" t="str">
            <v>B-1510-51214</v>
          </cell>
          <cell r="B1007" t="str">
            <v>Nut (B-1510-51214)</v>
          </cell>
          <cell r="C1007" t="str">
            <v>PC</v>
          </cell>
          <cell r="D1007">
            <v>0</v>
          </cell>
          <cell r="E1007">
            <v>438</v>
          </cell>
          <cell r="F1007">
            <v>0</v>
          </cell>
        </row>
        <row r="1008">
          <cell r="A1008" t="str">
            <v>B-1510-51230</v>
          </cell>
          <cell r="B1008" t="str">
            <v>BOLT</v>
          </cell>
          <cell r="C1008" t="str">
            <v>PC</v>
          </cell>
          <cell r="D1008">
            <v>0</v>
          </cell>
          <cell r="E1008">
            <v>285</v>
          </cell>
          <cell r="F1008">
            <v>0</v>
          </cell>
        </row>
        <row r="1009">
          <cell r="A1009" t="str">
            <v>B-1510-51411</v>
          </cell>
          <cell r="B1009" t="str">
            <v>NUT (KS) M.14-8.8</v>
          </cell>
          <cell r="C1009" t="str">
            <v>PC</v>
          </cell>
          <cell r="D1009">
            <v>1036</v>
          </cell>
          <cell r="E1009">
            <v>396</v>
          </cell>
          <cell r="F1009">
            <v>409984</v>
          </cell>
        </row>
        <row r="1010">
          <cell r="A1010" t="str">
            <v>B-1510-51613</v>
          </cell>
          <cell r="B1010" t="str">
            <v>NUT (KS) M.16-8.8</v>
          </cell>
          <cell r="C1010" t="str">
            <v>PC</v>
          </cell>
          <cell r="D1010">
            <v>8709</v>
          </cell>
          <cell r="E1010">
            <v>539</v>
          </cell>
          <cell r="F1010">
            <v>4694151</v>
          </cell>
        </row>
        <row r="1011">
          <cell r="A1011" t="str">
            <v>B-1510-51614</v>
          </cell>
          <cell r="B1011" t="str">
            <v>NUT (KS) M.16-8.8</v>
          </cell>
          <cell r="C1011" t="str">
            <v>PC</v>
          </cell>
          <cell r="D1011">
            <v>0</v>
          </cell>
          <cell r="E1011">
            <v>1</v>
          </cell>
          <cell r="F1011">
            <v>0</v>
          </cell>
        </row>
        <row r="1012">
          <cell r="A1012" t="str">
            <v>B-1510-51815</v>
          </cell>
          <cell r="B1012" t="str">
            <v>NUT (KS) M.18-8.8</v>
          </cell>
          <cell r="C1012" t="str">
            <v>PC</v>
          </cell>
          <cell r="D1012">
            <v>501</v>
          </cell>
          <cell r="E1012">
            <v>714</v>
          </cell>
          <cell r="F1012">
            <v>357798</v>
          </cell>
        </row>
        <row r="1013">
          <cell r="A1013" t="str">
            <v>B-1510-52016</v>
          </cell>
          <cell r="B1013" t="str">
            <v>NUT (KS) M.20-8.8</v>
          </cell>
          <cell r="C1013" t="str">
            <v>PC</v>
          </cell>
          <cell r="D1013">
            <v>46</v>
          </cell>
          <cell r="E1013">
            <v>979</v>
          </cell>
          <cell r="F1013">
            <v>45032</v>
          </cell>
        </row>
        <row r="1014">
          <cell r="A1014" t="str">
            <v>B-1510-52218</v>
          </cell>
          <cell r="B1014" t="str">
            <v>NUT (KS) M.22-8.8</v>
          </cell>
          <cell r="C1014" t="str">
            <v>PC</v>
          </cell>
          <cell r="D1014">
            <v>2463</v>
          </cell>
          <cell r="E1014">
            <v>363</v>
          </cell>
          <cell r="F1014">
            <v>894069</v>
          </cell>
        </row>
        <row r="1015">
          <cell r="A1015" t="str">
            <v>B-1510-52419</v>
          </cell>
          <cell r="B1015" t="str">
            <v>NUT (KS) M.24-8.8</v>
          </cell>
          <cell r="C1015" t="str">
            <v>PC</v>
          </cell>
          <cell r="D1015">
            <v>94</v>
          </cell>
          <cell r="E1015">
            <v>493</v>
          </cell>
          <cell r="F1015">
            <v>46311</v>
          </cell>
        </row>
        <row r="1016">
          <cell r="A1016" t="str">
            <v>B-1510-53024</v>
          </cell>
          <cell r="B1016" t="str">
            <v>NUT M.30</v>
          </cell>
          <cell r="C1016" t="str">
            <v>PC</v>
          </cell>
          <cell r="D1016">
            <v>0</v>
          </cell>
          <cell r="E1016">
            <v>0</v>
          </cell>
          <cell r="F1016">
            <v>0</v>
          </cell>
        </row>
        <row r="1017">
          <cell r="A1017" t="str">
            <v>B-1510-53632</v>
          </cell>
          <cell r="B1017" t="str">
            <v>NUT (KS) M.36-8.8</v>
          </cell>
          <cell r="C1017" t="str">
            <v>PC</v>
          </cell>
          <cell r="D1017">
            <v>104</v>
          </cell>
          <cell r="E1017">
            <v>10181</v>
          </cell>
          <cell r="F1017">
            <v>1058864</v>
          </cell>
        </row>
        <row r="1018">
          <cell r="A1018" t="str">
            <v>B-1510-54200</v>
          </cell>
          <cell r="B1018" t="str">
            <v>NUT (KS) M.42-8.8</v>
          </cell>
          <cell r="C1018" t="str">
            <v>PC</v>
          </cell>
          <cell r="D1018">
            <v>22</v>
          </cell>
          <cell r="E1018">
            <v>19884</v>
          </cell>
          <cell r="F1018">
            <v>437448</v>
          </cell>
        </row>
        <row r="1019">
          <cell r="A1019" t="str">
            <v>B-1510-61411</v>
          </cell>
          <cell r="B1019" t="str">
            <v xml:space="preserve"> Nut M14-10.9</v>
          </cell>
          <cell r="C1019" t="str">
            <v>PC</v>
          </cell>
          <cell r="D1019">
            <v>0</v>
          </cell>
          <cell r="E1019">
            <v>0</v>
          </cell>
          <cell r="F1019">
            <v>0</v>
          </cell>
        </row>
        <row r="1020">
          <cell r="A1020" t="str">
            <v>B-1510-73024</v>
          </cell>
          <cell r="B1020" t="str">
            <v>NUT (KS) M.30-12.9</v>
          </cell>
          <cell r="C1020" t="str">
            <v>PC</v>
          </cell>
          <cell r="D1020">
            <v>16</v>
          </cell>
          <cell r="E1020">
            <v>15300</v>
          </cell>
          <cell r="F1020">
            <v>244800</v>
          </cell>
        </row>
        <row r="1021">
          <cell r="A1021" t="str">
            <v>B1510M-12-08</v>
          </cell>
          <cell r="B1021" t="str">
            <v xml:space="preserve"> NIPPLE 17/16JICX3/4" </v>
          </cell>
          <cell r="C1021" t="str">
            <v>PC</v>
          </cell>
          <cell r="D1021">
            <v>10</v>
          </cell>
          <cell r="E1021">
            <v>66680</v>
          </cell>
          <cell r="F1021">
            <v>666798</v>
          </cell>
        </row>
        <row r="1022">
          <cell r="A1022" t="str">
            <v>B1510M-12-16</v>
          </cell>
          <cell r="B1022" t="str">
            <v>ADAPTOR</v>
          </cell>
          <cell r="C1022" t="str">
            <v>PC</v>
          </cell>
          <cell r="D1022">
            <v>0</v>
          </cell>
          <cell r="E1022">
            <v>0</v>
          </cell>
          <cell r="F1022">
            <v>0</v>
          </cell>
        </row>
        <row r="1023">
          <cell r="A1023" t="str">
            <v>B-1512-51018</v>
          </cell>
          <cell r="B1023" t="str">
            <v xml:space="preserve"> CUP NUT M.10</v>
          </cell>
          <cell r="C1023" t="str">
            <v>PC</v>
          </cell>
          <cell r="D1023">
            <v>0</v>
          </cell>
          <cell r="E1023">
            <v>780</v>
          </cell>
          <cell r="F1023">
            <v>0</v>
          </cell>
        </row>
        <row r="1024">
          <cell r="A1024" t="str">
            <v>B-1520-21216</v>
          </cell>
          <cell r="B1024" t="str">
            <v>SEAT</v>
          </cell>
          <cell r="C1024" t="str">
            <v>PC</v>
          </cell>
          <cell r="D1024">
            <v>0</v>
          </cell>
          <cell r="E1024">
            <v>0</v>
          </cell>
          <cell r="F1024">
            <v>0</v>
          </cell>
        </row>
        <row r="1025">
          <cell r="A1025" t="str">
            <v>B-1520-21625</v>
          </cell>
          <cell r="B1025" t="str">
            <v>DUDUKAN M.16</v>
          </cell>
          <cell r="C1025" t="str">
            <v>PC</v>
          </cell>
          <cell r="D1025">
            <v>100</v>
          </cell>
          <cell r="E1025">
            <v>6015</v>
          </cell>
          <cell r="F1025">
            <v>601491</v>
          </cell>
        </row>
        <row r="1026">
          <cell r="A1026" t="str">
            <v>B-1530-02414</v>
          </cell>
          <cell r="B1026" t="str">
            <v>Slotted Nut M.24</v>
          </cell>
          <cell r="C1026" t="str">
            <v>PC</v>
          </cell>
          <cell r="D1026">
            <v>0</v>
          </cell>
          <cell r="E1026">
            <v>0</v>
          </cell>
          <cell r="F1026">
            <v>0</v>
          </cell>
        </row>
        <row r="1027">
          <cell r="A1027" t="str">
            <v>B-1530-33018</v>
          </cell>
          <cell r="B1027" t="str">
            <v>CASTLE NUT</v>
          </cell>
          <cell r="C1027" t="str">
            <v>PCS</v>
          </cell>
          <cell r="D1027">
            <v>0</v>
          </cell>
          <cell r="E1027">
            <v>1</v>
          </cell>
          <cell r="F1027">
            <v>0</v>
          </cell>
        </row>
        <row r="1028">
          <cell r="A1028" t="str">
            <v>B-1530-52414</v>
          </cell>
          <cell r="B1028" t="str">
            <v>MUR MAHKOTA (KS) M.24</v>
          </cell>
          <cell r="C1028" t="str">
            <v>PC</v>
          </cell>
          <cell r="D1028">
            <v>203</v>
          </cell>
          <cell r="E1028">
            <v>3672</v>
          </cell>
          <cell r="F1028">
            <v>745416</v>
          </cell>
        </row>
        <row r="1029">
          <cell r="A1029" t="str">
            <v>B-1530-53017</v>
          </cell>
          <cell r="B1029" t="str">
            <v>NUT MAHKOTA M30</v>
          </cell>
          <cell r="C1029" t="str">
            <v>PC</v>
          </cell>
          <cell r="D1029">
            <v>94</v>
          </cell>
          <cell r="E1029">
            <v>29000</v>
          </cell>
          <cell r="F1029">
            <v>2726000</v>
          </cell>
        </row>
        <row r="1030">
          <cell r="A1030" t="str">
            <v>B-1530-53018</v>
          </cell>
          <cell r="B1030" t="str">
            <v>MUR MAHKOTA (KS) M.30</v>
          </cell>
          <cell r="C1030" t="str">
            <v>PC</v>
          </cell>
          <cell r="D1030">
            <v>440</v>
          </cell>
          <cell r="E1030">
            <v>27850</v>
          </cell>
          <cell r="F1030">
            <v>12254198</v>
          </cell>
        </row>
        <row r="1031">
          <cell r="A1031" t="str">
            <v>B-1530-53621</v>
          </cell>
          <cell r="B1031" t="str">
            <v>MUR MAHKOTA (KS) M 36</v>
          </cell>
          <cell r="C1031" t="str">
            <v>PC</v>
          </cell>
          <cell r="D1031">
            <v>2</v>
          </cell>
          <cell r="E1031">
            <v>21450</v>
          </cell>
          <cell r="F1031">
            <v>42900</v>
          </cell>
        </row>
        <row r="1032">
          <cell r="A1032" t="str">
            <v>B-1531-31612</v>
          </cell>
          <cell r="B1032" t="str">
            <v>NUT, slotted</v>
          </cell>
          <cell r="C1032" t="str">
            <v>PC</v>
          </cell>
          <cell r="D1032">
            <v>0</v>
          </cell>
          <cell r="E1032">
            <v>1</v>
          </cell>
          <cell r="F1032">
            <v>0</v>
          </cell>
        </row>
        <row r="1033">
          <cell r="A1033" t="str">
            <v>B-1550-50806</v>
          </cell>
          <cell r="B1033" t="str">
            <v>NUT (HL) M.8X1,00 (8.8)</v>
          </cell>
          <cell r="C1033" t="str">
            <v>PC</v>
          </cell>
          <cell r="D1033">
            <v>5618</v>
          </cell>
          <cell r="E1033">
            <v>59</v>
          </cell>
          <cell r="F1033">
            <v>330512</v>
          </cell>
        </row>
        <row r="1034">
          <cell r="A1034" t="str">
            <v>B-1550-51008</v>
          </cell>
          <cell r="B1034" t="str">
            <v>."NUT (HL) M.10X1,25 (8.8)"</v>
          </cell>
          <cell r="C1034" t="str">
            <v>PC</v>
          </cell>
          <cell r="D1034">
            <v>2230</v>
          </cell>
          <cell r="E1034">
            <v>120</v>
          </cell>
          <cell r="F1034">
            <v>267600</v>
          </cell>
        </row>
        <row r="1035">
          <cell r="A1035" t="str">
            <v>B-1550-51210</v>
          </cell>
          <cell r="B1035" t="str">
            <v>NUT (HL) M.12X1,25 (8.8)</v>
          </cell>
          <cell r="C1035" t="str">
            <v>PC</v>
          </cell>
          <cell r="D1035">
            <v>655</v>
          </cell>
          <cell r="E1035">
            <v>707</v>
          </cell>
          <cell r="F1035">
            <v>462997</v>
          </cell>
        </row>
        <row r="1036">
          <cell r="A1036" t="str">
            <v>B-1550-51411</v>
          </cell>
          <cell r="B1036" t="str">
            <v>NUT (HL) M.14X1,5 (8.8)</v>
          </cell>
          <cell r="C1036" t="str">
            <v>PC</v>
          </cell>
          <cell r="D1036">
            <v>3034</v>
          </cell>
          <cell r="E1036">
            <v>266</v>
          </cell>
          <cell r="F1036">
            <v>807044</v>
          </cell>
        </row>
        <row r="1037">
          <cell r="A1037" t="str">
            <v>B-1550-51613</v>
          </cell>
          <cell r="B1037" t="str">
            <v>NUT HALUS</v>
          </cell>
          <cell r="C1037" t="str">
            <v>PC</v>
          </cell>
          <cell r="D1037">
            <v>527</v>
          </cell>
          <cell r="E1037">
            <v>3287</v>
          </cell>
          <cell r="F1037">
            <v>1732147</v>
          </cell>
        </row>
        <row r="1038">
          <cell r="A1038" t="str">
            <v>B-1550-51617</v>
          </cell>
          <cell r="B1038" t="str">
            <v>NUT M.16 DH</v>
          </cell>
          <cell r="C1038" t="str">
            <v>PC</v>
          </cell>
          <cell r="D1038">
            <v>200</v>
          </cell>
          <cell r="E1038">
            <v>1600</v>
          </cell>
          <cell r="F1038">
            <v>320000</v>
          </cell>
        </row>
        <row r="1039">
          <cell r="A1039" t="str">
            <v>B-1550-51813</v>
          </cell>
          <cell r="B1039" t="str">
            <v>NUT (HL) M.18X1,5 (8.8)</v>
          </cell>
          <cell r="C1039" t="str">
            <v>PC</v>
          </cell>
          <cell r="D1039">
            <v>832</v>
          </cell>
          <cell r="E1039">
            <v>508</v>
          </cell>
          <cell r="F1039">
            <v>422656</v>
          </cell>
        </row>
        <row r="1040">
          <cell r="A1040" t="str">
            <v>B-1550-52013</v>
          </cell>
          <cell r="B1040" t="str">
            <v>NUT (HL) M.20X1,5 (8.8)</v>
          </cell>
          <cell r="C1040" t="str">
            <v>PC</v>
          </cell>
          <cell r="D1040">
            <v>626</v>
          </cell>
          <cell r="E1040">
            <v>2926</v>
          </cell>
          <cell r="F1040">
            <v>1831900</v>
          </cell>
        </row>
        <row r="1041">
          <cell r="A1041" t="str">
            <v>B-1550-52622</v>
          </cell>
          <cell r="B1041" t="str">
            <v>NUT (HL) M.26X1.75 (8.8)</v>
          </cell>
          <cell r="C1041" t="str">
            <v>PC</v>
          </cell>
          <cell r="D1041">
            <v>76</v>
          </cell>
          <cell r="E1041">
            <v>1</v>
          </cell>
          <cell r="F1041">
            <v>76</v>
          </cell>
        </row>
        <row r="1042">
          <cell r="A1042" t="str">
            <v>B-1550-71613</v>
          </cell>
          <cell r="B1042" t="str">
            <v>NUT (HL) M.16X1.5 (12.9)</v>
          </cell>
          <cell r="C1042" t="str">
            <v>PC</v>
          </cell>
          <cell r="D1042">
            <v>105</v>
          </cell>
          <cell r="E1042">
            <v>1977</v>
          </cell>
          <cell r="F1042">
            <v>207585</v>
          </cell>
        </row>
        <row r="1043">
          <cell r="A1043" t="str">
            <v>B-1560-50809</v>
          </cell>
          <cell r="B1043" t="str">
            <v>NYLOCK NUT (KS) M.8</v>
          </cell>
          <cell r="C1043" t="str">
            <v>PC</v>
          </cell>
          <cell r="D1043">
            <v>770</v>
          </cell>
          <cell r="E1043">
            <v>108</v>
          </cell>
          <cell r="F1043">
            <v>83160</v>
          </cell>
        </row>
        <row r="1044">
          <cell r="A1044" t="str">
            <v>B-1560-51011</v>
          </cell>
          <cell r="B1044" t="str">
            <v>NYLOCK NUT (KS) M.10</v>
          </cell>
          <cell r="C1044" t="str">
            <v>PC</v>
          </cell>
          <cell r="D1044">
            <v>1034</v>
          </cell>
          <cell r="E1044">
            <v>294</v>
          </cell>
          <cell r="F1044">
            <v>303627</v>
          </cell>
        </row>
        <row r="1045">
          <cell r="A1045" t="str">
            <v>B-1560-51214</v>
          </cell>
          <cell r="B1045" t="str">
            <v>NYLOCK NUT (KS) M.12</v>
          </cell>
          <cell r="C1045" t="str">
            <v>PC</v>
          </cell>
          <cell r="D1045">
            <v>456</v>
          </cell>
          <cell r="E1045">
            <v>569</v>
          </cell>
          <cell r="F1045">
            <v>259612</v>
          </cell>
        </row>
        <row r="1046">
          <cell r="A1046" t="str">
            <v>B-1560-51415</v>
          </cell>
          <cell r="B1046" t="str">
            <v>NYLOCK NUT (KS) M.14</v>
          </cell>
          <cell r="C1046" t="str">
            <v>PC</v>
          </cell>
          <cell r="D1046">
            <v>926</v>
          </cell>
          <cell r="E1046">
            <v>1023</v>
          </cell>
          <cell r="F1046">
            <v>947693</v>
          </cell>
        </row>
        <row r="1047">
          <cell r="A1047" t="str">
            <v>B-1560-51617</v>
          </cell>
          <cell r="B1047" t="str">
            <v>NYLOCK NUT M.16</v>
          </cell>
          <cell r="C1047" t="str">
            <v>PC</v>
          </cell>
          <cell r="D1047">
            <v>352</v>
          </cell>
          <cell r="E1047">
            <v>1446</v>
          </cell>
          <cell r="F1047">
            <v>508910</v>
          </cell>
        </row>
        <row r="1048">
          <cell r="A1048" t="str">
            <v>B-1560-51820</v>
          </cell>
          <cell r="B1048" t="str">
            <v>NYLOCK NUT (KS) M.18</v>
          </cell>
          <cell r="C1048" t="str">
            <v>PC</v>
          </cell>
          <cell r="D1048">
            <v>500</v>
          </cell>
          <cell r="E1048">
            <v>5000</v>
          </cell>
          <cell r="F1048">
            <v>2500000</v>
          </cell>
        </row>
        <row r="1049">
          <cell r="A1049" t="str">
            <v>B-1560-52021</v>
          </cell>
          <cell r="B1049" t="str">
            <v>NYLOCK NUT (KS) M.20</v>
          </cell>
          <cell r="C1049" t="str">
            <v>PC</v>
          </cell>
          <cell r="D1049">
            <v>292</v>
          </cell>
          <cell r="E1049">
            <v>4049</v>
          </cell>
          <cell r="F1049">
            <v>1182308</v>
          </cell>
        </row>
        <row r="1050">
          <cell r="A1050" t="str">
            <v>B-1560-52223</v>
          </cell>
          <cell r="B1050" t="str">
            <v>NYLOCK NUT (KS) M.22</v>
          </cell>
          <cell r="C1050" t="str">
            <v>PC</v>
          </cell>
          <cell r="D1050">
            <v>188</v>
          </cell>
          <cell r="E1050">
            <v>13291</v>
          </cell>
          <cell r="F1050">
            <v>2498708</v>
          </cell>
        </row>
        <row r="1051">
          <cell r="A1051" t="str">
            <v>B-1560-52425</v>
          </cell>
          <cell r="B1051" t="str">
            <v>NYLOCK NUT (KS) M.24</v>
          </cell>
          <cell r="C1051" t="str">
            <v>PC</v>
          </cell>
          <cell r="D1051">
            <v>9</v>
          </cell>
          <cell r="E1051">
            <v>19512</v>
          </cell>
          <cell r="F1051">
            <v>175605</v>
          </cell>
        </row>
        <row r="1052">
          <cell r="A1052" t="str">
            <v>B-1560-53031</v>
          </cell>
          <cell r="B1052" t="str">
            <v>NYLOCK NUT (KS) M.30</v>
          </cell>
          <cell r="C1052" t="str">
            <v>PC</v>
          </cell>
          <cell r="D1052">
            <v>772</v>
          </cell>
          <cell r="E1052">
            <v>32978</v>
          </cell>
          <cell r="F1052">
            <v>25459080</v>
          </cell>
        </row>
        <row r="1053">
          <cell r="A1053" t="str">
            <v>B-1570-01010</v>
          </cell>
          <cell r="B1053" t="str">
            <v>NUT, wing</v>
          </cell>
          <cell r="C1053" t="str">
            <v>PC</v>
          </cell>
          <cell r="D1053">
            <v>154</v>
          </cell>
          <cell r="E1053">
            <v>320</v>
          </cell>
          <cell r="F1053">
            <v>49280</v>
          </cell>
        </row>
        <row r="1054">
          <cell r="A1054" t="str">
            <v>B-1590-51011</v>
          </cell>
          <cell r="B1054" t="str">
            <v>NYLOCK NUT (HL) M.10X1.25</v>
          </cell>
          <cell r="C1054" t="str">
            <v>PC</v>
          </cell>
          <cell r="D1054">
            <v>19</v>
          </cell>
          <cell r="E1054">
            <v>540</v>
          </cell>
          <cell r="F1054">
            <v>10260</v>
          </cell>
        </row>
        <row r="1055">
          <cell r="A1055" t="str">
            <v>B-1590-51214</v>
          </cell>
          <cell r="B1055" t="str">
            <v>NYLOCK NUT (HL) M.12X1.25</v>
          </cell>
          <cell r="C1055" t="str">
            <v>PC</v>
          </cell>
          <cell r="D1055">
            <v>240</v>
          </cell>
          <cell r="E1055">
            <v>720</v>
          </cell>
          <cell r="F1055">
            <v>172800</v>
          </cell>
        </row>
        <row r="1056">
          <cell r="A1056" t="str">
            <v>B-1590-51235</v>
          </cell>
          <cell r="B1056" t="str">
            <v>NYLOCK NUT (HL) M12X1.25</v>
          </cell>
          <cell r="C1056" t="str">
            <v>PC</v>
          </cell>
          <cell r="D1056">
            <v>1690</v>
          </cell>
          <cell r="E1056">
            <v>720</v>
          </cell>
          <cell r="F1056">
            <v>1216800</v>
          </cell>
        </row>
        <row r="1057">
          <cell r="A1057" t="str">
            <v>B-1590-51415</v>
          </cell>
          <cell r="B1057" t="str">
            <v>NYLOCK NUT (HL) M.14X1.5</v>
          </cell>
          <cell r="C1057" t="str">
            <v>PC</v>
          </cell>
          <cell r="D1057">
            <v>398</v>
          </cell>
          <cell r="E1057">
            <v>960</v>
          </cell>
          <cell r="F1057">
            <v>382080</v>
          </cell>
        </row>
        <row r="1058">
          <cell r="A1058" t="str">
            <v>B-1590-51617</v>
          </cell>
          <cell r="B1058" t="str">
            <v>NYLOCK NUT (HL) M.16X1,5</v>
          </cell>
          <cell r="C1058" t="str">
            <v>PC</v>
          </cell>
          <cell r="D1058">
            <v>570</v>
          </cell>
          <cell r="E1058">
            <v>1069</v>
          </cell>
          <cell r="F1058">
            <v>609172</v>
          </cell>
        </row>
        <row r="1059">
          <cell r="A1059" t="str">
            <v>B-1590-52021</v>
          </cell>
          <cell r="B1059" t="str">
            <v>NYLOCK NUT (HL) M.20X1.75</v>
          </cell>
          <cell r="C1059" t="str">
            <v>PC</v>
          </cell>
          <cell r="D1059">
            <v>100</v>
          </cell>
          <cell r="E1059">
            <v>4698</v>
          </cell>
          <cell r="F1059">
            <v>469800</v>
          </cell>
        </row>
        <row r="1060">
          <cell r="A1060" t="str">
            <v>B-1590-52221</v>
          </cell>
          <cell r="B1060" t="str">
            <v>NYLOCK NUT (HL) M.22X1,5</v>
          </cell>
          <cell r="C1060" t="str">
            <v>PC</v>
          </cell>
          <cell r="D1060">
            <v>94</v>
          </cell>
          <cell r="E1060">
            <v>1500</v>
          </cell>
          <cell r="F1060">
            <v>141000</v>
          </cell>
        </row>
        <row r="1061">
          <cell r="A1061" t="str">
            <v>B-1590-52223</v>
          </cell>
          <cell r="B1061" t="str">
            <v>NYLOCK NUT (HL) M.22X1,75</v>
          </cell>
          <cell r="C1061" t="str">
            <v>PC</v>
          </cell>
          <cell r="D1061">
            <v>24</v>
          </cell>
          <cell r="E1061">
            <v>1500</v>
          </cell>
          <cell r="F1061">
            <v>36000</v>
          </cell>
        </row>
        <row r="1062">
          <cell r="A1062" t="str">
            <v>B-1590-61517</v>
          </cell>
          <cell r="B1062" t="str">
            <v>NYLOCK NUT 1" UNF</v>
          </cell>
          <cell r="C1062" t="str">
            <v>PC</v>
          </cell>
          <cell r="D1062">
            <v>16</v>
          </cell>
          <cell r="E1062">
            <v>22581</v>
          </cell>
          <cell r="F1062">
            <v>361296</v>
          </cell>
        </row>
        <row r="1063">
          <cell r="A1063" t="str">
            <v>B-1610-00413</v>
          </cell>
          <cell r="B1063" t="str">
            <v>SPRING WASHER M.4</v>
          </cell>
          <cell r="C1063" t="str">
            <v>PC</v>
          </cell>
          <cell r="D1063">
            <v>500</v>
          </cell>
          <cell r="E1063">
            <v>65</v>
          </cell>
          <cell r="F1063">
            <v>32500</v>
          </cell>
        </row>
        <row r="1064">
          <cell r="A1064" t="str">
            <v>B-1610-00513</v>
          </cell>
          <cell r="B1064" t="str">
            <v>SPRING WASHER</v>
          </cell>
          <cell r="C1064" t="str">
            <v>PC</v>
          </cell>
          <cell r="D1064">
            <v>2976</v>
          </cell>
          <cell r="E1064">
            <v>77</v>
          </cell>
          <cell r="F1064">
            <v>229152</v>
          </cell>
        </row>
        <row r="1065">
          <cell r="A1065" t="str">
            <v>B-1610-00515</v>
          </cell>
          <cell r="B1065" t="str">
            <v>SPRING WASHER M5</v>
          </cell>
          <cell r="C1065" t="str">
            <v>PC</v>
          </cell>
          <cell r="D1065">
            <v>782</v>
          </cell>
          <cell r="E1065">
            <v>70</v>
          </cell>
          <cell r="F1065">
            <v>54740</v>
          </cell>
        </row>
        <row r="1066">
          <cell r="A1066" t="str">
            <v>B-1610-00525</v>
          </cell>
          <cell r="B1066" t="str">
            <v>WASHER SPRING</v>
          </cell>
          <cell r="C1066" t="str">
            <v>PC</v>
          </cell>
          <cell r="D1066">
            <v>0</v>
          </cell>
          <cell r="E1066">
            <v>0</v>
          </cell>
          <cell r="F1066">
            <v>0</v>
          </cell>
        </row>
        <row r="1067">
          <cell r="A1067" t="str">
            <v>B-1610-00619</v>
          </cell>
          <cell r="B1067" t="str">
            <v>SPRING WASHER M.6</v>
          </cell>
          <cell r="C1067" t="str">
            <v>PC</v>
          </cell>
          <cell r="D1067">
            <v>252</v>
          </cell>
          <cell r="E1067">
            <v>77</v>
          </cell>
          <cell r="F1067">
            <v>19404</v>
          </cell>
        </row>
        <row r="1068">
          <cell r="A1068" t="str">
            <v>B-1610-00816</v>
          </cell>
          <cell r="B1068" t="str">
            <v>PLATE WASHER</v>
          </cell>
          <cell r="C1068" t="str">
            <v>PC</v>
          </cell>
          <cell r="D1068">
            <v>0</v>
          </cell>
          <cell r="E1068">
            <v>1</v>
          </cell>
          <cell r="F1068">
            <v>0</v>
          </cell>
        </row>
        <row r="1069">
          <cell r="A1069" t="str">
            <v>B-1610-00822</v>
          </cell>
          <cell r="B1069" t="str">
            <v>SPRING WASHER M.8</v>
          </cell>
          <cell r="C1069" t="str">
            <v>PC</v>
          </cell>
          <cell r="D1069">
            <v>0</v>
          </cell>
          <cell r="E1069">
            <v>1</v>
          </cell>
          <cell r="F1069">
            <v>0</v>
          </cell>
        </row>
        <row r="1070">
          <cell r="A1070" t="str">
            <v>B-1610-00825</v>
          </cell>
          <cell r="B1070" t="str">
            <v>SPRING WASHER M.8</v>
          </cell>
          <cell r="C1070" t="str">
            <v>PC</v>
          </cell>
          <cell r="D1070">
            <v>396</v>
          </cell>
          <cell r="E1070">
            <v>110</v>
          </cell>
          <cell r="F1070">
            <v>43560</v>
          </cell>
        </row>
        <row r="1071">
          <cell r="A1071" t="str">
            <v>B-1610-01030</v>
          </cell>
          <cell r="B1071" t="str">
            <v>SPRING WASHER M.10</v>
          </cell>
          <cell r="C1071" t="str">
            <v>PC</v>
          </cell>
          <cell r="D1071">
            <v>1533</v>
          </cell>
          <cell r="E1071">
            <v>184</v>
          </cell>
          <cell r="F1071">
            <v>281435</v>
          </cell>
        </row>
        <row r="1072">
          <cell r="A1072" t="str">
            <v>B-1610-01223</v>
          </cell>
          <cell r="B1072" t="str">
            <v>WASHER PLATE</v>
          </cell>
          <cell r="C1072" t="str">
            <v>PC</v>
          </cell>
          <cell r="D1072">
            <v>0</v>
          </cell>
          <cell r="E1072">
            <v>1</v>
          </cell>
          <cell r="F1072">
            <v>0</v>
          </cell>
        </row>
        <row r="1073">
          <cell r="A1073" t="str">
            <v>B-1610-01230</v>
          </cell>
          <cell r="B1073" t="str">
            <v>SPRING WASHER</v>
          </cell>
          <cell r="C1073" t="str">
            <v>PC</v>
          </cell>
          <cell r="D1073">
            <v>0</v>
          </cell>
          <cell r="E1073">
            <v>1</v>
          </cell>
          <cell r="F1073">
            <v>0</v>
          </cell>
        </row>
        <row r="1074">
          <cell r="A1074" t="str">
            <v>B-1610-01232</v>
          </cell>
          <cell r="B1074" t="str">
            <v>SPRING WASHER M.12</v>
          </cell>
          <cell r="C1074" t="str">
            <v>PC</v>
          </cell>
          <cell r="D1074">
            <v>0</v>
          </cell>
          <cell r="E1074">
            <v>1</v>
          </cell>
          <cell r="F1074">
            <v>0</v>
          </cell>
        </row>
        <row r="1075">
          <cell r="A1075" t="str">
            <v>B-1610-01236</v>
          </cell>
          <cell r="B1075" t="str">
            <v>SPRING WASHER M.12</v>
          </cell>
          <cell r="C1075" t="str">
            <v>PC</v>
          </cell>
          <cell r="D1075">
            <v>2694</v>
          </cell>
          <cell r="E1075">
            <v>274</v>
          </cell>
          <cell r="F1075">
            <v>738944</v>
          </cell>
        </row>
        <row r="1076">
          <cell r="A1076" t="str">
            <v>B-1610-01432</v>
          </cell>
          <cell r="B1076" t="str">
            <v>SPRING WASHER M.14</v>
          </cell>
          <cell r="C1076" t="str">
            <v>PC</v>
          </cell>
          <cell r="D1076">
            <v>590</v>
          </cell>
          <cell r="E1076">
            <v>429</v>
          </cell>
          <cell r="F1076">
            <v>253110</v>
          </cell>
        </row>
        <row r="1077">
          <cell r="A1077" t="str">
            <v>B-1610-01442</v>
          </cell>
          <cell r="B1077" t="str">
            <v>SPRING WASHER M.14</v>
          </cell>
          <cell r="C1077" t="str">
            <v>PC</v>
          </cell>
          <cell r="D1077">
            <v>37</v>
          </cell>
          <cell r="E1077">
            <v>420</v>
          </cell>
          <cell r="F1077">
            <v>15523</v>
          </cell>
        </row>
        <row r="1078">
          <cell r="A1078" t="str">
            <v>B-1610-01632</v>
          </cell>
          <cell r="B1078" t="str">
            <v>O RING</v>
          </cell>
          <cell r="C1078" t="str">
            <v>PC</v>
          </cell>
          <cell r="D1078">
            <v>0</v>
          </cell>
          <cell r="E1078">
            <v>1</v>
          </cell>
          <cell r="F1078">
            <v>0</v>
          </cell>
        </row>
        <row r="1079">
          <cell r="A1079" t="str">
            <v>B-1610-01648</v>
          </cell>
          <cell r="B1079" t="str">
            <v>SPRING WASHER</v>
          </cell>
          <cell r="C1079" t="str">
            <v>PC</v>
          </cell>
          <cell r="D1079">
            <v>1014</v>
          </cell>
          <cell r="E1079">
            <v>519</v>
          </cell>
          <cell r="F1079">
            <v>526447</v>
          </cell>
        </row>
        <row r="1080">
          <cell r="A1080" t="str">
            <v>B-1610-01650</v>
          </cell>
          <cell r="B1080" t="str">
            <v>SPRING WASHER</v>
          </cell>
          <cell r="C1080" t="str">
            <v>PC</v>
          </cell>
          <cell r="D1080">
            <v>0</v>
          </cell>
          <cell r="E1080">
            <v>1</v>
          </cell>
          <cell r="F1080">
            <v>0</v>
          </cell>
        </row>
        <row r="1081">
          <cell r="A1081" t="str">
            <v>B-1610-01660</v>
          </cell>
          <cell r="B1081" t="str">
            <v>WASHER PLATE</v>
          </cell>
          <cell r="C1081" t="str">
            <v>PC</v>
          </cell>
          <cell r="D1081">
            <v>0</v>
          </cell>
          <cell r="E1081">
            <v>1</v>
          </cell>
          <cell r="F1081">
            <v>0</v>
          </cell>
        </row>
        <row r="1082">
          <cell r="A1082" t="str">
            <v>B-1610-01854</v>
          </cell>
          <cell r="B1082" t="str">
            <v>SPRING WASHER M.18</v>
          </cell>
          <cell r="C1082" t="str">
            <v>PC</v>
          </cell>
          <cell r="D1082">
            <v>203</v>
          </cell>
          <cell r="E1082">
            <v>227</v>
          </cell>
          <cell r="F1082">
            <v>46127</v>
          </cell>
        </row>
        <row r="1083">
          <cell r="A1083" t="str">
            <v>B-1610-02060</v>
          </cell>
          <cell r="B1083" t="str">
            <v>SPRING WASHER M.20</v>
          </cell>
          <cell r="C1083" t="str">
            <v>PC</v>
          </cell>
          <cell r="D1083">
            <v>4197</v>
          </cell>
          <cell r="E1083">
            <v>277</v>
          </cell>
          <cell r="F1083">
            <v>1161047</v>
          </cell>
        </row>
        <row r="1084">
          <cell r="A1084" t="str">
            <v>B-1610-02268</v>
          </cell>
          <cell r="B1084" t="str">
            <v>SPRING WASHER M.22</v>
          </cell>
          <cell r="C1084" t="str">
            <v>PC</v>
          </cell>
          <cell r="D1084">
            <v>3164</v>
          </cell>
          <cell r="E1084">
            <v>192</v>
          </cell>
          <cell r="F1084">
            <v>607500</v>
          </cell>
        </row>
        <row r="1085">
          <cell r="A1085" t="str">
            <v>B-1610-02472</v>
          </cell>
          <cell r="B1085" t="str">
            <v>SPRING WASHER M24</v>
          </cell>
          <cell r="C1085" t="str">
            <v>PC</v>
          </cell>
          <cell r="D1085">
            <v>242</v>
          </cell>
          <cell r="E1085">
            <v>737</v>
          </cell>
          <cell r="F1085">
            <v>178350</v>
          </cell>
        </row>
        <row r="1086">
          <cell r="A1086" t="str">
            <v>B-1610-03075</v>
          </cell>
          <cell r="B1086" t="str">
            <v>SPRING WASHER M.30</v>
          </cell>
          <cell r="C1086" t="str">
            <v>PC</v>
          </cell>
          <cell r="D1086">
            <v>144</v>
          </cell>
          <cell r="E1086">
            <v>1325</v>
          </cell>
          <cell r="F1086">
            <v>190816</v>
          </cell>
        </row>
        <row r="1087">
          <cell r="A1087" t="str">
            <v>B-1610-03390</v>
          </cell>
          <cell r="B1087" t="str">
            <v>SPRING WASHER M.33</v>
          </cell>
          <cell r="C1087" t="str">
            <v>PC</v>
          </cell>
          <cell r="D1087">
            <v>84</v>
          </cell>
          <cell r="E1087">
            <v>765</v>
          </cell>
          <cell r="F1087">
            <v>64260</v>
          </cell>
        </row>
        <row r="1088">
          <cell r="A1088" t="str">
            <v>B-1610-03690</v>
          </cell>
          <cell r="B1088" t="str">
            <v>SPRING WASHER M.36</v>
          </cell>
          <cell r="C1088" t="str">
            <v>PC</v>
          </cell>
          <cell r="D1088">
            <v>102</v>
          </cell>
          <cell r="E1088">
            <v>2532</v>
          </cell>
          <cell r="F1088">
            <v>258280</v>
          </cell>
        </row>
        <row r="1089">
          <cell r="A1089" t="str">
            <v>B-1610-10825</v>
          </cell>
          <cell r="B1089" t="str">
            <v>WASHER SPRING</v>
          </cell>
          <cell r="C1089" t="str">
            <v>PC</v>
          </cell>
          <cell r="D1089">
            <v>0</v>
          </cell>
          <cell r="E1089">
            <v>125</v>
          </cell>
          <cell r="F1089">
            <v>0</v>
          </cell>
        </row>
        <row r="1090">
          <cell r="A1090" t="str">
            <v>B-1610-11236</v>
          </cell>
          <cell r="B1090" t="str">
            <v>WASHER SPRING</v>
          </cell>
          <cell r="C1090" t="str">
            <v>PC</v>
          </cell>
          <cell r="D1090">
            <v>0</v>
          </cell>
          <cell r="E1090">
            <v>0</v>
          </cell>
          <cell r="F1090">
            <v>0</v>
          </cell>
        </row>
        <row r="1091">
          <cell r="A1091" t="str">
            <v>B-1610-11648</v>
          </cell>
          <cell r="B1091" t="str">
            <v>WASHER,SPRING</v>
          </cell>
          <cell r="C1091" t="str">
            <v>PC</v>
          </cell>
          <cell r="D1091">
            <v>8</v>
          </cell>
          <cell r="E1091">
            <v>503</v>
          </cell>
          <cell r="F1091">
            <v>4021</v>
          </cell>
        </row>
        <row r="1092">
          <cell r="A1092" t="str">
            <v>B-1610-31236</v>
          </cell>
          <cell r="B1092" t="str">
            <v>SPRING WASHER M.12-SUS</v>
          </cell>
          <cell r="C1092" t="str">
            <v>PC</v>
          </cell>
          <cell r="D1092">
            <v>18</v>
          </cell>
          <cell r="E1092">
            <v>398</v>
          </cell>
          <cell r="F1092">
            <v>7164</v>
          </cell>
        </row>
        <row r="1093">
          <cell r="A1093" t="str">
            <v>B-1610-31648</v>
          </cell>
          <cell r="B1093" t="str">
            <v>SPRING WASHER M.16-SUS</v>
          </cell>
          <cell r="C1093" t="str">
            <v>PC</v>
          </cell>
          <cell r="D1093">
            <v>245</v>
          </cell>
          <cell r="E1093">
            <v>810</v>
          </cell>
          <cell r="F1093">
            <v>198565</v>
          </cell>
        </row>
        <row r="1094">
          <cell r="A1094" t="str">
            <v>B-1610-320</v>
          </cell>
          <cell r="B1094" t="str">
            <v>SPRING W5 M-20(SUS)</v>
          </cell>
          <cell r="C1094" t="str">
            <v>PC</v>
          </cell>
          <cell r="D1094">
            <v>0</v>
          </cell>
          <cell r="E1094">
            <v>7785</v>
          </cell>
          <cell r="F1094">
            <v>0</v>
          </cell>
        </row>
        <row r="1095">
          <cell r="A1095" t="str">
            <v>B-1610-32060</v>
          </cell>
          <cell r="B1095" t="str">
            <v>SPRING WASHER M.20-SUS</v>
          </cell>
          <cell r="C1095" t="str">
            <v>PC</v>
          </cell>
          <cell r="D1095">
            <v>134</v>
          </cell>
          <cell r="E1095">
            <v>1382</v>
          </cell>
          <cell r="F1095">
            <v>185240</v>
          </cell>
        </row>
        <row r="1096">
          <cell r="A1096" t="str">
            <v>B-1610-50825</v>
          </cell>
          <cell r="B1096" t="str">
            <v>RING PEGAS</v>
          </cell>
          <cell r="C1096" t="str">
            <v>PC</v>
          </cell>
          <cell r="D1096">
            <v>0</v>
          </cell>
          <cell r="E1096">
            <v>1</v>
          </cell>
          <cell r="F1096">
            <v>0</v>
          </cell>
        </row>
        <row r="1097">
          <cell r="A1097" t="str">
            <v>B-1610-51030</v>
          </cell>
          <cell r="B1097" t="str">
            <v>RING PEGAS</v>
          </cell>
          <cell r="C1097" t="str">
            <v>PC</v>
          </cell>
          <cell r="D1097">
            <v>0</v>
          </cell>
          <cell r="E1097">
            <v>7500</v>
          </cell>
          <cell r="F1097">
            <v>0</v>
          </cell>
        </row>
        <row r="1098">
          <cell r="A1098" t="str">
            <v>B1610M-12-12</v>
          </cell>
          <cell r="B1098" t="str">
            <v>ADAPTOR</v>
          </cell>
          <cell r="C1098" t="str">
            <v>PC</v>
          </cell>
          <cell r="D1098">
            <v>0</v>
          </cell>
          <cell r="E1098">
            <v>0</v>
          </cell>
          <cell r="F1098">
            <v>0</v>
          </cell>
        </row>
        <row r="1099">
          <cell r="A1099" t="str">
            <v>B-1620-00408</v>
          </cell>
          <cell r="B1099" t="str">
            <v>PLATE WASHER M.4</v>
          </cell>
          <cell r="C1099" t="str">
            <v>PC</v>
          </cell>
          <cell r="D1099">
            <v>400</v>
          </cell>
          <cell r="E1099">
            <v>10</v>
          </cell>
          <cell r="F1099">
            <v>4000</v>
          </cell>
        </row>
        <row r="1100">
          <cell r="A1100" t="str">
            <v>B-1620-00508</v>
          </cell>
          <cell r="B1100" t="str">
            <v>PLATE WASHER M.5</v>
          </cell>
          <cell r="C1100" t="str">
            <v>PC</v>
          </cell>
          <cell r="D1100">
            <v>3010</v>
          </cell>
          <cell r="E1100">
            <v>15</v>
          </cell>
          <cell r="F1100">
            <v>44017</v>
          </cell>
        </row>
        <row r="1101">
          <cell r="A1101" t="str">
            <v>B-1620-00516</v>
          </cell>
          <cell r="B1101" t="str">
            <v>WASHER PLATE</v>
          </cell>
          <cell r="C1101" t="str">
            <v>PC</v>
          </cell>
          <cell r="D1101">
            <v>0</v>
          </cell>
          <cell r="E1101">
            <v>0</v>
          </cell>
          <cell r="F1101">
            <v>0</v>
          </cell>
        </row>
        <row r="1102">
          <cell r="A1102" t="str">
            <v>B-1620-00616</v>
          </cell>
          <cell r="B1102" t="str">
            <v>PLATE WASHER M.6</v>
          </cell>
          <cell r="C1102" t="str">
            <v>PC</v>
          </cell>
          <cell r="D1102">
            <v>870</v>
          </cell>
          <cell r="E1102">
            <v>11</v>
          </cell>
          <cell r="F1102">
            <v>9489</v>
          </cell>
        </row>
        <row r="1103">
          <cell r="A1103" t="str">
            <v>B-1620-00816</v>
          </cell>
          <cell r="B1103" t="str">
            <v>PLATE WASHER M.8</v>
          </cell>
          <cell r="C1103" t="str">
            <v>PC</v>
          </cell>
          <cell r="D1103">
            <v>2692</v>
          </cell>
          <cell r="E1103">
            <v>23</v>
          </cell>
          <cell r="F1103">
            <v>62013</v>
          </cell>
        </row>
        <row r="1104">
          <cell r="A1104" t="str">
            <v>B-1620-01016</v>
          </cell>
          <cell r="B1104" t="str">
            <v>PLATE WASHER</v>
          </cell>
          <cell r="C1104" t="str">
            <v>PC</v>
          </cell>
          <cell r="D1104">
            <v>0</v>
          </cell>
          <cell r="E1104">
            <v>1</v>
          </cell>
          <cell r="F1104">
            <v>0</v>
          </cell>
        </row>
        <row r="1105">
          <cell r="A1105" t="str">
            <v>B-1620-01020</v>
          </cell>
          <cell r="B1105" t="str">
            <v>PLATE WASHER M.10</v>
          </cell>
          <cell r="C1105" t="str">
            <v>PC</v>
          </cell>
          <cell r="D1105">
            <v>2016</v>
          </cell>
          <cell r="E1105">
            <v>67</v>
          </cell>
          <cell r="F1105">
            <v>134549</v>
          </cell>
        </row>
        <row r="1106">
          <cell r="A1106" t="str">
            <v>B-1620-01220</v>
          </cell>
          <cell r="B1106" t="str">
            <v>PLATE WASHER</v>
          </cell>
          <cell r="C1106" t="str">
            <v>PC</v>
          </cell>
          <cell r="D1106">
            <v>0</v>
          </cell>
          <cell r="E1106">
            <v>1</v>
          </cell>
          <cell r="F1106">
            <v>0</v>
          </cell>
        </row>
        <row r="1107">
          <cell r="A1107" t="str">
            <v>B-1620-01223</v>
          </cell>
          <cell r="B1107" t="str">
            <v>PLATE WASHER M.12</v>
          </cell>
          <cell r="C1107" t="str">
            <v>PC</v>
          </cell>
          <cell r="D1107">
            <v>6009</v>
          </cell>
          <cell r="E1107">
            <v>234</v>
          </cell>
          <cell r="F1107">
            <v>1407716</v>
          </cell>
        </row>
        <row r="1108">
          <cell r="A1108" t="str">
            <v>B-1620-01432</v>
          </cell>
          <cell r="B1108" t="str">
            <v>PLATE WASHER.14</v>
          </cell>
          <cell r="C1108" t="str">
            <v>PC</v>
          </cell>
          <cell r="D1108">
            <v>1595</v>
          </cell>
          <cell r="E1108">
            <v>244</v>
          </cell>
          <cell r="F1108">
            <v>388791</v>
          </cell>
        </row>
        <row r="1109">
          <cell r="A1109" t="str">
            <v>B-1620-01632</v>
          </cell>
          <cell r="B1109" t="str">
            <v>PLATE WASHER M.16</v>
          </cell>
          <cell r="C1109" t="str">
            <v>PC</v>
          </cell>
          <cell r="D1109">
            <v>0</v>
          </cell>
          <cell r="E1109">
            <v>275</v>
          </cell>
          <cell r="F1109">
            <v>0</v>
          </cell>
        </row>
        <row r="1110">
          <cell r="A1110" t="str">
            <v>B-1620-01648</v>
          </cell>
          <cell r="B1110" t="str">
            <v>NUT M.10X100</v>
          </cell>
          <cell r="C1110" t="str">
            <v>PC</v>
          </cell>
          <cell r="D1110">
            <v>0</v>
          </cell>
          <cell r="E1110">
            <v>0</v>
          </cell>
          <cell r="F1110">
            <v>0</v>
          </cell>
        </row>
        <row r="1111">
          <cell r="A1111" t="str">
            <v>B-1620-01832</v>
          </cell>
          <cell r="B1111" t="str">
            <v>PLATE WASHER M.18</v>
          </cell>
          <cell r="C1111" t="str">
            <v>PC</v>
          </cell>
          <cell r="D1111">
            <v>484</v>
          </cell>
          <cell r="E1111">
            <v>330</v>
          </cell>
          <cell r="F1111">
            <v>159702</v>
          </cell>
        </row>
        <row r="1112">
          <cell r="A1112" t="str">
            <v>B-1620-02032</v>
          </cell>
          <cell r="B1112" t="str">
            <v>PLATE WASHER M.20</v>
          </cell>
          <cell r="C1112" t="str">
            <v>PC</v>
          </cell>
          <cell r="D1112">
            <v>632</v>
          </cell>
          <cell r="E1112">
            <v>446</v>
          </cell>
          <cell r="F1112">
            <v>281944</v>
          </cell>
        </row>
        <row r="1113">
          <cell r="A1113" t="str">
            <v>B-1620-02232</v>
          </cell>
          <cell r="B1113" t="str">
            <v>PLATE WASHER M.22</v>
          </cell>
          <cell r="C1113" t="str">
            <v>PC</v>
          </cell>
          <cell r="D1113">
            <v>368</v>
          </cell>
          <cell r="E1113">
            <v>335</v>
          </cell>
          <cell r="F1113">
            <v>123280</v>
          </cell>
        </row>
        <row r="1114">
          <cell r="A1114" t="str">
            <v>B-1620-02445</v>
          </cell>
          <cell r="B1114" t="str">
            <v>PLATE WASHER M.24</v>
          </cell>
          <cell r="C1114" t="str">
            <v>PC</v>
          </cell>
          <cell r="D1114">
            <v>528</v>
          </cell>
          <cell r="E1114">
            <v>562</v>
          </cell>
          <cell r="F1114">
            <v>296822</v>
          </cell>
        </row>
        <row r="1115">
          <cell r="A1115" t="str">
            <v>B-1620-03045</v>
          </cell>
          <cell r="B1115" t="str">
            <v>PLATE WASHER M.30</v>
          </cell>
          <cell r="C1115" t="str">
            <v>PC</v>
          </cell>
          <cell r="D1115">
            <v>517</v>
          </cell>
          <cell r="E1115">
            <v>1557</v>
          </cell>
          <cell r="F1115">
            <v>805050</v>
          </cell>
        </row>
        <row r="1116">
          <cell r="A1116" t="str">
            <v>B-1620-03660</v>
          </cell>
          <cell r="B1116" t="str">
            <v>PLATE WASHER M.36</v>
          </cell>
          <cell r="C1116" t="str">
            <v>PC</v>
          </cell>
          <cell r="D1116">
            <v>107</v>
          </cell>
          <cell r="E1116">
            <v>1950</v>
          </cell>
          <cell r="F1116">
            <v>208698</v>
          </cell>
        </row>
        <row r="1117">
          <cell r="A1117" t="str">
            <v>B-1620-04260</v>
          </cell>
          <cell r="B1117" t="str">
            <v>PLATE WASHER M.42</v>
          </cell>
          <cell r="C1117" t="str">
            <v>PC</v>
          </cell>
          <cell r="D1117">
            <v>20</v>
          </cell>
          <cell r="E1117">
            <v>2508</v>
          </cell>
          <cell r="F1117">
            <v>50160</v>
          </cell>
        </row>
        <row r="1118">
          <cell r="A1118" t="str">
            <v>B-1620-11020</v>
          </cell>
          <cell r="B1118" t="str">
            <v>WASHER</v>
          </cell>
          <cell r="C1118" t="str">
            <v>PC</v>
          </cell>
          <cell r="D1118">
            <v>0</v>
          </cell>
          <cell r="E1118">
            <v>6000</v>
          </cell>
          <cell r="F1118">
            <v>0</v>
          </cell>
        </row>
        <row r="1119">
          <cell r="A1119" t="str">
            <v>B-1620-11223</v>
          </cell>
          <cell r="B1119" t="str">
            <v>WASHER</v>
          </cell>
          <cell r="C1119" t="str">
            <v>PC</v>
          </cell>
          <cell r="D1119">
            <v>0</v>
          </cell>
          <cell r="E1119">
            <v>1500</v>
          </cell>
          <cell r="F1119">
            <v>0</v>
          </cell>
        </row>
        <row r="1120">
          <cell r="A1120" t="str">
            <v>B-1620-11632</v>
          </cell>
          <cell r="B1120" t="str">
            <v>WASHER</v>
          </cell>
          <cell r="C1120" t="str">
            <v>PC</v>
          </cell>
          <cell r="D1120">
            <v>0</v>
          </cell>
          <cell r="E1120">
            <v>0</v>
          </cell>
          <cell r="F1120">
            <v>0</v>
          </cell>
        </row>
        <row r="1121">
          <cell r="A1121" t="str">
            <v>B-1620-31020</v>
          </cell>
          <cell r="B1121" t="str">
            <v>PLATE WASHER M.10 (SUS)</v>
          </cell>
          <cell r="C1121" t="str">
            <v>PC</v>
          </cell>
          <cell r="D1121">
            <v>4</v>
          </cell>
          <cell r="E1121">
            <v>166</v>
          </cell>
          <cell r="F1121">
            <v>664</v>
          </cell>
        </row>
        <row r="1122">
          <cell r="A1122" t="str">
            <v>B-1620-31632</v>
          </cell>
          <cell r="B1122" t="str">
            <v>PLATE WASHER5- M.16 (SUS)</v>
          </cell>
          <cell r="C1122" t="str">
            <v>PC</v>
          </cell>
          <cell r="D1122">
            <v>243</v>
          </cell>
          <cell r="E1122">
            <v>703</v>
          </cell>
          <cell r="F1122">
            <v>170809</v>
          </cell>
        </row>
        <row r="1123">
          <cell r="A1123" t="str">
            <v>B-1620-32032</v>
          </cell>
          <cell r="B1123" t="str">
            <v>PLATE WASHER M.20 (SUS)</v>
          </cell>
          <cell r="C1123" t="str">
            <v>PC</v>
          </cell>
          <cell r="D1123">
            <v>113</v>
          </cell>
          <cell r="E1123">
            <v>1337</v>
          </cell>
          <cell r="F1123">
            <v>151102</v>
          </cell>
        </row>
        <row r="1124">
          <cell r="A1124" t="str">
            <v>B-1620-50816</v>
          </cell>
          <cell r="B1124" t="str">
            <v>WASHER PLATE</v>
          </cell>
          <cell r="C1124" t="str">
            <v>PC</v>
          </cell>
          <cell r="D1124">
            <v>0</v>
          </cell>
          <cell r="E1124">
            <v>1</v>
          </cell>
          <cell r="F1124">
            <v>0</v>
          </cell>
        </row>
        <row r="1125">
          <cell r="A1125" t="str">
            <v>B-1620-51020</v>
          </cell>
          <cell r="B1125" t="str">
            <v>WASHER PLATE</v>
          </cell>
          <cell r="C1125" t="str">
            <v>PC</v>
          </cell>
          <cell r="D1125">
            <v>0</v>
          </cell>
          <cell r="E1125">
            <v>0</v>
          </cell>
          <cell r="F1125">
            <v>0</v>
          </cell>
        </row>
        <row r="1126">
          <cell r="A1126" t="str">
            <v>B-1630-00404</v>
          </cell>
          <cell r="B1126" t="str">
            <v>RING GIGI DALAM M.4</v>
          </cell>
          <cell r="C1126" t="str">
            <v>PC</v>
          </cell>
          <cell r="D1126">
            <v>200</v>
          </cell>
          <cell r="E1126">
            <v>15</v>
          </cell>
          <cell r="F1126">
            <v>3000</v>
          </cell>
        </row>
        <row r="1127">
          <cell r="A1127" t="str">
            <v>B-1630-00808</v>
          </cell>
          <cell r="B1127" t="str">
            <v>RING GIGI DALAM M.8</v>
          </cell>
          <cell r="C1127" t="str">
            <v>PC</v>
          </cell>
          <cell r="D1127">
            <v>70</v>
          </cell>
          <cell r="E1127">
            <v>27</v>
          </cell>
          <cell r="F1127">
            <v>1890</v>
          </cell>
        </row>
        <row r="1128">
          <cell r="A1128" t="str">
            <v>B-1630-01009</v>
          </cell>
          <cell r="B1128" t="str">
            <v>RING GIGI DALAM M.10</v>
          </cell>
          <cell r="C1128" t="str">
            <v>PC</v>
          </cell>
          <cell r="D1128">
            <v>220</v>
          </cell>
          <cell r="E1128">
            <v>50</v>
          </cell>
          <cell r="F1128">
            <v>11000</v>
          </cell>
        </row>
        <row r="1129">
          <cell r="A1129" t="str">
            <v>B-1630-01210</v>
          </cell>
          <cell r="B1129" t="str">
            <v>RING GIGI DALAM M.12</v>
          </cell>
          <cell r="C1129" t="str">
            <v>PC</v>
          </cell>
          <cell r="D1129">
            <v>700</v>
          </cell>
          <cell r="E1129">
            <v>63</v>
          </cell>
          <cell r="F1129">
            <v>44100</v>
          </cell>
        </row>
        <row r="1130">
          <cell r="A1130" t="str">
            <v>B-1630-01612</v>
          </cell>
          <cell r="B1130" t="str">
            <v>RING GIGI DALAM M.16</v>
          </cell>
          <cell r="C1130" t="str">
            <v>PC</v>
          </cell>
          <cell r="D1130">
            <v>208</v>
          </cell>
          <cell r="E1130">
            <v>105</v>
          </cell>
          <cell r="F1130">
            <v>21840</v>
          </cell>
        </row>
        <row r="1131">
          <cell r="A1131" t="str">
            <v>B-1630-02014</v>
          </cell>
          <cell r="B1131" t="str">
            <v>RING GIGI DALAM M.20</v>
          </cell>
          <cell r="C1131" t="str">
            <v>PC</v>
          </cell>
          <cell r="D1131">
            <v>521</v>
          </cell>
          <cell r="E1131">
            <v>189</v>
          </cell>
          <cell r="F1131">
            <v>98469</v>
          </cell>
        </row>
        <row r="1132">
          <cell r="A1132" t="str">
            <v>B1820M-12-12-12</v>
          </cell>
          <cell r="B1132" t="str">
            <v xml:space="preserve"> TEE</v>
          </cell>
          <cell r="C1132" t="str">
            <v>PC</v>
          </cell>
          <cell r="D1132">
            <v>0</v>
          </cell>
          <cell r="E1132">
            <v>118938</v>
          </cell>
          <cell r="F1132">
            <v>0</v>
          </cell>
        </row>
        <row r="1133">
          <cell r="A1133" t="str">
            <v>B-2010-50416</v>
          </cell>
          <cell r="B1133" t="str">
            <v>BOLT 1/4" X 16 - 20 UNC</v>
          </cell>
          <cell r="C1133" t="str">
            <v>PC</v>
          </cell>
          <cell r="D1133">
            <v>40</v>
          </cell>
          <cell r="E1133">
            <v>390</v>
          </cell>
          <cell r="F1133">
            <v>15600</v>
          </cell>
        </row>
        <row r="1134">
          <cell r="A1134" t="str">
            <v>B-2010-50532</v>
          </cell>
          <cell r="B1134" t="str">
            <v>BOLT 5/16" X 32 - 18 UNC</v>
          </cell>
          <cell r="C1134" t="str">
            <v>PC</v>
          </cell>
          <cell r="D1134">
            <v>50</v>
          </cell>
          <cell r="E1134">
            <v>660</v>
          </cell>
          <cell r="F1134">
            <v>33000</v>
          </cell>
        </row>
        <row r="1135">
          <cell r="A1135" t="str">
            <v>B-2010-50622</v>
          </cell>
          <cell r="B1135" t="str">
            <v>BOLT 3/8" X 22 - 16 UNC</v>
          </cell>
          <cell r="C1135" t="str">
            <v>PC</v>
          </cell>
          <cell r="D1135">
            <v>80</v>
          </cell>
          <cell r="E1135">
            <v>405</v>
          </cell>
          <cell r="F1135">
            <v>32400</v>
          </cell>
        </row>
        <row r="1136">
          <cell r="A1136" t="str">
            <v>B-2010-50632</v>
          </cell>
          <cell r="B1136" t="str">
            <v>BOLT 3/8" X 32 - 16 UNC</v>
          </cell>
          <cell r="C1136" t="str">
            <v>PC</v>
          </cell>
          <cell r="D1136">
            <v>64</v>
          </cell>
          <cell r="E1136">
            <v>630</v>
          </cell>
          <cell r="F1136">
            <v>40320</v>
          </cell>
        </row>
        <row r="1137">
          <cell r="A1137" t="str">
            <v>B-2010-50738</v>
          </cell>
          <cell r="B1137" t="str">
            <v>BOLT 7/16" X 38 - 14 UNC</v>
          </cell>
          <cell r="C1137" t="str">
            <v>PC</v>
          </cell>
          <cell r="D1137">
            <v>76</v>
          </cell>
          <cell r="E1137">
            <v>1110</v>
          </cell>
          <cell r="F1137">
            <v>84360</v>
          </cell>
        </row>
        <row r="1138">
          <cell r="A1138" t="str">
            <v>B-2010-50813</v>
          </cell>
          <cell r="B1138" t="str">
            <v>BOLT 1/2" X 13 - 13 UNC</v>
          </cell>
          <cell r="C1138" t="str">
            <v>PC</v>
          </cell>
          <cell r="D1138">
            <v>40</v>
          </cell>
          <cell r="E1138">
            <v>770</v>
          </cell>
          <cell r="F1138">
            <v>30800</v>
          </cell>
        </row>
        <row r="1139">
          <cell r="A1139" t="str">
            <v>B-2010-50832</v>
          </cell>
          <cell r="B1139" t="str">
            <v>BOLT 1/2" X 32 - 13 UNC</v>
          </cell>
          <cell r="C1139" t="str">
            <v>PC</v>
          </cell>
          <cell r="D1139">
            <v>4</v>
          </cell>
          <cell r="E1139">
            <v>627</v>
          </cell>
          <cell r="F1139">
            <v>2508</v>
          </cell>
        </row>
        <row r="1140">
          <cell r="A1140" t="str">
            <v>B-2010-50838</v>
          </cell>
          <cell r="B1140" t="str">
            <v>BOLT 1/2" X 38 - 13 UNC</v>
          </cell>
          <cell r="C1140" t="str">
            <v>PC</v>
          </cell>
          <cell r="D1140">
            <v>0</v>
          </cell>
          <cell r="E1140">
            <v>686</v>
          </cell>
          <cell r="F1140">
            <v>0</v>
          </cell>
        </row>
        <row r="1141">
          <cell r="A1141" t="str">
            <v>B-2010-50844</v>
          </cell>
          <cell r="B1141" t="str">
            <v>BOLT 1/2" X 44 - 13 UNC</v>
          </cell>
          <cell r="C1141" t="str">
            <v>PC</v>
          </cell>
          <cell r="D1141">
            <v>23</v>
          </cell>
          <cell r="E1141">
            <v>1590</v>
          </cell>
          <cell r="F1141">
            <v>36570</v>
          </cell>
        </row>
        <row r="1142">
          <cell r="A1142" t="str">
            <v>B-2010-50851</v>
          </cell>
          <cell r="B1142" t="str">
            <v>BOLT 1/2" X 51 - 13 UNC</v>
          </cell>
          <cell r="C1142" t="str">
            <v>PC</v>
          </cell>
          <cell r="D1142">
            <v>89</v>
          </cell>
          <cell r="E1142">
            <v>991</v>
          </cell>
          <cell r="F1142">
            <v>88199</v>
          </cell>
        </row>
        <row r="1143">
          <cell r="A1143" t="str">
            <v>B-2010-50876</v>
          </cell>
          <cell r="B1143" t="str">
            <v>BOLT 1/2" X 76 - 13 UNC</v>
          </cell>
          <cell r="C1143" t="str">
            <v>PC</v>
          </cell>
          <cell r="D1143">
            <v>22</v>
          </cell>
          <cell r="E1143">
            <v>1295</v>
          </cell>
          <cell r="F1143">
            <v>28490</v>
          </cell>
        </row>
        <row r="1144">
          <cell r="A1144" t="str">
            <v>B-2010-51032</v>
          </cell>
          <cell r="B1144" t="str">
            <v>BOLT 5/8" X 32 - 11 UNC</v>
          </cell>
          <cell r="C1144" t="str">
            <v>PC</v>
          </cell>
          <cell r="D1144">
            <v>37</v>
          </cell>
          <cell r="E1144">
            <v>410</v>
          </cell>
          <cell r="F1144">
            <v>15170</v>
          </cell>
        </row>
        <row r="1145">
          <cell r="A1145" t="str">
            <v>B-2010-51051</v>
          </cell>
          <cell r="B1145" t="str">
            <v>BOLT 5/8" X 51 - 11 UNC</v>
          </cell>
          <cell r="C1145" t="str">
            <v>PC</v>
          </cell>
          <cell r="D1145">
            <v>86</v>
          </cell>
          <cell r="E1145">
            <v>458</v>
          </cell>
          <cell r="F1145">
            <v>39388</v>
          </cell>
        </row>
        <row r="1146">
          <cell r="A1146" t="str">
            <v>B-2010-51664</v>
          </cell>
          <cell r="B1146" t="str">
            <v>BOLT 1" X 64 - 8 UNC</v>
          </cell>
          <cell r="C1146" t="str">
            <v>PC</v>
          </cell>
          <cell r="D1146">
            <v>70</v>
          </cell>
          <cell r="E1146">
            <v>19341</v>
          </cell>
          <cell r="F1146">
            <v>1353870</v>
          </cell>
        </row>
        <row r="1147">
          <cell r="A1147" t="str">
            <v>B-2010-51680</v>
          </cell>
          <cell r="B1147" t="str">
            <v>BOLT 1" X 80</v>
          </cell>
          <cell r="C1147" t="str">
            <v>PC</v>
          </cell>
          <cell r="D1147">
            <v>50</v>
          </cell>
          <cell r="E1147">
            <v>34345</v>
          </cell>
          <cell r="F1147">
            <v>1717250</v>
          </cell>
        </row>
        <row r="1148">
          <cell r="A1148" t="str">
            <v>B-2010-51685</v>
          </cell>
          <cell r="B1148" t="str">
            <v>BOLT 1" X 85</v>
          </cell>
          <cell r="C1148" t="str">
            <v>PC</v>
          </cell>
          <cell r="D1148">
            <v>0</v>
          </cell>
          <cell r="E1148">
            <v>605</v>
          </cell>
          <cell r="F1148">
            <v>0</v>
          </cell>
        </row>
        <row r="1149">
          <cell r="A1149" t="str">
            <v>B-2010-51689</v>
          </cell>
          <cell r="B1149" t="str">
            <v>BOLT 1" X 89 - 8 UNC</v>
          </cell>
          <cell r="C1149" t="str">
            <v>PC</v>
          </cell>
          <cell r="D1149">
            <v>40</v>
          </cell>
          <cell r="E1149">
            <v>1696</v>
          </cell>
          <cell r="F1149">
            <v>67840</v>
          </cell>
        </row>
        <row r="1150">
          <cell r="A1150" t="str">
            <v>B-2010-52570</v>
          </cell>
          <cell r="B1150" t="str">
            <v xml:space="preserve"> BOLT 1"X70MM 8.8</v>
          </cell>
          <cell r="C1150" t="str">
            <v>PC</v>
          </cell>
          <cell r="D1150">
            <v>0</v>
          </cell>
          <cell r="E1150">
            <v>29439</v>
          </cell>
          <cell r="F1150">
            <v>0</v>
          </cell>
        </row>
        <row r="1151">
          <cell r="A1151" t="str">
            <v>B-2011-51200</v>
          </cell>
          <cell r="B1151" t="str">
            <v>BOLT 3/4" X 4" GR8.8</v>
          </cell>
          <cell r="C1151" t="str">
            <v>PC</v>
          </cell>
          <cell r="D1151">
            <v>0</v>
          </cell>
          <cell r="E1151">
            <v>4450</v>
          </cell>
          <cell r="F1151">
            <v>0</v>
          </cell>
        </row>
        <row r="1152">
          <cell r="A1152" t="str">
            <v>B-2011-52002</v>
          </cell>
          <cell r="B1152" t="str">
            <v>BOLT 1 1/4" X 102 - 7 UNC</v>
          </cell>
          <cell r="C1152" t="str">
            <v>PC</v>
          </cell>
          <cell r="D1152">
            <v>3</v>
          </cell>
          <cell r="E1152">
            <v>3110</v>
          </cell>
          <cell r="F1152">
            <v>9330</v>
          </cell>
        </row>
        <row r="1153">
          <cell r="A1153" t="str">
            <v>B-2011-52052</v>
          </cell>
          <cell r="B1153" t="str">
            <v>BOLT 1 1/4" X 152 - 7 UNC</v>
          </cell>
          <cell r="C1153" t="str">
            <v>PC</v>
          </cell>
          <cell r="D1153">
            <v>25</v>
          </cell>
          <cell r="E1153">
            <v>19770</v>
          </cell>
          <cell r="F1153">
            <v>494250</v>
          </cell>
        </row>
        <row r="1154">
          <cell r="A1154" t="str">
            <v>B-2011-61600</v>
          </cell>
          <cell r="B1154" t="str">
            <v>BOLT 1" X 100 GRADE 10.9</v>
          </cell>
          <cell r="C1154" t="str">
            <v>PC</v>
          </cell>
          <cell r="D1154">
            <v>2</v>
          </cell>
          <cell r="E1154">
            <v>39000</v>
          </cell>
          <cell r="F1154">
            <v>78000</v>
          </cell>
        </row>
        <row r="1155">
          <cell r="A1155" t="str">
            <v>B-2011-62414</v>
          </cell>
          <cell r="B1155" t="str">
            <v>BOLT 1 1/2  X 114 - 6 UNC (10.9)</v>
          </cell>
          <cell r="C1155" t="str">
            <v>PC</v>
          </cell>
          <cell r="D1155">
            <v>18</v>
          </cell>
          <cell r="E1155">
            <v>24810</v>
          </cell>
          <cell r="F1155">
            <v>446580</v>
          </cell>
        </row>
        <row r="1156">
          <cell r="A1156" t="str">
            <v>B-2011-71202</v>
          </cell>
          <cell r="B1156" t="str">
            <v>BOLT 3/4"X4" (GR 12.9) KS</v>
          </cell>
          <cell r="C1156" t="str">
            <v>PC</v>
          </cell>
          <cell r="D1156">
            <v>4</v>
          </cell>
          <cell r="E1156">
            <v>35800</v>
          </cell>
          <cell r="F1156">
            <v>143200</v>
          </cell>
        </row>
        <row r="1157">
          <cell r="A1157" t="str">
            <v>B-2011-71900</v>
          </cell>
          <cell r="B1157" t="str">
            <v>BOLT 3/4" x 4"  -  10.9</v>
          </cell>
          <cell r="C1157" t="str">
            <v>PC</v>
          </cell>
          <cell r="D1157">
            <v>0</v>
          </cell>
          <cell r="E1157">
            <v>36000</v>
          </cell>
          <cell r="F1157">
            <v>0</v>
          </cell>
        </row>
        <row r="1158">
          <cell r="A1158" t="str">
            <v>B-2013-51920</v>
          </cell>
          <cell r="B1158" t="str">
            <v>BOLT 3/4"X13" (GR 12.8)</v>
          </cell>
          <cell r="C1158" t="str">
            <v>PC</v>
          </cell>
          <cell r="D1158">
            <v>0</v>
          </cell>
          <cell r="E1158">
            <v>49115</v>
          </cell>
          <cell r="F1158">
            <v>0</v>
          </cell>
        </row>
        <row r="1159">
          <cell r="A1159" t="str">
            <v>B-2030-61676</v>
          </cell>
          <cell r="B1159" t="str">
            <v>BOLT 1" X 3" UNF (10.9)</v>
          </cell>
          <cell r="C1159" t="str">
            <v>PC</v>
          </cell>
          <cell r="D1159">
            <v>63</v>
          </cell>
          <cell r="E1159">
            <v>18210</v>
          </cell>
          <cell r="F1159">
            <v>1147230</v>
          </cell>
        </row>
        <row r="1160">
          <cell r="A1160" t="str">
            <v>B-2210-51619</v>
          </cell>
          <cell r="B1160" t="str">
            <v>NUT 1"</v>
          </cell>
          <cell r="C1160" t="str">
            <v>PC</v>
          </cell>
          <cell r="D1160">
            <v>52</v>
          </cell>
          <cell r="E1160">
            <v>5250</v>
          </cell>
          <cell r="F1160">
            <v>273000</v>
          </cell>
        </row>
        <row r="1161">
          <cell r="A1161" t="str">
            <v>B-2210-51625</v>
          </cell>
          <cell r="B1161" t="str">
            <v xml:space="preserve"> NUT 1"-8UNC</v>
          </cell>
          <cell r="C1161" t="str">
            <v>PC</v>
          </cell>
          <cell r="D1161">
            <v>0</v>
          </cell>
          <cell r="E1161">
            <v>3500</v>
          </cell>
          <cell r="F1161">
            <v>0</v>
          </cell>
        </row>
        <row r="1162">
          <cell r="A1162" t="str">
            <v>B-2210-51920</v>
          </cell>
          <cell r="B1162" t="str">
            <v>NUT 3/4"</v>
          </cell>
          <cell r="C1162" t="str">
            <v>PC</v>
          </cell>
          <cell r="D1162">
            <v>0</v>
          </cell>
          <cell r="E1162">
            <v>890</v>
          </cell>
          <cell r="F1162">
            <v>0</v>
          </cell>
        </row>
        <row r="1163">
          <cell r="A1163" t="str">
            <v>B-2220-02027</v>
          </cell>
          <cell r="B1163" t="str">
            <v>NUT 3/4X3</v>
          </cell>
          <cell r="C1163" t="str">
            <v>PC</v>
          </cell>
          <cell r="D1163">
            <v>146</v>
          </cell>
          <cell r="E1163">
            <v>508</v>
          </cell>
          <cell r="F1163">
            <v>74168</v>
          </cell>
        </row>
        <row r="1164">
          <cell r="A1164" t="str">
            <v>B-2240-51216</v>
          </cell>
          <cell r="B1164" t="str">
            <v>NYLOCK NUT 3/4"</v>
          </cell>
          <cell r="C1164" t="str">
            <v>PC</v>
          </cell>
          <cell r="D1164">
            <v>0</v>
          </cell>
          <cell r="E1164">
            <v>3321</v>
          </cell>
          <cell r="F1164">
            <v>0</v>
          </cell>
        </row>
        <row r="1165">
          <cell r="A1165" t="str">
            <v>B-2MRO-41280</v>
          </cell>
          <cell r="B1165" t="str">
            <v>HOSE 800</v>
          </cell>
          <cell r="C1165" t="str">
            <v>PC</v>
          </cell>
          <cell r="D1165">
            <v>8</v>
          </cell>
          <cell r="E1165">
            <v>70773</v>
          </cell>
          <cell r="F1165">
            <v>566184</v>
          </cell>
        </row>
        <row r="1166">
          <cell r="A1166" t="str">
            <v>B3010M-04-02</v>
          </cell>
          <cell r="B1166" t="str">
            <v>D.NIPPLE</v>
          </cell>
          <cell r="C1166" t="str">
            <v>PC</v>
          </cell>
          <cell r="D1166">
            <v>0</v>
          </cell>
          <cell r="E1166">
            <v>0</v>
          </cell>
          <cell r="F1166">
            <v>0</v>
          </cell>
        </row>
        <row r="1167">
          <cell r="A1167" t="str">
            <v>B3010M-20-20</v>
          </cell>
          <cell r="B1167" t="str">
            <v>ADAPTOR</v>
          </cell>
          <cell r="C1167" t="str">
            <v>PC</v>
          </cell>
          <cell r="D1167">
            <v>0</v>
          </cell>
          <cell r="E1167">
            <v>0</v>
          </cell>
          <cell r="F1167">
            <v>0</v>
          </cell>
        </row>
        <row r="1168">
          <cell r="A1168" t="str">
            <v>B3110M-04-02</v>
          </cell>
          <cell r="B1168" t="str">
            <v>NIPPLE EL 90 7/16X1/</v>
          </cell>
          <cell r="C1168" t="str">
            <v>PC</v>
          </cell>
          <cell r="D1168">
            <v>28</v>
          </cell>
          <cell r="E1168">
            <v>13203</v>
          </cell>
          <cell r="F1168">
            <v>369684</v>
          </cell>
        </row>
        <row r="1169">
          <cell r="A1169" t="str">
            <v>B3110M-04-06</v>
          </cell>
          <cell r="B1169" t="str">
            <v>ADAPTOR</v>
          </cell>
          <cell r="C1169" t="str">
            <v>PC</v>
          </cell>
          <cell r="D1169">
            <v>0</v>
          </cell>
          <cell r="E1169">
            <v>0</v>
          </cell>
          <cell r="F1169">
            <v>0</v>
          </cell>
        </row>
        <row r="1170">
          <cell r="A1170" t="str">
            <v>B-4010-00220</v>
          </cell>
          <cell r="B1170" t="str">
            <v>Cotter Pin (B-4010-22018)</v>
          </cell>
          <cell r="C1170" t="str">
            <v>PC</v>
          </cell>
          <cell r="D1170">
            <v>0</v>
          </cell>
          <cell r="E1170">
            <v>1</v>
          </cell>
          <cell r="F1170">
            <v>0</v>
          </cell>
        </row>
        <row r="1171">
          <cell r="A1171" t="str">
            <v>B-4010-00550</v>
          </cell>
          <cell r="B1171" t="str">
            <v>COTTER PIN 5 X 50</v>
          </cell>
          <cell r="C1171" t="str">
            <v>PC</v>
          </cell>
          <cell r="D1171">
            <v>462</v>
          </cell>
          <cell r="E1171">
            <v>450</v>
          </cell>
          <cell r="F1171">
            <v>207900</v>
          </cell>
        </row>
        <row r="1172">
          <cell r="A1172" t="str">
            <v>B-4010-00570</v>
          </cell>
          <cell r="B1172" t="str">
            <v>COOTER PIN 5X70</v>
          </cell>
          <cell r="C1172" t="str">
            <v>PC</v>
          </cell>
          <cell r="D1172">
            <v>112</v>
          </cell>
          <cell r="E1172">
            <v>528</v>
          </cell>
          <cell r="F1172">
            <v>59136</v>
          </cell>
        </row>
        <row r="1173">
          <cell r="A1173" t="str">
            <v>B-4010-00670</v>
          </cell>
          <cell r="B1173" t="str">
            <v>COTTER PIN 6X70</v>
          </cell>
          <cell r="C1173" t="str">
            <v>PC</v>
          </cell>
          <cell r="D1173">
            <v>188</v>
          </cell>
          <cell r="E1173">
            <v>675</v>
          </cell>
          <cell r="F1173">
            <v>126900</v>
          </cell>
        </row>
        <row r="1174">
          <cell r="A1174" t="str">
            <v>B-4010-00885</v>
          </cell>
          <cell r="B1174" t="str">
            <v>COTTER PIN</v>
          </cell>
          <cell r="C1174" t="str">
            <v>PC</v>
          </cell>
          <cell r="D1174">
            <v>8</v>
          </cell>
          <cell r="E1174">
            <v>1050</v>
          </cell>
          <cell r="F1174">
            <v>8400</v>
          </cell>
        </row>
        <row r="1175">
          <cell r="A1175" t="str">
            <v>B-4010-01030</v>
          </cell>
          <cell r="B1175" t="str">
            <v>Cotter pin 10X30</v>
          </cell>
          <cell r="C1175" t="str">
            <v>PC</v>
          </cell>
          <cell r="D1175">
            <v>200</v>
          </cell>
          <cell r="E1175">
            <v>2575</v>
          </cell>
          <cell r="F1175">
            <v>515000</v>
          </cell>
        </row>
        <row r="1176">
          <cell r="A1176" t="str">
            <v>B-4010-01618</v>
          </cell>
          <cell r="B1176" t="str">
            <v>COTTER PIN</v>
          </cell>
          <cell r="C1176" t="str">
            <v>PC</v>
          </cell>
          <cell r="D1176">
            <v>0</v>
          </cell>
          <cell r="E1176">
            <v>1</v>
          </cell>
          <cell r="F1176">
            <v>0</v>
          </cell>
        </row>
        <row r="1177">
          <cell r="A1177" t="str">
            <v>B-4010-02020</v>
          </cell>
          <cell r="B1177" t="str">
            <v>COTTER PIN 2 X 18</v>
          </cell>
          <cell r="C1177" t="str">
            <v>PC</v>
          </cell>
          <cell r="D1177">
            <v>0</v>
          </cell>
          <cell r="E1177">
            <v>60</v>
          </cell>
          <cell r="F1177">
            <v>0</v>
          </cell>
        </row>
        <row r="1178">
          <cell r="A1178" t="str">
            <v>B-4010-02025</v>
          </cell>
          <cell r="B1178" t="str">
            <v>COTTER PIN 2 X 25</v>
          </cell>
          <cell r="C1178" t="str">
            <v>PC</v>
          </cell>
          <cell r="D1178">
            <v>81</v>
          </cell>
          <cell r="E1178">
            <v>60</v>
          </cell>
          <cell r="F1178">
            <v>4860</v>
          </cell>
        </row>
        <row r="1179">
          <cell r="A1179" t="str">
            <v>B-4010-03025</v>
          </cell>
          <cell r="B1179" t="str">
            <v xml:space="preserve"> COTTER PIN 3 X 25</v>
          </cell>
          <cell r="C1179" t="str">
            <v>PC</v>
          </cell>
          <cell r="D1179">
            <v>498</v>
          </cell>
          <cell r="E1179">
            <v>70</v>
          </cell>
          <cell r="F1179">
            <v>34860</v>
          </cell>
        </row>
        <row r="1180">
          <cell r="A1180" t="str">
            <v>B-4010-03040</v>
          </cell>
          <cell r="B1180" t="str">
            <v>COTTER PIN 3 X 40</v>
          </cell>
          <cell r="C1180" t="str">
            <v>PC</v>
          </cell>
          <cell r="D1180">
            <v>1001</v>
          </cell>
          <cell r="E1180">
            <v>60</v>
          </cell>
          <cell r="F1180">
            <v>60060</v>
          </cell>
        </row>
        <row r="1181">
          <cell r="A1181" t="str">
            <v>B-4010-04025</v>
          </cell>
          <cell r="B1181" t="str">
            <v>COTTER PIN 4 X 25</v>
          </cell>
          <cell r="C1181" t="str">
            <v>PC</v>
          </cell>
          <cell r="D1181">
            <v>429</v>
          </cell>
          <cell r="E1181">
            <v>21</v>
          </cell>
          <cell r="F1181">
            <v>9009</v>
          </cell>
        </row>
        <row r="1182">
          <cell r="A1182" t="str">
            <v>B-4010-04030</v>
          </cell>
          <cell r="B1182" t="str">
            <v>COTTER PIN 4 X 30</v>
          </cell>
          <cell r="C1182" t="str">
            <v>PC</v>
          </cell>
          <cell r="D1182">
            <v>593</v>
          </cell>
          <cell r="E1182">
            <v>30</v>
          </cell>
          <cell r="F1182">
            <v>17790</v>
          </cell>
        </row>
        <row r="1183">
          <cell r="A1183" t="str">
            <v>B-4010-04035</v>
          </cell>
          <cell r="B1183" t="str">
            <v>COTTER PIN 4 X 35</v>
          </cell>
          <cell r="C1183" t="str">
            <v>PC</v>
          </cell>
          <cell r="D1183">
            <v>242</v>
          </cell>
          <cell r="E1183">
            <v>45</v>
          </cell>
          <cell r="F1183">
            <v>10890</v>
          </cell>
        </row>
        <row r="1184">
          <cell r="A1184" t="str">
            <v>B-4010-04040</v>
          </cell>
          <cell r="B1184" t="str">
            <v>COTTER PIN 4 X 40</v>
          </cell>
          <cell r="C1184" t="str">
            <v>PC</v>
          </cell>
          <cell r="D1184">
            <v>150</v>
          </cell>
          <cell r="E1184">
            <v>158</v>
          </cell>
          <cell r="F1184">
            <v>23750</v>
          </cell>
        </row>
        <row r="1185">
          <cell r="A1185" t="str">
            <v>B-4010-04045</v>
          </cell>
          <cell r="B1185" t="str">
            <v>COTTER PIN 4 X 45</v>
          </cell>
          <cell r="C1185" t="str">
            <v>PC</v>
          </cell>
          <cell r="D1185">
            <v>265</v>
          </cell>
          <cell r="E1185">
            <v>20</v>
          </cell>
          <cell r="F1185">
            <v>5300</v>
          </cell>
        </row>
        <row r="1186">
          <cell r="A1186" t="str">
            <v>B-4010-04050</v>
          </cell>
          <cell r="B1186" t="str">
            <v>COTTER PIN 4 X 50</v>
          </cell>
          <cell r="C1186" t="str">
            <v>PC</v>
          </cell>
          <cell r="D1186">
            <v>488</v>
          </cell>
          <cell r="E1186">
            <v>184</v>
          </cell>
          <cell r="F1186">
            <v>89872</v>
          </cell>
        </row>
        <row r="1187">
          <cell r="A1187" t="str">
            <v>B-4010-05030</v>
          </cell>
          <cell r="B1187" t="str">
            <v>COTTER PIN 5 X 30</v>
          </cell>
          <cell r="C1187" t="str">
            <v>PC</v>
          </cell>
          <cell r="D1187">
            <v>575</v>
          </cell>
          <cell r="E1187">
            <v>235</v>
          </cell>
          <cell r="F1187">
            <v>135350</v>
          </cell>
        </row>
        <row r="1188">
          <cell r="A1188" t="str">
            <v>B-4010-05040</v>
          </cell>
          <cell r="B1188" t="str">
            <v>COTTER PIN 5 X 40</v>
          </cell>
          <cell r="C1188" t="str">
            <v>PC</v>
          </cell>
          <cell r="D1188">
            <v>34</v>
          </cell>
          <cell r="E1188">
            <v>195</v>
          </cell>
          <cell r="F1188">
            <v>6630</v>
          </cell>
        </row>
        <row r="1189">
          <cell r="A1189" t="str">
            <v>B-4010-06040</v>
          </cell>
          <cell r="B1189" t="str">
            <v>COTTER PIN 6 X 40</v>
          </cell>
          <cell r="C1189" t="str">
            <v>PC</v>
          </cell>
          <cell r="D1189">
            <v>181</v>
          </cell>
          <cell r="E1189">
            <v>261</v>
          </cell>
          <cell r="F1189">
            <v>47305</v>
          </cell>
        </row>
        <row r="1190">
          <cell r="A1190" t="str">
            <v>B-4010-06050</v>
          </cell>
          <cell r="B1190" t="str">
            <v>COTTER PIN 6 X 50</v>
          </cell>
          <cell r="C1190" t="str">
            <v>PC</v>
          </cell>
          <cell r="D1190">
            <v>132</v>
          </cell>
          <cell r="E1190">
            <v>382</v>
          </cell>
          <cell r="F1190">
            <v>50420</v>
          </cell>
        </row>
        <row r="1191">
          <cell r="A1191" t="str">
            <v>B-4010-06080</v>
          </cell>
          <cell r="B1191" t="str">
            <v>COTTER PIN 6 X 80</v>
          </cell>
          <cell r="C1191" t="str">
            <v>PC</v>
          </cell>
          <cell r="D1191">
            <v>484</v>
          </cell>
          <cell r="E1191">
            <v>689</v>
          </cell>
          <cell r="F1191">
            <v>333629</v>
          </cell>
        </row>
        <row r="1192">
          <cell r="A1192" t="str">
            <v>B-4010-08055</v>
          </cell>
          <cell r="B1192" t="str">
            <v>COTTER PIN 8 X 55</v>
          </cell>
          <cell r="C1192" t="str">
            <v>PC</v>
          </cell>
          <cell r="D1192">
            <v>2</v>
          </cell>
          <cell r="E1192">
            <v>750</v>
          </cell>
          <cell r="F1192">
            <v>1500</v>
          </cell>
        </row>
        <row r="1193">
          <cell r="A1193" t="str">
            <v>B-4010-08075</v>
          </cell>
          <cell r="B1193" t="str">
            <v>COTTER PIN 8 X 75</v>
          </cell>
          <cell r="C1193" t="str">
            <v>PC</v>
          </cell>
          <cell r="D1193">
            <v>299</v>
          </cell>
          <cell r="E1193">
            <v>810</v>
          </cell>
          <cell r="F1193">
            <v>242190</v>
          </cell>
        </row>
        <row r="1194">
          <cell r="A1194" t="str">
            <v>B-4010-08080</v>
          </cell>
          <cell r="B1194" t="str">
            <v>COTTER PIN 8 X 80</v>
          </cell>
          <cell r="C1194" t="str">
            <v>PC</v>
          </cell>
          <cell r="D1194">
            <v>59</v>
          </cell>
          <cell r="E1194">
            <v>150</v>
          </cell>
          <cell r="F1194">
            <v>8850</v>
          </cell>
        </row>
        <row r="1195">
          <cell r="A1195" t="str">
            <v>B-4010-08085</v>
          </cell>
          <cell r="B1195" t="str">
            <v>COTTER PIN 8 X 85</v>
          </cell>
          <cell r="C1195" t="str">
            <v>PC</v>
          </cell>
          <cell r="D1195">
            <v>150</v>
          </cell>
          <cell r="E1195">
            <v>810</v>
          </cell>
          <cell r="F1195">
            <v>121500</v>
          </cell>
        </row>
        <row r="1196">
          <cell r="A1196" t="str">
            <v>B-4010-11218</v>
          </cell>
          <cell r="B1196" t="str">
            <v>PIN, COTTER</v>
          </cell>
          <cell r="C1196" t="str">
            <v>PC</v>
          </cell>
          <cell r="D1196">
            <v>0</v>
          </cell>
          <cell r="E1196">
            <v>0</v>
          </cell>
          <cell r="F1196">
            <v>0</v>
          </cell>
        </row>
        <row r="1197">
          <cell r="A1197" t="str">
            <v>B-4010-16070</v>
          </cell>
          <cell r="B1197" t="str">
            <v>COTTER PIN</v>
          </cell>
          <cell r="C1197" t="str">
            <v>PC</v>
          </cell>
          <cell r="D1197">
            <v>0</v>
          </cell>
          <cell r="E1197">
            <v>0</v>
          </cell>
          <cell r="F1197">
            <v>0</v>
          </cell>
        </row>
        <row r="1198">
          <cell r="A1198" t="str">
            <v>B-4010-18085</v>
          </cell>
          <cell r="B1198" t="str">
            <v>COTTER PIN</v>
          </cell>
          <cell r="C1198" t="str">
            <v>PC</v>
          </cell>
          <cell r="D1198">
            <v>0</v>
          </cell>
          <cell r="E1198">
            <v>1</v>
          </cell>
          <cell r="F1198">
            <v>0</v>
          </cell>
        </row>
        <row r="1199">
          <cell r="A1199" t="str">
            <v>B-4010-20540</v>
          </cell>
          <cell r="B1199" t="str">
            <v>Cotter Pin 5 x 40</v>
          </cell>
          <cell r="C1199" t="str">
            <v>PC</v>
          </cell>
          <cell r="D1199">
            <v>0</v>
          </cell>
          <cell r="E1199">
            <v>0</v>
          </cell>
          <cell r="F1199">
            <v>0</v>
          </cell>
        </row>
        <row r="1200">
          <cell r="A1200" t="str">
            <v>B-4010-20680</v>
          </cell>
          <cell r="B1200" t="str">
            <v>Cotter Pin 6 x 80</v>
          </cell>
          <cell r="C1200" t="str">
            <v>PC</v>
          </cell>
          <cell r="D1200">
            <v>0</v>
          </cell>
          <cell r="E1200">
            <v>0</v>
          </cell>
          <cell r="F1200">
            <v>0</v>
          </cell>
        </row>
        <row r="1201">
          <cell r="A1201" t="str">
            <v>B-4010-22015</v>
          </cell>
          <cell r="B1201" t="str">
            <v>PIN COTTER</v>
          </cell>
          <cell r="C1201" t="str">
            <v>PC</v>
          </cell>
          <cell r="D1201">
            <v>0</v>
          </cell>
          <cell r="E1201">
            <v>1</v>
          </cell>
          <cell r="F1201">
            <v>0</v>
          </cell>
        </row>
        <row r="1202">
          <cell r="A1202" t="str">
            <v>B-4010-23018</v>
          </cell>
          <cell r="B1202" t="str">
            <v>PIN COTTER</v>
          </cell>
          <cell r="C1202" t="str">
            <v>PC</v>
          </cell>
          <cell r="D1202">
            <v>0</v>
          </cell>
          <cell r="E1202">
            <v>1</v>
          </cell>
          <cell r="F1202">
            <v>0</v>
          </cell>
        </row>
        <row r="1203">
          <cell r="A1203" t="str">
            <v>B-4010-23055</v>
          </cell>
          <cell r="B1203" t="str">
            <v>COTTER PIN</v>
          </cell>
          <cell r="C1203" t="str">
            <v>PCS</v>
          </cell>
          <cell r="D1203">
            <v>0</v>
          </cell>
          <cell r="E1203">
            <v>1</v>
          </cell>
          <cell r="F1203">
            <v>0</v>
          </cell>
        </row>
        <row r="1204">
          <cell r="A1204" t="str">
            <v>B-4010-24020</v>
          </cell>
          <cell r="B1204" t="str">
            <v>PIN, SPLIT</v>
          </cell>
          <cell r="C1204" t="str">
            <v>PC</v>
          </cell>
          <cell r="D1204">
            <v>0</v>
          </cell>
          <cell r="E1204">
            <v>1</v>
          </cell>
          <cell r="F1204">
            <v>0</v>
          </cell>
        </row>
        <row r="1205">
          <cell r="A1205" t="str">
            <v>B-4010-25040</v>
          </cell>
          <cell r="B1205" t="str">
            <v>COTTER PIN</v>
          </cell>
          <cell r="C1205" t="str">
            <v>PC</v>
          </cell>
          <cell r="D1205">
            <v>0</v>
          </cell>
          <cell r="E1205">
            <v>0</v>
          </cell>
          <cell r="F1205">
            <v>0</v>
          </cell>
        </row>
        <row r="1206">
          <cell r="A1206" t="str">
            <v>B-4011-00050</v>
          </cell>
          <cell r="B1206" t="str">
            <v>COTTER PIN 10 X 150</v>
          </cell>
          <cell r="C1206" t="str">
            <v>PC</v>
          </cell>
          <cell r="D1206">
            <v>6</v>
          </cell>
          <cell r="E1206">
            <v>3000</v>
          </cell>
          <cell r="F1206">
            <v>18000</v>
          </cell>
        </row>
        <row r="1207">
          <cell r="A1207" t="str">
            <v>B-4011-00600</v>
          </cell>
          <cell r="B1207" t="str">
            <v xml:space="preserve"> COTTER PIN 6X100</v>
          </cell>
          <cell r="C1207" t="str">
            <v>PC</v>
          </cell>
          <cell r="D1207">
            <v>64</v>
          </cell>
          <cell r="E1207">
            <v>753</v>
          </cell>
          <cell r="F1207">
            <v>48192</v>
          </cell>
        </row>
        <row r="1208">
          <cell r="A1208" t="str">
            <v>B-4011-05000</v>
          </cell>
          <cell r="B1208" t="str">
            <v>COTTER PIN 5 X 100</v>
          </cell>
          <cell r="C1208" t="str">
            <v>PC</v>
          </cell>
          <cell r="D1208">
            <v>0</v>
          </cell>
          <cell r="E1208">
            <v>2400</v>
          </cell>
          <cell r="F1208">
            <v>0</v>
          </cell>
        </row>
        <row r="1209">
          <cell r="A1209" t="str">
            <v>B-4011-08000</v>
          </cell>
          <cell r="B1209" t="str">
            <v>COTTER PIN 8 X 100</v>
          </cell>
          <cell r="C1209" t="str">
            <v>PC</v>
          </cell>
          <cell r="D1209">
            <v>45</v>
          </cell>
          <cell r="E1209">
            <v>1050</v>
          </cell>
          <cell r="F1209">
            <v>47250</v>
          </cell>
        </row>
        <row r="1210">
          <cell r="A1210" t="str">
            <v>B-4011-08040</v>
          </cell>
          <cell r="B1210" t="str">
            <v>COTTER PIN 8 X 140</v>
          </cell>
          <cell r="C1210" t="str">
            <v>PC</v>
          </cell>
          <cell r="D1210">
            <v>88</v>
          </cell>
          <cell r="E1210">
            <v>1</v>
          </cell>
          <cell r="F1210">
            <v>88</v>
          </cell>
        </row>
        <row r="1211">
          <cell r="A1211" t="str">
            <v>B-4020-01070</v>
          </cell>
          <cell r="B1211" t="str">
            <v>PIN, spring</v>
          </cell>
          <cell r="C1211" t="str">
            <v>PC</v>
          </cell>
          <cell r="D1211">
            <v>0</v>
          </cell>
          <cell r="E1211">
            <v>1</v>
          </cell>
          <cell r="F1211">
            <v>0</v>
          </cell>
        </row>
        <row r="1212">
          <cell r="A1212" t="str">
            <v>B-4020-15030</v>
          </cell>
          <cell r="B1212" t="str">
            <v>COTTER PIN</v>
          </cell>
          <cell r="C1212" t="str">
            <v>PC</v>
          </cell>
          <cell r="D1212">
            <v>0</v>
          </cell>
          <cell r="E1212">
            <v>1</v>
          </cell>
          <cell r="F1212">
            <v>0</v>
          </cell>
        </row>
        <row r="1213">
          <cell r="A1213" t="str">
            <v>B-4040-01650</v>
          </cell>
          <cell r="B1213" t="str">
            <v>SPRING SILINDRIS</v>
          </cell>
          <cell r="C1213" t="str">
            <v>PC</v>
          </cell>
          <cell r="D1213">
            <v>0</v>
          </cell>
          <cell r="E1213">
            <v>0</v>
          </cell>
          <cell r="F1213">
            <v>0</v>
          </cell>
        </row>
        <row r="1214">
          <cell r="A1214" t="str">
            <v>B-4040-11648</v>
          </cell>
          <cell r="B1214" t="str">
            <v>PENA SILINDRIS</v>
          </cell>
          <cell r="C1214" t="str">
            <v>PC</v>
          </cell>
          <cell r="D1214">
            <v>0</v>
          </cell>
          <cell r="E1214">
            <v>10500</v>
          </cell>
          <cell r="F1214">
            <v>0</v>
          </cell>
        </row>
        <row r="1215">
          <cell r="A1215" t="str">
            <v>B-4060-1304</v>
          </cell>
          <cell r="B1215" t="str">
            <v>SNAP RING TYPE H130</v>
          </cell>
          <cell r="C1215" t="str">
            <v>PC</v>
          </cell>
          <cell r="D1215">
            <v>21</v>
          </cell>
          <cell r="E1215">
            <v>58889</v>
          </cell>
          <cell r="F1215">
            <v>1236667</v>
          </cell>
        </row>
        <row r="1216">
          <cell r="A1216" t="str">
            <v>B40-PC750SE-6-1</v>
          </cell>
          <cell r="B1216" t="str">
            <v>Bucket For PC750 SE-6 Cap 4,5 M3</v>
          </cell>
          <cell r="C1216" t="str">
            <v>PC</v>
          </cell>
          <cell r="D1216">
            <v>0</v>
          </cell>
          <cell r="E1216">
            <v>48896139</v>
          </cell>
          <cell r="F1216">
            <v>0</v>
          </cell>
        </row>
        <row r="1217">
          <cell r="A1217" t="str">
            <v>B-4410-40408</v>
          </cell>
          <cell r="B1217" t="str">
            <v>RIVET</v>
          </cell>
          <cell r="C1217" t="str">
            <v>PC</v>
          </cell>
          <cell r="D1217">
            <v>0</v>
          </cell>
          <cell r="E1217">
            <v>0</v>
          </cell>
          <cell r="F1217">
            <v>0</v>
          </cell>
        </row>
        <row r="1218">
          <cell r="A1218" t="str">
            <v>B5010M-16</v>
          </cell>
          <cell r="B1218" t="str">
            <v>Plug 1-5/16 JIC Male</v>
          </cell>
          <cell r="C1218" t="str">
            <v>PC</v>
          </cell>
          <cell r="D1218">
            <v>0</v>
          </cell>
          <cell r="E1218">
            <v>100175</v>
          </cell>
          <cell r="F1218">
            <v>0</v>
          </cell>
        </row>
        <row r="1219">
          <cell r="A1219" t="str">
            <v>B5010M-24</v>
          </cell>
          <cell r="B1219" t="str">
            <v>Plug 1-7/8 JIC</v>
          </cell>
          <cell r="C1219" t="str">
            <v>PC</v>
          </cell>
          <cell r="D1219">
            <v>0</v>
          </cell>
          <cell r="E1219">
            <v>100711</v>
          </cell>
          <cell r="F1219">
            <v>0</v>
          </cell>
        </row>
        <row r="1220">
          <cell r="A1220" t="str">
            <v>B6010M-12-08</v>
          </cell>
          <cell r="B1220" t="str">
            <v>D. NIPPLE</v>
          </cell>
          <cell r="C1220" t="str">
            <v>PC</v>
          </cell>
          <cell r="D1220">
            <v>0</v>
          </cell>
          <cell r="E1220">
            <v>0</v>
          </cell>
          <cell r="F1220">
            <v>0</v>
          </cell>
        </row>
        <row r="1221">
          <cell r="A1221" t="str">
            <v>B-7000-01810</v>
          </cell>
          <cell r="B1221" t="str">
            <v>O-RING (DR 108)</v>
          </cell>
          <cell r="C1221" t="str">
            <v>PC</v>
          </cell>
          <cell r="D1221">
            <v>40</v>
          </cell>
          <cell r="E1221">
            <v>2567</v>
          </cell>
          <cell r="F1221">
            <v>102680</v>
          </cell>
        </row>
        <row r="1222">
          <cell r="A1222" t="str">
            <v>B-7001-03525</v>
          </cell>
          <cell r="B1222" t="str">
            <v>O-RING</v>
          </cell>
          <cell r="C1222" t="str">
            <v>PC</v>
          </cell>
          <cell r="D1222">
            <v>0</v>
          </cell>
          <cell r="E1222">
            <v>5106</v>
          </cell>
          <cell r="F1222">
            <v>0</v>
          </cell>
        </row>
        <row r="1223">
          <cell r="A1223" t="str">
            <v>B-7001-03532</v>
          </cell>
          <cell r="B1223" t="str">
            <v>O RING 3,5X32</v>
          </cell>
          <cell r="C1223" t="str">
            <v>PC</v>
          </cell>
          <cell r="D1223">
            <v>20</v>
          </cell>
          <cell r="E1223">
            <v>7189</v>
          </cell>
          <cell r="F1223">
            <v>143778</v>
          </cell>
        </row>
        <row r="1224">
          <cell r="A1224" t="str">
            <v>B-7001-03537</v>
          </cell>
          <cell r="B1224" t="str">
            <v>O-RING SAEFLG 1-1/4"</v>
          </cell>
          <cell r="C1224" t="str">
            <v>PC</v>
          </cell>
          <cell r="D1224">
            <v>3</v>
          </cell>
          <cell r="E1224">
            <v>11771</v>
          </cell>
          <cell r="F1224">
            <v>35313</v>
          </cell>
        </row>
        <row r="1225">
          <cell r="A1225" t="str">
            <v>B-7002-03029</v>
          </cell>
          <cell r="B1225" t="str">
            <v xml:space="preserve"> O RING ( D=1 1/4")</v>
          </cell>
          <cell r="C1225" t="str">
            <v>PC</v>
          </cell>
          <cell r="D1225">
            <v>0</v>
          </cell>
          <cell r="E1225">
            <v>8000</v>
          </cell>
          <cell r="F1225">
            <v>0</v>
          </cell>
        </row>
        <row r="1226">
          <cell r="A1226" t="str">
            <v>B-7010-00000</v>
          </cell>
          <cell r="B1226" t="str">
            <v>NIPPLE GR.1/8" STRAIGHT</v>
          </cell>
          <cell r="C1226" t="str">
            <v>PC</v>
          </cell>
          <cell r="D1226">
            <v>391</v>
          </cell>
          <cell r="E1226">
            <v>1110</v>
          </cell>
          <cell r="F1226">
            <v>433989</v>
          </cell>
        </row>
        <row r="1227">
          <cell r="A1227" t="str">
            <v>B-7010-00450</v>
          </cell>
          <cell r="B1227" t="str">
            <v>NIPPLE GR.1/8" 45DEG</v>
          </cell>
          <cell r="C1227" t="str">
            <v>PC</v>
          </cell>
          <cell r="D1227">
            <v>63</v>
          </cell>
          <cell r="E1227">
            <v>420</v>
          </cell>
          <cell r="F1227">
            <v>26460</v>
          </cell>
        </row>
        <row r="1228">
          <cell r="A1228" t="str">
            <v>B-7010-00675</v>
          </cell>
          <cell r="B1228" t="str">
            <v>FITTING GREASE</v>
          </cell>
          <cell r="C1228" t="str">
            <v>PC</v>
          </cell>
          <cell r="D1228">
            <v>0</v>
          </cell>
          <cell r="E1228">
            <v>0</v>
          </cell>
          <cell r="F1228">
            <v>0</v>
          </cell>
        </row>
        <row r="1229">
          <cell r="A1229" t="str">
            <v>B-7010-00900</v>
          </cell>
          <cell r="B1229" t="str">
            <v>FITTING GREASE</v>
          </cell>
          <cell r="C1229" t="str">
            <v>PC</v>
          </cell>
          <cell r="D1229">
            <v>50</v>
          </cell>
          <cell r="E1229">
            <v>360</v>
          </cell>
          <cell r="F1229">
            <v>18000</v>
          </cell>
        </row>
        <row r="1230">
          <cell r="A1230" t="str">
            <v>B-7200-A1212</v>
          </cell>
          <cell r="B1230" t="str">
            <v>DOUBLE NIPPLE 3/4"BSPT-3/4"BSPT</v>
          </cell>
          <cell r="C1230" t="str">
            <v>PC</v>
          </cell>
          <cell r="D1230">
            <v>12</v>
          </cell>
          <cell r="E1230">
            <v>17025</v>
          </cell>
          <cell r="F1230">
            <v>204298</v>
          </cell>
        </row>
        <row r="1231">
          <cell r="A1231" t="str">
            <v>B-7200-A1616</v>
          </cell>
          <cell r="B1231" t="str">
            <v xml:space="preserve"> D.NIPPLE 1"X1"BSPT</v>
          </cell>
          <cell r="C1231" t="str">
            <v>PC</v>
          </cell>
          <cell r="D1231">
            <v>3</v>
          </cell>
          <cell r="E1231">
            <v>49655</v>
          </cell>
          <cell r="F1231">
            <v>148966</v>
          </cell>
        </row>
        <row r="1232">
          <cell r="A1232" t="str">
            <v>B-7200-A3232</v>
          </cell>
          <cell r="B1232" t="str">
            <v xml:space="preserve"> ADAPTER 2"X2" BSPT M</v>
          </cell>
          <cell r="C1232" t="str">
            <v>PC</v>
          </cell>
          <cell r="D1232">
            <v>0</v>
          </cell>
          <cell r="E1232">
            <v>7000</v>
          </cell>
          <cell r="F1232">
            <v>0</v>
          </cell>
        </row>
        <row r="1233">
          <cell r="A1233" t="str">
            <v>B-7200-B1221</v>
          </cell>
          <cell r="B1233" t="str">
            <v>NIPPLE, double3/4"NPT-1 5/16JIC</v>
          </cell>
          <cell r="C1233" t="str">
            <v>PC</v>
          </cell>
          <cell r="D1233">
            <v>12</v>
          </cell>
          <cell r="E1233">
            <v>47436</v>
          </cell>
          <cell r="F1233">
            <v>569228</v>
          </cell>
        </row>
        <row r="1234">
          <cell r="A1234" t="str">
            <v>B-7200-C0204</v>
          </cell>
          <cell r="B1234" t="str">
            <v>DOUBLE NIPPLE</v>
          </cell>
          <cell r="C1234" t="str">
            <v>PC</v>
          </cell>
          <cell r="D1234">
            <v>156</v>
          </cell>
          <cell r="E1234">
            <v>6668</v>
          </cell>
          <cell r="F1234">
            <v>1040133</v>
          </cell>
        </row>
        <row r="1235">
          <cell r="A1235" t="str">
            <v>B-7200-C1617</v>
          </cell>
          <cell r="B1235" t="str">
            <v>NIPPLE, grease1"BSPT-17JIC</v>
          </cell>
          <cell r="C1235" t="str">
            <v>PC</v>
          </cell>
          <cell r="D1235">
            <v>12</v>
          </cell>
          <cell r="E1235">
            <v>56202</v>
          </cell>
          <cell r="F1235">
            <v>674424</v>
          </cell>
        </row>
        <row r="1236">
          <cell r="A1236" t="str">
            <v>B-7200-C2021</v>
          </cell>
          <cell r="B1236" t="str">
            <v>NIPPLE, double20BSPT-21JIC</v>
          </cell>
          <cell r="C1236" t="str">
            <v>PC</v>
          </cell>
          <cell r="D1236">
            <v>24</v>
          </cell>
          <cell r="E1236">
            <v>70431</v>
          </cell>
          <cell r="F1236">
            <v>1690336</v>
          </cell>
        </row>
        <row r="1237">
          <cell r="A1237" t="str">
            <v>B-7200-D0406</v>
          </cell>
          <cell r="B1237" t="str">
            <v>NIPPLE D226/0407</v>
          </cell>
          <cell r="C1237" t="str">
            <v>PC</v>
          </cell>
          <cell r="D1237">
            <v>16</v>
          </cell>
          <cell r="E1237">
            <v>17771</v>
          </cell>
          <cell r="F1237">
            <v>284336</v>
          </cell>
        </row>
        <row r="1238">
          <cell r="A1238" t="str">
            <v>B-7200-D0409</v>
          </cell>
          <cell r="B1238" t="str">
            <v>DOUBLE NIPPLE</v>
          </cell>
          <cell r="C1238" t="str">
            <v>PC</v>
          </cell>
          <cell r="D1238">
            <v>80</v>
          </cell>
          <cell r="E1238">
            <v>17545</v>
          </cell>
          <cell r="F1238">
            <v>1403600</v>
          </cell>
        </row>
        <row r="1239">
          <cell r="A1239" t="str">
            <v>B-7200-D0808</v>
          </cell>
          <cell r="B1239" t="str">
            <v>ADAPTOR</v>
          </cell>
          <cell r="C1239" t="str">
            <v>PC</v>
          </cell>
          <cell r="D1239">
            <v>24</v>
          </cell>
          <cell r="E1239">
            <v>27999</v>
          </cell>
          <cell r="F1239">
            <v>671976</v>
          </cell>
        </row>
        <row r="1240">
          <cell r="A1240" t="str">
            <v>B-7200-D0812</v>
          </cell>
          <cell r="B1240" t="str">
            <v xml:space="preserve"> NIPPLE</v>
          </cell>
          <cell r="C1240" t="str">
            <v>PC</v>
          </cell>
          <cell r="D1240">
            <v>16</v>
          </cell>
          <cell r="E1240">
            <v>53136</v>
          </cell>
          <cell r="F1240">
            <v>850174</v>
          </cell>
        </row>
        <row r="1241">
          <cell r="A1241" t="str">
            <v>B-7200-D1208</v>
          </cell>
          <cell r="B1241" t="str">
            <v>ADAPTOR D226/08123</v>
          </cell>
          <cell r="C1241" t="str">
            <v>PC</v>
          </cell>
          <cell r="D1241">
            <v>0</v>
          </cell>
          <cell r="E1241">
            <v>70016</v>
          </cell>
          <cell r="F1241">
            <v>0</v>
          </cell>
        </row>
        <row r="1242">
          <cell r="A1242" t="str">
            <v>B-7200-E0402</v>
          </cell>
          <cell r="B1242" t="str">
            <v>D. NIPPLE</v>
          </cell>
          <cell r="C1242" t="str">
            <v>PC</v>
          </cell>
          <cell r="D1242">
            <v>0</v>
          </cell>
          <cell r="E1242">
            <v>9509</v>
          </cell>
          <cell r="F1242">
            <v>0</v>
          </cell>
        </row>
        <row r="1243">
          <cell r="A1243" t="str">
            <v>B-7200-E2142</v>
          </cell>
          <cell r="B1243" t="str">
            <v>NIPPLE, DOUBLE21JIC-M40</v>
          </cell>
          <cell r="C1243" t="str">
            <v>PC</v>
          </cell>
          <cell r="D1243">
            <v>12</v>
          </cell>
          <cell r="E1243">
            <v>86202</v>
          </cell>
          <cell r="F1243">
            <v>1034422</v>
          </cell>
        </row>
        <row r="1244">
          <cell r="A1244" t="str">
            <v>B-7200-H0404</v>
          </cell>
          <cell r="B1244" t="str">
            <v>D. NIPPLE</v>
          </cell>
          <cell r="C1244" t="str">
            <v>PC</v>
          </cell>
          <cell r="D1244">
            <v>0</v>
          </cell>
          <cell r="E1244">
            <v>9921</v>
          </cell>
          <cell r="F1244">
            <v>0</v>
          </cell>
        </row>
        <row r="1245">
          <cell r="A1245" t="str">
            <v>B-7200-H1012</v>
          </cell>
          <cell r="B1245" t="str">
            <v>ADAPTOR</v>
          </cell>
          <cell r="C1245" t="str">
            <v>PC</v>
          </cell>
          <cell r="D1245">
            <v>3</v>
          </cell>
          <cell r="E1245">
            <v>45185</v>
          </cell>
          <cell r="F1245">
            <v>135555</v>
          </cell>
        </row>
        <row r="1246">
          <cell r="A1246" t="str">
            <v>B-7200-H1208</v>
          </cell>
          <cell r="B1246" t="str">
            <v>ADAPTER D52/1712</v>
          </cell>
          <cell r="C1246" t="str">
            <v>PC</v>
          </cell>
          <cell r="D1246">
            <v>4</v>
          </cell>
          <cell r="E1246">
            <v>16811</v>
          </cell>
          <cell r="F1246">
            <v>67244</v>
          </cell>
        </row>
        <row r="1247">
          <cell r="A1247" t="str">
            <v>B-7200-H1212</v>
          </cell>
          <cell r="B1247" t="str">
            <v>NIPPLE B1510M-12-12</v>
          </cell>
          <cell r="C1247" t="str">
            <v>PC</v>
          </cell>
          <cell r="D1247">
            <v>32</v>
          </cell>
          <cell r="E1247">
            <v>18563</v>
          </cell>
          <cell r="F1247">
            <v>594028</v>
          </cell>
        </row>
        <row r="1248">
          <cell r="A1248" t="str">
            <v>B-7200-H1612</v>
          </cell>
          <cell r="B1248" t="str">
            <v>NIPPLE B1510M-12-16</v>
          </cell>
          <cell r="C1248" t="str">
            <v>PC</v>
          </cell>
          <cell r="D1248">
            <v>4</v>
          </cell>
          <cell r="E1248">
            <v>57520</v>
          </cell>
          <cell r="F1248">
            <v>230078</v>
          </cell>
        </row>
        <row r="1249">
          <cell r="A1249" t="str">
            <v>B-7200-J1212</v>
          </cell>
          <cell r="B1249" t="str">
            <v>ADAPTER</v>
          </cell>
          <cell r="C1249" t="str">
            <v>PC</v>
          </cell>
          <cell r="D1249">
            <v>40</v>
          </cell>
          <cell r="E1249">
            <v>25921</v>
          </cell>
          <cell r="F1249">
            <v>1036840</v>
          </cell>
        </row>
        <row r="1250">
          <cell r="A1250" t="str">
            <v>B-7200-N2000</v>
          </cell>
          <cell r="B1250" t="str">
            <v>MALE CON 26JIC-32</v>
          </cell>
          <cell r="C1250" t="str">
            <v>PC</v>
          </cell>
          <cell r="D1250">
            <v>25</v>
          </cell>
          <cell r="E1250">
            <v>22500</v>
          </cell>
          <cell r="F1250">
            <v>562500</v>
          </cell>
        </row>
        <row r="1251">
          <cell r="A1251" t="str">
            <v>B-7200-R1212-BH</v>
          </cell>
          <cell r="B1251" t="str">
            <v xml:space="preserve"> BULK HEAD</v>
          </cell>
          <cell r="C1251" t="str">
            <v>PC</v>
          </cell>
          <cell r="D1251">
            <v>4</v>
          </cell>
          <cell r="E1251">
            <v>57183</v>
          </cell>
          <cell r="F1251">
            <v>228733</v>
          </cell>
        </row>
        <row r="1252">
          <cell r="A1252" t="str">
            <v>B-7200-S1212</v>
          </cell>
          <cell r="B1252" t="str">
            <v xml:space="preserve"> ADAPTER B1080M-12-12</v>
          </cell>
          <cell r="C1252" t="str">
            <v>PC</v>
          </cell>
          <cell r="D1252">
            <v>4</v>
          </cell>
          <cell r="E1252">
            <v>112464</v>
          </cell>
          <cell r="F1252">
            <v>449854</v>
          </cell>
        </row>
        <row r="1253">
          <cell r="A1253" t="str">
            <v>B-7202-B16-16</v>
          </cell>
          <cell r="B1253" t="str">
            <v>ELBOW 90 NPT X JIC</v>
          </cell>
          <cell r="C1253" t="str">
            <v>PC</v>
          </cell>
          <cell r="D1253">
            <v>0</v>
          </cell>
          <cell r="E1253">
            <v>72960</v>
          </cell>
          <cell r="F1253">
            <v>0</v>
          </cell>
        </row>
        <row r="1254">
          <cell r="A1254" t="str">
            <v>B-7203-F1717</v>
          </cell>
          <cell r="B1254" t="str">
            <v>TEE 17JIC M-M-F</v>
          </cell>
          <cell r="C1254" t="str">
            <v>PC</v>
          </cell>
          <cell r="D1254">
            <v>12</v>
          </cell>
          <cell r="E1254">
            <v>108583</v>
          </cell>
          <cell r="F1254">
            <v>1303001</v>
          </cell>
        </row>
        <row r="1255">
          <cell r="A1255" t="str">
            <v>B-7203-L1616</v>
          </cell>
          <cell r="B1255" t="str">
            <v xml:space="preserve"> TEE 1" BSPT FEMALE</v>
          </cell>
          <cell r="C1255" t="str">
            <v>PC</v>
          </cell>
          <cell r="D1255">
            <v>0</v>
          </cell>
          <cell r="E1255">
            <v>145773</v>
          </cell>
          <cell r="F1255">
            <v>0</v>
          </cell>
        </row>
        <row r="1256">
          <cell r="A1256" t="str">
            <v>B-7211-00128</v>
          </cell>
          <cell r="B1256" t="str">
            <v>HOSE CLAMP 17-19 (TOYOK)</v>
          </cell>
          <cell r="C1256" t="str">
            <v>PC</v>
          </cell>
          <cell r="D1256">
            <v>612</v>
          </cell>
          <cell r="E1256">
            <v>5410</v>
          </cell>
          <cell r="F1256">
            <v>3311019</v>
          </cell>
        </row>
        <row r="1257">
          <cell r="A1257" t="str">
            <v>B-7211-00129</v>
          </cell>
          <cell r="B1257" t="str">
            <v>HOSE CLAMP 11 - 17	         4.200_x000D_
		CIK	B-7211-00168		                0	PC	                0	IDR	CLAMP	         4.200_x000D_
		CIK	B-7211-00208		               48	PC	          112.800	IDR	HOSE CLAMP 3/4"""</v>
          </cell>
          <cell r="C1257" t="str">
            <v>PC</v>
          </cell>
          <cell r="D1257">
            <v>0</v>
          </cell>
          <cell r="E1257">
            <v>2350</v>
          </cell>
          <cell r="F1257">
            <v>0</v>
          </cell>
        </row>
        <row r="1258">
          <cell r="A1258" t="str">
            <v>B-7211-00229</v>
          </cell>
          <cell r="B1258" t="str">
            <v>HOSE CLAMP 20-22 (MIKALOR)</v>
          </cell>
          <cell r="C1258" t="str">
            <v>PC</v>
          </cell>
          <cell r="D1258">
            <v>112</v>
          </cell>
          <cell r="E1258">
            <v>4300</v>
          </cell>
          <cell r="F1258">
            <v>481600</v>
          </cell>
        </row>
        <row r="1259">
          <cell r="A1259" t="str">
            <v>B-7211-00259</v>
          </cell>
          <cell r="B1259" t="str">
            <v>HOSE CLAMP 1"</v>
          </cell>
          <cell r="C1259" t="str">
            <v>PC</v>
          </cell>
          <cell r="D1259">
            <v>335</v>
          </cell>
          <cell r="E1259">
            <v>5356</v>
          </cell>
          <cell r="F1259">
            <v>1794245</v>
          </cell>
        </row>
        <row r="1260">
          <cell r="A1260" t="str">
            <v>B-7211-00359</v>
          </cell>
          <cell r="B1260" t="str">
            <v>Clamp 25-35 TOYOK</v>
          </cell>
          <cell r="C1260" t="str">
            <v>PC</v>
          </cell>
          <cell r="D1260">
            <v>99</v>
          </cell>
          <cell r="E1260">
            <v>6200</v>
          </cell>
          <cell r="F1260">
            <v>613800</v>
          </cell>
        </row>
        <row r="1261">
          <cell r="A1261" t="str">
            <v>B-7211-00509</v>
          </cell>
          <cell r="B1261" t="str">
            <v>Clamp 2"</v>
          </cell>
          <cell r="C1261" t="str">
            <v>PC</v>
          </cell>
          <cell r="D1261">
            <v>20</v>
          </cell>
          <cell r="E1261">
            <v>3500</v>
          </cell>
          <cell r="F1261">
            <v>70000</v>
          </cell>
        </row>
        <row r="1262">
          <cell r="A1262" t="str">
            <v>B-7211-00559</v>
          </cell>
          <cell r="B1262" t="str">
            <v>HOSE CLAMP 1 1/4"</v>
          </cell>
          <cell r="C1262" t="str">
            <v>PC</v>
          </cell>
          <cell r="D1262">
            <v>0</v>
          </cell>
          <cell r="E1262">
            <v>4170</v>
          </cell>
          <cell r="F1262">
            <v>0</v>
          </cell>
        </row>
        <row r="1263">
          <cell r="A1263" t="str">
            <v>B-7211-00709</v>
          </cell>
          <cell r="B1263" t="str">
            <v>CLAMP</v>
          </cell>
          <cell r="C1263" t="str">
            <v>PC</v>
          </cell>
          <cell r="D1263">
            <v>88</v>
          </cell>
          <cell r="E1263">
            <v>8000</v>
          </cell>
          <cell r="F1263">
            <v>704000</v>
          </cell>
        </row>
        <row r="1264">
          <cell r="A1264" t="str">
            <v>B-7211-00909</v>
          </cell>
          <cell r="B1264" t="str">
            <v xml:space="preserve"> HOSE CLAMP 110 TOYOK</v>
          </cell>
          <cell r="C1264" t="str">
            <v>PC</v>
          </cell>
          <cell r="D1264">
            <v>93</v>
          </cell>
          <cell r="E1264">
            <v>10800</v>
          </cell>
          <cell r="F1264">
            <v>1004400</v>
          </cell>
        </row>
        <row r="1265">
          <cell r="A1265" t="str">
            <v>B-7211-01009</v>
          </cell>
          <cell r="B1265" t="str">
            <v xml:space="preserve"> CLAMP HOSE 3.5"</v>
          </cell>
          <cell r="C1265" t="str">
            <v>PC</v>
          </cell>
          <cell r="D1265">
            <v>0</v>
          </cell>
          <cell r="E1265">
            <v>11165</v>
          </cell>
          <cell r="F1265">
            <v>0</v>
          </cell>
        </row>
        <row r="1266">
          <cell r="A1266" t="str">
            <v>B-7211-10309</v>
          </cell>
          <cell r="B1266" t="str">
            <v xml:space="preserve"> HOSE CLAMP FS 22</v>
          </cell>
          <cell r="C1266" t="str">
            <v>PC</v>
          </cell>
          <cell r="D1266">
            <v>0</v>
          </cell>
          <cell r="E1266">
            <v>4200</v>
          </cell>
          <cell r="F1266">
            <v>0</v>
          </cell>
        </row>
        <row r="1267">
          <cell r="A1267" t="str">
            <v>B-7211-10509</v>
          </cell>
          <cell r="B1267" t="str">
            <v xml:space="preserve"> HOSE CLAMP 35-50</v>
          </cell>
          <cell r="C1267" t="str">
            <v>PC</v>
          </cell>
          <cell r="D1267">
            <v>0</v>
          </cell>
          <cell r="E1267">
            <v>7500</v>
          </cell>
          <cell r="F1267">
            <v>0</v>
          </cell>
        </row>
        <row r="1268">
          <cell r="A1268" t="str">
            <v>B-7211-10709</v>
          </cell>
          <cell r="B1268" t="str">
            <v xml:space="preserve"> CLAMP HOSE FS 70</v>
          </cell>
          <cell r="C1268" t="str">
            <v>PC</v>
          </cell>
          <cell r="D1268">
            <v>0</v>
          </cell>
          <cell r="E1268">
            <v>8000</v>
          </cell>
          <cell r="F1268">
            <v>0</v>
          </cell>
        </row>
        <row r="1269">
          <cell r="A1269" t="str">
            <v>B-7211-10809</v>
          </cell>
          <cell r="B1269" t="str">
            <v>HOSE CLAMP 60-80</v>
          </cell>
          <cell r="C1269" t="str">
            <v>PC</v>
          </cell>
          <cell r="D1269">
            <v>6</v>
          </cell>
          <cell r="E1269">
            <v>3960</v>
          </cell>
          <cell r="F1269">
            <v>23760</v>
          </cell>
        </row>
        <row r="1270">
          <cell r="A1270" t="str">
            <v>B-7211-10909</v>
          </cell>
          <cell r="B1270" t="str">
            <v>HOSE CLAMP 70 - 90</v>
          </cell>
          <cell r="C1270" t="str">
            <v>PC</v>
          </cell>
          <cell r="D1270">
            <v>18</v>
          </cell>
          <cell r="E1270">
            <v>4470</v>
          </cell>
          <cell r="F1270">
            <v>80460</v>
          </cell>
        </row>
        <row r="1271">
          <cell r="A1271" t="str">
            <v>B-7211-11409</v>
          </cell>
          <cell r="B1271" t="str">
            <v xml:space="preserve"> HOSE CLAMP FS 110</v>
          </cell>
          <cell r="C1271" t="str">
            <v>PC</v>
          </cell>
          <cell r="D1271">
            <v>0</v>
          </cell>
          <cell r="E1271">
            <v>11165</v>
          </cell>
          <cell r="F1271">
            <v>0</v>
          </cell>
        </row>
        <row r="1272">
          <cell r="A1272" t="str">
            <v>B-7220-C0204</v>
          </cell>
          <cell r="B1272" t="str">
            <v>ELBOW 90DEG</v>
          </cell>
          <cell r="C1272" t="str">
            <v>PC</v>
          </cell>
          <cell r="D1272">
            <v>20</v>
          </cell>
          <cell r="E1272">
            <v>18486</v>
          </cell>
          <cell r="F1272">
            <v>369712</v>
          </cell>
        </row>
        <row r="1273">
          <cell r="A1273" t="str">
            <v>B-7220-H1212</v>
          </cell>
          <cell r="B1273" t="str">
            <v xml:space="preserve"> ELBOW B1610M-12-12</v>
          </cell>
          <cell r="C1273" t="str">
            <v>PC</v>
          </cell>
          <cell r="D1273">
            <v>16</v>
          </cell>
          <cell r="E1273">
            <v>79795</v>
          </cell>
          <cell r="F1273">
            <v>1276727</v>
          </cell>
        </row>
        <row r="1274">
          <cell r="A1274" t="str">
            <v>B-7230-02548</v>
          </cell>
          <cell r="B1274" t="str">
            <v>HOSE CLAMP 4025PP</v>
          </cell>
          <cell r="C1274" t="str">
            <v>PC</v>
          </cell>
          <cell r="D1274">
            <v>130</v>
          </cell>
          <cell r="E1274">
            <v>10832</v>
          </cell>
          <cell r="F1274">
            <v>1408112</v>
          </cell>
        </row>
        <row r="1275">
          <cell r="A1275" t="str">
            <v>B-7231-08538</v>
          </cell>
          <cell r="B1275" t="str">
            <v>WELD PLATE (SPAL-4S)</v>
          </cell>
          <cell r="C1275" t="str">
            <v>PC</v>
          </cell>
          <cell r="D1275">
            <v>48</v>
          </cell>
          <cell r="E1275">
            <v>13041</v>
          </cell>
          <cell r="F1275">
            <v>625968</v>
          </cell>
        </row>
        <row r="1276">
          <cell r="A1276" t="str">
            <v>B-7232-07038</v>
          </cell>
          <cell r="B1276" t="str">
            <v>TOP PLATE (DPAL-4S)</v>
          </cell>
          <cell r="C1276" t="str">
            <v>PC</v>
          </cell>
          <cell r="D1276">
            <v>148</v>
          </cell>
          <cell r="E1276">
            <v>5518</v>
          </cell>
          <cell r="F1276">
            <v>816696</v>
          </cell>
        </row>
        <row r="1277">
          <cell r="A1277" t="str">
            <v>B-7250-01214</v>
          </cell>
          <cell r="B1277" t="str">
            <v>SPLIT FLANGE D90/12</v>
          </cell>
          <cell r="C1277" t="str">
            <v>PC</v>
          </cell>
          <cell r="D1277">
            <v>210</v>
          </cell>
          <cell r="E1277">
            <v>36289</v>
          </cell>
          <cell r="F1277">
            <v>7620773</v>
          </cell>
        </row>
        <row r="1278">
          <cell r="A1278" t="str">
            <v>B-7250-01616</v>
          </cell>
          <cell r="B1278" t="str">
            <v>SPLIT FLANGE D90/16</v>
          </cell>
          <cell r="C1278" t="str">
            <v>PC</v>
          </cell>
          <cell r="D1278">
            <v>68</v>
          </cell>
          <cell r="E1278">
            <v>46817</v>
          </cell>
          <cell r="F1278">
            <v>3183553</v>
          </cell>
        </row>
        <row r="1279">
          <cell r="A1279" t="str">
            <v>B-7252-01216</v>
          </cell>
          <cell r="B1279" t="str">
            <v>TUBE WELD</v>
          </cell>
          <cell r="C1279" t="str">
            <v>PC</v>
          </cell>
          <cell r="D1279">
            <v>56</v>
          </cell>
          <cell r="E1279">
            <v>31944</v>
          </cell>
          <cell r="F1279">
            <v>1788864</v>
          </cell>
        </row>
        <row r="1280">
          <cell r="A1280" t="str">
            <v>B74-B111200-M</v>
          </cell>
          <cell r="B1280" t="str">
            <v>L C END FRONT</v>
          </cell>
          <cell r="C1280" t="str">
            <v>PC</v>
          </cell>
          <cell r="D1280">
            <v>0</v>
          </cell>
          <cell r="E1280">
            <v>1</v>
          </cell>
          <cell r="F1280">
            <v>0</v>
          </cell>
        </row>
        <row r="1281">
          <cell r="A1281" t="str">
            <v>B74-B111300-M</v>
          </cell>
          <cell r="B1281" t="str">
            <v>L C END REAR</v>
          </cell>
          <cell r="C1281" t="str">
            <v>PC</v>
          </cell>
          <cell r="D1281">
            <v>0</v>
          </cell>
          <cell r="E1281">
            <v>1</v>
          </cell>
          <cell r="F1281">
            <v>0</v>
          </cell>
        </row>
        <row r="1282">
          <cell r="A1282" t="str">
            <v>B74-B112200-M</v>
          </cell>
          <cell r="B1282" t="str">
            <v>TIP C END FRONT</v>
          </cell>
          <cell r="C1282" t="str">
            <v>PC</v>
          </cell>
          <cell r="D1282">
            <v>0</v>
          </cell>
          <cell r="E1282">
            <v>1</v>
          </cell>
          <cell r="F1282">
            <v>0</v>
          </cell>
        </row>
        <row r="1283">
          <cell r="A1283" t="str">
            <v>B74-B112300-M</v>
          </cell>
          <cell r="B1283" t="str">
            <v>TIP C END REAR</v>
          </cell>
          <cell r="C1283" t="str">
            <v>PC</v>
          </cell>
          <cell r="D1283">
            <v>0</v>
          </cell>
          <cell r="E1283">
            <v>1</v>
          </cell>
          <cell r="F1283">
            <v>0</v>
          </cell>
        </row>
        <row r="1284">
          <cell r="A1284" t="str">
            <v>B74-B113100</v>
          </cell>
          <cell r="B1284" t="str">
            <v>BODY DEGMENT DEPAN</v>
          </cell>
          <cell r="C1284" t="str">
            <v>PC</v>
          </cell>
          <cell r="D1284">
            <v>0</v>
          </cell>
          <cell r="E1284">
            <v>6800000</v>
          </cell>
          <cell r="F1284">
            <v>0</v>
          </cell>
        </row>
        <row r="1285">
          <cell r="A1285" t="str">
            <v>B74-B121000</v>
          </cell>
          <cell r="B1285" t="str">
            <v>RUBBER END SST74</v>
          </cell>
          <cell r="C1285" t="str">
            <v>PC</v>
          </cell>
          <cell r="D1285">
            <v>1</v>
          </cell>
          <cell r="E1285">
            <v>4736700</v>
          </cell>
          <cell r="F1285">
            <v>4736700</v>
          </cell>
        </row>
        <row r="1286">
          <cell r="A1286" t="str">
            <v>B74-B122000</v>
          </cell>
          <cell r="B1286" t="str">
            <v>RUBBER STRIP SST74</v>
          </cell>
          <cell r="C1286" t="str">
            <v>PC</v>
          </cell>
          <cell r="D1286">
            <v>4</v>
          </cell>
          <cell r="E1286">
            <v>142101</v>
          </cell>
          <cell r="F1286">
            <v>568404</v>
          </cell>
        </row>
        <row r="1287">
          <cell r="A1287" t="str">
            <v>B74-H111000</v>
          </cell>
          <cell r="B1287" t="str">
            <v>CONNECTOR MALE</v>
          </cell>
          <cell r="C1287" t="str">
            <v>PC</v>
          </cell>
          <cell r="D1287">
            <v>0</v>
          </cell>
          <cell r="E1287">
            <v>6600</v>
          </cell>
          <cell r="F1287">
            <v>0</v>
          </cell>
        </row>
        <row r="1288">
          <cell r="A1288" t="str">
            <v>B74-H113000</v>
          </cell>
          <cell r="B1288" t="str">
            <v>T CONNECTOR 25.4</v>
          </cell>
          <cell r="C1288" t="str">
            <v>PC</v>
          </cell>
          <cell r="D1288">
            <v>18</v>
          </cell>
          <cell r="E1288">
            <v>9600</v>
          </cell>
          <cell r="F1288">
            <v>172800</v>
          </cell>
        </row>
        <row r="1289">
          <cell r="A1289" t="str">
            <v>B74-H115000</v>
          </cell>
          <cell r="B1289" t="str">
            <v>BUSHING</v>
          </cell>
          <cell r="C1289" t="str">
            <v>PC</v>
          </cell>
          <cell r="D1289">
            <v>50</v>
          </cell>
          <cell r="E1289">
            <v>3900</v>
          </cell>
          <cell r="F1289">
            <v>195000</v>
          </cell>
        </row>
        <row r="1290">
          <cell r="A1290" t="str">
            <v>B74-H131000</v>
          </cell>
          <cell r="B1290" t="str">
            <v>MALE CONNECTOR</v>
          </cell>
          <cell r="C1290" t="str">
            <v>PC</v>
          </cell>
          <cell r="D1290">
            <v>175</v>
          </cell>
          <cell r="E1290">
            <v>9000</v>
          </cell>
          <cell r="F1290">
            <v>1575000</v>
          </cell>
        </row>
        <row r="1291">
          <cell r="A1291" t="str">
            <v>B74-H133000</v>
          </cell>
          <cell r="B1291" t="str">
            <v>S-CONNECTOR</v>
          </cell>
          <cell r="C1291" t="str">
            <v>PC</v>
          </cell>
          <cell r="D1291">
            <v>90</v>
          </cell>
          <cell r="E1291">
            <v>4800</v>
          </cell>
          <cell r="F1291">
            <v>432000</v>
          </cell>
        </row>
        <row r="1292">
          <cell r="A1292" t="str">
            <v>B74-Y111000</v>
          </cell>
          <cell r="B1292" t="str">
            <v>CLAMP 1 ATAS</v>
          </cell>
          <cell r="C1292" t="str">
            <v>PC</v>
          </cell>
          <cell r="D1292">
            <v>838</v>
          </cell>
          <cell r="E1292">
            <v>6221</v>
          </cell>
          <cell r="F1292">
            <v>5213456</v>
          </cell>
        </row>
        <row r="1293">
          <cell r="A1293" t="str">
            <v>B74-Y112000</v>
          </cell>
          <cell r="B1293" t="str">
            <v>CLAMP 1 BAWAH</v>
          </cell>
          <cell r="C1293" t="str">
            <v>PC</v>
          </cell>
          <cell r="D1293">
            <v>880</v>
          </cell>
          <cell r="E1293">
            <v>6181</v>
          </cell>
          <cell r="F1293">
            <v>5439139</v>
          </cell>
        </row>
        <row r="1294">
          <cell r="A1294" t="str">
            <v>B74-Y121000</v>
          </cell>
          <cell r="B1294" t="str">
            <v>UPPER CLAMP</v>
          </cell>
          <cell r="C1294" t="str">
            <v>PC</v>
          </cell>
          <cell r="D1294">
            <v>43</v>
          </cell>
          <cell r="E1294">
            <v>12000</v>
          </cell>
          <cell r="F1294">
            <v>516000</v>
          </cell>
        </row>
        <row r="1295">
          <cell r="A1295" t="str">
            <v>B74-Y122000</v>
          </cell>
          <cell r="B1295" t="str">
            <v>LOWER CLAMP</v>
          </cell>
          <cell r="C1295" t="str">
            <v>PC</v>
          </cell>
          <cell r="D1295">
            <v>43</v>
          </cell>
          <cell r="E1295">
            <v>12000</v>
          </cell>
          <cell r="F1295">
            <v>516000</v>
          </cell>
        </row>
        <row r="1296">
          <cell r="A1296" t="str">
            <v>B74-Y131000</v>
          </cell>
          <cell r="B1296" t="str">
            <v>CLAMP 3 ATAS</v>
          </cell>
          <cell r="C1296" t="str">
            <v>PC</v>
          </cell>
          <cell r="D1296">
            <v>535</v>
          </cell>
          <cell r="E1296">
            <v>14567</v>
          </cell>
          <cell r="F1296">
            <v>7793268</v>
          </cell>
        </row>
        <row r="1297">
          <cell r="A1297" t="str">
            <v>B74-Y132000</v>
          </cell>
          <cell r="B1297" t="str">
            <v>CLAMP 3 BAWAH</v>
          </cell>
          <cell r="C1297" t="str">
            <v>PC</v>
          </cell>
          <cell r="D1297">
            <v>509</v>
          </cell>
          <cell r="E1297">
            <v>14666</v>
          </cell>
          <cell r="F1297">
            <v>7464941</v>
          </cell>
        </row>
        <row r="1298">
          <cell r="A1298" t="str">
            <v>B74-Y141000</v>
          </cell>
          <cell r="B1298" t="str">
            <v>CLAMP 4 ATAS</v>
          </cell>
          <cell r="C1298" t="str">
            <v>PC</v>
          </cell>
          <cell r="D1298">
            <v>25</v>
          </cell>
          <cell r="E1298">
            <v>22071</v>
          </cell>
          <cell r="F1298">
            <v>551780</v>
          </cell>
        </row>
        <row r="1299">
          <cell r="A1299" t="str">
            <v>B74-Y142000</v>
          </cell>
          <cell r="B1299" t="str">
            <v>CLAMP 4 BAWAH</v>
          </cell>
          <cell r="C1299" t="str">
            <v>PC</v>
          </cell>
          <cell r="D1299">
            <v>29</v>
          </cell>
          <cell r="E1299">
            <v>21917</v>
          </cell>
          <cell r="F1299">
            <v>635606</v>
          </cell>
        </row>
        <row r="1300">
          <cell r="A1300" t="str">
            <v>B74-Y151000</v>
          </cell>
          <cell r="B1300" t="str">
            <v>CLAMP 5 TOP</v>
          </cell>
          <cell r="C1300" t="str">
            <v>PC</v>
          </cell>
          <cell r="D1300">
            <v>379</v>
          </cell>
          <cell r="E1300">
            <v>20505</v>
          </cell>
          <cell r="F1300">
            <v>7771563</v>
          </cell>
        </row>
        <row r="1301">
          <cell r="A1301" t="str">
            <v>B74-Y152000</v>
          </cell>
          <cell r="B1301" t="str">
            <v>CLAMP 5 BAWAH</v>
          </cell>
          <cell r="C1301" t="str">
            <v>PC</v>
          </cell>
          <cell r="D1301">
            <v>350</v>
          </cell>
          <cell r="E1301">
            <v>20735</v>
          </cell>
          <cell r="F1301">
            <v>7257231</v>
          </cell>
        </row>
        <row r="1302">
          <cell r="A1302" t="str">
            <v>B74-Y161000</v>
          </cell>
          <cell r="B1302" t="str">
            <v>CLAMP 7 ATAS</v>
          </cell>
          <cell r="C1302" t="str">
            <v>PC</v>
          </cell>
          <cell r="D1302">
            <v>17</v>
          </cell>
          <cell r="E1302">
            <v>16200</v>
          </cell>
          <cell r="F1302">
            <v>275400</v>
          </cell>
        </row>
        <row r="1303">
          <cell r="A1303" t="str">
            <v>B74-Y162000</v>
          </cell>
          <cell r="B1303" t="str">
            <v>CLAMP 7 BAWAH</v>
          </cell>
          <cell r="C1303" t="str">
            <v>PC</v>
          </cell>
          <cell r="D1303">
            <v>19</v>
          </cell>
          <cell r="E1303">
            <v>16800</v>
          </cell>
          <cell r="F1303">
            <v>319200</v>
          </cell>
        </row>
        <row r="1304">
          <cell r="A1304" t="str">
            <v>B74-Y170000</v>
          </cell>
          <cell r="B1304" t="str">
            <v>FEEDER 7</v>
          </cell>
          <cell r="C1304" t="str">
            <v>PC</v>
          </cell>
          <cell r="D1304">
            <v>20</v>
          </cell>
          <cell r="E1304">
            <v>34680</v>
          </cell>
          <cell r="F1304">
            <v>693600</v>
          </cell>
        </row>
        <row r="1305">
          <cell r="A1305" t="str">
            <v>B74-Y180000</v>
          </cell>
          <cell r="B1305" t="str">
            <v>FEEDER 3</v>
          </cell>
          <cell r="C1305" t="str">
            <v>PC</v>
          </cell>
          <cell r="D1305">
            <v>5</v>
          </cell>
          <cell r="E1305">
            <v>14400</v>
          </cell>
          <cell r="F1305">
            <v>72000</v>
          </cell>
        </row>
        <row r="1306">
          <cell r="A1306" t="str">
            <v>B77-B1P000P</v>
          </cell>
          <cell r="B1306" t="str">
            <v>RUBBER DOUBLER</v>
          </cell>
          <cell r="C1306" t="str">
            <v>PC</v>
          </cell>
          <cell r="D1306">
            <v>277</v>
          </cell>
          <cell r="E1306">
            <v>9000</v>
          </cell>
          <cell r="F1306">
            <v>2493000</v>
          </cell>
        </row>
        <row r="1307">
          <cell r="A1307" t="str">
            <v>B-7804-1245</v>
          </cell>
          <cell r="B1307" t="str">
            <v>HOSE PRESSURE</v>
          </cell>
          <cell r="C1307" t="str">
            <v>PC</v>
          </cell>
          <cell r="D1307">
            <v>10</v>
          </cell>
          <cell r="E1307">
            <v>1</v>
          </cell>
          <cell r="F1307">
            <v>10</v>
          </cell>
        </row>
        <row r="1308">
          <cell r="A1308" t="str">
            <v>B-7AA0-20437</v>
          </cell>
          <cell r="B1308" t="str">
            <v>HOSE GREASE SDT50</v>
          </cell>
          <cell r="C1308" t="str">
            <v>PC</v>
          </cell>
          <cell r="D1308">
            <v>4</v>
          </cell>
          <cell r="E1308">
            <v>37033</v>
          </cell>
          <cell r="F1308">
            <v>148131</v>
          </cell>
        </row>
        <row r="1309">
          <cell r="A1309" t="str">
            <v>B-7AA0-20488</v>
          </cell>
          <cell r="B1309" t="str">
            <v>HOSE GREASE SDT50</v>
          </cell>
          <cell r="C1309" t="str">
            <v>PC</v>
          </cell>
          <cell r="D1309">
            <v>4</v>
          </cell>
          <cell r="E1309">
            <v>42743</v>
          </cell>
          <cell r="F1309">
            <v>170973</v>
          </cell>
        </row>
        <row r="1310">
          <cell r="A1310" t="str">
            <v>B-7AA0-20496</v>
          </cell>
          <cell r="B1310" t="str">
            <v>HOSE GREASING SDT60</v>
          </cell>
          <cell r="C1310" t="str">
            <v>PC</v>
          </cell>
          <cell r="D1310">
            <v>0</v>
          </cell>
          <cell r="E1310">
            <v>40967</v>
          </cell>
          <cell r="F1310">
            <v>0</v>
          </cell>
        </row>
        <row r="1311">
          <cell r="A1311" t="str">
            <v>B-7AA0-41236-2</v>
          </cell>
          <cell r="B1311" t="str">
            <v>HOSE ASSY SDT60</v>
          </cell>
          <cell r="C1311" t="str">
            <v>PC</v>
          </cell>
          <cell r="D1311">
            <v>0</v>
          </cell>
          <cell r="E1311">
            <v>0</v>
          </cell>
          <cell r="F1311">
            <v>0</v>
          </cell>
        </row>
        <row r="1312">
          <cell r="A1312" t="str">
            <v>B-7AA0-41247</v>
          </cell>
          <cell r="B1312" t="str">
            <v>HOSE ASSY SDT60</v>
          </cell>
          <cell r="C1312" t="str">
            <v>PC</v>
          </cell>
          <cell r="D1312">
            <v>0</v>
          </cell>
          <cell r="E1312">
            <v>87749</v>
          </cell>
          <cell r="F1312">
            <v>0</v>
          </cell>
        </row>
        <row r="1313">
          <cell r="A1313" t="str">
            <v>B-7AA0-41293</v>
          </cell>
          <cell r="B1313" t="str">
            <v xml:space="preserve"> HOSE HYD SDT50</v>
          </cell>
          <cell r="C1313" t="str">
            <v>PC</v>
          </cell>
          <cell r="D1313">
            <v>4</v>
          </cell>
          <cell r="E1313">
            <v>106540</v>
          </cell>
          <cell r="F1313">
            <v>426159</v>
          </cell>
        </row>
        <row r="1314">
          <cell r="A1314" t="str">
            <v>B-7AA1-20430</v>
          </cell>
          <cell r="B1314" t="str">
            <v xml:space="preserve"> HOSE ASSY SDT60</v>
          </cell>
          <cell r="C1314" t="str">
            <v>PC</v>
          </cell>
          <cell r="D1314">
            <v>0</v>
          </cell>
          <cell r="E1314">
            <v>5</v>
          </cell>
          <cell r="F1314">
            <v>0</v>
          </cell>
        </row>
        <row r="1315">
          <cell r="A1315" t="str">
            <v>B-7AA1-21610</v>
          </cell>
          <cell r="B1315" t="str">
            <v>HOSE ASSY L=1500MM</v>
          </cell>
          <cell r="C1315" t="str">
            <v>PC</v>
          </cell>
          <cell r="D1315">
            <v>1</v>
          </cell>
          <cell r="E1315">
            <v>214843</v>
          </cell>
          <cell r="F1315">
            <v>214843</v>
          </cell>
        </row>
        <row r="1316">
          <cell r="A1316" t="str">
            <v>B-7AA1-41210</v>
          </cell>
          <cell r="B1316" t="str">
            <v xml:space="preserve"> HOSE ASSY SDT50</v>
          </cell>
          <cell r="C1316" t="str">
            <v>PC</v>
          </cell>
          <cell r="D1316">
            <v>4</v>
          </cell>
          <cell r="E1316">
            <v>134699</v>
          </cell>
          <cell r="F1316">
            <v>538795</v>
          </cell>
        </row>
        <row r="1317">
          <cell r="A1317" t="str">
            <v>B-7AA1-41238</v>
          </cell>
          <cell r="B1317" t="str">
            <v xml:space="preserve"> HOSE ASSY SDT 50</v>
          </cell>
          <cell r="C1317" t="str">
            <v>PC</v>
          </cell>
          <cell r="D1317">
            <v>0</v>
          </cell>
          <cell r="E1317">
            <v>126986</v>
          </cell>
          <cell r="F1317">
            <v>0</v>
          </cell>
        </row>
        <row r="1318">
          <cell r="A1318" t="str">
            <v>B-7AA1-41245</v>
          </cell>
          <cell r="B1318" t="str">
            <v xml:space="preserve"> HOSE HYD SDT50</v>
          </cell>
          <cell r="C1318" t="str">
            <v>PC</v>
          </cell>
          <cell r="D1318">
            <v>4</v>
          </cell>
          <cell r="E1318">
            <v>124912</v>
          </cell>
          <cell r="F1318">
            <v>499648</v>
          </cell>
        </row>
        <row r="1319">
          <cell r="A1319" t="str">
            <v>B-7AA1-41600</v>
          </cell>
          <cell r="B1319" t="str">
            <v xml:space="preserve"> HOSE WTBMA35</v>
          </cell>
          <cell r="C1319" t="str">
            <v>PC</v>
          </cell>
          <cell r="D1319">
            <v>0</v>
          </cell>
          <cell r="E1319">
            <v>183547</v>
          </cell>
          <cell r="F1319">
            <v>0</v>
          </cell>
        </row>
        <row r="1320">
          <cell r="A1320" t="str">
            <v>B-7AA2-20465</v>
          </cell>
          <cell r="B1320" t="str">
            <v xml:space="preserve"> HOSE GREASE SDT50</v>
          </cell>
          <cell r="C1320" t="str">
            <v>PC</v>
          </cell>
          <cell r="D1320">
            <v>4</v>
          </cell>
          <cell r="E1320">
            <v>62644</v>
          </cell>
          <cell r="F1320">
            <v>250577</v>
          </cell>
        </row>
        <row r="1321">
          <cell r="A1321" t="str">
            <v>B-7AA2-51200</v>
          </cell>
          <cell r="B1321" t="str">
            <v>HOSE</v>
          </cell>
          <cell r="C1321" t="str">
            <v>PC</v>
          </cell>
          <cell r="D1321">
            <v>0</v>
          </cell>
          <cell r="E1321">
            <v>262197</v>
          </cell>
          <cell r="F1321">
            <v>0</v>
          </cell>
        </row>
        <row r="1322">
          <cell r="A1322" t="str">
            <v>B-7AA2-51260</v>
          </cell>
          <cell r="B1322" t="str">
            <v>HOSE PRESSURE DV15</v>
          </cell>
          <cell r="C1322" t="str">
            <v>PC</v>
          </cell>
          <cell r="D1322">
            <v>0</v>
          </cell>
          <cell r="E1322">
            <v>293153</v>
          </cell>
          <cell r="F1322">
            <v>0</v>
          </cell>
        </row>
        <row r="1323">
          <cell r="A1323" t="str">
            <v>B-7AA4-20441</v>
          </cell>
          <cell r="B1323" t="str">
            <v xml:space="preserve"> HOSE GREASE SDT50</v>
          </cell>
          <cell r="C1323" t="str">
            <v>PC</v>
          </cell>
          <cell r="D1323">
            <v>4</v>
          </cell>
          <cell r="E1323">
            <v>82458</v>
          </cell>
          <cell r="F1323">
            <v>329833</v>
          </cell>
        </row>
        <row r="1324">
          <cell r="A1324" t="str">
            <v>B-7AA4-20495</v>
          </cell>
          <cell r="B1324" t="str">
            <v>HOSE GREASING SDT60</v>
          </cell>
          <cell r="C1324" t="str">
            <v>PC</v>
          </cell>
          <cell r="D1324">
            <v>0</v>
          </cell>
          <cell r="E1324">
            <v>0</v>
          </cell>
          <cell r="F1324">
            <v>0</v>
          </cell>
        </row>
        <row r="1325">
          <cell r="A1325" t="str">
            <v>B-7AA5-20400</v>
          </cell>
          <cell r="B1325" t="str">
            <v>HOSE GREASING SDT60</v>
          </cell>
          <cell r="C1325" t="str">
            <v>PC</v>
          </cell>
          <cell r="D1325">
            <v>0</v>
          </cell>
          <cell r="E1325">
            <v>85867</v>
          </cell>
          <cell r="F1325">
            <v>0</v>
          </cell>
        </row>
        <row r="1326">
          <cell r="A1326" t="str">
            <v>B-7AA5-20440</v>
          </cell>
          <cell r="B1326" t="str">
            <v>HOSE GREASE SDT50</v>
          </cell>
          <cell r="C1326" t="str">
            <v>PC</v>
          </cell>
          <cell r="D1326">
            <v>4</v>
          </cell>
          <cell r="E1326">
            <v>93534</v>
          </cell>
          <cell r="F1326">
            <v>374134</v>
          </cell>
        </row>
        <row r="1327">
          <cell r="A1327" t="str">
            <v>B-7AA6-20470</v>
          </cell>
          <cell r="B1327" t="str">
            <v>HOSE GREASING SDT60</v>
          </cell>
          <cell r="C1327" t="str">
            <v>PC</v>
          </cell>
          <cell r="D1327">
            <v>0</v>
          </cell>
          <cell r="E1327">
            <v>104768</v>
          </cell>
          <cell r="F1327">
            <v>0</v>
          </cell>
        </row>
        <row r="1328">
          <cell r="A1328" t="str">
            <v>B-7AA6-20471</v>
          </cell>
          <cell r="B1328" t="str">
            <v>HOSE GREASE SDT50</v>
          </cell>
          <cell r="C1328" t="str">
            <v>PC</v>
          </cell>
          <cell r="D1328">
            <v>4</v>
          </cell>
          <cell r="E1328">
            <v>108329</v>
          </cell>
          <cell r="F1328">
            <v>433317</v>
          </cell>
        </row>
        <row r="1329">
          <cell r="A1329" t="str">
            <v>B-7AA7-20490</v>
          </cell>
          <cell r="B1329" t="str">
            <v>HOSE GREASING SDT60</v>
          </cell>
          <cell r="C1329" t="str">
            <v>PC</v>
          </cell>
          <cell r="D1329">
            <v>0</v>
          </cell>
          <cell r="E1329">
            <v>118110</v>
          </cell>
          <cell r="F1329">
            <v>0</v>
          </cell>
        </row>
        <row r="1330">
          <cell r="A1330" t="str">
            <v>B-7AA9-20419</v>
          </cell>
          <cell r="B1330" t="str">
            <v xml:space="preserve"> HOSE GREASE SDT50</v>
          </cell>
          <cell r="C1330" t="str">
            <v>PC</v>
          </cell>
          <cell r="D1330">
            <v>4</v>
          </cell>
          <cell r="E1330">
            <v>136190</v>
          </cell>
          <cell r="F1330">
            <v>544761</v>
          </cell>
        </row>
        <row r="1331">
          <cell r="A1331" t="str">
            <v>B-7AA9-20425</v>
          </cell>
          <cell r="B1331" t="str">
            <v>HOSE GREASING SDT60</v>
          </cell>
          <cell r="C1331" t="str">
            <v>PC</v>
          </cell>
          <cell r="D1331">
            <v>0</v>
          </cell>
          <cell r="E1331">
            <v>133162</v>
          </cell>
          <cell r="F1331">
            <v>0</v>
          </cell>
        </row>
        <row r="1332">
          <cell r="A1332" t="str">
            <v>B-7AA9-20455</v>
          </cell>
          <cell r="B1332" t="str">
            <v>HOSE GREASING SDT60</v>
          </cell>
          <cell r="C1332" t="str">
            <v>PC</v>
          </cell>
          <cell r="D1332">
            <v>0</v>
          </cell>
          <cell r="E1332">
            <v>136498</v>
          </cell>
          <cell r="F1332">
            <v>0</v>
          </cell>
        </row>
        <row r="1333">
          <cell r="A1333" t="str">
            <v>B-7AB0-41282</v>
          </cell>
          <cell r="B1333" t="str">
            <v xml:space="preserve"> HOSE ASSY</v>
          </cell>
          <cell r="C1333" t="str">
            <v>PC</v>
          </cell>
          <cell r="D1333">
            <v>0</v>
          </cell>
          <cell r="E1333">
            <v>13</v>
          </cell>
          <cell r="F1333">
            <v>0</v>
          </cell>
        </row>
        <row r="1334">
          <cell r="A1334" t="str">
            <v>B-7AB1-41208</v>
          </cell>
          <cell r="B1334" t="str">
            <v xml:space="preserve"> HOSE HYD SDT50</v>
          </cell>
          <cell r="C1334" t="str">
            <v>PC</v>
          </cell>
          <cell r="D1334">
            <v>16</v>
          </cell>
          <cell r="E1334">
            <v>131780</v>
          </cell>
          <cell r="F1334">
            <v>2108476</v>
          </cell>
        </row>
        <row r="1335">
          <cell r="A1335" t="str">
            <v>B-7AB1-41212</v>
          </cell>
          <cell r="B1335" t="str">
            <v>HOSE ASSY SDT60</v>
          </cell>
          <cell r="C1335" t="str">
            <v>PC</v>
          </cell>
          <cell r="D1335">
            <v>0</v>
          </cell>
          <cell r="E1335">
            <v>130597</v>
          </cell>
          <cell r="F1335">
            <v>0</v>
          </cell>
        </row>
        <row r="1336">
          <cell r="A1336" t="str">
            <v>B-7AC0-41237</v>
          </cell>
          <cell r="B1336" t="str">
            <v>HOSE ASSY SDT60</v>
          </cell>
          <cell r="C1336" t="str">
            <v>PC</v>
          </cell>
          <cell r="D1336">
            <v>0</v>
          </cell>
          <cell r="E1336">
            <v>0</v>
          </cell>
          <cell r="F1336">
            <v>0</v>
          </cell>
        </row>
        <row r="1337">
          <cell r="A1337" t="str">
            <v>B-7AC0-41253-2</v>
          </cell>
          <cell r="B1337" t="str">
            <v>HOSE ASSY SDT60</v>
          </cell>
          <cell r="C1337" t="str">
            <v>PC</v>
          </cell>
          <cell r="D1337">
            <v>0</v>
          </cell>
          <cell r="E1337">
            <v>0</v>
          </cell>
          <cell r="F1337">
            <v>0</v>
          </cell>
        </row>
        <row r="1338">
          <cell r="A1338" t="str">
            <v>B-7AC0-41261</v>
          </cell>
          <cell r="B1338" t="str">
            <v xml:space="preserve"> HOSE HYD SDT50</v>
          </cell>
          <cell r="C1338" t="str">
            <v>PC</v>
          </cell>
          <cell r="D1338">
            <v>4</v>
          </cell>
          <cell r="E1338">
            <v>113666</v>
          </cell>
          <cell r="F1338">
            <v>454662</v>
          </cell>
        </row>
        <row r="1339">
          <cell r="A1339" t="str">
            <v>B-7AC0-41263</v>
          </cell>
          <cell r="B1339" t="str">
            <v>HOSE ASSY SDT60</v>
          </cell>
          <cell r="C1339" t="str">
            <v>PC</v>
          </cell>
          <cell r="D1339">
            <v>0</v>
          </cell>
          <cell r="E1339">
            <v>0</v>
          </cell>
          <cell r="F1339">
            <v>0</v>
          </cell>
        </row>
        <row r="1340">
          <cell r="A1340" t="str">
            <v>B-7AC0-41264</v>
          </cell>
          <cell r="B1340" t="str">
            <v xml:space="preserve"> HOSE HYD SDT50</v>
          </cell>
          <cell r="C1340" t="str">
            <v>PC</v>
          </cell>
          <cell r="D1340">
            <v>4</v>
          </cell>
          <cell r="E1340">
            <v>114695</v>
          </cell>
          <cell r="F1340">
            <v>458782</v>
          </cell>
        </row>
        <row r="1341">
          <cell r="A1341" t="str">
            <v>B-7AC0-41266</v>
          </cell>
          <cell r="B1341" t="str">
            <v>HOSE HYD SDT50</v>
          </cell>
          <cell r="C1341" t="str">
            <v>PC</v>
          </cell>
          <cell r="D1341">
            <v>4</v>
          </cell>
          <cell r="E1341">
            <v>148864</v>
          </cell>
          <cell r="F1341">
            <v>595456</v>
          </cell>
        </row>
        <row r="1342">
          <cell r="A1342" t="str">
            <v>B-7AC0-41270</v>
          </cell>
          <cell r="B1342" t="str">
            <v xml:space="preserve"> HOSE HYD SDT50</v>
          </cell>
          <cell r="C1342" t="str">
            <v>PC</v>
          </cell>
          <cell r="D1342">
            <v>4</v>
          </cell>
          <cell r="E1342">
            <v>138991</v>
          </cell>
          <cell r="F1342">
            <v>555965</v>
          </cell>
        </row>
        <row r="1343">
          <cell r="A1343" t="str">
            <v>B-7AC0-41282</v>
          </cell>
          <cell r="B1343" t="str">
            <v>HOSE ASSY SDT60</v>
          </cell>
          <cell r="C1343" t="str">
            <v>PC</v>
          </cell>
          <cell r="D1343">
            <v>0</v>
          </cell>
          <cell r="E1343">
            <v>118452</v>
          </cell>
          <cell r="F1343">
            <v>0</v>
          </cell>
        </row>
        <row r="1344">
          <cell r="A1344" t="str">
            <v>B-7AC0-41290-2</v>
          </cell>
          <cell r="B1344" t="str">
            <v>HOSE ASSY SDT60</v>
          </cell>
          <cell r="C1344" t="str">
            <v>PC</v>
          </cell>
          <cell r="D1344">
            <v>0</v>
          </cell>
          <cell r="E1344">
            <v>0</v>
          </cell>
          <cell r="F1344">
            <v>0</v>
          </cell>
        </row>
        <row r="1345">
          <cell r="A1345" t="str">
            <v>B-7AC0-90850</v>
          </cell>
          <cell r="B1345" t="str">
            <v>HOSE (SPRINGGUARD)</v>
          </cell>
          <cell r="C1345" t="str">
            <v>PC</v>
          </cell>
          <cell r="D1345">
            <v>2</v>
          </cell>
          <cell r="E1345">
            <v>0</v>
          </cell>
          <cell r="F1345">
            <v>0</v>
          </cell>
        </row>
        <row r="1346">
          <cell r="A1346" t="str">
            <v>B-7AC0-90881</v>
          </cell>
          <cell r="B1346" t="str">
            <v>HOSE ASSY RLG55HD</v>
          </cell>
          <cell r="C1346" t="str">
            <v>PC</v>
          </cell>
          <cell r="D1346">
            <v>4</v>
          </cell>
          <cell r="E1346">
            <v>113220</v>
          </cell>
          <cell r="F1346">
            <v>452880</v>
          </cell>
        </row>
        <row r="1347">
          <cell r="A1347" t="str">
            <v>B-7AC0-90885</v>
          </cell>
          <cell r="B1347" t="str">
            <v>HOSE ASSY 850 MM</v>
          </cell>
          <cell r="C1347" t="str">
            <v>PC</v>
          </cell>
          <cell r="D1347">
            <v>4</v>
          </cell>
          <cell r="E1347">
            <v>131560</v>
          </cell>
          <cell r="F1347">
            <v>526240</v>
          </cell>
        </row>
        <row r="1348">
          <cell r="A1348" t="str">
            <v>B-7AC1-02415</v>
          </cell>
          <cell r="B1348" t="str">
            <v>HOSE SUCTION L=1150</v>
          </cell>
          <cell r="C1348" t="str">
            <v>PC</v>
          </cell>
          <cell r="D1348">
            <v>0</v>
          </cell>
          <cell r="E1348">
            <v>685971</v>
          </cell>
          <cell r="F1348">
            <v>0</v>
          </cell>
        </row>
        <row r="1349">
          <cell r="A1349" t="str">
            <v>B-7AC1-02420</v>
          </cell>
          <cell r="B1349" t="str">
            <v>HOSE SUCTION DV15</v>
          </cell>
          <cell r="C1349" t="str">
            <v>PC</v>
          </cell>
          <cell r="D1349">
            <v>0</v>
          </cell>
          <cell r="E1349">
            <v>725725</v>
          </cell>
          <cell r="F1349">
            <v>0</v>
          </cell>
        </row>
        <row r="1350">
          <cell r="A1350" t="str">
            <v>B-7AC1-41225-1</v>
          </cell>
          <cell r="B1350" t="str">
            <v>HOSE ASSY SDT60</v>
          </cell>
          <cell r="C1350" t="str">
            <v>PC</v>
          </cell>
          <cell r="D1350">
            <v>0</v>
          </cell>
          <cell r="E1350">
            <v>0</v>
          </cell>
          <cell r="F1350">
            <v>0</v>
          </cell>
        </row>
        <row r="1351">
          <cell r="A1351" t="str">
            <v>B-7AC1-41237</v>
          </cell>
          <cell r="B1351" t="str">
            <v>HOSE ASSY SDT50</v>
          </cell>
          <cell r="C1351" t="str">
            <v>PC</v>
          </cell>
          <cell r="D1351">
            <v>0</v>
          </cell>
          <cell r="E1351">
            <v>168750</v>
          </cell>
          <cell r="F1351">
            <v>0</v>
          </cell>
        </row>
        <row r="1352">
          <cell r="A1352" t="str">
            <v>B-7AC1-41242</v>
          </cell>
          <cell r="B1352" t="str">
            <v>HOSE ASSY SD 50</v>
          </cell>
          <cell r="C1352" t="str">
            <v>PC</v>
          </cell>
          <cell r="D1352">
            <v>0</v>
          </cell>
          <cell r="E1352">
            <v>170620</v>
          </cell>
          <cell r="F1352">
            <v>0</v>
          </cell>
        </row>
        <row r="1353">
          <cell r="A1353" t="str">
            <v>B-7AC1-41250</v>
          </cell>
          <cell r="B1353" t="str">
            <v xml:space="preserve"> HOSE ASSY SDT50/60</v>
          </cell>
          <cell r="C1353" t="str">
            <v>PC</v>
          </cell>
          <cell r="D1353">
            <v>14</v>
          </cell>
          <cell r="E1353">
            <v>141702</v>
          </cell>
          <cell r="F1353">
            <v>1983835</v>
          </cell>
        </row>
        <row r="1354">
          <cell r="A1354" t="str">
            <v>B-7AC1-51260</v>
          </cell>
          <cell r="B1354" t="str">
            <v>HOSE (SPRING GUARD)</v>
          </cell>
          <cell r="C1354" t="str">
            <v>PC</v>
          </cell>
          <cell r="D1354">
            <v>40</v>
          </cell>
          <cell r="E1354">
            <v>234082</v>
          </cell>
          <cell r="F1354">
            <v>9363280</v>
          </cell>
        </row>
        <row r="1355">
          <cell r="A1355" t="str">
            <v>B-7AC2-20425</v>
          </cell>
          <cell r="B1355" t="str">
            <v>HOSE GREASE 07JF-07JF90K-04-2250</v>
          </cell>
          <cell r="C1355" t="str">
            <v>PC</v>
          </cell>
          <cell r="D1355">
            <v>0</v>
          </cell>
          <cell r="E1355">
            <v>78536</v>
          </cell>
          <cell r="F1355">
            <v>0</v>
          </cell>
        </row>
        <row r="1356">
          <cell r="A1356" t="str">
            <v>B-7AC2-20440</v>
          </cell>
          <cell r="B1356" t="str">
            <v>HOSE GREASE 07JF-07JF90K-04-2400</v>
          </cell>
          <cell r="C1356" t="str">
            <v>PC</v>
          </cell>
          <cell r="D1356">
            <v>0</v>
          </cell>
          <cell r="E1356">
            <v>87161</v>
          </cell>
          <cell r="F1356">
            <v>0</v>
          </cell>
        </row>
        <row r="1357">
          <cell r="A1357" t="str">
            <v>B-7AC2-21616</v>
          </cell>
          <cell r="B1357" t="str">
            <v>RETURN HOSE DIA. 1"</v>
          </cell>
          <cell r="C1357" t="str">
            <v>PC</v>
          </cell>
          <cell r="D1357">
            <v>0</v>
          </cell>
          <cell r="E1357">
            <v>300530</v>
          </cell>
          <cell r="F1357">
            <v>0</v>
          </cell>
        </row>
        <row r="1358">
          <cell r="A1358" t="str">
            <v>B-7AC2-41250</v>
          </cell>
          <cell r="B1358" t="str">
            <v>RETURN HOSE DIA L=2500</v>
          </cell>
          <cell r="C1358" t="str">
            <v>PC</v>
          </cell>
          <cell r="D1358">
            <v>0</v>
          </cell>
          <cell r="E1358">
            <v>194756</v>
          </cell>
          <cell r="F1358">
            <v>0</v>
          </cell>
        </row>
        <row r="1359">
          <cell r="A1359" t="str">
            <v>B-7AC3-20410</v>
          </cell>
          <cell r="B1359" t="str">
            <v>HOSE GREASE 07JF-07JF90K-04-3100</v>
          </cell>
          <cell r="C1359" t="str">
            <v>PC</v>
          </cell>
          <cell r="D1359">
            <v>0</v>
          </cell>
          <cell r="E1359">
            <v>87818</v>
          </cell>
          <cell r="F1359">
            <v>0</v>
          </cell>
        </row>
        <row r="1360">
          <cell r="A1360" t="str">
            <v>B-7AC5-41610</v>
          </cell>
          <cell r="B1360" t="str">
            <v xml:space="preserve"> HOSE WTBMA35</v>
          </cell>
          <cell r="C1360" t="str">
            <v>PC</v>
          </cell>
          <cell r="D1360">
            <v>0</v>
          </cell>
          <cell r="E1360">
            <v>425439</v>
          </cell>
          <cell r="F1360">
            <v>0</v>
          </cell>
        </row>
        <row r="1361">
          <cell r="A1361" t="str">
            <v>B-7ACK0-20400</v>
          </cell>
          <cell r="B1361" t="str">
            <v xml:space="preserve"> HOSE ASSY SDT60</v>
          </cell>
          <cell r="C1361" t="str">
            <v>PC</v>
          </cell>
          <cell r="D1361">
            <v>0</v>
          </cell>
          <cell r="E1361">
            <v>6</v>
          </cell>
          <cell r="F1361">
            <v>0</v>
          </cell>
        </row>
        <row r="1362">
          <cell r="A1362" t="str">
            <v>B-7ACK0-20463</v>
          </cell>
          <cell r="B1362" t="str">
            <v xml:space="preserve"> PIPE ASSY SDT60</v>
          </cell>
          <cell r="C1362" t="str">
            <v>PC</v>
          </cell>
          <cell r="D1362">
            <v>0</v>
          </cell>
          <cell r="E1362">
            <v>6</v>
          </cell>
          <cell r="F1362">
            <v>0</v>
          </cell>
        </row>
        <row r="1363">
          <cell r="A1363" t="str">
            <v>B-7ACK0-20469</v>
          </cell>
          <cell r="B1363" t="str">
            <v xml:space="preserve"> HOSE ASSY SDT60</v>
          </cell>
          <cell r="C1363" t="str">
            <v>PC</v>
          </cell>
          <cell r="D1363">
            <v>0</v>
          </cell>
          <cell r="E1363">
            <v>6</v>
          </cell>
          <cell r="F1363">
            <v>0</v>
          </cell>
        </row>
        <row r="1364">
          <cell r="A1364" t="str">
            <v>B-7ACK0-20470</v>
          </cell>
          <cell r="B1364" t="str">
            <v xml:space="preserve"> HOSE ASSY SDT60</v>
          </cell>
          <cell r="C1364" t="str">
            <v>PC</v>
          </cell>
          <cell r="D1364">
            <v>0</v>
          </cell>
          <cell r="E1364">
            <v>6</v>
          </cell>
          <cell r="F1364">
            <v>0</v>
          </cell>
        </row>
        <row r="1365">
          <cell r="A1365" t="str">
            <v>B-7ACK0-20488</v>
          </cell>
          <cell r="B1365" t="str">
            <v xml:space="preserve"> HOSE ASSY SDT60</v>
          </cell>
          <cell r="C1365" t="str">
            <v>PC</v>
          </cell>
          <cell r="D1365">
            <v>0</v>
          </cell>
          <cell r="E1365">
            <v>7</v>
          </cell>
          <cell r="F1365">
            <v>0</v>
          </cell>
        </row>
        <row r="1366">
          <cell r="A1366" t="str">
            <v>B-7ACK1-20402</v>
          </cell>
          <cell r="B1366" t="str">
            <v xml:space="preserve"> HOSE ASSY SDT60</v>
          </cell>
          <cell r="C1366" t="str">
            <v>PC</v>
          </cell>
          <cell r="D1366">
            <v>0</v>
          </cell>
          <cell r="E1366">
            <v>7</v>
          </cell>
          <cell r="F1366">
            <v>0</v>
          </cell>
        </row>
        <row r="1367">
          <cell r="A1367" t="str">
            <v>B-7ACK1-20442</v>
          </cell>
          <cell r="B1367" t="str">
            <v xml:space="preserve"> HOSE ASSY SDT60</v>
          </cell>
          <cell r="C1367" t="str">
            <v>PC</v>
          </cell>
          <cell r="D1367">
            <v>0</v>
          </cell>
          <cell r="E1367">
            <v>7</v>
          </cell>
          <cell r="F1367">
            <v>0</v>
          </cell>
        </row>
        <row r="1368">
          <cell r="A1368" t="str">
            <v>B-7ACK1-20453</v>
          </cell>
          <cell r="B1368" t="str">
            <v xml:space="preserve"> HOSE GREASE SDT50</v>
          </cell>
          <cell r="C1368" t="str">
            <v>PC</v>
          </cell>
          <cell r="D1368">
            <v>4</v>
          </cell>
          <cell r="E1368">
            <v>70604</v>
          </cell>
          <cell r="F1368">
            <v>282417</v>
          </cell>
        </row>
        <row r="1369">
          <cell r="A1369" t="str">
            <v>B-7ACK1-20472</v>
          </cell>
          <cell r="B1369" t="str">
            <v>HOSE GREASING SDT60</v>
          </cell>
          <cell r="C1369" t="str">
            <v>PC</v>
          </cell>
          <cell r="D1369">
            <v>0</v>
          </cell>
          <cell r="E1369">
            <v>69788</v>
          </cell>
          <cell r="F1369">
            <v>0</v>
          </cell>
        </row>
        <row r="1370">
          <cell r="A1370" t="str">
            <v>B-7ACK2-20400</v>
          </cell>
          <cell r="B1370" t="str">
            <v xml:space="preserve"> HOSE GREASE SDT50</v>
          </cell>
          <cell r="C1370" t="str">
            <v>PC</v>
          </cell>
          <cell r="D1370">
            <v>4</v>
          </cell>
          <cell r="E1370">
            <v>75883</v>
          </cell>
          <cell r="F1370">
            <v>303530</v>
          </cell>
        </row>
        <row r="1371">
          <cell r="A1371" t="str">
            <v>B-7ACK2-20407</v>
          </cell>
          <cell r="B1371" t="str">
            <v xml:space="preserve"> HOSE GREASE SDT50</v>
          </cell>
          <cell r="C1371" t="str">
            <v>PC</v>
          </cell>
          <cell r="D1371">
            <v>4</v>
          </cell>
          <cell r="E1371">
            <v>76748</v>
          </cell>
          <cell r="F1371">
            <v>306991</v>
          </cell>
        </row>
        <row r="1372">
          <cell r="A1372" t="str">
            <v>B-7ACK2-20435</v>
          </cell>
          <cell r="B1372" t="str">
            <v xml:space="preserve"> HOSE GREASE</v>
          </cell>
          <cell r="C1372" t="str">
            <v>PC</v>
          </cell>
          <cell r="D1372">
            <v>0</v>
          </cell>
          <cell r="E1372">
            <v>0</v>
          </cell>
          <cell r="F1372">
            <v>0</v>
          </cell>
        </row>
        <row r="1373">
          <cell r="A1373" t="str">
            <v>B-7ACK2-20442</v>
          </cell>
          <cell r="B1373" t="str">
            <v>HOSE GREASING SDT60</v>
          </cell>
          <cell r="C1373" t="str">
            <v>PC</v>
          </cell>
          <cell r="D1373">
            <v>0</v>
          </cell>
          <cell r="E1373">
            <v>0</v>
          </cell>
          <cell r="F1373">
            <v>0</v>
          </cell>
        </row>
        <row r="1374">
          <cell r="A1374" t="str">
            <v>B-7ACK2-20451</v>
          </cell>
          <cell r="B1374" t="str">
            <v xml:space="preserve"> HOSE GREASE SDT50</v>
          </cell>
          <cell r="C1374" t="str">
            <v>PC</v>
          </cell>
          <cell r="D1374">
            <v>4</v>
          </cell>
          <cell r="E1374">
            <v>81680</v>
          </cell>
          <cell r="F1374">
            <v>326719</v>
          </cell>
        </row>
        <row r="1375">
          <cell r="A1375" t="str">
            <v>B-7ACK2-20460</v>
          </cell>
          <cell r="B1375" t="str">
            <v xml:space="preserve"> HOSE GREASE DL25</v>
          </cell>
          <cell r="C1375" t="str">
            <v>PC</v>
          </cell>
          <cell r="D1375">
            <v>0</v>
          </cell>
          <cell r="E1375">
            <v>0</v>
          </cell>
          <cell r="F1375">
            <v>0</v>
          </cell>
        </row>
        <row r="1376">
          <cell r="A1376" t="str">
            <v>B-7ACK2-20463</v>
          </cell>
          <cell r="B1376" t="str">
            <v xml:space="preserve"> HOSE GREASE SDT50</v>
          </cell>
          <cell r="C1376" t="str">
            <v>PC</v>
          </cell>
          <cell r="D1376">
            <v>4</v>
          </cell>
          <cell r="E1376">
            <v>82977</v>
          </cell>
          <cell r="F1376">
            <v>331910</v>
          </cell>
        </row>
        <row r="1377">
          <cell r="A1377" t="str">
            <v>B-7ACK2-20465</v>
          </cell>
          <cell r="B1377" t="str">
            <v>HOSE GREASING SDT60</v>
          </cell>
          <cell r="C1377" t="str">
            <v>PC</v>
          </cell>
          <cell r="D1377">
            <v>0</v>
          </cell>
          <cell r="E1377">
            <v>0</v>
          </cell>
          <cell r="F1377">
            <v>0</v>
          </cell>
        </row>
        <row r="1378">
          <cell r="A1378" t="str">
            <v>B-7ACK2-20468</v>
          </cell>
          <cell r="B1378" t="str">
            <v xml:space="preserve"> HOSE GREASE DL25</v>
          </cell>
          <cell r="C1378" t="str">
            <v>PC</v>
          </cell>
          <cell r="D1378">
            <v>0</v>
          </cell>
          <cell r="E1378">
            <v>0</v>
          </cell>
          <cell r="F1378">
            <v>0</v>
          </cell>
        </row>
        <row r="1379">
          <cell r="A1379" t="str">
            <v>B-7ACK2-20480</v>
          </cell>
          <cell r="B1379" t="str">
            <v xml:space="preserve"> HOSE GREASE SDT50</v>
          </cell>
          <cell r="C1379" t="str">
            <v>PC</v>
          </cell>
          <cell r="D1379">
            <v>4</v>
          </cell>
          <cell r="E1379">
            <v>84881</v>
          </cell>
          <cell r="F1379">
            <v>339524</v>
          </cell>
        </row>
        <row r="1380">
          <cell r="A1380" t="str">
            <v>B-7ACK2-20488</v>
          </cell>
          <cell r="B1380" t="str">
            <v>HOSE GREASING SDT60</v>
          </cell>
          <cell r="C1380" t="str">
            <v>PC</v>
          </cell>
          <cell r="D1380">
            <v>0</v>
          </cell>
          <cell r="E1380">
            <v>0</v>
          </cell>
          <cell r="F1380">
            <v>0</v>
          </cell>
        </row>
        <row r="1381">
          <cell r="A1381" t="str">
            <v>B-7ACK3-20400</v>
          </cell>
          <cell r="B1381" t="str">
            <v xml:space="preserve"> HOSE GREASE SDT50</v>
          </cell>
          <cell r="C1381" t="str">
            <v>PC</v>
          </cell>
          <cell r="D1381">
            <v>4</v>
          </cell>
          <cell r="E1381">
            <v>87131</v>
          </cell>
          <cell r="F1381">
            <v>348523</v>
          </cell>
        </row>
        <row r="1382">
          <cell r="A1382" t="str">
            <v>B-7ACK3-20408</v>
          </cell>
          <cell r="B1382" t="str">
            <v>HOSE GREASING SDT60</v>
          </cell>
          <cell r="C1382" t="str">
            <v>PC</v>
          </cell>
          <cell r="D1382">
            <v>0</v>
          </cell>
          <cell r="E1382">
            <v>0</v>
          </cell>
          <cell r="F1382">
            <v>0</v>
          </cell>
        </row>
        <row r="1383">
          <cell r="A1383" t="str">
            <v>B-7ACK3-20410</v>
          </cell>
          <cell r="B1383" t="str">
            <v>HOSE GREASING SDT60</v>
          </cell>
          <cell r="C1383" t="str">
            <v>PC</v>
          </cell>
          <cell r="D1383">
            <v>0</v>
          </cell>
          <cell r="E1383">
            <v>0</v>
          </cell>
          <cell r="F1383">
            <v>0</v>
          </cell>
        </row>
        <row r="1384">
          <cell r="A1384" t="str">
            <v>B-7ACK3-20415</v>
          </cell>
          <cell r="B1384" t="str">
            <v>HOSE GREASING SDT60</v>
          </cell>
          <cell r="C1384" t="str">
            <v>PC</v>
          </cell>
          <cell r="D1384">
            <v>0</v>
          </cell>
          <cell r="E1384">
            <v>85696</v>
          </cell>
          <cell r="F1384">
            <v>0</v>
          </cell>
        </row>
        <row r="1385">
          <cell r="A1385" t="str">
            <v>B-7ACK3-20440</v>
          </cell>
          <cell r="B1385" t="str">
            <v xml:space="preserve"> HOSE GREASE SDT50</v>
          </cell>
          <cell r="C1385" t="str">
            <v>PC</v>
          </cell>
          <cell r="D1385">
            <v>4</v>
          </cell>
          <cell r="E1385">
            <v>91630</v>
          </cell>
          <cell r="F1385">
            <v>366520</v>
          </cell>
        </row>
        <row r="1386">
          <cell r="A1386" t="str">
            <v>B-7ACK3-20442</v>
          </cell>
          <cell r="B1386" t="str">
            <v>HOSE GREASING SDT60</v>
          </cell>
          <cell r="C1386" t="str">
            <v>PC</v>
          </cell>
          <cell r="D1386">
            <v>0</v>
          </cell>
          <cell r="E1386">
            <v>0</v>
          </cell>
          <cell r="F1386">
            <v>0</v>
          </cell>
        </row>
        <row r="1387">
          <cell r="A1387" t="str">
            <v>B-7ACK3-20458</v>
          </cell>
          <cell r="B1387" t="str">
            <v xml:space="preserve"> HOSE GREASE SDT50</v>
          </cell>
          <cell r="C1387" t="str">
            <v>PC</v>
          </cell>
          <cell r="D1387">
            <v>4</v>
          </cell>
          <cell r="E1387">
            <v>93707</v>
          </cell>
          <cell r="F1387">
            <v>374826</v>
          </cell>
        </row>
        <row r="1388">
          <cell r="A1388" t="str">
            <v>B-7ACK3-20473</v>
          </cell>
          <cell r="B1388" t="str">
            <v xml:space="preserve"> HOSE GREASE SDT50</v>
          </cell>
          <cell r="C1388" t="str">
            <v>PC</v>
          </cell>
          <cell r="D1388">
            <v>4</v>
          </cell>
          <cell r="E1388">
            <v>95351</v>
          </cell>
          <cell r="F1388">
            <v>381402</v>
          </cell>
        </row>
        <row r="1389">
          <cell r="A1389" t="str">
            <v>B-7ACK3-20475</v>
          </cell>
          <cell r="B1389" t="str">
            <v>HOSE GREASING SDT60</v>
          </cell>
          <cell r="C1389" t="str">
            <v>PC</v>
          </cell>
          <cell r="D1389">
            <v>0</v>
          </cell>
          <cell r="E1389">
            <v>0</v>
          </cell>
          <cell r="F1389">
            <v>0</v>
          </cell>
        </row>
        <row r="1390">
          <cell r="A1390" t="str">
            <v>B-7ACK3-20480</v>
          </cell>
          <cell r="B1390" t="str">
            <v xml:space="preserve"> HOSE GREASE SDT50</v>
          </cell>
          <cell r="C1390" t="str">
            <v>PC</v>
          </cell>
          <cell r="D1390">
            <v>4</v>
          </cell>
          <cell r="E1390">
            <v>96129</v>
          </cell>
          <cell r="F1390">
            <v>384517</v>
          </cell>
        </row>
        <row r="1391">
          <cell r="A1391" t="str">
            <v>B-7ACK3-20485</v>
          </cell>
          <cell r="B1391" t="str">
            <v>HOSE GREASING SDT60</v>
          </cell>
          <cell r="C1391" t="str">
            <v>PC</v>
          </cell>
          <cell r="D1391">
            <v>0</v>
          </cell>
          <cell r="E1391">
            <v>0</v>
          </cell>
          <cell r="F1391">
            <v>0</v>
          </cell>
        </row>
        <row r="1392">
          <cell r="A1392" t="str">
            <v>B-7ACK3-20490</v>
          </cell>
          <cell r="B1392" t="str">
            <v>HOSE GREASING SDT60</v>
          </cell>
          <cell r="C1392" t="str">
            <v>PC</v>
          </cell>
          <cell r="D1392">
            <v>0</v>
          </cell>
          <cell r="E1392">
            <v>0</v>
          </cell>
          <cell r="F1392">
            <v>0</v>
          </cell>
        </row>
        <row r="1393">
          <cell r="A1393" t="str">
            <v>B-7ACK4-20409</v>
          </cell>
          <cell r="B1393" t="str">
            <v xml:space="preserve"> HOSE GREASE SDT50</v>
          </cell>
          <cell r="C1393" t="str">
            <v>PC</v>
          </cell>
          <cell r="D1393">
            <v>4</v>
          </cell>
          <cell r="E1393">
            <v>99417</v>
          </cell>
          <cell r="F1393">
            <v>397669</v>
          </cell>
        </row>
        <row r="1394">
          <cell r="A1394" t="str">
            <v>B-7ACK4-20415</v>
          </cell>
          <cell r="B1394" t="str">
            <v>HOSE GREASING SDT60</v>
          </cell>
          <cell r="C1394" t="str">
            <v>PC</v>
          </cell>
          <cell r="D1394">
            <v>0</v>
          </cell>
          <cell r="E1394">
            <v>0</v>
          </cell>
          <cell r="F1394">
            <v>0</v>
          </cell>
        </row>
        <row r="1395">
          <cell r="A1395" t="str">
            <v>B-7ACK4-20418</v>
          </cell>
          <cell r="B1395" t="str">
            <v>HOSE GREASING SDT60</v>
          </cell>
          <cell r="C1395" t="str">
            <v>PC</v>
          </cell>
          <cell r="D1395">
            <v>0</v>
          </cell>
          <cell r="E1395">
            <v>0</v>
          </cell>
          <cell r="F1395">
            <v>0</v>
          </cell>
        </row>
        <row r="1396">
          <cell r="A1396" t="str">
            <v>B-7ACK4-20433</v>
          </cell>
          <cell r="B1396" t="str">
            <v>HOSE GRASE SDT50</v>
          </cell>
          <cell r="C1396" t="str">
            <v>PC</v>
          </cell>
          <cell r="D1396">
            <v>4</v>
          </cell>
          <cell r="E1396">
            <v>102100</v>
          </cell>
          <cell r="F1396">
            <v>408398</v>
          </cell>
        </row>
        <row r="1397">
          <cell r="A1397" t="str">
            <v>B-7ACK4-20445</v>
          </cell>
          <cell r="B1397" t="str">
            <v>HOSE GREASING SDT60</v>
          </cell>
          <cell r="C1397" t="str">
            <v>PC</v>
          </cell>
          <cell r="D1397">
            <v>0</v>
          </cell>
          <cell r="E1397">
            <v>0</v>
          </cell>
          <cell r="F1397">
            <v>0</v>
          </cell>
        </row>
        <row r="1398">
          <cell r="A1398" t="str">
            <v>B-7ACK4-20452</v>
          </cell>
          <cell r="B1398" t="str">
            <v>HOSE GREASING SDT60</v>
          </cell>
          <cell r="C1398" t="str">
            <v>PC</v>
          </cell>
          <cell r="D1398">
            <v>0</v>
          </cell>
          <cell r="E1398">
            <v>0</v>
          </cell>
          <cell r="F1398">
            <v>0</v>
          </cell>
        </row>
        <row r="1399">
          <cell r="A1399" t="str">
            <v>B-7ACK4-20470</v>
          </cell>
          <cell r="B1399" t="str">
            <v>HOSE GREASING SDT60</v>
          </cell>
          <cell r="C1399" t="str">
            <v>PC</v>
          </cell>
          <cell r="D1399">
            <v>0</v>
          </cell>
          <cell r="E1399">
            <v>0</v>
          </cell>
          <cell r="F1399">
            <v>0</v>
          </cell>
        </row>
        <row r="1400">
          <cell r="A1400" t="str">
            <v>B-7ACK4-20482</v>
          </cell>
          <cell r="B1400" t="str">
            <v xml:space="preserve"> HOSE GREASE</v>
          </cell>
          <cell r="C1400" t="str">
            <v>PC</v>
          </cell>
          <cell r="D1400">
            <v>4</v>
          </cell>
          <cell r="E1400">
            <v>105474</v>
          </cell>
          <cell r="F1400">
            <v>421896</v>
          </cell>
        </row>
        <row r="1401">
          <cell r="A1401" t="str">
            <v>B-7ACK4-20485</v>
          </cell>
          <cell r="B1401" t="str">
            <v>HOSE GREASING SDT60</v>
          </cell>
          <cell r="C1401" t="str">
            <v>PC</v>
          </cell>
          <cell r="D1401">
            <v>0</v>
          </cell>
          <cell r="E1401">
            <v>0</v>
          </cell>
          <cell r="F1401">
            <v>0</v>
          </cell>
        </row>
        <row r="1402">
          <cell r="A1402" t="str">
            <v>B-7ACK4-20492</v>
          </cell>
          <cell r="B1402" t="str">
            <v>HOSE GREASING SDT60</v>
          </cell>
          <cell r="C1402" t="str">
            <v>PC</v>
          </cell>
          <cell r="D1402">
            <v>0</v>
          </cell>
          <cell r="E1402">
            <v>105367</v>
          </cell>
          <cell r="F1402">
            <v>0</v>
          </cell>
        </row>
        <row r="1403">
          <cell r="A1403" t="str">
            <v>B-7ACK5-20427</v>
          </cell>
          <cell r="B1403" t="str">
            <v xml:space="preserve"> HOSE GREASE SDT50</v>
          </cell>
          <cell r="C1403" t="str">
            <v>PC</v>
          </cell>
          <cell r="D1403">
            <v>4</v>
          </cell>
          <cell r="E1403">
            <v>112742</v>
          </cell>
          <cell r="F1403">
            <v>450968</v>
          </cell>
        </row>
        <row r="1404">
          <cell r="A1404" t="str">
            <v>B-7ACK5-20428</v>
          </cell>
          <cell r="B1404" t="str">
            <v xml:space="preserve"> HOSE GREASE SDT50</v>
          </cell>
          <cell r="C1404" t="str">
            <v>PC</v>
          </cell>
          <cell r="D1404">
            <v>4</v>
          </cell>
          <cell r="E1404">
            <v>112829</v>
          </cell>
          <cell r="F1404">
            <v>451315</v>
          </cell>
        </row>
        <row r="1405">
          <cell r="A1405" t="str">
            <v>B-7ACK5-20435</v>
          </cell>
          <cell r="B1405" t="str">
            <v>HOSE GREASING SDT60</v>
          </cell>
          <cell r="C1405" t="str">
            <v>PC</v>
          </cell>
          <cell r="D1405">
            <v>0</v>
          </cell>
          <cell r="E1405">
            <v>0</v>
          </cell>
          <cell r="F1405">
            <v>0</v>
          </cell>
        </row>
        <row r="1406">
          <cell r="A1406" t="str">
            <v>B-7ACK5-20440</v>
          </cell>
          <cell r="B1406" t="str">
            <v>HOSE GREASING SDT60</v>
          </cell>
          <cell r="C1406" t="str">
            <v>PC</v>
          </cell>
          <cell r="D1406">
            <v>0</v>
          </cell>
          <cell r="E1406">
            <v>0</v>
          </cell>
          <cell r="F1406">
            <v>0</v>
          </cell>
        </row>
        <row r="1407">
          <cell r="A1407" t="str">
            <v>B-7ACK5-20447</v>
          </cell>
          <cell r="B1407" t="str">
            <v>HOSE GREASING SDT60</v>
          </cell>
          <cell r="C1407" t="str">
            <v>PC</v>
          </cell>
          <cell r="D1407">
            <v>0</v>
          </cell>
          <cell r="E1407">
            <v>111439</v>
          </cell>
          <cell r="F1407">
            <v>0</v>
          </cell>
        </row>
        <row r="1408">
          <cell r="A1408" t="str">
            <v>B-7ACK5-20460</v>
          </cell>
          <cell r="B1408" t="str">
            <v>HOSE GREASING SDT60</v>
          </cell>
          <cell r="C1408" t="str">
            <v>PC</v>
          </cell>
          <cell r="D1408">
            <v>0</v>
          </cell>
          <cell r="E1408">
            <v>0</v>
          </cell>
          <cell r="F1408">
            <v>0</v>
          </cell>
        </row>
        <row r="1409">
          <cell r="A1409" t="str">
            <v>B-7ACK5-20473</v>
          </cell>
          <cell r="B1409" t="str">
            <v xml:space="preserve"> HOSE GREASE SDT50</v>
          </cell>
          <cell r="C1409" t="str">
            <v>PC</v>
          </cell>
          <cell r="D1409">
            <v>4</v>
          </cell>
          <cell r="E1409">
            <v>117847</v>
          </cell>
          <cell r="F1409">
            <v>471388</v>
          </cell>
        </row>
        <row r="1410">
          <cell r="A1410" t="str">
            <v>B-7ACK5-20480</v>
          </cell>
          <cell r="B1410" t="str">
            <v>HOSE GREASING SDT60</v>
          </cell>
          <cell r="C1410" t="str">
            <v>PC</v>
          </cell>
          <cell r="D1410">
            <v>0</v>
          </cell>
          <cell r="E1410">
            <v>0</v>
          </cell>
          <cell r="F1410">
            <v>0</v>
          </cell>
        </row>
        <row r="1411">
          <cell r="A1411" t="str">
            <v>B-7ACK5-20482</v>
          </cell>
          <cell r="B1411" t="str">
            <v>HOSE GREASING SDT60</v>
          </cell>
          <cell r="C1411" t="str">
            <v>PC</v>
          </cell>
          <cell r="D1411">
            <v>0</v>
          </cell>
          <cell r="E1411">
            <v>115373</v>
          </cell>
          <cell r="F1411">
            <v>0</v>
          </cell>
        </row>
        <row r="1412">
          <cell r="A1412" t="str">
            <v>B-7ACK6-20400</v>
          </cell>
          <cell r="B1412" t="str">
            <v>HOSE GREASING SDT60</v>
          </cell>
          <cell r="C1412" t="str">
            <v>PC</v>
          </cell>
          <cell r="D1412">
            <v>0</v>
          </cell>
          <cell r="E1412">
            <v>117340</v>
          </cell>
          <cell r="F1412">
            <v>0</v>
          </cell>
        </row>
        <row r="1413">
          <cell r="A1413" t="str">
            <v>B-7ACK6-20425</v>
          </cell>
          <cell r="B1413" t="str">
            <v>HOSE GREASING SDT60</v>
          </cell>
          <cell r="C1413" t="str">
            <v>PC</v>
          </cell>
          <cell r="D1413">
            <v>0</v>
          </cell>
          <cell r="E1413">
            <v>0</v>
          </cell>
          <cell r="F1413">
            <v>0</v>
          </cell>
        </row>
        <row r="1414">
          <cell r="A1414" t="str">
            <v>B-7ACK6-20438</v>
          </cell>
          <cell r="B1414" t="str">
            <v>HOSE GREASING SDT60</v>
          </cell>
          <cell r="C1414" t="str">
            <v>PC</v>
          </cell>
          <cell r="D1414">
            <v>0</v>
          </cell>
          <cell r="E1414">
            <v>121531</v>
          </cell>
          <cell r="F1414">
            <v>0</v>
          </cell>
        </row>
        <row r="1415">
          <cell r="A1415" t="str">
            <v>B-7ACK6-20440</v>
          </cell>
          <cell r="B1415" t="str">
            <v>HOSE GREASING SDT60</v>
          </cell>
          <cell r="C1415" t="str">
            <v>PC</v>
          </cell>
          <cell r="D1415">
            <v>0</v>
          </cell>
          <cell r="E1415">
            <v>121788</v>
          </cell>
          <cell r="F1415">
            <v>0</v>
          </cell>
        </row>
        <row r="1416">
          <cell r="A1416" t="str">
            <v>B-7ACK6-20475</v>
          </cell>
          <cell r="B1416" t="str">
            <v xml:space="preserve"> HOSE GREASE SDT50</v>
          </cell>
          <cell r="C1416" t="str">
            <v>PC</v>
          </cell>
          <cell r="D1416">
            <v>4</v>
          </cell>
          <cell r="E1416">
            <v>129355</v>
          </cell>
          <cell r="F1416">
            <v>517419</v>
          </cell>
        </row>
        <row r="1417">
          <cell r="A1417" t="str">
            <v>B-7ACK6-20480</v>
          </cell>
          <cell r="B1417" t="str">
            <v xml:space="preserve"> HOSE GREASE SDT50</v>
          </cell>
          <cell r="C1417" t="str">
            <v>PC</v>
          </cell>
          <cell r="D1417">
            <v>4</v>
          </cell>
          <cell r="E1417">
            <v>129874</v>
          </cell>
          <cell r="F1417">
            <v>519496</v>
          </cell>
        </row>
        <row r="1418">
          <cell r="A1418" t="str">
            <v>B-7ACK7-20400</v>
          </cell>
          <cell r="B1418" t="str">
            <v>HOSE GREASING SDT60</v>
          </cell>
          <cell r="C1418" t="str">
            <v>PC</v>
          </cell>
          <cell r="D1418">
            <v>0</v>
          </cell>
          <cell r="E1418">
            <v>128459</v>
          </cell>
          <cell r="F1418">
            <v>0</v>
          </cell>
        </row>
        <row r="1419">
          <cell r="A1419" t="str">
            <v>B-7ACK7-20410</v>
          </cell>
          <cell r="B1419" t="str">
            <v>HOSE GREASING SDT60</v>
          </cell>
          <cell r="C1419" t="str">
            <v>PC</v>
          </cell>
          <cell r="D1419">
            <v>0</v>
          </cell>
          <cell r="E1419">
            <v>129570</v>
          </cell>
          <cell r="F1419">
            <v>0</v>
          </cell>
        </row>
        <row r="1420">
          <cell r="A1420" t="str">
            <v>B-7ACK7-20422</v>
          </cell>
          <cell r="B1420" t="str">
            <v>HOSE GREASING SDT60</v>
          </cell>
          <cell r="C1420" t="str">
            <v>PC</v>
          </cell>
          <cell r="D1420">
            <v>0</v>
          </cell>
          <cell r="E1420">
            <v>130939</v>
          </cell>
          <cell r="F1420">
            <v>0</v>
          </cell>
        </row>
        <row r="1421">
          <cell r="A1421" t="str">
            <v>B-7ACK7-20435</v>
          </cell>
          <cell r="B1421" t="str">
            <v>HOSE GREASING SDT60</v>
          </cell>
          <cell r="C1421" t="str">
            <v>PC</v>
          </cell>
          <cell r="D1421">
            <v>0</v>
          </cell>
          <cell r="E1421">
            <v>132393</v>
          </cell>
          <cell r="F1421">
            <v>0</v>
          </cell>
        </row>
        <row r="1422">
          <cell r="A1422" t="str">
            <v>B-7ACK7-20450</v>
          </cell>
          <cell r="B1422" t="str">
            <v>HOSE GREASING SDT60</v>
          </cell>
          <cell r="C1422" t="str">
            <v>PC</v>
          </cell>
          <cell r="D1422">
            <v>0</v>
          </cell>
          <cell r="E1422">
            <v>134018</v>
          </cell>
          <cell r="F1422">
            <v>0</v>
          </cell>
        </row>
        <row r="1423">
          <cell r="A1423" t="str">
            <v>B-7ACO-90850</v>
          </cell>
          <cell r="B1423" t="str">
            <v>HOSE ASSY</v>
          </cell>
          <cell r="C1423" t="str">
            <v>PC</v>
          </cell>
          <cell r="D1423">
            <v>2</v>
          </cell>
          <cell r="E1423">
            <v>117962</v>
          </cell>
          <cell r="F1423">
            <v>235924</v>
          </cell>
        </row>
        <row r="1424">
          <cell r="A1424" t="str">
            <v>B-7ACO-90881</v>
          </cell>
          <cell r="B1424" t="str">
            <v xml:space="preserve"> HOSE</v>
          </cell>
          <cell r="C1424" t="str">
            <v>PC</v>
          </cell>
          <cell r="D1424">
            <v>0</v>
          </cell>
          <cell r="E1424">
            <v>22</v>
          </cell>
          <cell r="F1424">
            <v>0</v>
          </cell>
        </row>
        <row r="1425">
          <cell r="A1425" t="str">
            <v>B-7AF2-21623</v>
          </cell>
          <cell r="B1425" t="str">
            <v>HOSE ASSY L=2300MM</v>
          </cell>
          <cell r="C1425" t="str">
            <v>PC</v>
          </cell>
          <cell r="D1425">
            <v>1</v>
          </cell>
          <cell r="E1425">
            <v>408041</v>
          </cell>
          <cell r="F1425">
            <v>408041</v>
          </cell>
        </row>
        <row r="1426">
          <cell r="A1426" t="str">
            <v>B-7AF2-41610</v>
          </cell>
          <cell r="B1426" t="str">
            <v xml:space="preserve"> HOSE WTBMA35</v>
          </cell>
          <cell r="C1426" t="str">
            <v>PC</v>
          </cell>
          <cell r="D1426">
            <v>0</v>
          </cell>
          <cell r="E1426">
            <v>273281</v>
          </cell>
          <cell r="F1426">
            <v>0</v>
          </cell>
        </row>
        <row r="1427">
          <cell r="A1427" t="str">
            <v>B-7AF2-41610-1</v>
          </cell>
          <cell r="B1427" t="str">
            <v xml:space="preserve"> HOSE WTBMA35</v>
          </cell>
          <cell r="C1427" t="str">
            <v>PC</v>
          </cell>
          <cell r="D1427">
            <v>0</v>
          </cell>
          <cell r="E1427">
            <v>273281</v>
          </cell>
          <cell r="F1427">
            <v>0</v>
          </cell>
        </row>
        <row r="1428">
          <cell r="A1428" t="str">
            <v>B-7AF2-41630</v>
          </cell>
          <cell r="B1428" t="str">
            <v xml:space="preserve"> HOSE WTBMA35</v>
          </cell>
          <cell r="C1428" t="str">
            <v>PC</v>
          </cell>
          <cell r="D1428">
            <v>0</v>
          </cell>
          <cell r="E1428">
            <v>454966</v>
          </cell>
          <cell r="F1428">
            <v>0</v>
          </cell>
        </row>
        <row r="1429">
          <cell r="A1429" t="str">
            <v>B-7AF6-41610</v>
          </cell>
          <cell r="B1429" t="str">
            <v xml:space="preserve"> HOSE WTBMA35</v>
          </cell>
          <cell r="C1429" t="str">
            <v>PC</v>
          </cell>
          <cell r="D1429">
            <v>0</v>
          </cell>
          <cell r="E1429">
            <v>646316</v>
          </cell>
          <cell r="F1429">
            <v>0</v>
          </cell>
        </row>
        <row r="1430">
          <cell r="A1430" t="str">
            <v>B-7AS0-41260</v>
          </cell>
          <cell r="B1430" t="str">
            <v>HOSE ASSY SDT60</v>
          </cell>
          <cell r="C1430" t="str">
            <v>PC</v>
          </cell>
          <cell r="D1430">
            <v>0</v>
          </cell>
          <cell r="E1430">
            <v>101517</v>
          </cell>
          <cell r="F1430">
            <v>0</v>
          </cell>
        </row>
        <row r="1431">
          <cell r="A1431" t="str">
            <v>B-7AS4-41200</v>
          </cell>
          <cell r="B1431" t="str">
            <v>HOSE HYD.</v>
          </cell>
          <cell r="C1431" t="str">
            <v>PC</v>
          </cell>
          <cell r="D1431">
            <v>0</v>
          </cell>
          <cell r="E1431">
            <v>218688</v>
          </cell>
          <cell r="F1431">
            <v>0</v>
          </cell>
        </row>
        <row r="1432">
          <cell r="A1432" t="str">
            <v>B-7AS4-41210</v>
          </cell>
          <cell r="B1432" t="str">
            <v>HOSE HYD SDT50</v>
          </cell>
          <cell r="C1432" t="str">
            <v>PC</v>
          </cell>
          <cell r="D1432">
            <v>4</v>
          </cell>
          <cell r="E1432">
            <v>221665</v>
          </cell>
          <cell r="F1432">
            <v>886658</v>
          </cell>
        </row>
        <row r="1433">
          <cell r="A1433" t="str">
            <v>B-7BC0-41246</v>
          </cell>
          <cell r="B1433" t="str">
            <v>HOSE ASSY SDT60</v>
          </cell>
          <cell r="C1433" t="str">
            <v>PC</v>
          </cell>
          <cell r="D1433">
            <v>0</v>
          </cell>
          <cell r="E1433">
            <v>0</v>
          </cell>
          <cell r="F1433">
            <v>0</v>
          </cell>
        </row>
        <row r="1434">
          <cell r="A1434" t="str">
            <v>B-7CA2-20610</v>
          </cell>
          <cell r="B1434" t="str">
            <v>HOSE ASSY RLG</v>
          </cell>
          <cell r="C1434" t="str">
            <v>PC</v>
          </cell>
          <cell r="D1434">
            <v>2</v>
          </cell>
          <cell r="E1434">
            <v>87571</v>
          </cell>
          <cell r="F1434">
            <v>175142</v>
          </cell>
        </row>
        <row r="1435">
          <cell r="A1435" t="str">
            <v>B-7CA2-20630</v>
          </cell>
          <cell r="B1435" t="str">
            <v>HOSE ASSY RLG</v>
          </cell>
          <cell r="C1435" t="str">
            <v>PC</v>
          </cell>
          <cell r="D1435">
            <v>22</v>
          </cell>
          <cell r="E1435">
            <v>105334</v>
          </cell>
          <cell r="F1435">
            <v>2317348</v>
          </cell>
        </row>
        <row r="1436">
          <cell r="A1436" t="str">
            <v>B-7CC0-41271</v>
          </cell>
          <cell r="B1436" t="str">
            <v xml:space="preserve"> HOSE HYD SDT50</v>
          </cell>
          <cell r="C1436" t="str">
            <v>PC</v>
          </cell>
          <cell r="D1436">
            <v>4</v>
          </cell>
          <cell r="E1436">
            <v>135643</v>
          </cell>
          <cell r="F1436">
            <v>542572</v>
          </cell>
        </row>
        <row r="1437">
          <cell r="A1437" t="str">
            <v>B-7CC0-41288-2</v>
          </cell>
          <cell r="B1437" t="str">
            <v>HOSE ASSY SDT60</v>
          </cell>
          <cell r="C1437" t="str">
            <v>PC</v>
          </cell>
          <cell r="D1437">
            <v>0</v>
          </cell>
          <cell r="E1437">
            <v>0</v>
          </cell>
          <cell r="F1437">
            <v>0</v>
          </cell>
        </row>
        <row r="1438">
          <cell r="A1438" t="str">
            <v>B-7CC2-21600</v>
          </cell>
          <cell r="B1438" t="str">
            <v>HOSE RETURN L=2000mm</v>
          </cell>
          <cell r="C1438" t="str">
            <v>PC</v>
          </cell>
          <cell r="D1438">
            <v>0</v>
          </cell>
          <cell r="E1438">
            <v>331695</v>
          </cell>
          <cell r="F1438">
            <v>0</v>
          </cell>
        </row>
        <row r="1439">
          <cell r="A1439" t="str">
            <v>B-7CC3-20400</v>
          </cell>
          <cell r="B1439" t="str">
            <v>HOSE GREASE 07JF90K-07JF90K-04-3000</v>
          </cell>
          <cell r="C1439" t="str">
            <v>PC</v>
          </cell>
          <cell r="D1439">
            <v>0</v>
          </cell>
          <cell r="E1439">
            <v>106713</v>
          </cell>
          <cell r="F1439">
            <v>0</v>
          </cell>
        </row>
        <row r="1440">
          <cell r="A1440" t="str">
            <v>B-7CC3-20405</v>
          </cell>
          <cell r="B1440" t="str">
            <v>HOSE GREASE 07JF90K-07JF90K-04-3050</v>
          </cell>
          <cell r="C1440" t="str">
            <v>PC</v>
          </cell>
          <cell r="D1440">
            <v>0</v>
          </cell>
          <cell r="E1440">
            <v>107206</v>
          </cell>
          <cell r="F1440">
            <v>0</v>
          </cell>
        </row>
        <row r="1441">
          <cell r="A1441" t="str">
            <v>B-7CC3-20410</v>
          </cell>
          <cell r="B1441" t="str">
            <v>HOSE GREASE 07JF90K-07JF90K-04-3100</v>
          </cell>
          <cell r="C1441" t="str">
            <v>PC</v>
          </cell>
          <cell r="D1441">
            <v>0</v>
          </cell>
          <cell r="E1441">
            <v>108192</v>
          </cell>
          <cell r="F1441">
            <v>0</v>
          </cell>
        </row>
        <row r="1442">
          <cell r="A1442" t="str">
            <v>B-7CG1-20635</v>
          </cell>
          <cell r="B1442" t="str">
            <v>HOSE ASSY RLG</v>
          </cell>
          <cell r="C1442" t="str">
            <v>PC</v>
          </cell>
          <cell r="D1442">
            <v>2</v>
          </cell>
          <cell r="E1442">
            <v>81670</v>
          </cell>
          <cell r="F1442">
            <v>163340</v>
          </cell>
        </row>
        <row r="1443">
          <cell r="A1443" t="str">
            <v>B-7CG1-20645</v>
          </cell>
          <cell r="B1443" t="str">
            <v>HOSE ASSY RLG</v>
          </cell>
          <cell r="C1443" t="str">
            <v>PC</v>
          </cell>
          <cell r="D1443">
            <v>22</v>
          </cell>
          <cell r="E1443">
            <v>95063</v>
          </cell>
          <cell r="F1443">
            <v>2091386</v>
          </cell>
        </row>
        <row r="1444">
          <cell r="A1444" t="str">
            <v>B-7CS4-41200</v>
          </cell>
          <cell r="B1444" t="str">
            <v>HOSE HYD.</v>
          </cell>
          <cell r="C1444" t="str">
            <v>PC</v>
          </cell>
          <cell r="D1444">
            <v>0</v>
          </cell>
          <cell r="E1444">
            <v>237076</v>
          </cell>
          <cell r="F1444">
            <v>0</v>
          </cell>
        </row>
        <row r="1445">
          <cell r="A1445" t="str">
            <v>B-7CS4-41210</v>
          </cell>
          <cell r="B1445" t="str">
            <v xml:space="preserve"> HOSE HYD SDT50</v>
          </cell>
          <cell r="C1445" t="str">
            <v>PC</v>
          </cell>
          <cell r="D1445">
            <v>4</v>
          </cell>
          <cell r="E1445">
            <v>240122</v>
          </cell>
          <cell r="F1445">
            <v>960489</v>
          </cell>
        </row>
        <row r="1446">
          <cell r="A1446" t="str">
            <v>B-7DA0-41690</v>
          </cell>
          <cell r="B1446" t="str">
            <v xml:space="preserve"> HOSE WTBMA35</v>
          </cell>
          <cell r="C1446" t="str">
            <v>PC</v>
          </cell>
          <cell r="D1446">
            <v>0</v>
          </cell>
          <cell r="E1446">
            <v>248719</v>
          </cell>
          <cell r="F1446">
            <v>0</v>
          </cell>
        </row>
        <row r="1447">
          <cell r="A1447" t="str">
            <v>B-7DA0-41690-1</v>
          </cell>
          <cell r="B1447" t="str">
            <v xml:space="preserve"> HOSE WTBMA35</v>
          </cell>
          <cell r="C1447" t="str">
            <v>PC</v>
          </cell>
          <cell r="D1447">
            <v>0</v>
          </cell>
          <cell r="E1447">
            <v>197911</v>
          </cell>
          <cell r="F1447">
            <v>0</v>
          </cell>
        </row>
        <row r="1448">
          <cell r="A1448" t="str">
            <v>B-7DD0-51290</v>
          </cell>
          <cell r="B1448" t="str">
            <v>HOSE</v>
          </cell>
          <cell r="C1448" t="str">
            <v>PC</v>
          </cell>
          <cell r="D1448">
            <v>20</v>
          </cell>
          <cell r="E1448">
            <v>192581</v>
          </cell>
          <cell r="F1448">
            <v>3851626</v>
          </cell>
        </row>
        <row r="1449">
          <cell r="A1449" t="str">
            <v>B-7DD1-50810</v>
          </cell>
          <cell r="B1449" t="str">
            <v>HOSE ASSY RLG</v>
          </cell>
          <cell r="C1449" t="str">
            <v>PC</v>
          </cell>
          <cell r="D1449">
            <v>4</v>
          </cell>
          <cell r="E1449">
            <v>130943</v>
          </cell>
          <cell r="F1449">
            <v>523772</v>
          </cell>
        </row>
        <row r="1450">
          <cell r="A1450" t="str">
            <v>B-7DD1-50834</v>
          </cell>
          <cell r="B1450" t="str">
            <v>HOSE ASSY RLG</v>
          </cell>
          <cell r="C1450" t="str">
            <v>PC</v>
          </cell>
          <cell r="D1450">
            <v>2</v>
          </cell>
          <cell r="E1450">
            <v>154193</v>
          </cell>
          <cell r="F1450">
            <v>308386</v>
          </cell>
        </row>
        <row r="1451">
          <cell r="A1451" t="str">
            <v>B-7DD1-50835</v>
          </cell>
          <cell r="B1451" t="str">
            <v>HOSE ASSY RLG</v>
          </cell>
          <cell r="C1451" t="str">
            <v>PC</v>
          </cell>
          <cell r="D1451">
            <v>2</v>
          </cell>
          <cell r="E1451">
            <v>154901</v>
          </cell>
          <cell r="F1451">
            <v>309802</v>
          </cell>
        </row>
        <row r="1452">
          <cell r="A1452" t="str">
            <v>B-7DD1-50837</v>
          </cell>
          <cell r="B1452" t="str">
            <v>HOSE ASSY RLG</v>
          </cell>
          <cell r="C1452" t="str">
            <v>PC</v>
          </cell>
          <cell r="D1452">
            <v>2</v>
          </cell>
          <cell r="E1452">
            <v>156199</v>
          </cell>
          <cell r="F1452">
            <v>312398</v>
          </cell>
        </row>
        <row r="1453">
          <cell r="A1453" t="str">
            <v>B-7DD1-50855</v>
          </cell>
          <cell r="B1453" t="str">
            <v>HOSE ASSY RLG</v>
          </cell>
          <cell r="C1453" t="str">
            <v>PC</v>
          </cell>
          <cell r="D1453">
            <v>2</v>
          </cell>
          <cell r="E1453">
            <v>168532</v>
          </cell>
          <cell r="F1453">
            <v>337064</v>
          </cell>
        </row>
        <row r="1454">
          <cell r="A1454" t="str">
            <v>B-7DE1-51250</v>
          </cell>
          <cell r="B1454" t="str">
            <v>HOSE</v>
          </cell>
          <cell r="C1454" t="str">
            <v>PC</v>
          </cell>
          <cell r="D1454">
            <v>0</v>
          </cell>
          <cell r="E1454">
            <v>304448</v>
          </cell>
          <cell r="F1454">
            <v>0</v>
          </cell>
        </row>
        <row r="1455">
          <cell r="A1455" t="str">
            <v>B-7DE1-51250-2</v>
          </cell>
          <cell r="B1455" t="str">
            <v>HOSE ASSY RLG</v>
          </cell>
          <cell r="C1455" t="str">
            <v>PC</v>
          </cell>
          <cell r="D1455">
            <v>14</v>
          </cell>
          <cell r="E1455">
            <v>213785</v>
          </cell>
          <cell r="F1455">
            <v>2992990</v>
          </cell>
        </row>
        <row r="1456">
          <cell r="A1456" t="str">
            <v>B-7DF0-51295</v>
          </cell>
          <cell r="B1456" t="str">
            <v>HOSE ASSY (L=950 MM)</v>
          </cell>
          <cell r="C1456" t="str">
            <v>PC</v>
          </cell>
          <cell r="D1456">
            <v>0</v>
          </cell>
          <cell r="E1456">
            <v>0</v>
          </cell>
          <cell r="F1456">
            <v>0</v>
          </cell>
        </row>
        <row r="1457">
          <cell r="A1457" t="str">
            <v>B-7DF1-51220</v>
          </cell>
          <cell r="B1457" t="str">
            <v>HOSE ASSY (L=1300 MM)</v>
          </cell>
          <cell r="C1457" t="str">
            <v>PC</v>
          </cell>
          <cell r="D1457">
            <v>0</v>
          </cell>
          <cell r="E1457">
            <v>0</v>
          </cell>
          <cell r="F1457">
            <v>0</v>
          </cell>
        </row>
        <row r="1458">
          <cell r="A1458" t="str">
            <v>B-7FD1-51200</v>
          </cell>
          <cell r="B1458" t="str">
            <v>HOSE</v>
          </cell>
          <cell r="C1458" t="str">
            <v>PC</v>
          </cell>
          <cell r="D1458">
            <v>0</v>
          </cell>
          <cell r="E1458">
            <v>218310</v>
          </cell>
          <cell r="F1458">
            <v>0</v>
          </cell>
        </row>
        <row r="1459">
          <cell r="A1459" t="str">
            <v>B-7FD1-51230</v>
          </cell>
          <cell r="B1459" t="str">
            <v>HOSE</v>
          </cell>
          <cell r="C1459" t="str">
            <v>PC</v>
          </cell>
          <cell r="D1459">
            <v>0</v>
          </cell>
          <cell r="E1459">
            <v>241697</v>
          </cell>
          <cell r="F1459">
            <v>0</v>
          </cell>
        </row>
        <row r="1460">
          <cell r="A1460" t="str">
            <v>B-7FD1-51240</v>
          </cell>
          <cell r="B1460" t="str">
            <v>HOSE</v>
          </cell>
          <cell r="C1460" t="str">
            <v>PC</v>
          </cell>
          <cell r="D1460">
            <v>0</v>
          </cell>
          <cell r="E1460">
            <v>249438</v>
          </cell>
          <cell r="F1460">
            <v>0</v>
          </cell>
        </row>
        <row r="1461">
          <cell r="A1461" t="str">
            <v>B-7FD1-51260</v>
          </cell>
          <cell r="B1461" t="str">
            <v>HOSE</v>
          </cell>
          <cell r="C1461" t="str">
            <v>PC</v>
          </cell>
          <cell r="D1461">
            <v>16</v>
          </cell>
          <cell r="E1461">
            <v>213785</v>
          </cell>
          <cell r="F1461">
            <v>3420560</v>
          </cell>
        </row>
        <row r="1462">
          <cell r="A1462" t="str">
            <v>B-7GA1-20630</v>
          </cell>
          <cell r="B1462" t="str">
            <v>HOSE ASSY RLG</v>
          </cell>
          <cell r="C1462" t="str">
            <v>PC</v>
          </cell>
          <cell r="D1462">
            <v>12</v>
          </cell>
          <cell r="E1462">
            <v>82958</v>
          </cell>
          <cell r="F1462">
            <v>995496</v>
          </cell>
        </row>
        <row r="1463">
          <cell r="A1463" t="str">
            <v>B-7GA1-20670</v>
          </cell>
          <cell r="B1463" t="str">
            <v>HOSE ASSY RLG</v>
          </cell>
          <cell r="C1463" t="str">
            <v>PC</v>
          </cell>
          <cell r="D1463">
            <v>12</v>
          </cell>
          <cell r="E1463">
            <v>95308</v>
          </cell>
          <cell r="F1463">
            <v>1143696</v>
          </cell>
        </row>
        <row r="1464">
          <cell r="A1464" t="str">
            <v>B-7JD1-90810</v>
          </cell>
          <cell r="B1464" t="str">
            <v>HOSE ASSY RLG</v>
          </cell>
          <cell r="C1464" t="str">
            <v>PC</v>
          </cell>
          <cell r="D1464">
            <v>8</v>
          </cell>
          <cell r="E1464">
            <v>116780</v>
          </cell>
          <cell r="F1464">
            <v>934240</v>
          </cell>
        </row>
        <row r="1465">
          <cell r="A1465" t="str">
            <v>B-7NP0-41220</v>
          </cell>
          <cell r="B1465" t="str">
            <v>HOSE PRESSURE</v>
          </cell>
          <cell r="C1465" t="str">
            <v>PC</v>
          </cell>
          <cell r="D1465">
            <v>21</v>
          </cell>
          <cell r="E1465">
            <v>90900</v>
          </cell>
          <cell r="F1465">
            <v>1908900</v>
          </cell>
        </row>
        <row r="1466">
          <cell r="A1466" t="str">
            <v>B-7NR0-41250</v>
          </cell>
          <cell r="B1466" t="str">
            <v>HOSE HIGHT PRESSURE CM L 500</v>
          </cell>
          <cell r="C1466" t="str">
            <v>PC</v>
          </cell>
          <cell r="D1466">
            <v>0</v>
          </cell>
          <cell r="E1466">
            <v>292488</v>
          </cell>
          <cell r="F1466">
            <v>0</v>
          </cell>
        </row>
        <row r="1467">
          <cell r="A1467" t="str">
            <v>B-7NR0-41255</v>
          </cell>
          <cell r="B1467" t="str">
            <v xml:space="preserve"> High Pres. Hose</v>
          </cell>
          <cell r="C1467" t="str">
            <v>PC</v>
          </cell>
          <cell r="D1467">
            <v>11</v>
          </cell>
          <cell r="E1467">
            <v>320099</v>
          </cell>
          <cell r="F1467">
            <v>3521086</v>
          </cell>
        </row>
        <row r="1468">
          <cell r="A1468" t="str">
            <v>B-7NR0-41280</v>
          </cell>
          <cell r="B1468" t="str">
            <v xml:space="preserve"> Hose High Press.</v>
          </cell>
          <cell r="C1468" t="str">
            <v>PC</v>
          </cell>
          <cell r="D1468">
            <v>12</v>
          </cell>
          <cell r="E1468">
            <v>356317</v>
          </cell>
          <cell r="F1468">
            <v>4275804</v>
          </cell>
        </row>
        <row r="1469">
          <cell r="A1469" t="str">
            <v>B-7NR1-41225</v>
          </cell>
          <cell r="B1469" t="str">
            <v xml:space="preserve"> Hose High Press.</v>
          </cell>
          <cell r="C1469" t="str">
            <v>PC</v>
          </cell>
          <cell r="D1469">
            <v>12</v>
          </cell>
          <cell r="E1469">
            <v>419249</v>
          </cell>
          <cell r="F1469">
            <v>5030987</v>
          </cell>
        </row>
        <row r="1470">
          <cell r="A1470" t="str">
            <v>B-7PP0-41245</v>
          </cell>
          <cell r="B1470" t="str">
            <v xml:space="preserve"> HOSE ASSY CM800</v>
          </cell>
          <cell r="C1470" t="str">
            <v>PC</v>
          </cell>
          <cell r="D1470">
            <v>2</v>
          </cell>
          <cell r="E1470">
            <v>294473</v>
          </cell>
          <cell r="F1470">
            <v>588946</v>
          </cell>
        </row>
        <row r="1471">
          <cell r="A1471" t="str">
            <v>B-7PR0-41280</v>
          </cell>
          <cell r="B1471" t="str">
            <v xml:space="preserve"> High Pres. Hose</v>
          </cell>
          <cell r="C1471" t="str">
            <v>PC</v>
          </cell>
          <cell r="D1471">
            <v>0</v>
          </cell>
          <cell r="E1471">
            <v>1</v>
          </cell>
          <cell r="F1471">
            <v>0</v>
          </cell>
        </row>
        <row r="1472">
          <cell r="A1472" t="str">
            <v>B-7PRO-41280</v>
          </cell>
          <cell r="B1472" t="str">
            <v>HOSE HIGH PRESSURE</v>
          </cell>
          <cell r="C1472" t="str">
            <v>PC</v>
          </cell>
          <cell r="D1472">
            <v>0</v>
          </cell>
          <cell r="E1472">
            <v>329504</v>
          </cell>
          <cell r="F1472">
            <v>0</v>
          </cell>
        </row>
        <row r="1473">
          <cell r="A1473" t="str">
            <v>B-7RN0-41250</v>
          </cell>
          <cell r="B1473" t="str">
            <v>HOSE HIGHT PRESSURE CM L 500</v>
          </cell>
          <cell r="C1473" t="str">
            <v>PC</v>
          </cell>
          <cell r="D1473">
            <v>0</v>
          </cell>
          <cell r="E1473">
            <v>85867</v>
          </cell>
          <cell r="F1473">
            <v>0</v>
          </cell>
        </row>
        <row r="1474">
          <cell r="A1474" t="str">
            <v>B-7RR0-41295</v>
          </cell>
          <cell r="B1474" t="str">
            <v>HOSE HIGHT PRESSURE CM L 950</v>
          </cell>
          <cell r="C1474" t="str">
            <v>PC</v>
          </cell>
          <cell r="D1474">
            <v>0</v>
          </cell>
          <cell r="E1474">
            <v>358061</v>
          </cell>
          <cell r="F1474">
            <v>0</v>
          </cell>
        </row>
        <row r="1475">
          <cell r="A1475" t="str">
            <v>B-7RR1-41225</v>
          </cell>
          <cell r="B1475" t="str">
            <v>High Pres. Hose</v>
          </cell>
          <cell r="C1475" t="str">
            <v>PC</v>
          </cell>
          <cell r="D1475">
            <v>10</v>
          </cell>
          <cell r="E1475">
            <v>311777</v>
          </cell>
          <cell r="F1475">
            <v>3117770</v>
          </cell>
        </row>
        <row r="1476">
          <cell r="A1476" t="str">
            <v>B-7SF6-41661</v>
          </cell>
          <cell r="B1476" t="str">
            <v>HOSE ASSY L=6100MM</v>
          </cell>
          <cell r="C1476" t="str">
            <v>PC</v>
          </cell>
          <cell r="D1476">
            <v>1</v>
          </cell>
          <cell r="E1476">
            <v>605021</v>
          </cell>
          <cell r="F1476">
            <v>605021</v>
          </cell>
        </row>
        <row r="1477">
          <cell r="A1477" t="str">
            <v>B-876390</v>
          </cell>
          <cell r="B1477" t="str">
            <v>BELL HOUSING</v>
          </cell>
          <cell r="C1477" t="str">
            <v>PC</v>
          </cell>
          <cell r="D1477">
            <v>0</v>
          </cell>
          <cell r="E1477">
            <v>623296</v>
          </cell>
          <cell r="F1477">
            <v>0</v>
          </cell>
        </row>
        <row r="1478">
          <cell r="A1478" t="str">
            <v>B919011</v>
          </cell>
          <cell r="B1478" t="str">
            <v>SINGLE SUSPENSION YTE75/90-O/S-5"R 10	             0_x000D_
		CIK	B919013		                2	PC	       25.486.945	IDR	YORK SUSPENTION YTE 75/90-1	    12.743.473_x000D_
		CIK	B919015		                2	PC	       22.932.320	IDR	 TRIAXLE SUSP YTE75/90 (O/S)	    11.466.1</v>
          </cell>
          <cell r="C1478" t="str">
            <v>PC</v>
          </cell>
          <cell r="D1478">
            <v>0</v>
          </cell>
          <cell r="E1478">
            <v>0</v>
          </cell>
          <cell r="F1478">
            <v>0</v>
          </cell>
        </row>
        <row r="1479">
          <cell r="A1479" t="str">
            <v>BALL-V250-ON</v>
          </cell>
          <cell r="B1479" t="str">
            <v>BALL VALVE 2,5"-ONDA</v>
          </cell>
          <cell r="C1479" t="str">
            <v>PC</v>
          </cell>
          <cell r="D1479">
            <v>0</v>
          </cell>
          <cell r="E1479">
            <v>352000</v>
          </cell>
          <cell r="F1479">
            <v>0</v>
          </cell>
        </row>
        <row r="1480">
          <cell r="A1480" t="str">
            <v>BALL-V300-ON</v>
          </cell>
          <cell r="B1480" t="str">
            <v>BALL VALVE 3"-ONDA</v>
          </cell>
          <cell r="C1480" t="str">
            <v>PC</v>
          </cell>
          <cell r="D1480">
            <v>0</v>
          </cell>
          <cell r="E1480">
            <v>455000</v>
          </cell>
          <cell r="F1480">
            <v>0</v>
          </cell>
        </row>
        <row r="1481">
          <cell r="A1481" t="str">
            <v>BAM-800M</v>
          </cell>
          <cell r="B1481" t="str">
            <v>REFUELING NOZLE BANLAW BAM-800M</v>
          </cell>
          <cell r="C1481" t="str">
            <v>PC</v>
          </cell>
          <cell r="D1481">
            <v>0</v>
          </cell>
          <cell r="E1481">
            <v>5747625</v>
          </cell>
          <cell r="F1481">
            <v>0</v>
          </cell>
        </row>
        <row r="1482">
          <cell r="A1482" t="str">
            <v>BATT-12-12A</v>
          </cell>
          <cell r="B1482" t="str">
            <v>DRY BATTERY 12V-12A YUASA</v>
          </cell>
          <cell r="C1482" t="str">
            <v>PC</v>
          </cell>
          <cell r="D1482">
            <v>0</v>
          </cell>
          <cell r="E1482">
            <v>250000</v>
          </cell>
          <cell r="F1482">
            <v>0</v>
          </cell>
        </row>
        <row r="1483">
          <cell r="A1483" t="str">
            <v>BC3-0F4225P</v>
          </cell>
          <cell r="B1483" t="str">
            <v xml:space="preserve"> BUSHING</v>
          </cell>
          <cell r="C1483" t="str">
            <v>PC</v>
          </cell>
          <cell r="D1483">
            <v>2</v>
          </cell>
          <cell r="E1483">
            <v>332000</v>
          </cell>
          <cell r="F1483">
            <v>664000</v>
          </cell>
        </row>
        <row r="1484">
          <cell r="A1484" t="str">
            <v>BC3-0F4240P-M</v>
          </cell>
          <cell r="B1484" t="str">
            <v>BENDING PLATE</v>
          </cell>
          <cell r="C1484" t="str">
            <v>PC</v>
          </cell>
          <cell r="D1484">
            <v>0</v>
          </cell>
          <cell r="E1484">
            <v>357243</v>
          </cell>
          <cell r="F1484">
            <v>0</v>
          </cell>
        </row>
        <row r="1485">
          <cell r="A1485" t="str">
            <v>BC3-0F4250P-M</v>
          </cell>
          <cell r="B1485" t="str">
            <v xml:space="preserve"> BENDING PLATE</v>
          </cell>
          <cell r="C1485" t="str">
            <v>PC</v>
          </cell>
          <cell r="D1485">
            <v>0</v>
          </cell>
          <cell r="E1485">
            <v>357243</v>
          </cell>
          <cell r="F1485">
            <v>0</v>
          </cell>
        </row>
        <row r="1486">
          <cell r="A1486" t="str">
            <v>BC3-0F4260P-M</v>
          </cell>
          <cell r="B1486" t="str">
            <v xml:space="preserve"> BENDING PLATE</v>
          </cell>
          <cell r="C1486" t="str">
            <v>PC</v>
          </cell>
          <cell r="D1486">
            <v>0</v>
          </cell>
          <cell r="E1486">
            <v>332643</v>
          </cell>
          <cell r="F1486">
            <v>0</v>
          </cell>
        </row>
        <row r="1487">
          <cell r="A1487" t="str">
            <v>BC3-0F4270P-M</v>
          </cell>
          <cell r="B1487" t="str">
            <v xml:space="preserve"> BENDING PLATE</v>
          </cell>
          <cell r="C1487" t="str">
            <v>PC</v>
          </cell>
          <cell r="D1487">
            <v>0</v>
          </cell>
          <cell r="E1487">
            <v>1264838</v>
          </cell>
          <cell r="F1487">
            <v>0</v>
          </cell>
        </row>
        <row r="1488">
          <cell r="A1488" t="str">
            <v>BD6-7F11G00P</v>
          </cell>
          <cell r="B1488" t="str">
            <v>KOMPONENT SBD 67</v>
          </cell>
          <cell r="C1488" t="str">
            <v>PC</v>
          </cell>
          <cell r="D1488">
            <v>0</v>
          </cell>
          <cell r="E1488">
            <v>0</v>
          </cell>
          <cell r="F1488">
            <v>0</v>
          </cell>
        </row>
        <row r="1489">
          <cell r="A1489" t="str">
            <v>BD6-F11130P</v>
          </cell>
          <cell r="B1489" t="str">
            <v>WEB_PLATE</v>
          </cell>
          <cell r="C1489" t="str">
            <v>PC</v>
          </cell>
          <cell r="D1489">
            <v>4</v>
          </cell>
          <cell r="E1489">
            <v>1164500</v>
          </cell>
          <cell r="F1489">
            <v>4658000</v>
          </cell>
        </row>
        <row r="1490">
          <cell r="A1490" t="str">
            <v>BD6-F11140P</v>
          </cell>
          <cell r="B1490" t="str">
            <v>PLATE</v>
          </cell>
          <cell r="C1490" t="str">
            <v>PC</v>
          </cell>
          <cell r="D1490">
            <v>12</v>
          </cell>
          <cell r="E1490">
            <v>50150</v>
          </cell>
          <cell r="F1490">
            <v>601800</v>
          </cell>
        </row>
        <row r="1491">
          <cell r="A1491" t="str">
            <v>BD6-F11150P</v>
          </cell>
          <cell r="B1491" t="str">
            <v>PLATE</v>
          </cell>
          <cell r="C1491" t="str">
            <v>PC</v>
          </cell>
          <cell r="D1491">
            <v>2</v>
          </cell>
          <cell r="E1491">
            <v>61550</v>
          </cell>
          <cell r="F1491">
            <v>123100</v>
          </cell>
        </row>
        <row r="1492">
          <cell r="A1492" t="str">
            <v>BD6-F11210P</v>
          </cell>
          <cell r="B1492" t="str">
            <v>WEB_PLATE</v>
          </cell>
          <cell r="C1492" t="str">
            <v>PC</v>
          </cell>
          <cell r="D1492">
            <v>2</v>
          </cell>
          <cell r="E1492">
            <v>61550</v>
          </cell>
          <cell r="F1492">
            <v>123100</v>
          </cell>
        </row>
        <row r="1493">
          <cell r="A1493" t="str">
            <v>BD6-F11300P</v>
          </cell>
          <cell r="B1493" t="str">
            <v>PLATE</v>
          </cell>
          <cell r="C1493" t="str">
            <v>PC</v>
          </cell>
          <cell r="D1493">
            <v>8</v>
          </cell>
          <cell r="E1493">
            <v>124650</v>
          </cell>
          <cell r="F1493">
            <v>997200</v>
          </cell>
        </row>
        <row r="1494">
          <cell r="A1494" t="str">
            <v>BD6-F11400P</v>
          </cell>
          <cell r="B1494" t="str">
            <v>PLATE</v>
          </cell>
          <cell r="C1494" t="str">
            <v>PC</v>
          </cell>
          <cell r="D1494">
            <v>2</v>
          </cell>
          <cell r="E1494">
            <v>192600</v>
          </cell>
          <cell r="F1494">
            <v>385200</v>
          </cell>
        </row>
        <row r="1495">
          <cell r="A1495" t="str">
            <v>BD6-F11500P</v>
          </cell>
          <cell r="B1495" t="str">
            <v>PLATE</v>
          </cell>
          <cell r="C1495" t="str">
            <v>PC</v>
          </cell>
          <cell r="D1495">
            <v>0</v>
          </cell>
          <cell r="E1495">
            <v>0</v>
          </cell>
          <cell r="F1495">
            <v>0</v>
          </cell>
        </row>
        <row r="1496">
          <cell r="A1496" t="str">
            <v>BD6-F11600P</v>
          </cell>
          <cell r="B1496" t="str">
            <v>PLATE</v>
          </cell>
          <cell r="C1496" t="str">
            <v>PC</v>
          </cell>
          <cell r="D1496">
            <v>2</v>
          </cell>
          <cell r="E1496">
            <v>189300</v>
          </cell>
          <cell r="F1496">
            <v>378600</v>
          </cell>
        </row>
        <row r="1497">
          <cell r="A1497" t="str">
            <v>BD6-F11700P</v>
          </cell>
          <cell r="B1497" t="str">
            <v>PLATE</v>
          </cell>
          <cell r="C1497" t="str">
            <v>PC</v>
          </cell>
          <cell r="D1497">
            <v>6</v>
          </cell>
          <cell r="E1497">
            <v>92400</v>
          </cell>
          <cell r="F1497">
            <v>554400</v>
          </cell>
        </row>
        <row r="1498">
          <cell r="A1498" t="str">
            <v>BD6-F11800P</v>
          </cell>
          <cell r="B1498" t="str">
            <v>PLATE</v>
          </cell>
          <cell r="C1498" t="str">
            <v>PC</v>
          </cell>
          <cell r="D1498">
            <v>4</v>
          </cell>
          <cell r="E1498">
            <v>189300</v>
          </cell>
          <cell r="F1498">
            <v>757200</v>
          </cell>
        </row>
        <row r="1499">
          <cell r="A1499" t="str">
            <v>BD6-F11A00P</v>
          </cell>
          <cell r="B1499" t="str">
            <v>DOUBLLER_PLATE</v>
          </cell>
          <cell r="C1499" t="str">
            <v>PC</v>
          </cell>
          <cell r="D1499">
            <v>2</v>
          </cell>
          <cell r="E1499">
            <v>26700</v>
          </cell>
          <cell r="F1499">
            <v>53400</v>
          </cell>
        </row>
        <row r="1500">
          <cell r="A1500" t="str">
            <v>BD6-F11B21P</v>
          </cell>
          <cell r="B1500" t="str">
            <v>PLATE</v>
          </cell>
          <cell r="C1500" t="str">
            <v>PC</v>
          </cell>
          <cell r="D1500">
            <v>0</v>
          </cell>
          <cell r="E1500">
            <v>0</v>
          </cell>
          <cell r="F1500">
            <v>0</v>
          </cell>
        </row>
        <row r="1501">
          <cell r="A1501" t="str">
            <v>BD6-F11B22P</v>
          </cell>
          <cell r="B1501" t="str">
            <v>PLATE</v>
          </cell>
          <cell r="C1501" t="str">
            <v>PC</v>
          </cell>
          <cell r="D1501">
            <v>2</v>
          </cell>
          <cell r="E1501">
            <v>6950</v>
          </cell>
          <cell r="F1501">
            <v>13900</v>
          </cell>
        </row>
        <row r="1502">
          <cell r="A1502" t="str">
            <v>BD6-F11C00P</v>
          </cell>
          <cell r="B1502" t="str">
            <v>DOUBLER_PLATE</v>
          </cell>
          <cell r="C1502" t="str">
            <v>PC</v>
          </cell>
          <cell r="D1502">
            <v>6</v>
          </cell>
          <cell r="E1502">
            <v>22000</v>
          </cell>
          <cell r="F1502">
            <v>132000</v>
          </cell>
        </row>
        <row r="1503">
          <cell r="A1503" t="str">
            <v>BD6-F11D00P</v>
          </cell>
          <cell r="B1503" t="str">
            <v>PLATE</v>
          </cell>
          <cell r="C1503" t="str">
            <v>PC</v>
          </cell>
          <cell r="D1503">
            <v>2</v>
          </cell>
          <cell r="E1503">
            <v>41350</v>
          </cell>
          <cell r="F1503">
            <v>82700</v>
          </cell>
        </row>
        <row r="1504">
          <cell r="A1504" t="str">
            <v>BD6-F11E10P</v>
          </cell>
          <cell r="B1504" t="str">
            <v>PLATE</v>
          </cell>
          <cell r="C1504" t="str">
            <v>PC</v>
          </cell>
          <cell r="D1504">
            <v>2</v>
          </cell>
          <cell r="E1504">
            <v>115600</v>
          </cell>
          <cell r="F1504">
            <v>231200</v>
          </cell>
        </row>
        <row r="1505">
          <cell r="A1505" t="str">
            <v>BD6-F11E20P</v>
          </cell>
          <cell r="B1505" t="str">
            <v>PLATE</v>
          </cell>
          <cell r="C1505" t="str">
            <v>PC</v>
          </cell>
          <cell r="D1505">
            <v>2</v>
          </cell>
          <cell r="E1505">
            <v>39800</v>
          </cell>
          <cell r="F1505">
            <v>79600</v>
          </cell>
        </row>
        <row r="1506">
          <cell r="A1506" t="str">
            <v>BD6-F11E30P</v>
          </cell>
          <cell r="B1506" t="str">
            <v>REAR LAMP BRACKET</v>
          </cell>
          <cell r="C1506" t="str">
            <v>PC</v>
          </cell>
          <cell r="D1506">
            <v>2</v>
          </cell>
          <cell r="E1506">
            <v>9100</v>
          </cell>
          <cell r="F1506">
            <v>18200</v>
          </cell>
        </row>
        <row r="1507">
          <cell r="A1507" t="str">
            <v>BD6-F11F10P</v>
          </cell>
          <cell r="B1507" t="str">
            <v>PLATE</v>
          </cell>
          <cell r="C1507" t="str">
            <v>PC</v>
          </cell>
          <cell r="D1507">
            <v>2</v>
          </cell>
          <cell r="E1507">
            <v>115600</v>
          </cell>
          <cell r="F1507">
            <v>231200</v>
          </cell>
        </row>
        <row r="1508">
          <cell r="A1508" t="str">
            <v>BD6-F11F20P</v>
          </cell>
          <cell r="B1508" t="str">
            <v>PLATE</v>
          </cell>
          <cell r="C1508" t="str">
            <v>PC</v>
          </cell>
          <cell r="D1508">
            <v>2</v>
          </cell>
          <cell r="E1508">
            <v>7900</v>
          </cell>
          <cell r="F1508">
            <v>15800</v>
          </cell>
        </row>
        <row r="1509">
          <cell r="A1509" t="str">
            <v>BD6-F11F30P</v>
          </cell>
          <cell r="B1509" t="str">
            <v>PLATE</v>
          </cell>
          <cell r="C1509" t="str">
            <v>PC</v>
          </cell>
          <cell r="D1509">
            <v>2</v>
          </cell>
          <cell r="E1509">
            <v>39800</v>
          </cell>
          <cell r="F1509">
            <v>79600</v>
          </cell>
        </row>
        <row r="1510">
          <cell r="A1510" t="str">
            <v>BD6-F11G00P</v>
          </cell>
          <cell r="B1510" t="str">
            <v>LOWER STEP</v>
          </cell>
          <cell r="C1510" t="str">
            <v>PC</v>
          </cell>
          <cell r="D1510">
            <v>0</v>
          </cell>
          <cell r="E1510">
            <v>0</v>
          </cell>
          <cell r="F1510">
            <v>0</v>
          </cell>
        </row>
        <row r="1511">
          <cell r="A1511" t="str">
            <v>BD6-F11H00P</v>
          </cell>
          <cell r="B1511" t="str">
            <v>AIR_TANK_BRACKET</v>
          </cell>
          <cell r="C1511" t="str">
            <v>PC</v>
          </cell>
          <cell r="D1511">
            <v>4</v>
          </cell>
          <cell r="E1511">
            <v>20300</v>
          </cell>
          <cell r="F1511">
            <v>81200</v>
          </cell>
        </row>
        <row r="1512">
          <cell r="A1512" t="str">
            <v>BD6-F11J00P</v>
          </cell>
          <cell r="B1512" t="str">
            <v>AIR_TANK_BRACKET</v>
          </cell>
          <cell r="C1512" t="str">
            <v>PC</v>
          </cell>
          <cell r="D1512">
            <v>4</v>
          </cell>
          <cell r="E1512">
            <v>20300</v>
          </cell>
          <cell r="F1512">
            <v>81200</v>
          </cell>
        </row>
        <row r="1513">
          <cell r="A1513" t="str">
            <v>BD6-F14120P</v>
          </cell>
          <cell r="B1513" t="str">
            <v>PLATE</v>
          </cell>
          <cell r="C1513" t="str">
            <v>PC</v>
          </cell>
          <cell r="D1513">
            <v>8</v>
          </cell>
          <cell r="E1513">
            <v>89450</v>
          </cell>
          <cell r="F1513">
            <v>715600</v>
          </cell>
        </row>
        <row r="1514">
          <cell r="A1514" t="str">
            <v>BD8-A11100P-M</v>
          </cell>
          <cell r="B1514" t="str">
            <v xml:space="preserve"> SHARING PLATE</v>
          </cell>
          <cell r="C1514" t="str">
            <v>PC</v>
          </cell>
          <cell r="D1514">
            <v>0</v>
          </cell>
          <cell r="E1514">
            <v>10000</v>
          </cell>
          <cell r="F1514">
            <v>0</v>
          </cell>
        </row>
        <row r="1515">
          <cell r="A1515" t="str">
            <v>BD8-A11200P-M</v>
          </cell>
          <cell r="B1515" t="str">
            <v xml:space="preserve"> SHARING PLATE</v>
          </cell>
          <cell r="C1515" t="str">
            <v>PC</v>
          </cell>
          <cell r="D1515">
            <v>0</v>
          </cell>
          <cell r="E1515">
            <v>10000</v>
          </cell>
          <cell r="F1515">
            <v>0</v>
          </cell>
        </row>
        <row r="1516">
          <cell r="A1516" t="str">
            <v>BD8-B11122P-M</v>
          </cell>
          <cell r="B1516" t="str">
            <v xml:space="preserve"> SHARING PLATE</v>
          </cell>
          <cell r="C1516" t="str">
            <v>PC</v>
          </cell>
          <cell r="D1516">
            <v>0</v>
          </cell>
          <cell r="E1516">
            <v>10000</v>
          </cell>
          <cell r="F1516">
            <v>0</v>
          </cell>
        </row>
        <row r="1517">
          <cell r="A1517" t="str">
            <v>BD8-B11123P-M</v>
          </cell>
          <cell r="B1517" t="str">
            <v xml:space="preserve"> SHARING PLATE</v>
          </cell>
          <cell r="C1517" t="str">
            <v>PC</v>
          </cell>
          <cell r="D1517">
            <v>0</v>
          </cell>
          <cell r="E1517">
            <v>10000</v>
          </cell>
          <cell r="F1517">
            <v>0</v>
          </cell>
        </row>
        <row r="1518">
          <cell r="A1518" t="str">
            <v>BD8-B11151P-M</v>
          </cell>
          <cell r="B1518" t="str">
            <v xml:space="preserve"> BD8-B11151P-M</v>
          </cell>
          <cell r="C1518" t="str">
            <v>PC</v>
          </cell>
          <cell r="D1518">
            <v>0</v>
          </cell>
          <cell r="E1518">
            <v>10000</v>
          </cell>
          <cell r="F1518">
            <v>0</v>
          </cell>
        </row>
        <row r="1519">
          <cell r="A1519" t="str">
            <v>BD8-B11152P-M</v>
          </cell>
          <cell r="B1519" t="str">
            <v xml:space="preserve"> BD8-B11152P-M</v>
          </cell>
          <cell r="C1519" t="str">
            <v>PC</v>
          </cell>
          <cell r="D1519">
            <v>0</v>
          </cell>
          <cell r="E1519">
            <v>10000</v>
          </cell>
          <cell r="F1519">
            <v>0</v>
          </cell>
        </row>
        <row r="1520">
          <cell r="A1520" t="str">
            <v>BD8-B11240P-M</v>
          </cell>
          <cell r="B1520" t="str">
            <v xml:space="preserve"> BD8-B11240P-M</v>
          </cell>
          <cell r="C1520" t="str">
            <v>PC</v>
          </cell>
          <cell r="D1520">
            <v>0</v>
          </cell>
          <cell r="E1520">
            <v>10000</v>
          </cell>
          <cell r="F1520">
            <v>0</v>
          </cell>
        </row>
        <row r="1521">
          <cell r="A1521" t="str">
            <v>BD8-F11G00P</v>
          </cell>
          <cell r="B1521" t="str">
            <v>KOMPONENT SBD 80</v>
          </cell>
          <cell r="C1521" t="str">
            <v>PC</v>
          </cell>
          <cell r="D1521">
            <v>0</v>
          </cell>
          <cell r="E1521">
            <v>0</v>
          </cell>
          <cell r="F1521">
            <v>0</v>
          </cell>
        </row>
        <row r="1522">
          <cell r="A1522" t="str">
            <v>BD8-F1F000P</v>
          </cell>
          <cell r="B1522" t="str">
            <v>PLATE</v>
          </cell>
          <cell r="C1522" t="str">
            <v>PC</v>
          </cell>
          <cell r="D1522">
            <v>2</v>
          </cell>
          <cell r="E1522">
            <v>37000</v>
          </cell>
          <cell r="F1522">
            <v>74000</v>
          </cell>
        </row>
        <row r="1523">
          <cell r="A1523" t="str">
            <v>BD8-F1G000P</v>
          </cell>
          <cell r="B1523" t="str">
            <v>PLATE</v>
          </cell>
          <cell r="C1523" t="str">
            <v>PC</v>
          </cell>
          <cell r="D1523">
            <v>2</v>
          </cell>
          <cell r="E1523">
            <v>37000</v>
          </cell>
          <cell r="F1523">
            <v>74000</v>
          </cell>
        </row>
        <row r="1524">
          <cell r="A1524" t="str">
            <v>BD8-F31730P</v>
          </cell>
          <cell r="B1524" t="str">
            <v>PLATE</v>
          </cell>
          <cell r="C1524" t="str">
            <v>PC</v>
          </cell>
          <cell r="D1524">
            <v>8</v>
          </cell>
          <cell r="E1524">
            <v>19000</v>
          </cell>
          <cell r="F1524">
            <v>152000</v>
          </cell>
        </row>
        <row r="1525">
          <cell r="A1525" t="str">
            <v>BD8-F31G10P</v>
          </cell>
          <cell r="B1525" t="str">
            <v>DOUBLER</v>
          </cell>
          <cell r="C1525" t="str">
            <v>PC</v>
          </cell>
          <cell r="D1525">
            <v>20</v>
          </cell>
          <cell r="E1525">
            <v>2700</v>
          </cell>
          <cell r="F1525">
            <v>54000</v>
          </cell>
        </row>
        <row r="1526">
          <cell r="A1526" t="str">
            <v>BD8-F3AG00P</v>
          </cell>
          <cell r="B1526" t="str">
            <v>RUBBER HOLDER</v>
          </cell>
          <cell r="C1526" t="str">
            <v>PC</v>
          </cell>
          <cell r="D1526">
            <v>4</v>
          </cell>
          <cell r="E1526">
            <v>7200</v>
          </cell>
          <cell r="F1526">
            <v>28800</v>
          </cell>
        </row>
        <row r="1527">
          <cell r="A1527" t="str">
            <v>BD8-G11300P</v>
          </cell>
          <cell r="B1527" t="str">
            <v>PLATE</v>
          </cell>
          <cell r="C1527" t="str">
            <v>PC</v>
          </cell>
          <cell r="D1527">
            <v>16</v>
          </cell>
          <cell r="E1527">
            <v>84300</v>
          </cell>
          <cell r="F1527">
            <v>1348800</v>
          </cell>
        </row>
        <row r="1528">
          <cell r="A1528" t="str">
            <v>BD8-G11400P</v>
          </cell>
          <cell r="B1528" t="str">
            <v>PLATE</v>
          </cell>
          <cell r="C1528" t="str">
            <v>PC</v>
          </cell>
          <cell r="D1528">
            <v>8</v>
          </cell>
          <cell r="E1528">
            <v>64600</v>
          </cell>
          <cell r="F1528">
            <v>516800</v>
          </cell>
        </row>
        <row r="1529">
          <cell r="A1529" t="str">
            <v>BD8-G11500P</v>
          </cell>
          <cell r="B1529" t="str">
            <v>PLATE</v>
          </cell>
          <cell r="C1529" t="str">
            <v>PC</v>
          </cell>
          <cell r="D1529">
            <v>8</v>
          </cell>
          <cell r="E1529">
            <v>64800</v>
          </cell>
          <cell r="F1529">
            <v>518400</v>
          </cell>
        </row>
        <row r="1530">
          <cell r="A1530" t="str">
            <v>BD8-G11600P</v>
          </cell>
          <cell r="B1530" t="str">
            <v>PLATE</v>
          </cell>
          <cell r="C1530" t="str">
            <v>PC</v>
          </cell>
          <cell r="D1530">
            <v>16</v>
          </cell>
          <cell r="E1530">
            <v>42825</v>
          </cell>
          <cell r="F1530">
            <v>685200</v>
          </cell>
        </row>
        <row r="1531">
          <cell r="A1531" t="str">
            <v>BD8-G11700P</v>
          </cell>
          <cell r="B1531" t="str">
            <v>PLATE</v>
          </cell>
          <cell r="C1531" t="str">
            <v>PC</v>
          </cell>
          <cell r="D1531">
            <v>8</v>
          </cell>
          <cell r="E1531">
            <v>32400</v>
          </cell>
          <cell r="F1531">
            <v>259200</v>
          </cell>
        </row>
        <row r="1532">
          <cell r="A1532" t="str">
            <v>BD8-G11800P</v>
          </cell>
          <cell r="B1532" t="str">
            <v>PLATE</v>
          </cell>
          <cell r="C1532" t="str">
            <v>PC</v>
          </cell>
          <cell r="D1532">
            <v>8</v>
          </cell>
          <cell r="E1532">
            <v>32800</v>
          </cell>
          <cell r="F1532">
            <v>262400</v>
          </cell>
        </row>
        <row r="1533">
          <cell r="A1533" t="str">
            <v>BD8-G18000P</v>
          </cell>
          <cell r="B1533" t="str">
            <v>PLATE</v>
          </cell>
          <cell r="C1533" t="str">
            <v>PC</v>
          </cell>
          <cell r="D1533">
            <v>8</v>
          </cell>
          <cell r="E1533">
            <v>20000</v>
          </cell>
          <cell r="F1533">
            <v>160000</v>
          </cell>
        </row>
        <row r="1534">
          <cell r="A1534" t="str">
            <v>BD8-G19000P</v>
          </cell>
          <cell r="B1534" t="str">
            <v>PLATE</v>
          </cell>
          <cell r="C1534" t="str">
            <v>PC</v>
          </cell>
          <cell r="D1534">
            <v>8</v>
          </cell>
          <cell r="E1534">
            <v>20000</v>
          </cell>
          <cell r="F1534">
            <v>160000</v>
          </cell>
        </row>
        <row r="1535">
          <cell r="A1535" t="str">
            <v>BDL-00-0000</v>
          </cell>
          <cell r="B1535" t="str">
            <v>BODY LOCK (RH-LH)</v>
          </cell>
          <cell r="C1535" t="str">
            <v>PC</v>
          </cell>
          <cell r="D1535">
            <v>0</v>
          </cell>
          <cell r="E1535">
            <v>250000</v>
          </cell>
          <cell r="F1535">
            <v>0</v>
          </cell>
        </row>
        <row r="1536">
          <cell r="A1536" t="str">
            <v>BDL-000-0000</v>
          </cell>
          <cell r="B1536" t="str">
            <v>BODY LOCK (RH-LH)</v>
          </cell>
          <cell r="C1536" t="str">
            <v>PC</v>
          </cell>
          <cell r="D1536">
            <v>0</v>
          </cell>
          <cell r="E1536">
            <v>250000</v>
          </cell>
          <cell r="F1536">
            <v>0</v>
          </cell>
        </row>
        <row r="1537">
          <cell r="A1537" t="str">
            <v>BDL-00-0000-00</v>
          </cell>
          <cell r="B1537" t="str">
            <v>BODY LOCK KIT</v>
          </cell>
          <cell r="C1537" t="str">
            <v>PC</v>
          </cell>
          <cell r="D1537">
            <v>0</v>
          </cell>
          <cell r="E1537">
            <v>1410000</v>
          </cell>
          <cell r="F1537">
            <v>0</v>
          </cell>
        </row>
        <row r="1538">
          <cell r="A1538" t="str">
            <v>BE3</v>
          </cell>
          <cell r="B1538" t="str">
            <v>1PB PLATE</v>
          </cell>
          <cell r="C1538" t="str">
            <v>PC</v>
          </cell>
          <cell r="D1538">
            <v>0</v>
          </cell>
          <cell r="E1538">
            <v>0</v>
          </cell>
          <cell r="F1538">
            <v>0</v>
          </cell>
        </row>
        <row r="1539">
          <cell r="A1539" t="str">
            <v>BE3-3F1540P</v>
          </cell>
          <cell r="B1539" t="str">
            <v xml:space="preserve"> BPB PLATE</v>
          </cell>
          <cell r="C1539" t="str">
            <v>PC</v>
          </cell>
          <cell r="D1539">
            <v>0</v>
          </cell>
          <cell r="E1539">
            <v>1</v>
          </cell>
          <cell r="F1539">
            <v>0</v>
          </cell>
        </row>
        <row r="1540">
          <cell r="A1540" t="str">
            <v>BE3-3F1540P-M</v>
          </cell>
          <cell r="B1540" t="str">
            <v>BPB PLATE</v>
          </cell>
          <cell r="C1540" t="str">
            <v>PC</v>
          </cell>
          <cell r="D1540">
            <v>0</v>
          </cell>
          <cell r="E1540">
            <v>300627</v>
          </cell>
          <cell r="F1540">
            <v>0</v>
          </cell>
        </row>
        <row r="1541">
          <cell r="A1541" t="str">
            <v>BE3-3F1550P</v>
          </cell>
          <cell r="B1541" t="str">
            <v xml:space="preserve"> BPB PLATE</v>
          </cell>
          <cell r="C1541" t="str">
            <v>PC</v>
          </cell>
          <cell r="D1541">
            <v>0</v>
          </cell>
          <cell r="E1541">
            <v>1</v>
          </cell>
          <cell r="F1541">
            <v>0</v>
          </cell>
        </row>
        <row r="1542">
          <cell r="A1542" t="str">
            <v>BE3-3F1550P-M</v>
          </cell>
          <cell r="B1542" t="str">
            <v>PLATE BPB</v>
          </cell>
          <cell r="C1542" t="str">
            <v>PC</v>
          </cell>
          <cell r="D1542">
            <v>0</v>
          </cell>
          <cell r="E1542">
            <v>382614</v>
          </cell>
          <cell r="F1542">
            <v>0</v>
          </cell>
        </row>
        <row r="1543">
          <cell r="A1543" t="str">
            <v>BE3-3F1560P</v>
          </cell>
          <cell r="B1543" t="str">
            <v xml:space="preserve"> BPB PLATE</v>
          </cell>
          <cell r="C1543" t="str">
            <v>PC</v>
          </cell>
          <cell r="D1543">
            <v>0</v>
          </cell>
          <cell r="E1543">
            <v>1</v>
          </cell>
          <cell r="F1543">
            <v>0</v>
          </cell>
        </row>
        <row r="1544">
          <cell r="A1544" t="str">
            <v>BE3-3F1560P-M</v>
          </cell>
          <cell r="B1544" t="str">
            <v>BPB PLATE</v>
          </cell>
          <cell r="C1544" t="str">
            <v>PC</v>
          </cell>
          <cell r="D1544">
            <v>0</v>
          </cell>
          <cell r="E1544">
            <v>382614</v>
          </cell>
          <cell r="F1544">
            <v>0</v>
          </cell>
        </row>
        <row r="1545">
          <cell r="A1545" t="str">
            <v>BE3-3F1570P</v>
          </cell>
          <cell r="B1545" t="str">
            <v xml:space="preserve"> BPB PLATE</v>
          </cell>
          <cell r="C1545" t="str">
            <v>PC</v>
          </cell>
          <cell r="D1545">
            <v>0</v>
          </cell>
          <cell r="E1545">
            <v>1</v>
          </cell>
          <cell r="F1545">
            <v>0</v>
          </cell>
        </row>
        <row r="1546">
          <cell r="A1546" t="str">
            <v>BE3-3F1570P-M</v>
          </cell>
          <cell r="B1546" t="str">
            <v>PLATE</v>
          </cell>
          <cell r="C1546" t="str">
            <v>PC</v>
          </cell>
          <cell r="D1546">
            <v>0</v>
          </cell>
          <cell r="E1546">
            <v>959815</v>
          </cell>
          <cell r="F1546">
            <v>0</v>
          </cell>
        </row>
        <row r="1547">
          <cell r="A1547" t="str">
            <v>BE3-8F1340P-M</v>
          </cell>
          <cell r="B1547" t="str">
            <v xml:space="preserve"> BENDING PLATE</v>
          </cell>
          <cell r="C1547" t="str">
            <v>PC</v>
          </cell>
          <cell r="D1547">
            <v>0</v>
          </cell>
          <cell r="E1547">
            <v>603000</v>
          </cell>
          <cell r="F1547">
            <v>0</v>
          </cell>
        </row>
        <row r="1548">
          <cell r="A1548" t="str">
            <v>BE3-8F1350P-M</v>
          </cell>
          <cell r="B1548" t="str">
            <v xml:space="preserve"> BENDING PLATE</v>
          </cell>
          <cell r="C1548" t="str">
            <v>PC</v>
          </cell>
          <cell r="D1548">
            <v>0</v>
          </cell>
          <cell r="E1548">
            <v>325200</v>
          </cell>
          <cell r="F1548">
            <v>0</v>
          </cell>
        </row>
        <row r="1549">
          <cell r="A1549" t="str">
            <v>BE3-8F1A00P-M</v>
          </cell>
          <cell r="B1549" t="str">
            <v xml:space="preserve"> BENDING PLATE</v>
          </cell>
          <cell r="C1549" t="str">
            <v>PC</v>
          </cell>
          <cell r="D1549">
            <v>0</v>
          </cell>
          <cell r="E1549">
            <v>330400</v>
          </cell>
          <cell r="F1549">
            <v>0</v>
          </cell>
        </row>
        <row r="1550">
          <cell r="A1550" t="str">
            <v>BE3-8F1B00P-M</v>
          </cell>
          <cell r="B1550" t="str">
            <v xml:space="preserve"> BENDING PLATE</v>
          </cell>
          <cell r="C1550" t="str">
            <v>PC</v>
          </cell>
          <cell r="D1550">
            <v>0</v>
          </cell>
          <cell r="E1550">
            <v>330400</v>
          </cell>
          <cell r="F1550">
            <v>0</v>
          </cell>
        </row>
        <row r="1551">
          <cell r="A1551" t="str">
            <v>BE3-8F1C00P</v>
          </cell>
          <cell r="B1551" t="str">
            <v xml:space="preserve"> BUSHING</v>
          </cell>
          <cell r="C1551" t="str">
            <v>PC</v>
          </cell>
          <cell r="D1551">
            <v>0</v>
          </cell>
          <cell r="E1551">
            <v>838850</v>
          </cell>
          <cell r="F1551">
            <v>0</v>
          </cell>
        </row>
        <row r="1552">
          <cell r="A1552" t="str">
            <v>BE3-8F1D00P</v>
          </cell>
          <cell r="B1552" t="str">
            <v xml:space="preserve"> BUSHING</v>
          </cell>
          <cell r="C1552" t="str">
            <v>PC</v>
          </cell>
          <cell r="D1552">
            <v>0</v>
          </cell>
          <cell r="E1552">
            <v>744800</v>
          </cell>
          <cell r="F1552">
            <v>0</v>
          </cell>
        </row>
        <row r="1553">
          <cell r="A1553" t="str">
            <v>BE3-8F1E00P</v>
          </cell>
          <cell r="B1553" t="str">
            <v xml:space="preserve"> BUSHING</v>
          </cell>
          <cell r="C1553" t="str">
            <v>PC</v>
          </cell>
          <cell r="D1553">
            <v>0</v>
          </cell>
          <cell r="E1553">
            <v>2129900</v>
          </cell>
          <cell r="F1553">
            <v>0</v>
          </cell>
        </row>
        <row r="1554">
          <cell r="A1554" t="str">
            <v>BE3-8F1F00P</v>
          </cell>
          <cell r="B1554" t="str">
            <v xml:space="preserve"> COVER</v>
          </cell>
          <cell r="C1554" t="str">
            <v>PC</v>
          </cell>
          <cell r="D1554">
            <v>0</v>
          </cell>
          <cell r="E1554">
            <v>437850</v>
          </cell>
          <cell r="F1554">
            <v>0</v>
          </cell>
        </row>
        <row r="1555">
          <cell r="A1555" t="str">
            <v>BE4-0F4600P</v>
          </cell>
          <cell r="B1555" t="str">
            <v>SHIM</v>
          </cell>
          <cell r="C1555" t="str">
            <v>PC</v>
          </cell>
          <cell r="D1555">
            <v>0</v>
          </cell>
          <cell r="E1555">
            <v>7786</v>
          </cell>
          <cell r="F1555">
            <v>0</v>
          </cell>
        </row>
        <row r="1556">
          <cell r="A1556" t="str">
            <v>BE4-0F4700P</v>
          </cell>
          <cell r="B1556" t="str">
            <v xml:space="preserve"> BUSHING LOCK</v>
          </cell>
          <cell r="C1556" t="str">
            <v>PC</v>
          </cell>
          <cell r="D1556">
            <v>0</v>
          </cell>
          <cell r="E1556">
            <v>600000</v>
          </cell>
          <cell r="F1556">
            <v>0</v>
          </cell>
        </row>
        <row r="1557">
          <cell r="A1557" t="str">
            <v>BE4-0F4800P</v>
          </cell>
          <cell r="B1557" t="str">
            <v xml:space="preserve"> BUSHING ADJUSTER</v>
          </cell>
          <cell r="C1557" t="str">
            <v>PC</v>
          </cell>
          <cell r="D1557">
            <v>0</v>
          </cell>
          <cell r="E1557">
            <v>650000</v>
          </cell>
          <cell r="F1557">
            <v>0</v>
          </cell>
        </row>
        <row r="1558">
          <cell r="A1558" t="str">
            <v>BE4-5F1100P</v>
          </cell>
          <cell r="B1558" t="str">
            <v xml:space="preserve"> LIPS PLATE</v>
          </cell>
          <cell r="C1558" t="str">
            <v>PCS</v>
          </cell>
          <cell r="D1558">
            <v>0</v>
          </cell>
          <cell r="E1558">
            <v>1</v>
          </cell>
          <cell r="F1558">
            <v>0</v>
          </cell>
        </row>
        <row r="1559">
          <cell r="A1559" t="str">
            <v>BE4-5F2100P</v>
          </cell>
          <cell r="B1559" t="str">
            <v>PLATE</v>
          </cell>
          <cell r="C1559" t="str">
            <v>PCS</v>
          </cell>
          <cell r="D1559">
            <v>0</v>
          </cell>
          <cell r="E1559">
            <v>1</v>
          </cell>
          <cell r="F1559">
            <v>0</v>
          </cell>
        </row>
        <row r="1560">
          <cell r="A1560" t="str">
            <v>BE4-5F2210P</v>
          </cell>
          <cell r="B1560" t="str">
            <v>PLATE</v>
          </cell>
          <cell r="C1560" t="str">
            <v>PCS</v>
          </cell>
          <cell r="D1560">
            <v>0</v>
          </cell>
          <cell r="E1560">
            <v>1</v>
          </cell>
          <cell r="F1560">
            <v>0</v>
          </cell>
        </row>
        <row r="1561">
          <cell r="A1561" t="str">
            <v>BE4-5F2220P</v>
          </cell>
          <cell r="B1561" t="str">
            <v>BUSHING</v>
          </cell>
          <cell r="C1561" t="str">
            <v>PC</v>
          </cell>
          <cell r="D1561">
            <v>0</v>
          </cell>
          <cell r="E1561">
            <v>1</v>
          </cell>
          <cell r="F1561">
            <v>0</v>
          </cell>
        </row>
        <row r="1562">
          <cell r="A1562" t="str">
            <v>BE4-5F2230P</v>
          </cell>
          <cell r="B1562" t="str">
            <v>BUSHING</v>
          </cell>
          <cell r="C1562" t="str">
            <v>PC</v>
          </cell>
          <cell r="D1562">
            <v>0</v>
          </cell>
          <cell r="E1562">
            <v>1</v>
          </cell>
          <cell r="F1562">
            <v>0</v>
          </cell>
        </row>
        <row r="1563">
          <cell r="A1563" t="str">
            <v>BE4-5F2310P</v>
          </cell>
          <cell r="B1563" t="str">
            <v>BUSHING</v>
          </cell>
          <cell r="C1563" t="str">
            <v>PC</v>
          </cell>
          <cell r="D1563">
            <v>0</v>
          </cell>
          <cell r="E1563">
            <v>1</v>
          </cell>
          <cell r="F1563">
            <v>0</v>
          </cell>
        </row>
        <row r="1564">
          <cell r="A1564" t="str">
            <v>BE4-5F2400P</v>
          </cell>
          <cell r="B1564" t="str">
            <v>PLATE</v>
          </cell>
          <cell r="C1564" t="str">
            <v>PC</v>
          </cell>
          <cell r="D1564">
            <v>0</v>
          </cell>
          <cell r="E1564">
            <v>1</v>
          </cell>
          <cell r="F1564">
            <v>0</v>
          </cell>
        </row>
        <row r="1565">
          <cell r="A1565" t="str">
            <v>BE4-5F2500P</v>
          </cell>
          <cell r="B1565" t="str">
            <v>PLATE</v>
          </cell>
          <cell r="C1565" t="str">
            <v>PC</v>
          </cell>
          <cell r="D1565">
            <v>0</v>
          </cell>
          <cell r="E1565">
            <v>1</v>
          </cell>
          <cell r="F1565">
            <v>0</v>
          </cell>
        </row>
        <row r="1566">
          <cell r="A1566" t="str">
            <v>BE4-5F2600P</v>
          </cell>
          <cell r="B1566" t="str">
            <v>PLATE</v>
          </cell>
          <cell r="C1566" t="str">
            <v>PC</v>
          </cell>
          <cell r="D1566">
            <v>0</v>
          </cell>
          <cell r="E1566">
            <v>1</v>
          </cell>
          <cell r="F1566">
            <v>0</v>
          </cell>
        </row>
        <row r="1567">
          <cell r="A1567" t="str">
            <v>BE4-5F2700P</v>
          </cell>
          <cell r="B1567" t="str">
            <v>PLATE</v>
          </cell>
          <cell r="C1567" t="str">
            <v>PC</v>
          </cell>
          <cell r="D1567">
            <v>0</v>
          </cell>
          <cell r="E1567">
            <v>0</v>
          </cell>
          <cell r="F1567">
            <v>0</v>
          </cell>
        </row>
        <row r="1568">
          <cell r="A1568" t="str">
            <v>BE4-5F3100P</v>
          </cell>
          <cell r="B1568" t="str">
            <v>PLATE</v>
          </cell>
          <cell r="C1568" t="str">
            <v>PC</v>
          </cell>
          <cell r="D1568">
            <v>0</v>
          </cell>
          <cell r="E1568">
            <v>0</v>
          </cell>
          <cell r="F1568">
            <v>0</v>
          </cell>
        </row>
        <row r="1569">
          <cell r="A1569" t="str">
            <v>BE4-5F3200P</v>
          </cell>
          <cell r="B1569" t="str">
            <v xml:space="preserve"> PLATE</v>
          </cell>
          <cell r="C1569" t="str">
            <v>PC</v>
          </cell>
          <cell r="D1569">
            <v>0</v>
          </cell>
          <cell r="E1569">
            <v>0</v>
          </cell>
          <cell r="F1569">
            <v>0</v>
          </cell>
        </row>
        <row r="1570">
          <cell r="A1570" t="str">
            <v>BE4-5F3300P</v>
          </cell>
          <cell r="B1570" t="str">
            <v>WEAR PLATE</v>
          </cell>
          <cell r="C1570" t="str">
            <v>PC</v>
          </cell>
          <cell r="D1570">
            <v>0</v>
          </cell>
          <cell r="E1570">
            <v>0</v>
          </cell>
          <cell r="F1570">
            <v>0</v>
          </cell>
        </row>
        <row r="1571">
          <cell r="A1571" t="str">
            <v>BE4-5F3400P</v>
          </cell>
          <cell r="B1571" t="str">
            <v>PLATE</v>
          </cell>
          <cell r="C1571" t="str">
            <v>PC</v>
          </cell>
          <cell r="D1571">
            <v>0</v>
          </cell>
          <cell r="E1571">
            <v>0</v>
          </cell>
          <cell r="F1571">
            <v>0</v>
          </cell>
        </row>
        <row r="1572">
          <cell r="A1572" t="str">
            <v>BE4-5F3500P</v>
          </cell>
          <cell r="B1572" t="str">
            <v>PLATE</v>
          </cell>
          <cell r="C1572" t="str">
            <v>PC</v>
          </cell>
          <cell r="D1572">
            <v>0</v>
          </cell>
          <cell r="E1572">
            <v>0</v>
          </cell>
          <cell r="F1572">
            <v>0</v>
          </cell>
        </row>
        <row r="1573">
          <cell r="A1573" t="str">
            <v>BE4-5F4100P</v>
          </cell>
          <cell r="B1573" t="str">
            <v>PLATE</v>
          </cell>
          <cell r="C1573" t="str">
            <v>PC</v>
          </cell>
          <cell r="D1573">
            <v>0</v>
          </cell>
          <cell r="E1573">
            <v>0</v>
          </cell>
          <cell r="F1573">
            <v>0</v>
          </cell>
        </row>
        <row r="1574">
          <cell r="A1574" t="str">
            <v>BE4-5F5100P</v>
          </cell>
          <cell r="B1574" t="str">
            <v>PLATE</v>
          </cell>
          <cell r="C1574" t="str">
            <v>PC</v>
          </cell>
          <cell r="D1574">
            <v>0</v>
          </cell>
          <cell r="E1574">
            <v>0</v>
          </cell>
          <cell r="F1574">
            <v>0</v>
          </cell>
        </row>
        <row r="1575">
          <cell r="A1575" t="str">
            <v>BE4-5F5200P</v>
          </cell>
          <cell r="B1575" t="str">
            <v>PLATE</v>
          </cell>
          <cell r="C1575" t="str">
            <v>PC</v>
          </cell>
          <cell r="D1575">
            <v>0</v>
          </cell>
          <cell r="E1575">
            <v>0</v>
          </cell>
          <cell r="F1575">
            <v>0</v>
          </cell>
        </row>
        <row r="1576">
          <cell r="A1576" t="str">
            <v>BE4-5F5300P</v>
          </cell>
          <cell r="B1576" t="str">
            <v>PLATE</v>
          </cell>
          <cell r="C1576" t="str">
            <v>PC</v>
          </cell>
          <cell r="D1576">
            <v>0</v>
          </cell>
          <cell r="E1576">
            <v>0</v>
          </cell>
          <cell r="F1576">
            <v>0</v>
          </cell>
        </row>
        <row r="1577">
          <cell r="A1577" t="str">
            <v>BE4-5F5400P</v>
          </cell>
          <cell r="B1577" t="str">
            <v>PLATE</v>
          </cell>
          <cell r="C1577" t="str">
            <v>PC</v>
          </cell>
          <cell r="D1577">
            <v>0</v>
          </cell>
          <cell r="E1577">
            <v>0</v>
          </cell>
          <cell r="F1577">
            <v>0</v>
          </cell>
        </row>
        <row r="1578">
          <cell r="A1578" t="str">
            <v>BE4-5F5500P</v>
          </cell>
          <cell r="B1578" t="str">
            <v>PLATE</v>
          </cell>
          <cell r="C1578" t="str">
            <v>PC</v>
          </cell>
          <cell r="D1578">
            <v>0</v>
          </cell>
          <cell r="E1578">
            <v>0</v>
          </cell>
          <cell r="F1578">
            <v>0</v>
          </cell>
        </row>
        <row r="1579">
          <cell r="A1579" t="str">
            <v>BE4-5F6000P</v>
          </cell>
          <cell r="B1579" t="str">
            <v>BUSHING</v>
          </cell>
          <cell r="C1579" t="str">
            <v>PC</v>
          </cell>
          <cell r="D1579">
            <v>0</v>
          </cell>
          <cell r="E1579">
            <v>0</v>
          </cell>
          <cell r="F1579">
            <v>0</v>
          </cell>
        </row>
        <row r="1580">
          <cell r="A1580" t="str">
            <v>BE4-F12230P</v>
          </cell>
          <cell r="B1580" t="str">
            <v>BUSHING</v>
          </cell>
          <cell r="C1580" t="str">
            <v>PC</v>
          </cell>
          <cell r="D1580">
            <v>0</v>
          </cell>
          <cell r="E1580">
            <v>320000</v>
          </cell>
          <cell r="F1580">
            <v>0</v>
          </cell>
        </row>
        <row r="1581">
          <cell r="A1581" t="str">
            <v>BE4-F12400P-M</v>
          </cell>
          <cell r="B1581" t="str">
            <v xml:space="preserve"> PLATE</v>
          </cell>
          <cell r="C1581" t="str">
            <v>PC</v>
          </cell>
          <cell r="D1581">
            <v>1</v>
          </cell>
          <cell r="E1581">
            <v>98400</v>
          </cell>
          <cell r="F1581">
            <v>98400</v>
          </cell>
        </row>
        <row r="1582">
          <cell r="A1582" t="str">
            <v>BE4-F12500P-M</v>
          </cell>
          <cell r="B1582" t="str">
            <v xml:space="preserve"> PLATE</v>
          </cell>
          <cell r="C1582" t="str">
            <v>PC</v>
          </cell>
          <cell r="D1582">
            <v>1</v>
          </cell>
          <cell r="E1582">
            <v>98400</v>
          </cell>
          <cell r="F1582">
            <v>98400</v>
          </cell>
        </row>
        <row r="1583">
          <cell r="A1583" t="str">
            <v>BE4-F12600P-M</v>
          </cell>
          <cell r="B1583" t="str">
            <v xml:space="preserve"> PLATE</v>
          </cell>
          <cell r="C1583" t="str">
            <v>PC</v>
          </cell>
          <cell r="D1583">
            <v>1</v>
          </cell>
          <cell r="E1583">
            <v>85900</v>
          </cell>
          <cell r="F1583">
            <v>85900</v>
          </cell>
        </row>
        <row r="1584">
          <cell r="A1584" t="str">
            <v>BE4-F12700P-M</v>
          </cell>
          <cell r="B1584" t="str">
            <v xml:space="preserve"> BENDING PLATE</v>
          </cell>
          <cell r="C1584" t="str">
            <v>PC</v>
          </cell>
          <cell r="D1584">
            <v>1</v>
          </cell>
          <cell r="E1584">
            <v>297860</v>
          </cell>
          <cell r="F1584">
            <v>297860</v>
          </cell>
        </row>
        <row r="1585">
          <cell r="A1585" t="str">
            <v>BE4-F16000P</v>
          </cell>
          <cell r="B1585" t="str">
            <v>BUSHING</v>
          </cell>
          <cell r="C1585" t="str">
            <v>PC</v>
          </cell>
          <cell r="D1585">
            <v>0</v>
          </cell>
          <cell r="E1585">
            <v>1050000</v>
          </cell>
          <cell r="F1585">
            <v>0</v>
          </cell>
        </row>
        <row r="1586">
          <cell r="A1586" t="str">
            <v>BE4-F17000P</v>
          </cell>
          <cell r="B1586" t="str">
            <v>BUSHING LOCK</v>
          </cell>
          <cell r="C1586" t="str">
            <v>PC</v>
          </cell>
          <cell r="D1586">
            <v>0</v>
          </cell>
          <cell r="E1586">
            <v>0</v>
          </cell>
          <cell r="F1586">
            <v>0</v>
          </cell>
        </row>
        <row r="1587">
          <cell r="A1587" t="str">
            <v>BE4-F18000P</v>
          </cell>
          <cell r="B1587" t="str">
            <v>BUSHING</v>
          </cell>
          <cell r="C1587" t="str">
            <v>PC</v>
          </cell>
          <cell r="D1587">
            <v>0</v>
          </cell>
          <cell r="E1587">
            <v>256000</v>
          </cell>
          <cell r="F1587">
            <v>0</v>
          </cell>
        </row>
        <row r="1588">
          <cell r="A1588" t="str">
            <v>BE4-F19000P</v>
          </cell>
          <cell r="B1588" t="str">
            <v>SHIM</v>
          </cell>
          <cell r="C1588" t="str">
            <v>PC</v>
          </cell>
          <cell r="D1588">
            <v>0</v>
          </cell>
          <cell r="E1588">
            <v>6367</v>
          </cell>
          <cell r="F1588">
            <v>0</v>
          </cell>
        </row>
        <row r="1589">
          <cell r="A1589" t="str">
            <v>BE4-F1A000P</v>
          </cell>
          <cell r="B1589" t="str">
            <v>WINGS SHROUD</v>
          </cell>
          <cell r="C1589" t="str">
            <v>PC</v>
          </cell>
          <cell r="D1589">
            <v>0</v>
          </cell>
          <cell r="E1589">
            <v>0</v>
          </cell>
          <cell r="F1589">
            <v>0</v>
          </cell>
        </row>
        <row r="1590">
          <cell r="A1590" t="str">
            <v>BE7-5F1214P(2)</v>
          </cell>
          <cell r="B1590" t="str">
            <v>BUSHING</v>
          </cell>
          <cell r="C1590" t="str">
            <v>PC</v>
          </cell>
          <cell r="D1590">
            <v>2</v>
          </cell>
          <cell r="E1590">
            <v>300000</v>
          </cell>
          <cell r="F1590">
            <v>600000</v>
          </cell>
        </row>
        <row r="1591">
          <cell r="A1591" t="str">
            <v>BE7-5F1220P</v>
          </cell>
          <cell r="B1591" t="str">
            <v>SUB BRACKET LH</v>
          </cell>
          <cell r="C1591" t="str">
            <v>PC</v>
          </cell>
          <cell r="D1591">
            <v>0</v>
          </cell>
          <cell r="E1591">
            <v>2241000</v>
          </cell>
          <cell r="F1591">
            <v>0</v>
          </cell>
        </row>
        <row r="1592">
          <cell r="A1592" t="str">
            <v>BE7-5F1222P(2)</v>
          </cell>
          <cell r="B1592" t="str">
            <v>BUSHING</v>
          </cell>
          <cell r="C1592" t="str">
            <v>PC</v>
          </cell>
          <cell r="D1592">
            <v>1</v>
          </cell>
          <cell r="E1592">
            <v>335000</v>
          </cell>
          <cell r="F1592">
            <v>335000</v>
          </cell>
        </row>
        <row r="1593">
          <cell r="A1593" t="str">
            <v>BE7-5F1230P</v>
          </cell>
          <cell r="B1593" t="str">
            <v>SUB BRACKET RH</v>
          </cell>
          <cell r="C1593" t="str">
            <v>PC</v>
          </cell>
          <cell r="D1593">
            <v>0</v>
          </cell>
          <cell r="E1593">
            <v>2241000</v>
          </cell>
          <cell r="F1593">
            <v>0</v>
          </cell>
        </row>
        <row r="1594">
          <cell r="A1594" t="str">
            <v>BE7-5F1240P(1)</v>
          </cell>
          <cell r="B1594" t="str">
            <v>PLATE</v>
          </cell>
          <cell r="C1594" t="str">
            <v>PC</v>
          </cell>
          <cell r="D1594">
            <v>0</v>
          </cell>
          <cell r="E1594">
            <v>1</v>
          </cell>
          <cell r="F1594">
            <v>0</v>
          </cell>
        </row>
        <row r="1595">
          <cell r="A1595" t="str">
            <v>BE7-5F1250(1)</v>
          </cell>
          <cell r="B1595" t="str">
            <v>PLATE</v>
          </cell>
          <cell r="C1595" t="str">
            <v>PC</v>
          </cell>
          <cell r="D1595">
            <v>0</v>
          </cell>
          <cell r="E1595">
            <v>1</v>
          </cell>
          <cell r="F1595">
            <v>0</v>
          </cell>
        </row>
        <row r="1596">
          <cell r="A1596" t="str">
            <v>BE7-5F1250P(1)</v>
          </cell>
          <cell r="B1596" t="str">
            <v>PLATE</v>
          </cell>
          <cell r="C1596" t="str">
            <v>PC</v>
          </cell>
          <cell r="D1596">
            <v>0</v>
          </cell>
          <cell r="E1596">
            <v>1</v>
          </cell>
          <cell r="F1596">
            <v>0</v>
          </cell>
        </row>
        <row r="1597">
          <cell r="A1597" t="str">
            <v>BE7-5F1250P(2)</v>
          </cell>
          <cell r="B1597" t="str">
            <v>PLATE</v>
          </cell>
          <cell r="C1597" t="str">
            <v>PC</v>
          </cell>
          <cell r="D1597">
            <v>0</v>
          </cell>
          <cell r="E1597">
            <v>1</v>
          </cell>
          <cell r="F1597">
            <v>0</v>
          </cell>
        </row>
        <row r="1598">
          <cell r="A1598" t="str">
            <v>BE7-5F1260(1)</v>
          </cell>
          <cell r="B1598" t="str">
            <v>PLATE</v>
          </cell>
          <cell r="C1598" t="str">
            <v>PC</v>
          </cell>
          <cell r="D1598">
            <v>0</v>
          </cell>
          <cell r="E1598">
            <v>1</v>
          </cell>
          <cell r="F1598">
            <v>0</v>
          </cell>
        </row>
        <row r="1599">
          <cell r="A1599" t="str">
            <v>BE7-5F1260P(1)</v>
          </cell>
          <cell r="B1599" t="str">
            <v xml:space="preserve"> PLATE</v>
          </cell>
          <cell r="C1599" t="str">
            <v>PC</v>
          </cell>
          <cell r="D1599">
            <v>0</v>
          </cell>
          <cell r="E1599">
            <v>234600</v>
          </cell>
          <cell r="F1599">
            <v>0</v>
          </cell>
        </row>
        <row r="1600">
          <cell r="A1600" t="str">
            <v>BE7-5F1270(1)</v>
          </cell>
          <cell r="B1600" t="str">
            <v>PLATE</v>
          </cell>
          <cell r="C1600" t="str">
            <v>PC</v>
          </cell>
          <cell r="D1600">
            <v>0</v>
          </cell>
          <cell r="E1600">
            <v>1</v>
          </cell>
          <cell r="F1600">
            <v>0</v>
          </cell>
        </row>
        <row r="1601">
          <cell r="A1601" t="str">
            <v>BE7-5F1270P(1)</v>
          </cell>
          <cell r="B1601" t="str">
            <v>PLATE</v>
          </cell>
          <cell r="C1601" t="str">
            <v>PC</v>
          </cell>
          <cell r="D1601">
            <v>0</v>
          </cell>
          <cell r="E1601">
            <v>234600</v>
          </cell>
          <cell r="F1601">
            <v>0</v>
          </cell>
        </row>
        <row r="1602">
          <cell r="A1602" t="str">
            <v>BE7-5F1300(2)</v>
          </cell>
          <cell r="B1602" t="str">
            <v>ADJUSTABLE BUSHING</v>
          </cell>
          <cell r="C1602" t="str">
            <v>PC</v>
          </cell>
          <cell r="D1602">
            <v>0</v>
          </cell>
          <cell r="E1602">
            <v>1</v>
          </cell>
          <cell r="F1602">
            <v>0</v>
          </cell>
        </row>
        <row r="1603">
          <cell r="A1603" t="str">
            <v>BE7-5F1300P(2)</v>
          </cell>
          <cell r="B1603" t="str">
            <v>BUSHING ADJUSTER</v>
          </cell>
          <cell r="C1603" t="str">
            <v>PC</v>
          </cell>
          <cell r="D1603">
            <v>2</v>
          </cell>
          <cell r="E1603">
            <v>1500000</v>
          </cell>
          <cell r="F1603">
            <v>3000000</v>
          </cell>
        </row>
        <row r="1604">
          <cell r="A1604" t="str">
            <v>BE7-5F1400(2)</v>
          </cell>
          <cell r="B1604" t="str">
            <v>BUSHING LOCKER</v>
          </cell>
          <cell r="C1604" t="str">
            <v>PC</v>
          </cell>
          <cell r="D1604">
            <v>0</v>
          </cell>
          <cell r="E1604">
            <v>1</v>
          </cell>
          <cell r="F1604">
            <v>0</v>
          </cell>
        </row>
        <row r="1605">
          <cell r="A1605" t="str">
            <v>BE7-5F1400P(2)</v>
          </cell>
          <cell r="B1605" t="str">
            <v xml:space="preserve"> BUSHING LOCK</v>
          </cell>
          <cell r="C1605" t="str">
            <v>PC</v>
          </cell>
          <cell r="D1605">
            <v>2</v>
          </cell>
          <cell r="E1605">
            <v>385000</v>
          </cell>
          <cell r="F1605">
            <v>770000</v>
          </cell>
        </row>
        <row r="1606">
          <cell r="A1606" t="str">
            <v>BE7-5F1400P-2</v>
          </cell>
          <cell r="B1606" t="str">
            <v>ADJ. BUSHING</v>
          </cell>
          <cell r="C1606" t="str">
            <v>PC</v>
          </cell>
          <cell r="D1606">
            <v>0</v>
          </cell>
          <cell r="E1606">
            <v>646475</v>
          </cell>
          <cell r="F1606">
            <v>0</v>
          </cell>
        </row>
        <row r="1607">
          <cell r="A1607" t="str">
            <v>BE7-5F1500(2)</v>
          </cell>
          <cell r="B1607" t="str">
            <v>BUSHING</v>
          </cell>
          <cell r="C1607" t="str">
            <v>PC</v>
          </cell>
          <cell r="D1607">
            <v>0</v>
          </cell>
          <cell r="E1607">
            <v>1</v>
          </cell>
          <cell r="F1607">
            <v>0</v>
          </cell>
        </row>
        <row r="1608">
          <cell r="A1608" t="str">
            <v>BE7-5F1500P(2)</v>
          </cell>
          <cell r="B1608" t="str">
            <v xml:space="preserve"> BUSHING</v>
          </cell>
          <cell r="C1608" t="str">
            <v>PC</v>
          </cell>
          <cell r="D1608">
            <v>2</v>
          </cell>
          <cell r="E1608">
            <v>325000</v>
          </cell>
          <cell r="F1608">
            <v>650000</v>
          </cell>
        </row>
        <row r="1609">
          <cell r="A1609" t="str">
            <v>BE7-5F1500P-2</v>
          </cell>
          <cell r="B1609" t="str">
            <v>ADJ. BUSHING</v>
          </cell>
          <cell r="C1609" t="str">
            <v>PC</v>
          </cell>
          <cell r="D1609">
            <v>0</v>
          </cell>
          <cell r="E1609">
            <v>499700</v>
          </cell>
          <cell r="F1609">
            <v>0</v>
          </cell>
        </row>
        <row r="1610">
          <cell r="A1610" t="str">
            <v>BE7-5F1600(2)</v>
          </cell>
          <cell r="B1610" t="str">
            <v>SHIM</v>
          </cell>
          <cell r="C1610" t="str">
            <v>PC</v>
          </cell>
          <cell r="D1610">
            <v>0</v>
          </cell>
          <cell r="E1610">
            <v>1</v>
          </cell>
          <cell r="F1610">
            <v>0</v>
          </cell>
        </row>
        <row r="1611">
          <cell r="A1611" t="str">
            <v>BE7-5F16000P</v>
          </cell>
          <cell r="B1611" t="str">
            <v xml:space="preserve"> BUSHING</v>
          </cell>
          <cell r="C1611" t="str">
            <v>PC</v>
          </cell>
          <cell r="D1611">
            <v>0</v>
          </cell>
          <cell r="E1611">
            <v>1323000</v>
          </cell>
          <cell r="F1611">
            <v>0</v>
          </cell>
        </row>
        <row r="1612">
          <cell r="A1612" t="str">
            <v>BE7-5F1600P(2)</v>
          </cell>
          <cell r="B1612" t="str">
            <v>SHIM</v>
          </cell>
          <cell r="C1612" t="str">
            <v>PC</v>
          </cell>
          <cell r="D1612">
            <v>22</v>
          </cell>
          <cell r="E1612">
            <v>8344</v>
          </cell>
          <cell r="F1612">
            <v>68090</v>
          </cell>
        </row>
        <row r="1613">
          <cell r="A1613" t="str">
            <v>BE7-5F1700P</v>
          </cell>
          <cell r="B1613" t="str">
            <v xml:space="preserve"> BUSHING</v>
          </cell>
          <cell r="C1613" t="str">
            <v>PC</v>
          </cell>
          <cell r="D1613">
            <v>0</v>
          </cell>
          <cell r="E1613">
            <v>990000</v>
          </cell>
          <cell r="F1613">
            <v>0</v>
          </cell>
        </row>
        <row r="1614">
          <cell r="A1614" t="str">
            <v>BE7-5F1700P(2)</v>
          </cell>
          <cell r="B1614" t="str">
            <v>SHIM</v>
          </cell>
          <cell r="C1614" t="str">
            <v>PC</v>
          </cell>
          <cell r="D1614">
            <v>7</v>
          </cell>
          <cell r="E1614">
            <v>2295</v>
          </cell>
          <cell r="F1614">
            <v>16065</v>
          </cell>
        </row>
        <row r="1615">
          <cell r="A1615" t="str">
            <v>BE7-5F1810P(1)</v>
          </cell>
          <cell r="B1615" t="str">
            <v xml:space="preserve"> PLATE</v>
          </cell>
          <cell r="C1615" t="str">
            <v>PC</v>
          </cell>
          <cell r="D1615">
            <v>0</v>
          </cell>
          <cell r="E1615">
            <v>200000</v>
          </cell>
          <cell r="F1615">
            <v>0</v>
          </cell>
        </row>
        <row r="1616">
          <cell r="A1616" t="str">
            <v>BE7-5F1820P</v>
          </cell>
          <cell r="B1616" t="str">
            <v xml:space="preserve"> SEAL T.5X177X187</v>
          </cell>
          <cell r="C1616" t="str">
            <v>PC</v>
          </cell>
          <cell r="D1616">
            <v>0</v>
          </cell>
          <cell r="E1616">
            <v>10000</v>
          </cell>
          <cell r="F1616">
            <v>0</v>
          </cell>
        </row>
        <row r="1617">
          <cell r="A1617" t="str">
            <v>BE7-5F1910</v>
          </cell>
          <cell r="B1617" t="str">
            <v xml:space="preserve"> SEAL</v>
          </cell>
          <cell r="C1617" t="str">
            <v>PC</v>
          </cell>
          <cell r="D1617">
            <v>0</v>
          </cell>
          <cell r="E1617">
            <v>25000</v>
          </cell>
          <cell r="F1617">
            <v>0</v>
          </cell>
        </row>
        <row r="1618">
          <cell r="A1618" t="str">
            <v>BE7-5F1910P(1)</v>
          </cell>
          <cell r="B1618" t="str">
            <v xml:space="preserve"> PLATE</v>
          </cell>
          <cell r="C1618" t="str">
            <v>PC</v>
          </cell>
          <cell r="D1618">
            <v>0</v>
          </cell>
          <cell r="E1618">
            <v>190000</v>
          </cell>
          <cell r="F1618">
            <v>0</v>
          </cell>
        </row>
        <row r="1619">
          <cell r="A1619" t="str">
            <v>BE7-5F1920</v>
          </cell>
          <cell r="B1619" t="str">
            <v xml:space="preserve"> SEAL</v>
          </cell>
          <cell r="C1619" t="str">
            <v>PC</v>
          </cell>
          <cell r="D1619">
            <v>0</v>
          </cell>
          <cell r="E1619">
            <v>25000</v>
          </cell>
          <cell r="F1619">
            <v>0</v>
          </cell>
        </row>
        <row r="1620">
          <cell r="A1620" t="str">
            <v>BE7-5F1920P</v>
          </cell>
          <cell r="B1620" t="str">
            <v xml:space="preserve"> SEAL T.5X162X172</v>
          </cell>
          <cell r="C1620" t="str">
            <v>PC</v>
          </cell>
          <cell r="D1620">
            <v>0</v>
          </cell>
          <cell r="E1620">
            <v>10000</v>
          </cell>
          <cell r="F1620">
            <v>0</v>
          </cell>
        </row>
        <row r="1621">
          <cell r="A1621" t="str">
            <v>BE7-5F3000P(2)</v>
          </cell>
          <cell r="B1621" t="str">
            <v>SHIM</v>
          </cell>
          <cell r="C1621" t="str">
            <v>PC</v>
          </cell>
          <cell r="D1621">
            <v>7</v>
          </cell>
          <cell r="E1621">
            <v>3196</v>
          </cell>
          <cell r="F1621">
            <v>22372</v>
          </cell>
        </row>
        <row r="1622">
          <cell r="A1622" t="str">
            <v>BE7-5F4320P</v>
          </cell>
          <cell r="B1622" t="str">
            <v xml:space="preserve"> PLATE</v>
          </cell>
          <cell r="C1622" t="str">
            <v>PC</v>
          </cell>
          <cell r="D1622">
            <v>0</v>
          </cell>
          <cell r="E1622">
            <v>520400</v>
          </cell>
          <cell r="F1622">
            <v>0</v>
          </cell>
        </row>
        <row r="1623">
          <cell r="A1623" t="str">
            <v>BE7-5F4600P</v>
          </cell>
          <cell r="B1623" t="str">
            <v xml:space="preserve"> PLATE</v>
          </cell>
          <cell r="C1623" t="str">
            <v>PC</v>
          </cell>
          <cell r="D1623">
            <v>0</v>
          </cell>
          <cell r="E1623">
            <v>234800</v>
          </cell>
          <cell r="F1623">
            <v>0</v>
          </cell>
        </row>
        <row r="1624">
          <cell r="A1624" t="str">
            <v>BE7-5F4600P-M</v>
          </cell>
          <cell r="B1624" t="str">
            <v>BENDING PLATE</v>
          </cell>
          <cell r="C1624" t="str">
            <v>PC</v>
          </cell>
          <cell r="D1624">
            <v>0</v>
          </cell>
          <cell r="E1624">
            <v>1133244</v>
          </cell>
          <cell r="F1624">
            <v>0</v>
          </cell>
        </row>
        <row r="1625">
          <cell r="A1625" t="str">
            <v>BE7-5F4700P</v>
          </cell>
          <cell r="B1625" t="str">
            <v xml:space="preserve"> PLATE</v>
          </cell>
          <cell r="C1625" t="str">
            <v>PC</v>
          </cell>
          <cell r="D1625">
            <v>0</v>
          </cell>
          <cell r="E1625">
            <v>234800</v>
          </cell>
          <cell r="F1625">
            <v>0</v>
          </cell>
        </row>
        <row r="1626">
          <cell r="A1626" t="str">
            <v>BE7-5FX000P</v>
          </cell>
          <cell r="B1626" t="str">
            <v>SHIM</v>
          </cell>
          <cell r="C1626" t="str">
            <v>PC</v>
          </cell>
          <cell r="D1626">
            <v>20</v>
          </cell>
          <cell r="E1626">
            <v>0</v>
          </cell>
          <cell r="F1626">
            <v>0</v>
          </cell>
        </row>
        <row r="1627">
          <cell r="A1627" t="str">
            <v>BE7-5FY000P</v>
          </cell>
          <cell r="B1627" t="str">
            <v>SHIM</v>
          </cell>
          <cell r="C1627" t="str">
            <v>PC</v>
          </cell>
          <cell r="D1627">
            <v>4</v>
          </cell>
          <cell r="E1627">
            <v>0</v>
          </cell>
          <cell r="F1627">
            <v>0</v>
          </cell>
        </row>
        <row r="1628">
          <cell r="A1628" t="str">
            <v>BE9-8F1820P</v>
          </cell>
          <cell r="B1628" t="str">
            <v>O RING 5XD.230</v>
          </cell>
          <cell r="C1628" t="str">
            <v>PC</v>
          </cell>
          <cell r="D1628">
            <v>2</v>
          </cell>
          <cell r="E1628">
            <v>18000</v>
          </cell>
          <cell r="F1628">
            <v>36000</v>
          </cell>
        </row>
        <row r="1629">
          <cell r="A1629" t="str">
            <v>BE9-8F1920P</v>
          </cell>
          <cell r="B1629" t="str">
            <v>O RING 5XD.240</v>
          </cell>
          <cell r="C1629" t="str">
            <v>PC</v>
          </cell>
          <cell r="D1629">
            <v>3</v>
          </cell>
          <cell r="E1629">
            <v>18000</v>
          </cell>
          <cell r="F1629">
            <v>54000</v>
          </cell>
        </row>
        <row r="1630">
          <cell r="A1630" t="str">
            <v>BHG-V-710</v>
          </cell>
          <cell r="B1630" t="str">
            <v>BALL VALVE BHG-V-710</v>
          </cell>
          <cell r="C1630" t="str">
            <v>PC</v>
          </cell>
          <cell r="D1630">
            <v>0</v>
          </cell>
          <cell r="E1630">
            <v>174349</v>
          </cell>
          <cell r="F1630">
            <v>0</v>
          </cell>
        </row>
        <row r="1631">
          <cell r="A1631" t="str">
            <v>BL3-8F1300P-M</v>
          </cell>
          <cell r="B1631" t="str">
            <v>PLATE</v>
          </cell>
          <cell r="C1631" t="str">
            <v>PC</v>
          </cell>
          <cell r="D1631">
            <v>0</v>
          </cell>
          <cell r="E1631">
            <v>2309468</v>
          </cell>
          <cell r="F1631">
            <v>0</v>
          </cell>
        </row>
        <row r="1632">
          <cell r="A1632" t="str">
            <v>BLOCK-V5</v>
          </cell>
          <cell r="B1632" t="str">
            <v xml:space="preserve"> BLOCK VALVE 5 SEGMEN</v>
          </cell>
          <cell r="C1632" t="str">
            <v>PC</v>
          </cell>
          <cell r="D1632">
            <v>0</v>
          </cell>
          <cell r="E1632">
            <v>16226816</v>
          </cell>
          <cell r="F1632">
            <v>0</v>
          </cell>
        </row>
        <row r="1633">
          <cell r="A1633" t="str">
            <v>BM-001</v>
          </cell>
          <cell r="B1633" t="str">
            <v>CONTROL PANEL ASSY FOR FT 35 BMA VOLVO</v>
          </cell>
          <cell r="C1633" t="str">
            <v>PC</v>
          </cell>
          <cell r="D1633">
            <v>2</v>
          </cell>
          <cell r="E1633">
            <v>10017</v>
          </cell>
          <cell r="F1633">
            <v>20034</v>
          </cell>
        </row>
        <row r="1634">
          <cell r="A1634" t="str">
            <v>BOWEX M-48</v>
          </cell>
          <cell r="B1634" t="str">
            <v>COUPLING BOWEX M-48</v>
          </cell>
          <cell r="C1634" t="str">
            <v>PC</v>
          </cell>
          <cell r="D1634">
            <v>0</v>
          </cell>
          <cell r="E1634">
            <v>1</v>
          </cell>
          <cell r="F1634">
            <v>0</v>
          </cell>
        </row>
        <row r="1635">
          <cell r="A1635" t="str">
            <v>BOWEX-M-65</v>
          </cell>
          <cell r="B1635" t="str">
            <v>COUPLING (BOWEX M-65)</v>
          </cell>
          <cell r="C1635" t="str">
            <v>PC</v>
          </cell>
          <cell r="D1635">
            <v>0</v>
          </cell>
          <cell r="E1635">
            <v>475000</v>
          </cell>
          <cell r="F1635">
            <v>0</v>
          </cell>
        </row>
        <row r="1636">
          <cell r="A1636" t="str">
            <v>BPW-W01001</v>
          </cell>
          <cell r="B1636" t="str">
            <v>REINFORCE AXLE BPW   T32X54X1082</v>
          </cell>
          <cell r="C1636" t="str">
            <v>PC</v>
          </cell>
          <cell r="D1636">
            <v>0</v>
          </cell>
          <cell r="E1636">
            <v>473102</v>
          </cell>
          <cell r="F1636">
            <v>0</v>
          </cell>
        </row>
        <row r="1637">
          <cell r="A1637" t="str">
            <v>BPW-W01002</v>
          </cell>
          <cell r="B1637" t="str">
            <v>REINFORCE AXLE BPW   T32X54X360</v>
          </cell>
          <cell r="C1637" t="str">
            <v>PC</v>
          </cell>
          <cell r="D1637">
            <v>0</v>
          </cell>
          <cell r="E1637">
            <v>11169075</v>
          </cell>
          <cell r="F1637">
            <v>0</v>
          </cell>
        </row>
        <row r="1638">
          <cell r="A1638" t="str">
            <v>BS-4725-270-46</v>
          </cell>
          <cell r="B1638" t="str">
            <v xml:space="preserve"> BAND SAW LENOX</v>
          </cell>
          <cell r="C1638" t="str">
            <v>PC</v>
          </cell>
          <cell r="D1638">
            <v>5</v>
          </cell>
          <cell r="E1638">
            <v>495000</v>
          </cell>
          <cell r="F1638">
            <v>2475000</v>
          </cell>
        </row>
        <row r="1639">
          <cell r="A1639" t="str">
            <v>BT-016-1000</v>
          </cell>
          <cell r="B1639" t="str">
            <v xml:space="preserve"> THREAD BAR M 16</v>
          </cell>
          <cell r="C1639" t="str">
            <v>PC</v>
          </cell>
          <cell r="D1639">
            <v>0</v>
          </cell>
          <cell r="E1639">
            <v>7500</v>
          </cell>
          <cell r="F1639">
            <v>0</v>
          </cell>
        </row>
        <row r="1640">
          <cell r="A1640" t="str">
            <v>BT-020-1000</v>
          </cell>
          <cell r="B1640" t="str">
            <v xml:space="preserve"> THREAD BAR M 20</v>
          </cell>
          <cell r="C1640" t="str">
            <v>PC</v>
          </cell>
          <cell r="D1640">
            <v>0</v>
          </cell>
          <cell r="E1640">
            <v>16500</v>
          </cell>
          <cell r="F1640">
            <v>0</v>
          </cell>
        </row>
        <row r="1641">
          <cell r="A1641" t="str">
            <v>BT-030-1000</v>
          </cell>
          <cell r="B1641" t="str">
            <v xml:space="preserve"> THREAD BAR M 30</v>
          </cell>
          <cell r="C1641" t="str">
            <v>PC</v>
          </cell>
          <cell r="D1641">
            <v>0</v>
          </cell>
          <cell r="E1641">
            <v>51500</v>
          </cell>
          <cell r="F1641">
            <v>0</v>
          </cell>
        </row>
        <row r="1642">
          <cell r="A1642" t="str">
            <v>B-VH011-0001</v>
          </cell>
          <cell r="B1642" t="str">
            <v>Plug</v>
          </cell>
          <cell r="C1642" t="str">
            <v>PC</v>
          </cell>
          <cell r="D1642">
            <v>0</v>
          </cell>
          <cell r="E1642">
            <v>0</v>
          </cell>
          <cell r="F1642">
            <v>0</v>
          </cell>
        </row>
        <row r="1643">
          <cell r="A1643" t="str">
            <v>BY0-A01001</v>
          </cell>
          <cell r="B1643" t="str">
            <v>REINFORCE AXLE YORK  T12X1740X160</v>
          </cell>
          <cell r="C1643" t="str">
            <v>PC</v>
          </cell>
          <cell r="D1643">
            <v>0</v>
          </cell>
          <cell r="E1643">
            <v>388217</v>
          </cell>
          <cell r="F1643">
            <v>0</v>
          </cell>
        </row>
        <row r="1644">
          <cell r="A1644" t="str">
            <v>C-003-APD023</v>
          </cell>
          <cell r="B1644" t="str">
            <v>MASKER SHIGEMATSU</v>
          </cell>
          <cell r="C1644" t="str">
            <v>PC</v>
          </cell>
          <cell r="D1644">
            <v>0</v>
          </cell>
          <cell r="E1644">
            <v>125000</v>
          </cell>
          <cell r="F1644">
            <v>0</v>
          </cell>
        </row>
        <row r="1645">
          <cell r="A1645" t="str">
            <v>C-005-8021</v>
          </cell>
          <cell r="B1645" t="str">
            <v>THINNER CAT 8021</v>
          </cell>
          <cell r="C1645" t="str">
            <v>L</v>
          </cell>
          <cell r="D1645">
            <v>20</v>
          </cell>
          <cell r="E1645">
            <v>12000</v>
          </cell>
          <cell r="F1645">
            <v>240000</v>
          </cell>
        </row>
        <row r="1646">
          <cell r="A1646" t="str">
            <v>C-005-ABC016</v>
          </cell>
          <cell r="B1646" t="str">
            <v>ALKYD SIGNAL RED</v>
          </cell>
          <cell r="C1646" t="str">
            <v>PL</v>
          </cell>
          <cell r="D1646">
            <v>0</v>
          </cell>
          <cell r="E1646">
            <v>1</v>
          </cell>
          <cell r="F1646">
            <v>0</v>
          </cell>
        </row>
        <row r="1647">
          <cell r="A1647" t="str">
            <v>C-005-ABC111</v>
          </cell>
          <cell r="B1647" t="str">
            <v>ALKYD RED 245-1242</v>
          </cell>
          <cell r="C1647" t="str">
            <v>KG</v>
          </cell>
          <cell r="D1647">
            <v>1</v>
          </cell>
          <cell r="E1647">
            <v>500000</v>
          </cell>
          <cell r="F1647">
            <v>500000</v>
          </cell>
        </row>
        <row r="1648">
          <cell r="A1648" t="str">
            <v>C-005-ABC112</v>
          </cell>
          <cell r="B1648" t="str">
            <v>ALKYD YELLOW 245-1542</v>
          </cell>
          <cell r="C1648" t="str">
            <v>KG</v>
          </cell>
          <cell r="D1648">
            <v>0</v>
          </cell>
          <cell r="E1648">
            <v>480000</v>
          </cell>
          <cell r="F1648">
            <v>0</v>
          </cell>
        </row>
        <row r="1649">
          <cell r="A1649" t="str">
            <v>C-005-ABC113</v>
          </cell>
          <cell r="B1649" t="str">
            <v>PU  RED 245-1242</v>
          </cell>
          <cell r="C1649" t="str">
            <v>KG</v>
          </cell>
          <cell r="D1649">
            <v>80</v>
          </cell>
          <cell r="E1649">
            <v>58000</v>
          </cell>
          <cell r="F1649">
            <v>4640000</v>
          </cell>
        </row>
        <row r="1650">
          <cell r="A1650" t="str">
            <v>C-005-ABC114</v>
          </cell>
          <cell r="B1650" t="str">
            <v>ACRILIC RENAULT ASHITE</v>
          </cell>
          <cell r="C1650" t="str">
            <v>KG</v>
          </cell>
          <cell r="D1650">
            <v>0</v>
          </cell>
          <cell r="E1650">
            <v>58000</v>
          </cell>
          <cell r="F1650">
            <v>0</v>
          </cell>
        </row>
        <row r="1651">
          <cell r="A1651" t="str">
            <v>C-005-JTN001001</v>
          </cell>
          <cell r="B1651" t="str">
            <v xml:space="preserve"> THINNER NO.2</v>
          </cell>
          <cell r="C1651" t="str">
            <v>PC</v>
          </cell>
          <cell r="D1651">
            <v>80</v>
          </cell>
          <cell r="E1651">
            <v>14334</v>
          </cell>
          <cell r="F1651">
            <v>1146708</v>
          </cell>
        </row>
        <row r="1652">
          <cell r="A1652" t="str">
            <v>C-005-JTN001003</v>
          </cell>
          <cell r="B1652" t="str">
            <v xml:space="preserve"> PILOT II YELLOW 258</v>
          </cell>
          <cell r="C1652" t="str">
            <v>PC</v>
          </cell>
          <cell r="D1652">
            <v>100</v>
          </cell>
          <cell r="E1652">
            <v>40838</v>
          </cell>
          <cell r="F1652">
            <v>4083795</v>
          </cell>
        </row>
        <row r="1653">
          <cell r="A1653" t="str">
            <v>C-005-NOVA110</v>
          </cell>
          <cell r="B1653" t="str">
            <v xml:space="preserve"> WHITE ACRILIC RENAULT</v>
          </cell>
          <cell r="C1653" t="str">
            <v>PL</v>
          </cell>
          <cell r="D1653">
            <v>40</v>
          </cell>
          <cell r="E1653">
            <v>25000</v>
          </cell>
          <cell r="F1653">
            <v>1000000</v>
          </cell>
        </row>
        <row r="1654">
          <cell r="A1654" t="str">
            <v>C-005-NOVA111</v>
          </cell>
          <cell r="B1654" t="str">
            <v>ALKYD RED OXIDE</v>
          </cell>
          <cell r="C1654" t="str">
            <v>PL</v>
          </cell>
          <cell r="D1654">
            <v>80</v>
          </cell>
          <cell r="E1654">
            <v>16000</v>
          </cell>
          <cell r="F1654">
            <v>1280000</v>
          </cell>
        </row>
        <row r="1655">
          <cell r="A1655" t="str">
            <v>C-005-PHU-6</v>
          </cell>
          <cell r="B1655" t="str">
            <v xml:space="preserve"> ANEST HOSE IWATA</v>
          </cell>
          <cell r="C1655" t="str">
            <v>PC</v>
          </cell>
          <cell r="D1655">
            <v>0</v>
          </cell>
          <cell r="E1655">
            <v>26000</v>
          </cell>
          <cell r="F1655">
            <v>0</v>
          </cell>
        </row>
        <row r="1656">
          <cell r="A1656" t="str">
            <v>C-005-SL-RED</v>
          </cell>
          <cell r="B1656" t="str">
            <v xml:space="preserve"> SCOTCHLITE RED 3M</v>
          </cell>
          <cell r="C1656" t="str">
            <v>PC</v>
          </cell>
          <cell r="D1656">
            <v>30</v>
          </cell>
          <cell r="E1656">
            <v>90000</v>
          </cell>
          <cell r="F1656">
            <v>2700000</v>
          </cell>
        </row>
        <row r="1657">
          <cell r="A1657" t="str">
            <v>C-005-SL-WHT</v>
          </cell>
          <cell r="B1657" t="str">
            <v xml:space="preserve"> SCOTCHLITE WHITE</v>
          </cell>
          <cell r="C1657" t="str">
            <v>PC</v>
          </cell>
          <cell r="D1657">
            <v>30</v>
          </cell>
          <cell r="E1657">
            <v>90000</v>
          </cell>
          <cell r="F1657">
            <v>2700000</v>
          </cell>
        </row>
        <row r="1658">
          <cell r="A1658" t="str">
            <v>C-006-PACK01</v>
          </cell>
          <cell r="B1658" t="str">
            <v>PACKING COMBO 1100 3 X 1270 X 1270</v>
          </cell>
          <cell r="C1658" t="str">
            <v>PC</v>
          </cell>
          <cell r="D1658">
            <v>1</v>
          </cell>
          <cell r="E1658">
            <v>400000</v>
          </cell>
          <cell r="F1658">
            <v>400000</v>
          </cell>
        </row>
        <row r="1659">
          <cell r="A1659" t="str">
            <v>C-006-PACK02</v>
          </cell>
          <cell r="B1659" t="str">
            <v>PACKING COMBO 1303  3 X 1270 X 1270</v>
          </cell>
          <cell r="C1659" t="str">
            <v>PC</v>
          </cell>
          <cell r="D1659">
            <v>1</v>
          </cell>
          <cell r="E1659">
            <v>190000</v>
          </cell>
          <cell r="F1659">
            <v>190000</v>
          </cell>
        </row>
        <row r="1660">
          <cell r="A1660" t="str">
            <v>C-007-CHEIL4</v>
          </cell>
          <cell r="B1660" t="str">
            <v>BATU GERINDA CHEIL 4"</v>
          </cell>
          <cell r="C1660" t="str">
            <v>PC</v>
          </cell>
          <cell r="D1660">
            <v>435</v>
          </cell>
          <cell r="E1660">
            <v>3859</v>
          </cell>
          <cell r="F1660">
            <v>1678744</v>
          </cell>
        </row>
        <row r="1661">
          <cell r="A1661" t="str">
            <v>C-007-CHEIL4"</v>
          </cell>
          <cell r="B1661" t="str">
            <v>BATU GERINDA CHEIL 4"</v>
          </cell>
          <cell r="C1661" t="str">
            <v>L</v>
          </cell>
          <cell r="D1661">
            <v>0</v>
          </cell>
          <cell r="E1661">
            <v>4000</v>
          </cell>
          <cell r="F1661">
            <v>0</v>
          </cell>
        </row>
        <row r="1662">
          <cell r="A1662" t="str">
            <v>C-015-AUTOSEALER</v>
          </cell>
          <cell r="B1662" t="str">
            <v>AUTO SEALER</v>
          </cell>
          <cell r="C1662" t="str">
            <v>PC</v>
          </cell>
          <cell r="D1662">
            <v>4</v>
          </cell>
          <cell r="E1662">
            <v>8000</v>
          </cell>
          <cell r="F1662">
            <v>32000</v>
          </cell>
        </row>
        <row r="1663">
          <cell r="A1663" t="str">
            <v>C-015-KT</v>
          </cell>
          <cell r="B1663" t="str">
            <v xml:space="preserve"> KAPUR TULIS</v>
          </cell>
          <cell r="C1663" t="str">
            <v>PC</v>
          </cell>
          <cell r="D1663">
            <v>0</v>
          </cell>
          <cell r="E1663">
            <v>2500</v>
          </cell>
          <cell r="F1663">
            <v>0</v>
          </cell>
        </row>
        <row r="1664">
          <cell r="A1664" t="str">
            <v>C-015-SB</v>
          </cell>
          <cell r="B1664" t="str">
            <v xml:space="preserve"> SIKAT BAJA</v>
          </cell>
          <cell r="C1664" t="str">
            <v>PC</v>
          </cell>
          <cell r="D1664">
            <v>5</v>
          </cell>
          <cell r="E1664">
            <v>2800</v>
          </cell>
          <cell r="F1664">
            <v>14000</v>
          </cell>
        </row>
        <row r="1665">
          <cell r="A1665" t="str">
            <v>C01633C-AL30-L</v>
          </cell>
          <cell r="B1665" t="str">
            <v>ALM KAMLOK COUPLER BUNA-N HOSE AHANK 3"</v>
          </cell>
          <cell r="C1665" t="str">
            <v>PC</v>
          </cell>
          <cell r="D1665">
            <v>0</v>
          </cell>
          <cell r="E1665">
            <v>1</v>
          </cell>
          <cell r="F1665">
            <v>0</v>
          </cell>
        </row>
        <row r="1666">
          <cell r="A1666" t="str">
            <v>C01861</v>
          </cell>
          <cell r="B1666" t="str">
            <v>API ADAPTOR 4"</v>
          </cell>
          <cell r="C1666" t="str">
            <v>PC</v>
          </cell>
          <cell r="D1666">
            <v>0</v>
          </cell>
          <cell r="E1666">
            <v>1</v>
          </cell>
          <cell r="F1666">
            <v>0</v>
          </cell>
        </row>
        <row r="1667">
          <cell r="A1667" t="str">
            <v>C01871A</v>
          </cell>
          <cell r="B1667" t="str">
            <v>GRAFITY COUPLERS 4" X 3"</v>
          </cell>
          <cell r="C1667" t="str">
            <v>PC</v>
          </cell>
          <cell r="D1667">
            <v>0</v>
          </cell>
          <cell r="E1667">
            <v>1</v>
          </cell>
          <cell r="F1667">
            <v>0</v>
          </cell>
        </row>
        <row r="1668">
          <cell r="A1668" t="str">
            <v>C44096</v>
          </cell>
          <cell r="B1668" t="str">
            <v>FLANGE YOKE MALE</v>
          </cell>
          <cell r="C1668" t="str">
            <v>PC</v>
          </cell>
          <cell r="D1668">
            <v>52</v>
          </cell>
          <cell r="E1668">
            <v>1</v>
          </cell>
          <cell r="F1668">
            <v>52</v>
          </cell>
        </row>
        <row r="1669">
          <cell r="A1669" t="str">
            <v>C45028</v>
          </cell>
          <cell r="B1669" t="str">
            <v>PRECTION LEVER(TWIN)</v>
          </cell>
          <cell r="C1669" t="str">
            <v>PC</v>
          </cell>
          <cell r="D1669">
            <v>83</v>
          </cell>
          <cell r="E1669">
            <v>348960</v>
          </cell>
          <cell r="F1669">
            <v>28963680</v>
          </cell>
        </row>
        <row r="1670">
          <cell r="A1670" t="str">
            <v>C50797</v>
          </cell>
          <cell r="B1670" t="str">
            <v>BRACKET</v>
          </cell>
          <cell r="C1670" t="str">
            <v>PC</v>
          </cell>
          <cell r="D1670">
            <v>16</v>
          </cell>
          <cell r="E1670">
            <v>1</v>
          </cell>
          <cell r="F1670">
            <v>16</v>
          </cell>
        </row>
        <row r="1671">
          <cell r="A1671" t="str">
            <v>C50LR-BR20-16</v>
          </cell>
          <cell r="B1671" t="str">
            <v>HUCK BOLT PIN</v>
          </cell>
          <cell r="C1671" t="str">
            <v>PC</v>
          </cell>
          <cell r="D1671">
            <v>6</v>
          </cell>
          <cell r="E1671">
            <v>13740</v>
          </cell>
          <cell r="F1671">
            <v>82440</v>
          </cell>
        </row>
        <row r="1672">
          <cell r="A1672" t="str">
            <v>C50LR-BR20-24</v>
          </cell>
          <cell r="B1672" t="str">
            <v>HUCK BOLT PIN</v>
          </cell>
          <cell r="C1672" t="str">
            <v>PC</v>
          </cell>
          <cell r="D1672">
            <v>49</v>
          </cell>
          <cell r="E1672">
            <v>12916</v>
          </cell>
          <cell r="F1672">
            <v>632884</v>
          </cell>
        </row>
        <row r="1673">
          <cell r="A1673" t="str">
            <v>C50LR-BR20-28</v>
          </cell>
          <cell r="B1673" t="str">
            <v>HUCK BOLT PIN</v>
          </cell>
          <cell r="C1673" t="str">
            <v>PC</v>
          </cell>
          <cell r="D1673">
            <v>239</v>
          </cell>
          <cell r="E1673">
            <v>17760</v>
          </cell>
          <cell r="F1673">
            <v>4244640</v>
          </cell>
        </row>
        <row r="1674">
          <cell r="A1674" t="str">
            <v>C50LR-BR20-36</v>
          </cell>
          <cell r="B1674" t="str">
            <v>HUCK BOLT M.16</v>
          </cell>
          <cell r="C1674" t="str">
            <v>PC</v>
          </cell>
          <cell r="D1674">
            <v>200</v>
          </cell>
          <cell r="E1674">
            <v>59024</v>
          </cell>
          <cell r="F1674">
            <v>11804880</v>
          </cell>
        </row>
        <row r="1675">
          <cell r="A1675" t="str">
            <v>C50LR-BR24-12</v>
          </cell>
          <cell r="B1675" t="str">
            <v>HUCK BOLT 12</v>
          </cell>
          <cell r="C1675" t="str">
            <v>PC</v>
          </cell>
          <cell r="D1675">
            <v>500</v>
          </cell>
          <cell r="E1675">
            <v>12774</v>
          </cell>
          <cell r="F1675">
            <v>6387000</v>
          </cell>
        </row>
        <row r="1676">
          <cell r="A1676" t="str">
            <v>C50LR-BR24-20</v>
          </cell>
          <cell r="B1676" t="str">
            <v>HUCK BOLT PIN</v>
          </cell>
          <cell r="C1676" t="str">
            <v>PC</v>
          </cell>
          <cell r="D1676">
            <v>928</v>
          </cell>
          <cell r="E1676">
            <v>17364</v>
          </cell>
          <cell r="F1676">
            <v>16113792</v>
          </cell>
        </row>
        <row r="1677">
          <cell r="A1677" t="str">
            <v>C-7220-C0204</v>
          </cell>
          <cell r="B1677" t="str">
            <v>NIPLE ELBOW B3110M-04-02</v>
          </cell>
          <cell r="C1677" t="str">
            <v>PC</v>
          </cell>
          <cell r="D1677">
            <v>0</v>
          </cell>
          <cell r="E1677">
            <v>1</v>
          </cell>
          <cell r="F1677">
            <v>0</v>
          </cell>
        </row>
        <row r="1678">
          <cell r="A1678" t="str">
            <v>C72779</v>
          </cell>
          <cell r="B1678" t="str">
            <v>PRELITION LEVER ATAS</v>
          </cell>
          <cell r="C1678" t="str">
            <v>PC</v>
          </cell>
          <cell r="D1678">
            <v>52</v>
          </cell>
          <cell r="E1678">
            <v>107289</v>
          </cell>
          <cell r="F1678">
            <v>5579028</v>
          </cell>
        </row>
        <row r="1679">
          <cell r="A1679" t="str">
            <v>CAMLOC-A250</v>
          </cell>
          <cell r="B1679" t="str">
            <v>CAMLOCK ADAPTER 2,5"</v>
          </cell>
          <cell r="C1679" t="str">
            <v>PC</v>
          </cell>
          <cell r="D1679">
            <v>0</v>
          </cell>
          <cell r="E1679">
            <v>180000</v>
          </cell>
          <cell r="F1679">
            <v>0</v>
          </cell>
        </row>
        <row r="1680">
          <cell r="A1680" t="str">
            <v>CAMLOC-C250</v>
          </cell>
          <cell r="B1680" t="str">
            <v>CAMLOCK COUPLER 2,5"</v>
          </cell>
          <cell r="C1680" t="str">
            <v>PC</v>
          </cell>
          <cell r="D1680">
            <v>0</v>
          </cell>
          <cell r="E1680">
            <v>300000</v>
          </cell>
          <cell r="F1680">
            <v>0</v>
          </cell>
        </row>
        <row r="1681">
          <cell r="A1681" t="str">
            <v>CBV-60-11010</v>
          </cell>
          <cell r="B1681" t="str">
            <v>VALVE-CB</v>
          </cell>
          <cell r="C1681" t="str">
            <v>PC</v>
          </cell>
          <cell r="D1681">
            <v>0</v>
          </cell>
          <cell r="E1681">
            <v>931600</v>
          </cell>
          <cell r="F1681">
            <v>0</v>
          </cell>
        </row>
        <row r="1682">
          <cell r="A1682" t="str">
            <v>CD-100A</v>
          </cell>
          <cell r="B1682" t="str">
            <v xml:space="preserve"> CARBON BURSH MAKITA</v>
          </cell>
          <cell r="C1682" t="str">
            <v>PC</v>
          </cell>
          <cell r="D1682">
            <v>0</v>
          </cell>
          <cell r="E1682">
            <v>14500</v>
          </cell>
          <cell r="F1682">
            <v>0</v>
          </cell>
        </row>
        <row r="1683">
          <cell r="A1683" t="str">
            <v>CD3-F1B320P</v>
          </cell>
          <cell r="B1683" t="str">
            <v xml:space="preserve"> BUSHING</v>
          </cell>
          <cell r="C1683" t="str">
            <v>PC</v>
          </cell>
          <cell r="D1683">
            <v>0</v>
          </cell>
          <cell r="E1683">
            <v>375000</v>
          </cell>
          <cell r="F1683">
            <v>0</v>
          </cell>
        </row>
        <row r="1684">
          <cell r="A1684" t="str">
            <v>CD3-F1B400P</v>
          </cell>
          <cell r="B1684" t="str">
            <v xml:space="preserve"> SEAL 4X96X104</v>
          </cell>
          <cell r="C1684" t="str">
            <v>PC</v>
          </cell>
          <cell r="D1684">
            <v>0</v>
          </cell>
          <cell r="E1684">
            <v>9000</v>
          </cell>
          <cell r="F1684">
            <v>0</v>
          </cell>
        </row>
        <row r="1685">
          <cell r="A1685" t="str">
            <v>CD3-F1F000P</v>
          </cell>
          <cell r="B1685" t="str">
            <v xml:space="preserve"> REAR GUARD CDL 30</v>
          </cell>
          <cell r="C1685" t="str">
            <v>PC</v>
          </cell>
          <cell r="D1685">
            <v>0</v>
          </cell>
          <cell r="E1685">
            <v>1980000</v>
          </cell>
          <cell r="F1685">
            <v>0</v>
          </cell>
        </row>
        <row r="1686">
          <cell r="A1686" t="str">
            <v>CE1-F214000</v>
          </cell>
          <cell r="B1686" t="str">
            <v>BUSHING</v>
          </cell>
          <cell r="C1686" t="str">
            <v>PC</v>
          </cell>
          <cell r="D1686">
            <v>0</v>
          </cell>
          <cell r="E1686">
            <v>0</v>
          </cell>
          <cell r="F1686">
            <v>0</v>
          </cell>
        </row>
        <row r="1687">
          <cell r="A1687" t="str">
            <v>CE1-F260000</v>
          </cell>
          <cell r="B1687" t="str">
            <v>BUSHING</v>
          </cell>
          <cell r="C1687" t="str">
            <v>PC</v>
          </cell>
          <cell r="D1687">
            <v>0</v>
          </cell>
          <cell r="E1687">
            <v>0</v>
          </cell>
          <cell r="F1687">
            <v>0</v>
          </cell>
        </row>
        <row r="1688">
          <cell r="A1688" t="str">
            <v>CE1-F300000</v>
          </cell>
          <cell r="B1688" t="str">
            <v>PIN</v>
          </cell>
          <cell r="C1688" t="str">
            <v>PC</v>
          </cell>
          <cell r="D1688">
            <v>0</v>
          </cell>
          <cell r="E1688">
            <v>0</v>
          </cell>
          <cell r="F1688">
            <v>0</v>
          </cell>
        </row>
        <row r="1689">
          <cell r="A1689" t="str">
            <v>CE2=F40000P-1</v>
          </cell>
          <cell r="B1689" t="str">
            <v>BRACKET</v>
          </cell>
          <cell r="C1689" t="str">
            <v>PC</v>
          </cell>
          <cell r="D1689">
            <v>0</v>
          </cell>
          <cell r="E1689">
            <v>0</v>
          </cell>
          <cell r="F1689">
            <v>0</v>
          </cell>
        </row>
        <row r="1690">
          <cell r="A1690" t="str">
            <v>CE2-F10000P-1</v>
          </cell>
          <cell r="B1690" t="str">
            <v>UPPER CLAW</v>
          </cell>
          <cell r="C1690" t="str">
            <v>PC</v>
          </cell>
          <cell r="D1690">
            <v>0</v>
          </cell>
          <cell r="E1690">
            <v>0</v>
          </cell>
          <cell r="F1690">
            <v>0</v>
          </cell>
        </row>
        <row r="1691">
          <cell r="A1691" t="str">
            <v>CE2-F20000P-1</v>
          </cell>
          <cell r="B1691" t="str">
            <v>LOWER CLAW</v>
          </cell>
          <cell r="C1691" t="str">
            <v>PC</v>
          </cell>
          <cell r="D1691">
            <v>0</v>
          </cell>
          <cell r="E1691">
            <v>0</v>
          </cell>
          <cell r="F1691">
            <v>0</v>
          </cell>
        </row>
        <row r="1692">
          <cell r="A1692" t="str">
            <v>CE2-F30000P-1</v>
          </cell>
          <cell r="B1692" t="str">
            <v>LINK</v>
          </cell>
          <cell r="C1692" t="str">
            <v>PC</v>
          </cell>
          <cell r="D1692">
            <v>0</v>
          </cell>
          <cell r="E1692">
            <v>0</v>
          </cell>
          <cell r="F1692">
            <v>0</v>
          </cell>
        </row>
        <row r="1693">
          <cell r="A1693" t="str">
            <v>CE2-F50000P</v>
          </cell>
          <cell r="B1693" t="str">
            <v>PIN</v>
          </cell>
          <cell r="C1693" t="str">
            <v>PC</v>
          </cell>
          <cell r="D1693">
            <v>0</v>
          </cell>
          <cell r="E1693">
            <v>0</v>
          </cell>
          <cell r="F1693">
            <v>0</v>
          </cell>
        </row>
        <row r="1694">
          <cell r="A1694" t="str">
            <v>CE2-F60000P</v>
          </cell>
          <cell r="B1694" t="str">
            <v>PIN</v>
          </cell>
          <cell r="C1694" t="str">
            <v>PC</v>
          </cell>
          <cell r="D1694">
            <v>0</v>
          </cell>
          <cell r="E1694">
            <v>0</v>
          </cell>
          <cell r="F1694">
            <v>0</v>
          </cell>
        </row>
        <row r="1695">
          <cell r="A1695" t="str">
            <v>CE2-F80000P</v>
          </cell>
          <cell r="B1695" t="str">
            <v>BUSHING</v>
          </cell>
          <cell r="C1695" t="str">
            <v>PC</v>
          </cell>
          <cell r="D1695">
            <v>0</v>
          </cell>
          <cell r="E1695">
            <v>0</v>
          </cell>
          <cell r="F1695">
            <v>0</v>
          </cell>
        </row>
        <row r="1696">
          <cell r="A1696" t="str">
            <v>CHECK-V025</v>
          </cell>
          <cell r="B1696" t="str">
            <v>CHECK VALVE 1/4" JAPAN</v>
          </cell>
          <cell r="C1696" t="str">
            <v>PC</v>
          </cell>
          <cell r="D1696">
            <v>0</v>
          </cell>
          <cell r="E1696">
            <v>179000</v>
          </cell>
          <cell r="F1696">
            <v>0</v>
          </cell>
        </row>
        <row r="1697">
          <cell r="A1697" t="str">
            <v>CL4-F71000P-1</v>
          </cell>
          <cell r="B1697" t="str">
            <v>CARRIER WELD</v>
          </cell>
          <cell r="C1697" t="str">
            <v>PC</v>
          </cell>
          <cell r="D1697">
            <v>0</v>
          </cell>
          <cell r="E1697">
            <v>0</v>
          </cell>
          <cell r="F1697">
            <v>0</v>
          </cell>
        </row>
        <row r="1698">
          <cell r="A1698" t="str">
            <v>CL4-F72000P-2</v>
          </cell>
          <cell r="B1698" t="str">
            <v>ARM (LH)</v>
          </cell>
          <cell r="C1698" t="str">
            <v>PC</v>
          </cell>
          <cell r="D1698">
            <v>0</v>
          </cell>
          <cell r="E1698">
            <v>0</v>
          </cell>
          <cell r="F1698">
            <v>0</v>
          </cell>
        </row>
        <row r="1699">
          <cell r="A1699" t="str">
            <v>CL4-F73000P-2</v>
          </cell>
          <cell r="B1699" t="str">
            <v>ARM (RH)</v>
          </cell>
          <cell r="C1699" t="str">
            <v>PC</v>
          </cell>
          <cell r="D1699">
            <v>0</v>
          </cell>
          <cell r="E1699">
            <v>0</v>
          </cell>
          <cell r="F1699">
            <v>0</v>
          </cell>
        </row>
        <row r="1700">
          <cell r="A1700" t="str">
            <v>CL4-F740000</v>
          </cell>
          <cell r="B1700" t="str">
            <v>PIPE RH</v>
          </cell>
          <cell r="C1700" t="str">
            <v>PC</v>
          </cell>
          <cell r="D1700">
            <v>0</v>
          </cell>
          <cell r="E1700">
            <v>0</v>
          </cell>
          <cell r="F1700">
            <v>0</v>
          </cell>
        </row>
        <row r="1701">
          <cell r="A1701" t="str">
            <v>CL4-F74000P</v>
          </cell>
          <cell r="B1701" t="str">
            <v>CLAMP</v>
          </cell>
          <cell r="C1701" t="str">
            <v>PC</v>
          </cell>
          <cell r="D1701">
            <v>0</v>
          </cell>
          <cell r="E1701">
            <v>0</v>
          </cell>
          <cell r="F1701">
            <v>0</v>
          </cell>
        </row>
        <row r="1702">
          <cell r="A1702" t="str">
            <v>CL4-F750000</v>
          </cell>
          <cell r="B1702" t="str">
            <v>PIPE LH</v>
          </cell>
          <cell r="C1702" t="str">
            <v>PC</v>
          </cell>
          <cell r="D1702">
            <v>0</v>
          </cell>
          <cell r="E1702">
            <v>0</v>
          </cell>
          <cell r="F1702">
            <v>0</v>
          </cell>
        </row>
        <row r="1703">
          <cell r="A1703" t="str">
            <v>CL4-F75000P</v>
          </cell>
          <cell r="B1703" t="str">
            <v>CLAMP</v>
          </cell>
          <cell r="C1703" t="str">
            <v>PC</v>
          </cell>
          <cell r="D1703">
            <v>0</v>
          </cell>
          <cell r="E1703">
            <v>0</v>
          </cell>
          <cell r="F1703">
            <v>0</v>
          </cell>
        </row>
        <row r="1704">
          <cell r="A1704" t="str">
            <v>CL4-F780000</v>
          </cell>
          <cell r="B1704" t="str">
            <v>SHIM LF470</v>
          </cell>
          <cell r="C1704" t="str">
            <v>PC</v>
          </cell>
          <cell r="D1704">
            <v>28</v>
          </cell>
          <cell r="E1704">
            <v>15105</v>
          </cell>
          <cell r="F1704">
            <v>422940</v>
          </cell>
        </row>
        <row r="1705">
          <cell r="A1705" t="str">
            <v>CL4-F790000</v>
          </cell>
          <cell r="B1705" t="str">
            <v>SHIM</v>
          </cell>
          <cell r="C1705" t="str">
            <v>PC</v>
          </cell>
          <cell r="D1705">
            <v>0</v>
          </cell>
          <cell r="E1705">
            <v>0</v>
          </cell>
          <cell r="F1705">
            <v>0</v>
          </cell>
        </row>
        <row r="1706">
          <cell r="A1706" t="str">
            <v>CL5-F11000P-5</v>
          </cell>
          <cell r="B1706" t="str">
            <v>CARRIER WELD</v>
          </cell>
          <cell r="C1706" t="str">
            <v>PC</v>
          </cell>
          <cell r="D1706">
            <v>0</v>
          </cell>
          <cell r="E1706">
            <v>0</v>
          </cell>
          <cell r="F1706">
            <v>0</v>
          </cell>
        </row>
        <row r="1707">
          <cell r="A1707" t="str">
            <v>CL5-F12000P-1</v>
          </cell>
          <cell r="B1707" t="str">
            <v>ARM (LH)</v>
          </cell>
          <cell r="C1707" t="str">
            <v>PC</v>
          </cell>
          <cell r="D1707">
            <v>0</v>
          </cell>
          <cell r="E1707">
            <v>0</v>
          </cell>
          <cell r="F1707">
            <v>0</v>
          </cell>
        </row>
        <row r="1708">
          <cell r="A1708" t="str">
            <v>CL5-F13000P-1</v>
          </cell>
          <cell r="B1708" t="str">
            <v>ARM (RH)</v>
          </cell>
          <cell r="C1708" t="str">
            <v>PC</v>
          </cell>
          <cell r="D1708">
            <v>0</v>
          </cell>
          <cell r="E1708">
            <v>0</v>
          </cell>
          <cell r="F1708">
            <v>0</v>
          </cell>
        </row>
        <row r="1709">
          <cell r="A1709" t="str">
            <v>CL5-H10000P</v>
          </cell>
          <cell r="B1709" t="str">
            <v>PIPING SYSTEM</v>
          </cell>
          <cell r="C1709" t="str">
            <v>PC</v>
          </cell>
          <cell r="D1709">
            <v>0</v>
          </cell>
          <cell r="E1709">
            <v>0</v>
          </cell>
          <cell r="F1709">
            <v>0</v>
          </cell>
        </row>
        <row r="1710">
          <cell r="A1710" t="str">
            <v>CO-0027-B</v>
          </cell>
          <cell r="B1710" t="str">
            <v>O-RING</v>
          </cell>
          <cell r="C1710" t="str">
            <v>PC</v>
          </cell>
          <cell r="D1710">
            <v>0</v>
          </cell>
          <cell r="E1710">
            <v>14440000</v>
          </cell>
          <cell r="F1710">
            <v>0</v>
          </cell>
        </row>
        <row r="1711">
          <cell r="A1711" t="str">
            <v>CO-0036-B</v>
          </cell>
          <cell r="B1711" t="str">
            <v>O-RING</v>
          </cell>
          <cell r="C1711" t="str">
            <v>PC</v>
          </cell>
          <cell r="D1711">
            <v>0</v>
          </cell>
          <cell r="E1711">
            <v>3925</v>
          </cell>
          <cell r="F1711">
            <v>0</v>
          </cell>
        </row>
        <row r="1712">
          <cell r="A1712" t="str">
            <v>CO-0042-B</v>
          </cell>
          <cell r="B1712" t="str">
            <v>O-RING</v>
          </cell>
          <cell r="C1712" t="str">
            <v>PC</v>
          </cell>
          <cell r="D1712">
            <v>0</v>
          </cell>
          <cell r="E1712">
            <v>4475</v>
          </cell>
          <cell r="F1712">
            <v>0</v>
          </cell>
        </row>
        <row r="1713">
          <cell r="A1713" t="str">
            <v>CONDUIT-10</v>
          </cell>
          <cell r="B1713" t="str">
            <v>CONDUIT 10</v>
          </cell>
          <cell r="C1713" t="str">
            <v>PC</v>
          </cell>
          <cell r="D1713">
            <v>0</v>
          </cell>
          <cell r="E1713">
            <v>2100</v>
          </cell>
          <cell r="F1713">
            <v>0</v>
          </cell>
        </row>
        <row r="1714">
          <cell r="A1714" t="str">
            <v>CP-200-HD</v>
          </cell>
          <cell r="B1714" t="str">
            <v>CLAMP PIPE 2" HEAVY DUTY</v>
          </cell>
          <cell r="C1714" t="str">
            <v>PC</v>
          </cell>
          <cell r="D1714">
            <v>0</v>
          </cell>
          <cell r="E1714">
            <v>57500</v>
          </cell>
          <cell r="F1714">
            <v>0</v>
          </cell>
        </row>
        <row r="1715">
          <cell r="A1715" t="str">
            <v>CR-257R-250V-5A</v>
          </cell>
          <cell r="B1715" t="str">
            <v xml:space="preserve"> EMERGENCY STOP</v>
          </cell>
          <cell r="C1715" t="str">
            <v>PC</v>
          </cell>
          <cell r="D1715">
            <v>0</v>
          </cell>
          <cell r="E1715">
            <v>16000</v>
          </cell>
          <cell r="F1715">
            <v>0</v>
          </cell>
        </row>
        <row r="1716">
          <cell r="A1716" t="str">
            <v>CRB-G2130-1</v>
          </cell>
          <cell r="B1716" t="str">
            <v xml:space="preserve"> SHACKLE G2130 1" CRB </v>
          </cell>
          <cell r="C1716" t="str">
            <v>PC</v>
          </cell>
          <cell r="D1716">
            <v>0</v>
          </cell>
          <cell r="E1716">
            <v>275000</v>
          </cell>
          <cell r="F1716">
            <v>0</v>
          </cell>
        </row>
        <row r="1717">
          <cell r="A1717" t="str">
            <v>CT-06C-4</v>
          </cell>
          <cell r="B1717" t="str">
            <v>RELIEVE VALVE VICKERS</v>
          </cell>
          <cell r="C1717" t="str">
            <v>PC</v>
          </cell>
          <cell r="D1717">
            <v>0</v>
          </cell>
          <cell r="E1717">
            <v>1184858</v>
          </cell>
          <cell r="F1717">
            <v>0</v>
          </cell>
        </row>
        <row r="1718">
          <cell r="A1718" t="str">
            <v>CT-06-F</v>
          </cell>
          <cell r="B1718" t="str">
            <v>RELIEF VALVE VICKERS (CT-06-F)</v>
          </cell>
          <cell r="C1718" t="str">
            <v>PC</v>
          </cell>
          <cell r="D1718">
            <v>0</v>
          </cell>
          <cell r="E1718">
            <v>969630</v>
          </cell>
          <cell r="F1718">
            <v>0</v>
          </cell>
        </row>
        <row r="1719">
          <cell r="A1719" t="str">
            <v>CT-10-C-2</v>
          </cell>
          <cell r="B1719" t="str">
            <v>RELIEF VALVE VICKERS (CT-10-F)</v>
          </cell>
          <cell r="C1719" t="str">
            <v>PC</v>
          </cell>
          <cell r="D1719">
            <v>0</v>
          </cell>
          <cell r="E1719">
            <v>1788143</v>
          </cell>
          <cell r="F1719">
            <v>0</v>
          </cell>
        </row>
        <row r="1720">
          <cell r="A1720" t="str">
            <v>CT-10-C-20</v>
          </cell>
          <cell r="B1720" t="str">
            <v xml:space="preserve"> RELIEF VALVE VICKERS</v>
          </cell>
          <cell r="C1720" t="str">
            <v>PC</v>
          </cell>
          <cell r="D1720">
            <v>0</v>
          </cell>
          <cell r="E1720">
            <v>1826874</v>
          </cell>
          <cell r="F1720">
            <v>0</v>
          </cell>
        </row>
        <row r="1721">
          <cell r="A1721" t="str">
            <v>CT8P1-10</v>
          </cell>
          <cell r="B1721" t="str">
            <v>CHECK VALVE VICKERS</v>
          </cell>
          <cell r="C1721" t="str">
            <v>PC</v>
          </cell>
          <cell r="D1721">
            <v>0</v>
          </cell>
          <cell r="E1721">
            <v>782850</v>
          </cell>
          <cell r="F1721">
            <v>0</v>
          </cell>
        </row>
        <row r="1722">
          <cell r="A1722" t="str">
            <v>CV109</v>
          </cell>
          <cell r="B1722" t="str">
            <v>CHECK VALVE  1,5" (CV109)</v>
          </cell>
          <cell r="C1722" t="str">
            <v>PC</v>
          </cell>
          <cell r="D1722">
            <v>0</v>
          </cell>
          <cell r="E1722">
            <v>781187</v>
          </cell>
          <cell r="F1722">
            <v>0</v>
          </cell>
        </row>
        <row r="1723">
          <cell r="A1723" t="str">
            <v>CV-250</v>
          </cell>
          <cell r="B1723" t="str">
            <v xml:space="preserve"> CHECK VALVE 2,5" KIT</v>
          </cell>
          <cell r="C1723" t="str">
            <v>PC</v>
          </cell>
          <cell r="D1723">
            <v>1</v>
          </cell>
          <cell r="E1723">
            <v>588800</v>
          </cell>
          <cell r="F1723">
            <v>588800</v>
          </cell>
        </row>
        <row r="1724">
          <cell r="A1724" t="str">
            <v>CY2-F181000</v>
          </cell>
          <cell r="B1724" t="str">
            <v>SWING DUMPER</v>
          </cell>
          <cell r="C1724" t="str">
            <v>PC</v>
          </cell>
          <cell r="D1724">
            <v>2</v>
          </cell>
          <cell r="E1724">
            <v>119700</v>
          </cell>
          <cell r="F1724">
            <v>239400</v>
          </cell>
        </row>
        <row r="1725">
          <cell r="A1725" t="str">
            <v>CY2-F51000P</v>
          </cell>
          <cell r="B1725" t="str">
            <v>PIN RLG55</v>
          </cell>
          <cell r="C1725" t="str">
            <v>PC</v>
          </cell>
          <cell r="D1725">
            <v>5</v>
          </cell>
          <cell r="E1725">
            <v>196650</v>
          </cell>
          <cell r="F1725">
            <v>983250</v>
          </cell>
        </row>
        <row r="1726">
          <cell r="A1726" t="str">
            <v>CY2-F54000P</v>
          </cell>
          <cell r="B1726" t="str">
            <v>PIN RLG55</v>
          </cell>
          <cell r="C1726" t="str">
            <v>PC</v>
          </cell>
          <cell r="D1726">
            <v>0</v>
          </cell>
          <cell r="E1726">
            <v>91217</v>
          </cell>
          <cell r="F1726">
            <v>0</v>
          </cell>
        </row>
        <row r="1727">
          <cell r="A1727" t="str">
            <v>CY2-F54000P-2</v>
          </cell>
          <cell r="B1727" t="str">
            <v>PIN (HARDENED 45-50 HRC)</v>
          </cell>
          <cell r="C1727" t="str">
            <v>PC</v>
          </cell>
          <cell r="D1727">
            <v>0</v>
          </cell>
          <cell r="E1727">
            <v>0</v>
          </cell>
          <cell r="F1727">
            <v>0</v>
          </cell>
        </row>
        <row r="1728">
          <cell r="A1728" t="str">
            <v>CY2-F55000P</v>
          </cell>
          <cell r="B1728" t="str">
            <v xml:space="preserve"> PIN RLG55-HARDENNED</v>
          </cell>
          <cell r="C1728" t="str">
            <v>PC</v>
          </cell>
          <cell r="D1728">
            <v>0</v>
          </cell>
          <cell r="E1728">
            <v>270750</v>
          </cell>
          <cell r="F1728">
            <v>0</v>
          </cell>
        </row>
        <row r="1729">
          <cell r="A1729" t="str">
            <v>CY2-F55000P-2</v>
          </cell>
          <cell r="B1729" t="str">
            <v>PIN (HARDENED 45-50 HRC)</v>
          </cell>
          <cell r="C1729" t="str">
            <v>PC</v>
          </cell>
          <cell r="D1729">
            <v>0</v>
          </cell>
          <cell r="E1729">
            <v>0</v>
          </cell>
          <cell r="F1729">
            <v>0</v>
          </cell>
        </row>
        <row r="1730">
          <cell r="A1730" t="str">
            <v>CY2-F560000</v>
          </cell>
          <cell r="B1730" t="str">
            <v>HANGER</v>
          </cell>
          <cell r="C1730" t="str">
            <v>PC</v>
          </cell>
          <cell r="D1730">
            <v>2</v>
          </cell>
          <cell r="E1730">
            <v>636862</v>
          </cell>
          <cell r="F1730">
            <v>1273724</v>
          </cell>
        </row>
        <row r="1731">
          <cell r="A1731" t="str">
            <v>CY2-F57000P</v>
          </cell>
          <cell r="B1731" t="str">
            <v>LINK</v>
          </cell>
          <cell r="C1731" t="str">
            <v>PC</v>
          </cell>
          <cell r="D1731">
            <v>0</v>
          </cell>
          <cell r="E1731">
            <v>0</v>
          </cell>
          <cell r="F1731">
            <v>0</v>
          </cell>
        </row>
        <row r="1732">
          <cell r="A1732" t="str">
            <v>CY2-F5B000P</v>
          </cell>
          <cell r="B1732" t="str">
            <v>RING</v>
          </cell>
          <cell r="C1732" t="str">
            <v>PC</v>
          </cell>
          <cell r="D1732">
            <v>0</v>
          </cell>
          <cell r="E1732">
            <v>0</v>
          </cell>
          <cell r="F1732">
            <v>0</v>
          </cell>
        </row>
        <row r="1733">
          <cell r="A1733" t="str">
            <v>CY2-F5E000P</v>
          </cell>
          <cell r="B1733" t="str">
            <v>SAFETY PLATE</v>
          </cell>
          <cell r="C1733" t="str">
            <v>PC</v>
          </cell>
          <cell r="D1733">
            <v>0</v>
          </cell>
          <cell r="E1733">
            <v>0</v>
          </cell>
          <cell r="F1733">
            <v>0</v>
          </cell>
        </row>
        <row r="1734">
          <cell r="A1734" t="str">
            <v>CY2-F61000P</v>
          </cell>
          <cell r="B1734" t="str">
            <v>HANGER</v>
          </cell>
          <cell r="C1734" t="str">
            <v>PC</v>
          </cell>
          <cell r="D1734">
            <v>0</v>
          </cell>
          <cell r="E1734">
            <v>0</v>
          </cell>
          <cell r="F1734">
            <v>0</v>
          </cell>
        </row>
        <row r="1735">
          <cell r="A1735" t="str">
            <v>CY2-F62000P</v>
          </cell>
          <cell r="B1735" t="str">
            <v>CLAW (LH)</v>
          </cell>
          <cell r="C1735" t="str">
            <v>PC</v>
          </cell>
          <cell r="D1735">
            <v>0</v>
          </cell>
          <cell r="E1735">
            <v>0</v>
          </cell>
          <cell r="F1735">
            <v>0</v>
          </cell>
        </row>
        <row r="1736">
          <cell r="A1736" t="str">
            <v>CY2-F63000P</v>
          </cell>
          <cell r="B1736" t="str">
            <v>CLAW (RH)</v>
          </cell>
          <cell r="C1736" t="str">
            <v>PC</v>
          </cell>
          <cell r="D1736">
            <v>0</v>
          </cell>
          <cell r="E1736">
            <v>0</v>
          </cell>
          <cell r="F1736">
            <v>0</v>
          </cell>
        </row>
        <row r="1737">
          <cell r="A1737" t="str">
            <v>CY2-F64000P</v>
          </cell>
          <cell r="B1737" t="str">
            <v>PIN</v>
          </cell>
          <cell r="C1737" t="str">
            <v>PC</v>
          </cell>
          <cell r="D1737">
            <v>2</v>
          </cell>
          <cell r="E1737">
            <v>452150</v>
          </cell>
          <cell r="F1737">
            <v>904300</v>
          </cell>
        </row>
        <row r="1738">
          <cell r="A1738" t="str">
            <v>CY2-F64100P</v>
          </cell>
          <cell r="B1738" t="str">
            <v>PIN (HARDENED 45-55 HRC)</v>
          </cell>
          <cell r="C1738" t="str">
            <v>PC</v>
          </cell>
          <cell r="D1738">
            <v>0</v>
          </cell>
          <cell r="E1738">
            <v>0</v>
          </cell>
          <cell r="F1738">
            <v>0</v>
          </cell>
        </row>
        <row r="1739">
          <cell r="A1739" t="str">
            <v>CY2-F64200P</v>
          </cell>
          <cell r="B1739" t="str">
            <v>PLATE</v>
          </cell>
          <cell r="C1739" t="str">
            <v>PC</v>
          </cell>
          <cell r="D1739">
            <v>0</v>
          </cell>
          <cell r="E1739">
            <v>0</v>
          </cell>
          <cell r="F1739">
            <v>0</v>
          </cell>
        </row>
        <row r="1740">
          <cell r="A1740" t="str">
            <v>CY2-F65000P-0</v>
          </cell>
          <cell r="B1740" t="str">
            <v>STOPPER PLATE</v>
          </cell>
          <cell r="C1740" t="str">
            <v>PC</v>
          </cell>
          <cell r="D1740">
            <v>0</v>
          </cell>
          <cell r="E1740">
            <v>0</v>
          </cell>
          <cell r="F1740">
            <v>0</v>
          </cell>
        </row>
        <row r="1741">
          <cell r="A1741" t="str">
            <v>CY2-F66000P</v>
          </cell>
          <cell r="B1741" t="str">
            <v>PIN</v>
          </cell>
          <cell r="C1741" t="str">
            <v>PC</v>
          </cell>
          <cell r="D1741">
            <v>0</v>
          </cell>
          <cell r="E1741">
            <v>530100</v>
          </cell>
          <cell r="F1741">
            <v>0</v>
          </cell>
        </row>
        <row r="1742">
          <cell r="A1742" t="str">
            <v>CY2-F66100P</v>
          </cell>
          <cell r="B1742" t="str">
            <v>PIN (HARDENED 45-55 HRC)</v>
          </cell>
          <cell r="C1742" t="str">
            <v>PC</v>
          </cell>
          <cell r="D1742">
            <v>0</v>
          </cell>
          <cell r="E1742">
            <v>0</v>
          </cell>
          <cell r="F1742">
            <v>0</v>
          </cell>
        </row>
        <row r="1743">
          <cell r="A1743" t="str">
            <v>CY2-F67000P</v>
          </cell>
          <cell r="B1743" t="str">
            <v>SHIM</v>
          </cell>
          <cell r="C1743" t="str">
            <v>PC</v>
          </cell>
          <cell r="D1743">
            <v>0</v>
          </cell>
          <cell r="E1743">
            <v>0</v>
          </cell>
          <cell r="F1743">
            <v>0</v>
          </cell>
        </row>
        <row r="1744">
          <cell r="A1744" t="str">
            <v>CY2-F68000P</v>
          </cell>
          <cell r="B1744" t="str">
            <v>STOPPER PLATE</v>
          </cell>
          <cell r="C1744" t="str">
            <v>PC</v>
          </cell>
          <cell r="D1744">
            <v>0</v>
          </cell>
          <cell r="E1744">
            <v>0</v>
          </cell>
          <cell r="F1744">
            <v>0</v>
          </cell>
        </row>
        <row r="1745">
          <cell r="A1745" t="str">
            <v>CY2-F69000P</v>
          </cell>
          <cell r="B1745" t="str">
            <v>STOPPER PLATE</v>
          </cell>
          <cell r="C1745" t="str">
            <v>PC</v>
          </cell>
          <cell r="D1745">
            <v>0</v>
          </cell>
          <cell r="E1745">
            <v>0</v>
          </cell>
          <cell r="F1745">
            <v>0</v>
          </cell>
        </row>
        <row r="1746">
          <cell r="A1746" t="str">
            <v>CY2-F6A000P</v>
          </cell>
          <cell r="B1746" t="str">
            <v>STOPPER PLATE</v>
          </cell>
          <cell r="C1746" t="str">
            <v>PC</v>
          </cell>
          <cell r="D1746">
            <v>0</v>
          </cell>
          <cell r="E1746">
            <v>0</v>
          </cell>
          <cell r="F1746">
            <v>0</v>
          </cell>
        </row>
        <row r="1747">
          <cell r="A1747" t="str">
            <v>CY2-F6B000P</v>
          </cell>
          <cell r="B1747" t="str">
            <v>STOPPER PLATE</v>
          </cell>
          <cell r="C1747" t="str">
            <v>PC</v>
          </cell>
          <cell r="D1747">
            <v>0</v>
          </cell>
          <cell r="E1747">
            <v>0</v>
          </cell>
          <cell r="F1747">
            <v>0</v>
          </cell>
        </row>
        <row r="1748">
          <cell r="A1748" t="str">
            <v>CY2-F6C000P</v>
          </cell>
          <cell r="B1748" t="str">
            <v>STOPPER PLATE</v>
          </cell>
          <cell r="C1748" t="str">
            <v>PC</v>
          </cell>
          <cell r="D1748">
            <v>0</v>
          </cell>
          <cell r="E1748">
            <v>0</v>
          </cell>
          <cell r="F1748">
            <v>0</v>
          </cell>
        </row>
        <row r="1749">
          <cell r="A1749" t="str">
            <v>CY2-FX6000P</v>
          </cell>
          <cell r="B1749" t="str">
            <v>EXTENTION ARM</v>
          </cell>
          <cell r="C1749" t="str">
            <v>PC</v>
          </cell>
          <cell r="D1749">
            <v>0</v>
          </cell>
          <cell r="E1749">
            <v>0</v>
          </cell>
          <cell r="F1749">
            <v>0</v>
          </cell>
        </row>
        <row r="1750">
          <cell r="A1750" t="str">
            <v>CY2-H11000P</v>
          </cell>
          <cell r="B1750" t="str">
            <v>PIPE ASSY</v>
          </cell>
          <cell r="C1750" t="str">
            <v>PC</v>
          </cell>
          <cell r="D1750">
            <v>48</v>
          </cell>
          <cell r="E1750">
            <v>166664</v>
          </cell>
          <cell r="F1750">
            <v>7999872</v>
          </cell>
        </row>
        <row r="1751">
          <cell r="A1751" t="str">
            <v>CY2-H12100P</v>
          </cell>
          <cell r="B1751" t="str">
            <v>CLAMP</v>
          </cell>
          <cell r="C1751" t="str">
            <v>PC</v>
          </cell>
          <cell r="D1751">
            <v>20</v>
          </cell>
          <cell r="E1751">
            <v>48492</v>
          </cell>
          <cell r="F1751">
            <v>969840</v>
          </cell>
        </row>
        <row r="1752">
          <cell r="A1752" t="str">
            <v>CY2-H12200P</v>
          </cell>
          <cell r="B1752" t="str">
            <v>CLAMP</v>
          </cell>
          <cell r="C1752" t="str">
            <v>PC</v>
          </cell>
          <cell r="D1752">
            <v>20</v>
          </cell>
          <cell r="E1752">
            <v>48492</v>
          </cell>
          <cell r="F1752">
            <v>969840</v>
          </cell>
        </row>
        <row r="1753">
          <cell r="A1753" t="str">
            <v>CY2-H13000P</v>
          </cell>
          <cell r="B1753" t="str">
            <v>BLOCK</v>
          </cell>
          <cell r="C1753" t="str">
            <v>PC</v>
          </cell>
          <cell r="D1753">
            <v>10</v>
          </cell>
          <cell r="E1753">
            <v>256200</v>
          </cell>
          <cell r="F1753">
            <v>2562000</v>
          </cell>
        </row>
        <row r="1754">
          <cell r="A1754" t="str">
            <v>CY2-H14000P</v>
          </cell>
          <cell r="B1754" t="str">
            <v>PIPE ASSY</v>
          </cell>
          <cell r="C1754" t="str">
            <v>PC</v>
          </cell>
          <cell r="D1754">
            <v>20</v>
          </cell>
          <cell r="E1754">
            <v>384960</v>
          </cell>
          <cell r="F1754">
            <v>7699200</v>
          </cell>
        </row>
        <row r="1755">
          <cell r="A1755" t="str">
            <v>CY2-H15000P</v>
          </cell>
          <cell r="B1755" t="str">
            <v>BRACKET</v>
          </cell>
          <cell r="C1755" t="str">
            <v>PC</v>
          </cell>
          <cell r="D1755">
            <v>20</v>
          </cell>
          <cell r="E1755">
            <v>38445</v>
          </cell>
          <cell r="F1755">
            <v>768909</v>
          </cell>
        </row>
        <row r="1756">
          <cell r="A1756" t="str">
            <v>CY2-H16000P</v>
          </cell>
          <cell r="B1756" t="str">
            <v>BRACKET</v>
          </cell>
          <cell r="C1756" t="str">
            <v>PC</v>
          </cell>
          <cell r="D1756">
            <v>60</v>
          </cell>
          <cell r="E1756">
            <v>24668</v>
          </cell>
          <cell r="F1756">
            <v>1480054</v>
          </cell>
        </row>
        <row r="1757">
          <cell r="A1757" t="str">
            <v>CY2-H19000P</v>
          </cell>
          <cell r="B1757" t="str">
            <v>PLATE</v>
          </cell>
          <cell r="C1757" t="str">
            <v>PC</v>
          </cell>
          <cell r="D1757">
            <v>4</v>
          </cell>
          <cell r="E1757">
            <v>26190</v>
          </cell>
          <cell r="F1757">
            <v>104760</v>
          </cell>
        </row>
        <row r="1758">
          <cell r="A1758" t="str">
            <v>CY2-H1B000P</v>
          </cell>
          <cell r="B1758" t="str">
            <v>BLOCK</v>
          </cell>
          <cell r="C1758" t="str">
            <v>PC</v>
          </cell>
          <cell r="D1758">
            <v>10</v>
          </cell>
          <cell r="E1758">
            <v>75600</v>
          </cell>
          <cell r="F1758">
            <v>756000</v>
          </cell>
        </row>
        <row r="1759">
          <cell r="A1759" t="str">
            <v>CY2-H1C000P</v>
          </cell>
          <cell r="B1759" t="str">
            <v>PLATE</v>
          </cell>
          <cell r="C1759" t="str">
            <v>PC</v>
          </cell>
          <cell r="D1759">
            <v>4</v>
          </cell>
          <cell r="E1759">
            <v>64440</v>
          </cell>
          <cell r="F1759">
            <v>257760</v>
          </cell>
        </row>
        <row r="1760">
          <cell r="A1760" t="str">
            <v>CY2-H1D000P</v>
          </cell>
          <cell r="B1760" t="str">
            <v>BLOCK</v>
          </cell>
          <cell r="C1760" t="str">
            <v>PC</v>
          </cell>
          <cell r="D1760">
            <v>4</v>
          </cell>
          <cell r="E1760">
            <v>68340</v>
          </cell>
          <cell r="F1760">
            <v>273360</v>
          </cell>
        </row>
        <row r="1761">
          <cell r="A1761" t="str">
            <v>CY2-H1F000P</v>
          </cell>
          <cell r="B1761" t="str">
            <v>PIPE ASSY</v>
          </cell>
          <cell r="C1761" t="str">
            <v>PC</v>
          </cell>
          <cell r="D1761">
            <v>16</v>
          </cell>
          <cell r="E1761">
            <v>154686</v>
          </cell>
          <cell r="F1761">
            <v>2474976</v>
          </cell>
        </row>
        <row r="1762">
          <cell r="A1762" t="str">
            <v>CY2-H21000P</v>
          </cell>
          <cell r="B1762" t="str">
            <v>TUBE</v>
          </cell>
          <cell r="C1762" t="str">
            <v>PC</v>
          </cell>
          <cell r="D1762">
            <v>20</v>
          </cell>
          <cell r="E1762">
            <v>301773</v>
          </cell>
          <cell r="F1762">
            <v>6035455</v>
          </cell>
        </row>
        <row r="1763">
          <cell r="A1763" t="str">
            <v>CY2-H22000P</v>
          </cell>
          <cell r="B1763" t="str">
            <v>BRACKET</v>
          </cell>
          <cell r="C1763" t="str">
            <v>PC</v>
          </cell>
          <cell r="D1763">
            <v>20</v>
          </cell>
          <cell r="E1763">
            <v>90262</v>
          </cell>
          <cell r="F1763">
            <v>1805236</v>
          </cell>
        </row>
        <row r="1764">
          <cell r="A1764" t="str">
            <v>CY2-H23000P</v>
          </cell>
          <cell r="B1764" t="str">
            <v>SEAT PLATE</v>
          </cell>
          <cell r="C1764" t="str">
            <v>PC</v>
          </cell>
          <cell r="D1764">
            <v>10</v>
          </cell>
          <cell r="E1764">
            <v>33900</v>
          </cell>
          <cell r="F1764">
            <v>339000</v>
          </cell>
        </row>
        <row r="1765">
          <cell r="A1765" t="str">
            <v>CY2-H60000P</v>
          </cell>
          <cell r="B1765" t="str">
            <v>HYDRAULIC ACC</v>
          </cell>
          <cell r="C1765" t="str">
            <v>PC</v>
          </cell>
          <cell r="D1765">
            <v>0</v>
          </cell>
          <cell r="E1765">
            <v>0</v>
          </cell>
          <cell r="F1765">
            <v>0</v>
          </cell>
        </row>
        <row r="1766">
          <cell r="A1766" t="str">
            <v>D147/2126</v>
          </cell>
          <cell r="B1766" t="str">
            <v xml:space="preserve"> Nipple</v>
          </cell>
          <cell r="C1766" t="str">
            <v>PC</v>
          </cell>
          <cell r="D1766">
            <v>20</v>
          </cell>
          <cell r="E1766">
            <v>68808</v>
          </cell>
          <cell r="F1766">
            <v>1376158</v>
          </cell>
        </row>
        <row r="1767">
          <cell r="A1767" t="str">
            <v>D15/0412</v>
          </cell>
          <cell r="B1767" t="str">
            <v xml:space="preserve"> DN 3/4JIC-1/4NPT</v>
          </cell>
          <cell r="C1767" t="str">
            <v>PC</v>
          </cell>
          <cell r="D1767">
            <v>0</v>
          </cell>
          <cell r="E1767">
            <v>47999</v>
          </cell>
          <cell r="F1767">
            <v>0</v>
          </cell>
        </row>
        <row r="1768">
          <cell r="A1768" t="str">
            <v>D15/0612</v>
          </cell>
          <cell r="B1768" t="str">
            <v xml:space="preserve"> NIPPLE</v>
          </cell>
          <cell r="C1768" t="str">
            <v>PC</v>
          </cell>
          <cell r="D1768">
            <v>0</v>
          </cell>
          <cell r="E1768">
            <v>40439</v>
          </cell>
          <cell r="F1768">
            <v>0</v>
          </cell>
        </row>
        <row r="1769">
          <cell r="A1769" t="str">
            <v>D15/2026</v>
          </cell>
          <cell r="B1769" t="str">
            <v xml:space="preserve"> NIPPLE</v>
          </cell>
          <cell r="C1769" t="str">
            <v>PC</v>
          </cell>
          <cell r="D1769">
            <v>2</v>
          </cell>
          <cell r="E1769">
            <v>67547</v>
          </cell>
          <cell r="F1769">
            <v>135094</v>
          </cell>
        </row>
        <row r="1770">
          <cell r="A1770" t="str">
            <v>D16/2626</v>
          </cell>
          <cell r="B1770" t="str">
            <v xml:space="preserve"> TUBE WELD</v>
          </cell>
          <cell r="C1770" t="str">
            <v>PC</v>
          </cell>
          <cell r="D1770">
            <v>0</v>
          </cell>
          <cell r="E1770">
            <v>70951</v>
          </cell>
          <cell r="F1770">
            <v>0</v>
          </cell>
        </row>
        <row r="1771">
          <cell r="A1771" t="str">
            <v>D17/0812</v>
          </cell>
          <cell r="B1771" t="str">
            <v>ELBOW</v>
          </cell>
          <cell r="C1771" t="str">
            <v>PC</v>
          </cell>
          <cell r="D1771">
            <v>0</v>
          </cell>
          <cell r="E1771">
            <v>11025</v>
          </cell>
          <cell r="F1771">
            <v>0</v>
          </cell>
        </row>
        <row r="1772">
          <cell r="A1772" t="str">
            <v>D20/121212</v>
          </cell>
          <cell r="B1772" t="str">
            <v xml:space="preserve"> TEE</v>
          </cell>
          <cell r="C1772" t="str">
            <v>PC</v>
          </cell>
          <cell r="D1772">
            <v>0</v>
          </cell>
          <cell r="E1772">
            <v>54830</v>
          </cell>
          <cell r="F1772">
            <v>0</v>
          </cell>
        </row>
        <row r="1773">
          <cell r="A1773" t="str">
            <v>D206/12</v>
          </cell>
          <cell r="B1773" t="str">
            <v>FLANGE, SPLIT</v>
          </cell>
          <cell r="C1773" t="str">
            <v>PC</v>
          </cell>
          <cell r="D1773">
            <v>124</v>
          </cell>
          <cell r="E1773">
            <v>19190</v>
          </cell>
          <cell r="F1773">
            <v>2379560</v>
          </cell>
        </row>
        <row r="1774">
          <cell r="A1774" t="str">
            <v>D206/16</v>
          </cell>
          <cell r="B1774" t="str">
            <v>Split Flange D206/16</v>
          </cell>
          <cell r="C1774" t="str">
            <v>PC</v>
          </cell>
          <cell r="D1774">
            <v>24</v>
          </cell>
          <cell r="E1774">
            <v>56968</v>
          </cell>
          <cell r="F1774">
            <v>1367222</v>
          </cell>
        </row>
        <row r="1775">
          <cell r="A1775" t="str">
            <v>D21/0608</v>
          </cell>
          <cell r="B1775" t="str">
            <v>REDUCER</v>
          </cell>
          <cell r="C1775" t="str">
            <v>PC</v>
          </cell>
          <cell r="D1775">
            <v>0</v>
          </cell>
          <cell r="E1775">
            <v>15362</v>
          </cell>
          <cell r="F1775">
            <v>0</v>
          </cell>
        </row>
        <row r="1776">
          <cell r="A1776" t="str">
            <v>D21/1612</v>
          </cell>
          <cell r="B1776" t="str">
            <v>1"MALE X 3/4 FEMALE</v>
          </cell>
          <cell r="C1776" t="str">
            <v>PC</v>
          </cell>
          <cell r="D1776">
            <v>0</v>
          </cell>
          <cell r="E1776">
            <v>45922</v>
          </cell>
          <cell r="F1776">
            <v>0</v>
          </cell>
        </row>
        <row r="1777">
          <cell r="A1777" t="str">
            <v>D300/16</v>
          </cell>
          <cell r="B1777" t="str">
            <v>HOSE 1"</v>
          </cell>
          <cell r="C1777" t="str">
            <v>M</v>
          </cell>
          <cell r="D1777">
            <v>0</v>
          </cell>
          <cell r="E1777">
            <v>1</v>
          </cell>
          <cell r="F1777">
            <v>0</v>
          </cell>
        </row>
        <row r="1778">
          <cell r="A1778" t="str">
            <v>D4-1612</v>
          </cell>
          <cell r="B1778" t="str">
            <v>NIPPLE 3/4 BSPTX1"BS</v>
          </cell>
          <cell r="C1778" t="str">
            <v>PC</v>
          </cell>
          <cell r="D1778">
            <v>3</v>
          </cell>
          <cell r="E1778">
            <v>21942</v>
          </cell>
          <cell r="F1778">
            <v>65826</v>
          </cell>
        </row>
        <row r="1779">
          <cell r="A1779" t="str">
            <v>D4700/16</v>
          </cell>
          <cell r="B1779" t="str">
            <v>HOSE</v>
          </cell>
          <cell r="C1779" t="str">
            <v>PC</v>
          </cell>
          <cell r="D1779">
            <v>0</v>
          </cell>
          <cell r="E1779">
            <v>1</v>
          </cell>
          <cell r="F1779">
            <v>0</v>
          </cell>
        </row>
        <row r="1780">
          <cell r="A1780" t="str">
            <v>D52/1717</v>
          </cell>
          <cell r="B1780" t="str">
            <v>NIPPLE</v>
          </cell>
          <cell r="C1780" t="str">
            <v>PC</v>
          </cell>
          <cell r="D1780">
            <v>10</v>
          </cell>
          <cell r="E1780">
            <v>13915</v>
          </cell>
          <cell r="F1780">
            <v>139150</v>
          </cell>
        </row>
        <row r="1781">
          <cell r="A1781" t="str">
            <v>D59/02</v>
          </cell>
          <cell r="B1781" t="str">
            <v>PLUG 1/8" BSPT</v>
          </cell>
          <cell r="C1781" t="str">
            <v>PC</v>
          </cell>
          <cell r="D1781">
            <v>0</v>
          </cell>
          <cell r="E1781">
            <v>4629</v>
          </cell>
          <cell r="F1781">
            <v>0</v>
          </cell>
        </row>
        <row r="1782">
          <cell r="A1782" t="str">
            <v>D59/04</v>
          </cell>
          <cell r="B1782" t="str">
            <v xml:space="preserve"> PLUG</v>
          </cell>
          <cell r="C1782" t="str">
            <v>PC</v>
          </cell>
          <cell r="D1782">
            <v>0</v>
          </cell>
          <cell r="E1782">
            <v>15119</v>
          </cell>
          <cell r="F1782">
            <v>0</v>
          </cell>
        </row>
        <row r="1783">
          <cell r="A1783" t="str">
            <v>D600/12</v>
          </cell>
          <cell r="B1783" t="str">
            <v>HOSE</v>
          </cell>
          <cell r="C1783" t="str">
            <v>PC</v>
          </cell>
          <cell r="D1783">
            <v>0</v>
          </cell>
          <cell r="E1783">
            <v>1</v>
          </cell>
          <cell r="F1783">
            <v>0</v>
          </cell>
        </row>
        <row r="1784">
          <cell r="A1784" t="str">
            <v>D67/1208</v>
          </cell>
          <cell r="B1784" t="str">
            <v>SOCKET 3/4 NPTFX1/2 NPT</v>
          </cell>
          <cell r="C1784" t="str">
            <v>PC</v>
          </cell>
          <cell r="D1784">
            <v>0</v>
          </cell>
          <cell r="E1784">
            <v>19746</v>
          </cell>
          <cell r="F1784">
            <v>0</v>
          </cell>
        </row>
        <row r="1785">
          <cell r="A1785" t="str">
            <v>D90/16</v>
          </cell>
          <cell r="B1785" t="str">
            <v>SPUT PLANCE</v>
          </cell>
          <cell r="C1785" t="str">
            <v>PC</v>
          </cell>
          <cell r="D1785">
            <v>17</v>
          </cell>
          <cell r="E1785">
            <v>20832</v>
          </cell>
          <cell r="F1785">
            <v>354144</v>
          </cell>
        </row>
        <row r="1786">
          <cell r="A1786" t="str">
            <v>D90/20</v>
          </cell>
          <cell r="B1786" t="str">
            <v>CSPLIT FLANGE 1 1/4"</v>
          </cell>
          <cell r="C1786" t="str">
            <v>PC</v>
          </cell>
          <cell r="D1786">
            <v>6</v>
          </cell>
          <cell r="E1786">
            <v>44698</v>
          </cell>
          <cell r="F1786">
            <v>268190</v>
          </cell>
        </row>
        <row r="1787">
          <cell r="A1787" t="str">
            <v>D90/24</v>
          </cell>
          <cell r="B1787" t="str">
            <v xml:space="preserve"> SPLIT FLANGE</v>
          </cell>
          <cell r="C1787" t="str">
            <v>PC</v>
          </cell>
          <cell r="D1787">
            <v>6</v>
          </cell>
          <cell r="E1787">
            <v>63437</v>
          </cell>
          <cell r="F1787">
            <v>380624</v>
          </cell>
        </row>
        <row r="1788">
          <cell r="A1788" t="str">
            <v>D90/32</v>
          </cell>
          <cell r="B1788" t="str">
            <v xml:space="preserve"> SPLIT FLANGE 2" </v>
          </cell>
          <cell r="C1788" t="str">
            <v>PC</v>
          </cell>
          <cell r="D1788">
            <v>0</v>
          </cell>
          <cell r="E1788">
            <v>169773</v>
          </cell>
          <cell r="F1788">
            <v>0</v>
          </cell>
        </row>
        <row r="1789">
          <cell r="A1789" t="str">
            <v>DA-81-171717</v>
          </cell>
          <cell r="B1789" t="str">
            <v>TEE CONNECTOR</v>
          </cell>
          <cell r="C1789" t="str">
            <v>PC</v>
          </cell>
          <cell r="D1789">
            <v>4</v>
          </cell>
          <cell r="E1789">
            <v>31740</v>
          </cell>
          <cell r="F1789">
            <v>126960</v>
          </cell>
        </row>
        <row r="1790">
          <cell r="A1790" t="str">
            <v>DA87/262026</v>
          </cell>
          <cell r="B1790" t="str">
            <v xml:space="preserve"> TEE COMBINASI</v>
          </cell>
          <cell r="C1790" t="str">
            <v>PC</v>
          </cell>
          <cell r="D1790">
            <v>0</v>
          </cell>
          <cell r="E1790">
            <v>345009</v>
          </cell>
          <cell r="F1790">
            <v>0</v>
          </cell>
        </row>
        <row r="1791">
          <cell r="A1791" t="str">
            <v>DB15/0412</v>
          </cell>
          <cell r="B1791" t="str">
            <v xml:space="preserve"> NIPLE</v>
          </cell>
          <cell r="C1791" t="str">
            <v>PC</v>
          </cell>
          <cell r="D1791">
            <v>0</v>
          </cell>
          <cell r="E1791">
            <v>47999</v>
          </cell>
          <cell r="F1791">
            <v>0</v>
          </cell>
        </row>
        <row r="1792">
          <cell r="A1792" t="str">
            <v>DB15/2026</v>
          </cell>
          <cell r="B1792" t="str">
            <v>DN 20BSPT-26JIC</v>
          </cell>
          <cell r="C1792" t="str">
            <v>PC</v>
          </cell>
          <cell r="D1792">
            <v>2</v>
          </cell>
          <cell r="E1792">
            <v>78758</v>
          </cell>
          <cell r="F1792">
            <v>157516</v>
          </cell>
        </row>
        <row r="1793">
          <cell r="A1793" t="str">
            <v>DB71/080808</v>
          </cell>
          <cell r="B1793" t="str">
            <v>TEE 1/2"X1/2"X1/2" (M)</v>
          </cell>
          <cell r="C1793" t="str">
            <v>PC</v>
          </cell>
          <cell r="D1793">
            <v>4</v>
          </cell>
          <cell r="E1793">
            <v>28500</v>
          </cell>
          <cell r="F1793">
            <v>114000</v>
          </cell>
        </row>
        <row r="1794">
          <cell r="A1794" t="str">
            <v>DG4V5-2A</v>
          </cell>
          <cell r="B1794" t="str">
            <v>DIRECTION VALVE VICKERS DG4V5-2A</v>
          </cell>
          <cell r="C1794" t="str">
            <v>PC</v>
          </cell>
          <cell r="D1794">
            <v>0</v>
          </cell>
          <cell r="E1794">
            <v>1129220</v>
          </cell>
          <cell r="F1794">
            <v>0</v>
          </cell>
        </row>
        <row r="1795">
          <cell r="A1795" t="str">
            <v>DG5S8-2A</v>
          </cell>
          <cell r="B1795" t="str">
            <v xml:space="preserve"> PILOT VALVE+SUBPLATE</v>
          </cell>
          <cell r="C1795" t="str">
            <v>PC</v>
          </cell>
          <cell r="D1795">
            <v>0</v>
          </cell>
          <cell r="E1795">
            <v>4149614</v>
          </cell>
          <cell r="F1795">
            <v>0</v>
          </cell>
        </row>
        <row r="1796">
          <cell r="A1796" t="str">
            <v>DG5S8-8C-MUH</v>
          </cell>
          <cell r="B1796" t="str">
            <v>SELENOID VALVE C/W SUBPLATE</v>
          </cell>
          <cell r="C1796" t="str">
            <v>PC</v>
          </cell>
          <cell r="D1796">
            <v>0</v>
          </cell>
          <cell r="E1796">
            <v>4537158</v>
          </cell>
          <cell r="F1796">
            <v>0</v>
          </cell>
        </row>
        <row r="1797">
          <cell r="A1797" t="str">
            <v>DG5S-8-C</v>
          </cell>
          <cell r="B1797" t="str">
            <v>DIRECTIONAL VALVE VICKERS</v>
          </cell>
          <cell r="C1797" t="str">
            <v>PC</v>
          </cell>
          <cell r="D1797">
            <v>0</v>
          </cell>
          <cell r="E1797">
            <v>4517667</v>
          </cell>
          <cell r="F1797">
            <v>0</v>
          </cell>
        </row>
        <row r="1798">
          <cell r="A1798" t="str">
            <v>DG-5S8H-2A-S</v>
          </cell>
          <cell r="B1798" t="str">
            <v>PILOT DIRECTIONAL VALVE VICKERS (DG5SH8-</v>
          </cell>
          <cell r="C1798" t="str">
            <v>PC</v>
          </cell>
          <cell r="D1798">
            <v>0</v>
          </cell>
          <cell r="E1798">
            <v>4817308</v>
          </cell>
          <cell r="F1798">
            <v>0</v>
          </cell>
        </row>
        <row r="1799">
          <cell r="A1799" t="str">
            <v>DN-025-K</v>
          </cell>
          <cell r="B1799" t="str">
            <v>DOBLE NIPPLE 1/4" KUNINGAN</v>
          </cell>
          <cell r="C1799" t="str">
            <v>PC</v>
          </cell>
          <cell r="D1799">
            <v>0</v>
          </cell>
          <cell r="E1799">
            <v>10500</v>
          </cell>
          <cell r="F1799">
            <v>0</v>
          </cell>
        </row>
        <row r="1800">
          <cell r="A1800" t="str">
            <v>DN7</v>
          </cell>
          <cell r="B1800" t="str">
            <v>DREADNOUGHT SUSP. 5" ROUND,245 HT</v>
          </cell>
          <cell r="C1800" t="str">
            <v>PC</v>
          </cell>
          <cell r="D1800">
            <v>0</v>
          </cell>
          <cell r="E1800">
            <v>0</v>
          </cell>
          <cell r="F1800">
            <v>0</v>
          </cell>
        </row>
        <row r="1801">
          <cell r="A1801" t="str">
            <v>DOP-1/2-150</v>
          </cell>
          <cell r="B1801" t="str">
            <v>CAP THREAD 1/2" 150P</v>
          </cell>
          <cell r="C1801" t="str">
            <v>PC</v>
          </cell>
          <cell r="D1801">
            <v>21</v>
          </cell>
          <cell r="E1801">
            <v>720</v>
          </cell>
          <cell r="F1801">
            <v>15120</v>
          </cell>
        </row>
        <row r="1802">
          <cell r="A1802" t="str">
            <v>DR512</v>
          </cell>
          <cell r="B1802" t="str">
            <v>O RING DR 5/12</v>
          </cell>
          <cell r="C1802" t="str">
            <v>PC</v>
          </cell>
          <cell r="D1802">
            <v>24</v>
          </cell>
          <cell r="E1802">
            <v>4665</v>
          </cell>
          <cell r="F1802">
            <v>111971</v>
          </cell>
        </row>
        <row r="1803">
          <cell r="A1803" t="str">
            <v>DR516</v>
          </cell>
          <cell r="B1803" t="str">
            <v>O-RING DR5/16</v>
          </cell>
          <cell r="C1803" t="str">
            <v>PC</v>
          </cell>
          <cell r="D1803">
            <v>24</v>
          </cell>
          <cell r="E1803">
            <v>8594</v>
          </cell>
          <cell r="F1803">
            <v>206262</v>
          </cell>
        </row>
        <row r="1804">
          <cell r="A1804" t="str">
            <v>DR520</v>
          </cell>
          <cell r="B1804" t="str">
            <v>O-RING</v>
          </cell>
          <cell r="C1804" t="str">
            <v>PC</v>
          </cell>
          <cell r="D1804">
            <v>7</v>
          </cell>
          <cell r="E1804">
            <v>11804</v>
          </cell>
          <cell r="F1804">
            <v>82628</v>
          </cell>
        </row>
        <row r="1805">
          <cell r="A1805" t="str">
            <v>DR524</v>
          </cell>
          <cell r="B1805" t="str">
            <v>O-RING</v>
          </cell>
          <cell r="C1805" t="str">
            <v>PC</v>
          </cell>
          <cell r="D1805">
            <v>7</v>
          </cell>
          <cell r="E1805">
            <v>14992</v>
          </cell>
          <cell r="F1805">
            <v>104943</v>
          </cell>
        </row>
        <row r="1806">
          <cell r="A1806" t="str">
            <v>DR532</v>
          </cell>
          <cell r="B1806" t="str">
            <v xml:space="preserve"> O-RING 2" SAE </v>
          </cell>
          <cell r="C1806" t="str">
            <v>PC</v>
          </cell>
          <cell r="D1806">
            <v>0</v>
          </cell>
          <cell r="E1806">
            <v>17335</v>
          </cell>
          <cell r="F1806">
            <v>0</v>
          </cell>
        </row>
        <row r="1807">
          <cell r="A1807" t="str">
            <v>DSU04/1212</v>
          </cell>
          <cell r="B1807" t="str">
            <v>Stem Universal DSU 04/1212</v>
          </cell>
          <cell r="C1807" t="str">
            <v>PC</v>
          </cell>
          <cell r="D1807">
            <v>12</v>
          </cell>
          <cell r="E1807">
            <v>38551</v>
          </cell>
          <cell r="F1807">
            <v>462616</v>
          </cell>
        </row>
        <row r="1808">
          <cell r="A1808" t="str">
            <v>DSU87/3012</v>
          </cell>
          <cell r="B1808" t="str">
            <v>STEMP UNIVERSAL DSU 87/3012</v>
          </cell>
          <cell r="C1808" t="str">
            <v>PC</v>
          </cell>
          <cell r="D1808">
            <v>12</v>
          </cell>
          <cell r="E1808">
            <v>59178</v>
          </cell>
          <cell r="F1808">
            <v>710131</v>
          </cell>
        </row>
        <row r="1809">
          <cell r="A1809" t="str">
            <v>DSU97/1712</v>
          </cell>
          <cell r="B1809" t="str">
            <v>L COUPLING</v>
          </cell>
          <cell r="C1809" t="str">
            <v>PC</v>
          </cell>
          <cell r="D1809">
            <v>23</v>
          </cell>
          <cell r="E1809">
            <v>37241</v>
          </cell>
          <cell r="F1809">
            <v>856552</v>
          </cell>
        </row>
        <row r="1810">
          <cell r="A1810" t="str">
            <v>DSU97/1716</v>
          </cell>
          <cell r="B1810" t="str">
            <v xml:space="preserve"> STEMP UNIVERSAL</v>
          </cell>
          <cell r="C1810" t="str">
            <v>PC</v>
          </cell>
          <cell r="D1810">
            <v>44</v>
          </cell>
          <cell r="E1810">
            <v>60916</v>
          </cell>
          <cell r="F1810">
            <v>2680317</v>
          </cell>
        </row>
        <row r="1811">
          <cell r="A1811" t="str">
            <v>DSU97/2116</v>
          </cell>
          <cell r="B1811" t="str">
            <v>STEM UNIVERSAL</v>
          </cell>
          <cell r="C1811" t="str">
            <v>PC</v>
          </cell>
          <cell r="D1811">
            <v>6</v>
          </cell>
          <cell r="E1811">
            <v>61807</v>
          </cell>
          <cell r="F1811">
            <v>370844</v>
          </cell>
        </row>
        <row r="1812">
          <cell r="A1812" t="str">
            <v>DT8P1-03-05</v>
          </cell>
          <cell r="B1812" t="str">
            <v xml:space="preserve"> CHECK VALVE</v>
          </cell>
          <cell r="C1812" t="str">
            <v>PC</v>
          </cell>
          <cell r="D1812">
            <v>0</v>
          </cell>
          <cell r="E1812">
            <v>278898</v>
          </cell>
          <cell r="F1812">
            <v>0</v>
          </cell>
        </row>
        <row r="1813">
          <cell r="A1813" t="str">
            <v>DT8P1-06-05</v>
          </cell>
          <cell r="B1813" t="str">
            <v xml:space="preserve"> CHECK VALVE</v>
          </cell>
          <cell r="C1813" t="str">
            <v>PC</v>
          </cell>
          <cell r="D1813">
            <v>0</v>
          </cell>
          <cell r="E1813">
            <v>323618</v>
          </cell>
          <cell r="F1813">
            <v>0</v>
          </cell>
        </row>
        <row r="1814">
          <cell r="A1814" t="str">
            <v>DT8P1-10</v>
          </cell>
          <cell r="B1814" t="str">
            <v>CHECK VALVE</v>
          </cell>
          <cell r="C1814" t="str">
            <v>PC</v>
          </cell>
          <cell r="D1814">
            <v>2</v>
          </cell>
          <cell r="E1814">
            <v>796588</v>
          </cell>
          <cell r="F1814">
            <v>1593175</v>
          </cell>
        </row>
        <row r="1815">
          <cell r="A1815" t="str">
            <v>DT-8P1-10-05-11</v>
          </cell>
          <cell r="B1815" t="str">
            <v>CHECK VALVE VICKERS DT-8P1-10-05-11</v>
          </cell>
          <cell r="C1815" t="str">
            <v>PC</v>
          </cell>
          <cell r="D1815">
            <v>3</v>
          </cell>
          <cell r="E1815">
            <v>743917</v>
          </cell>
          <cell r="F1815">
            <v>2231752</v>
          </cell>
        </row>
        <row r="1816">
          <cell r="A1816" t="str">
            <v>DT-BP1-03-05-11</v>
          </cell>
          <cell r="B1816" t="str">
            <v>CHECK VALVE VICKERS</v>
          </cell>
          <cell r="C1816" t="str">
            <v>PC</v>
          </cell>
          <cell r="D1816">
            <v>0</v>
          </cell>
          <cell r="E1816">
            <v>273977</v>
          </cell>
          <cell r="F1816">
            <v>0</v>
          </cell>
        </row>
        <row r="1817">
          <cell r="A1817" t="str">
            <v>DV06-CABLE/PTO</v>
          </cell>
          <cell r="B1817" t="str">
            <v>CABLE PTO</v>
          </cell>
          <cell r="C1817" t="str">
            <v>PC</v>
          </cell>
          <cell r="D1817">
            <v>0</v>
          </cell>
          <cell r="E1817">
            <v>300000</v>
          </cell>
          <cell r="F1817">
            <v>0</v>
          </cell>
        </row>
        <row r="1818">
          <cell r="A1818" t="str">
            <v>E01-600-3010</v>
          </cell>
          <cell r="B1818" t="str">
            <v>CYLINDER ASSY</v>
          </cell>
          <cell r="C1818" t="str">
            <v>PC</v>
          </cell>
          <cell r="D1818">
            <v>2</v>
          </cell>
          <cell r="E1818">
            <v>10287600</v>
          </cell>
          <cell r="F1818">
            <v>20575200</v>
          </cell>
        </row>
        <row r="1819">
          <cell r="A1819" t="str">
            <v>E01-600-3020</v>
          </cell>
          <cell r="B1819" t="str">
            <v xml:space="preserve"> HYD CYL SDT TIPPING - SDT 60</v>
          </cell>
          <cell r="C1819" t="str">
            <v>PC</v>
          </cell>
          <cell r="D1819">
            <v>0</v>
          </cell>
          <cell r="E1819">
            <v>8785867</v>
          </cell>
          <cell r="F1819">
            <v>0</v>
          </cell>
        </row>
        <row r="1820">
          <cell r="A1820" t="str">
            <v>E01-600-3020-01</v>
          </cell>
          <cell r="B1820" t="str">
            <v xml:space="preserve"> HYD CYL SDT TIPPING</v>
          </cell>
          <cell r="C1820" t="str">
            <v>PC</v>
          </cell>
          <cell r="D1820">
            <v>4</v>
          </cell>
          <cell r="E1820">
            <v>10542038</v>
          </cell>
          <cell r="F1820">
            <v>42168150</v>
          </cell>
        </row>
        <row r="1821">
          <cell r="A1821" t="str">
            <v>E01-600-3031-00</v>
          </cell>
          <cell r="B1821" t="str">
            <v>HYD CYL SDT DOOR</v>
          </cell>
          <cell r="C1821" t="str">
            <v>PC</v>
          </cell>
          <cell r="D1821">
            <v>5</v>
          </cell>
          <cell r="E1821">
            <v>6175793</v>
          </cell>
          <cell r="F1821">
            <v>30878965</v>
          </cell>
        </row>
        <row r="1822">
          <cell r="A1822" t="str">
            <v>E01-600-3040</v>
          </cell>
          <cell r="B1822" t="str">
            <v>CYLINDER DOOR SDT</v>
          </cell>
          <cell r="C1822" t="str">
            <v>PC</v>
          </cell>
          <cell r="D1822">
            <v>6</v>
          </cell>
          <cell r="E1822">
            <v>6540340</v>
          </cell>
          <cell r="F1822">
            <v>39242041</v>
          </cell>
        </row>
        <row r="1823">
          <cell r="A1823" t="str">
            <v>E049-104-15-020753</v>
          </cell>
          <cell r="B1823" t="str">
            <v xml:space="preserve"> BASE FRAME DIMENSION</v>
          </cell>
          <cell r="C1823" t="str">
            <v>PC</v>
          </cell>
          <cell r="D1823">
            <v>0</v>
          </cell>
          <cell r="E1823">
            <v>12260744</v>
          </cell>
          <cell r="F1823">
            <v>0</v>
          </cell>
        </row>
        <row r="1824">
          <cell r="A1824" t="str">
            <v>E7-5280-2</v>
          </cell>
          <cell r="B1824" t="str">
            <v xml:space="preserve"> KWIK WING PIN</v>
          </cell>
          <cell r="C1824" t="str">
            <v>PC</v>
          </cell>
          <cell r="D1824">
            <v>4</v>
          </cell>
          <cell r="E1824">
            <v>83999</v>
          </cell>
          <cell r="F1824">
            <v>335995</v>
          </cell>
        </row>
        <row r="1825">
          <cell r="A1825" t="str">
            <v>EC1-600-3030</v>
          </cell>
          <cell r="B1825" t="str">
            <v xml:space="preserve"> HYD. CYL SDT50-DOOR</v>
          </cell>
          <cell r="C1825" t="str">
            <v>PC</v>
          </cell>
          <cell r="D1825">
            <v>0</v>
          </cell>
          <cell r="E1825">
            <v>11250000</v>
          </cell>
          <cell r="F1825">
            <v>0</v>
          </cell>
        </row>
        <row r="1826">
          <cell r="A1826" t="str">
            <v>EGESD 22 LR-WD</v>
          </cell>
          <cell r="B1826" t="str">
            <v>STUD ST. PIPE ADAPTOR</v>
          </cell>
          <cell r="C1826" t="str">
            <v>PC</v>
          </cell>
          <cell r="D1826">
            <v>0</v>
          </cell>
          <cell r="E1826">
            <v>56451</v>
          </cell>
          <cell r="F1826">
            <v>0</v>
          </cell>
        </row>
        <row r="1827">
          <cell r="A1827" t="str">
            <v>EGESD30S</v>
          </cell>
          <cell r="B1827" t="str">
            <v>STUD STAND PIPE  1  1/4" NPT</v>
          </cell>
          <cell r="C1827" t="str">
            <v>PC</v>
          </cell>
          <cell r="D1827">
            <v>0</v>
          </cell>
          <cell r="E1827">
            <v>1</v>
          </cell>
          <cell r="F1827">
            <v>0</v>
          </cell>
        </row>
        <row r="1828">
          <cell r="A1828" t="str">
            <v>EGESD30SR-WD</v>
          </cell>
          <cell r="B1828" t="str">
            <v>STUD STAND PIPE</v>
          </cell>
          <cell r="C1828" t="str">
            <v>PC</v>
          </cell>
          <cell r="D1828">
            <v>0</v>
          </cell>
          <cell r="E1828">
            <v>191224</v>
          </cell>
          <cell r="F1828">
            <v>0</v>
          </cell>
        </row>
        <row r="1829">
          <cell r="A1829" t="str">
            <v>EGESD35L/1-1/4NPT</v>
          </cell>
          <cell r="B1829" t="str">
            <v>STUD ST. PIPE ADAPTOR</v>
          </cell>
          <cell r="C1829" t="str">
            <v>PC</v>
          </cell>
          <cell r="D1829">
            <v>0</v>
          </cell>
          <cell r="E1829">
            <v>328397</v>
          </cell>
          <cell r="F1829">
            <v>0</v>
          </cell>
        </row>
        <row r="1830">
          <cell r="A1830" t="str">
            <v>ELC-SYS</v>
          </cell>
          <cell r="B1830" t="str">
            <v>ELECTRIC SYSTEM WATER TANK 50 CAT 773 D</v>
          </cell>
          <cell r="C1830" t="str">
            <v>PC</v>
          </cell>
          <cell r="D1830">
            <v>0</v>
          </cell>
          <cell r="E1830">
            <v>764825</v>
          </cell>
          <cell r="F1830">
            <v>0</v>
          </cell>
        </row>
        <row r="1831">
          <cell r="A1831" t="str">
            <v>ELECT-SBD80</v>
          </cell>
          <cell r="B1831" t="str">
            <v>PAKET ELECTRIC SBD 80</v>
          </cell>
          <cell r="C1831" t="str">
            <v>PC</v>
          </cell>
          <cell r="D1831">
            <v>0</v>
          </cell>
          <cell r="E1831">
            <v>777200</v>
          </cell>
          <cell r="F1831">
            <v>0</v>
          </cell>
        </row>
        <row r="1832">
          <cell r="A1832" t="str">
            <v>EMAIR-300</v>
          </cell>
          <cell r="B1832" t="str">
            <v xml:space="preserve"> HOSE EMAIR 3"</v>
          </cell>
          <cell r="C1832" t="str">
            <v>PC</v>
          </cell>
          <cell r="D1832">
            <v>0</v>
          </cell>
          <cell r="E1832">
            <v>350000</v>
          </cell>
          <cell r="F1832">
            <v>0</v>
          </cell>
        </row>
        <row r="1833">
          <cell r="A1833" t="str">
            <v>EMI004</v>
          </cell>
          <cell r="B1833" t="str">
            <v>INSERT</v>
          </cell>
          <cell r="C1833" t="str">
            <v>PC</v>
          </cell>
          <cell r="D1833">
            <v>0</v>
          </cell>
          <cell r="E1833">
            <v>115832</v>
          </cell>
          <cell r="F1833">
            <v>0</v>
          </cell>
        </row>
        <row r="1834">
          <cell r="A1834" t="str">
            <v>EP-P</v>
          </cell>
          <cell r="B1834" t="str">
            <v>EPOXY PRIMER GREY</v>
          </cell>
          <cell r="C1834" t="str">
            <v>PC</v>
          </cell>
          <cell r="D1834">
            <v>0</v>
          </cell>
          <cell r="E1834">
            <v>1</v>
          </cell>
          <cell r="F1834">
            <v>0</v>
          </cell>
        </row>
        <row r="1835">
          <cell r="A1835" t="str">
            <v>ES3683</v>
          </cell>
          <cell r="B1835" t="str">
            <v xml:space="preserve"> WEAR EDGE/TOPLOCK</v>
          </cell>
          <cell r="C1835" t="str">
            <v>PC</v>
          </cell>
          <cell r="D1835">
            <v>5</v>
          </cell>
          <cell r="E1835">
            <v>5065718</v>
          </cell>
          <cell r="F1835">
            <v>25328589</v>
          </cell>
        </row>
        <row r="1836">
          <cell r="A1836" t="str">
            <v>ES-4410-A</v>
          </cell>
          <cell r="B1836" t="str">
            <v xml:space="preserve"> KWIK WING SHROUD</v>
          </cell>
          <cell r="C1836" t="str">
            <v>PC</v>
          </cell>
          <cell r="D1836">
            <v>0</v>
          </cell>
          <cell r="E1836">
            <v>3460275</v>
          </cell>
          <cell r="F1836">
            <v>0</v>
          </cell>
        </row>
        <row r="1837">
          <cell r="A1837" t="str">
            <v>ES5280</v>
          </cell>
          <cell r="B1837" t="str">
            <v xml:space="preserve"> KWIK WING SHROUD</v>
          </cell>
          <cell r="C1837" t="str">
            <v>PC</v>
          </cell>
          <cell r="D1837">
            <v>1</v>
          </cell>
          <cell r="E1837">
            <v>2016772</v>
          </cell>
          <cell r="F1837">
            <v>2016772</v>
          </cell>
        </row>
        <row r="1838">
          <cell r="A1838" t="str">
            <v>FA57-10</v>
          </cell>
          <cell r="B1838" t="str">
            <v>FILTER FAIREY ANLOR</v>
          </cell>
          <cell r="C1838" t="str">
            <v>PC</v>
          </cell>
          <cell r="D1838">
            <v>1</v>
          </cell>
          <cell r="E1838">
            <v>1</v>
          </cell>
          <cell r="F1838">
            <v>1</v>
          </cell>
        </row>
        <row r="1839">
          <cell r="A1839" t="str">
            <v>FB7-0FA6001</v>
          </cell>
          <cell r="B1839" t="str">
            <v xml:space="preserve"> MUDFLAP PLATE</v>
          </cell>
          <cell r="C1839" t="str">
            <v>PC</v>
          </cell>
          <cell r="D1839">
            <v>0</v>
          </cell>
          <cell r="E1839">
            <v>11500</v>
          </cell>
          <cell r="F1839">
            <v>0</v>
          </cell>
        </row>
        <row r="1840">
          <cell r="A1840" t="str">
            <v>FD1660021</v>
          </cell>
          <cell r="B1840" t="str">
            <v>FLOW DEVIDER</v>
          </cell>
          <cell r="C1840" t="str">
            <v>PC</v>
          </cell>
          <cell r="D1840">
            <v>0</v>
          </cell>
          <cell r="E1840">
            <v>1</v>
          </cell>
          <cell r="F1840">
            <v>0</v>
          </cell>
        </row>
        <row r="1841">
          <cell r="A1841" t="str">
            <v>FL-12X24</v>
          </cell>
          <cell r="B1841" t="str">
            <v xml:space="preserve"> FLAP TYRE 12X24-BS</v>
          </cell>
          <cell r="C1841" t="str">
            <v>PC</v>
          </cell>
          <cell r="D1841">
            <v>0</v>
          </cell>
          <cell r="E1841">
            <v>55000</v>
          </cell>
          <cell r="F1841">
            <v>0</v>
          </cell>
        </row>
        <row r="1842">
          <cell r="A1842" t="str">
            <v>FL-32</v>
          </cell>
          <cell r="B1842" t="str">
            <v>SPLIT FLANGE 2"</v>
          </cell>
          <cell r="C1842" t="str">
            <v>PC</v>
          </cell>
          <cell r="D1842">
            <v>0</v>
          </cell>
          <cell r="E1842">
            <v>120548</v>
          </cell>
          <cell r="F1842">
            <v>0</v>
          </cell>
        </row>
        <row r="1843">
          <cell r="A1843" t="str">
            <v>FLEX-J20</v>
          </cell>
          <cell r="B1843" t="str">
            <v xml:space="preserve"> FLEXSIBLE JOINT 2"</v>
          </cell>
          <cell r="C1843" t="str">
            <v>PC</v>
          </cell>
          <cell r="D1843">
            <v>1</v>
          </cell>
          <cell r="E1843">
            <v>437500</v>
          </cell>
          <cell r="F1843">
            <v>437500</v>
          </cell>
        </row>
        <row r="1844">
          <cell r="A1844" t="str">
            <v>FLEX-J25</v>
          </cell>
          <cell r="B1844" t="str">
            <v>FLEXSIBLE JOINT 2,5"</v>
          </cell>
          <cell r="C1844" t="str">
            <v>PC</v>
          </cell>
          <cell r="D1844">
            <v>1</v>
          </cell>
          <cell r="E1844">
            <v>525000</v>
          </cell>
          <cell r="F1844">
            <v>525000</v>
          </cell>
        </row>
        <row r="1845">
          <cell r="A1845" t="str">
            <v>FLEX-J5</v>
          </cell>
          <cell r="B1845" t="str">
            <v xml:space="preserve"> FLEXSIBLE JOINT 2,5"</v>
          </cell>
          <cell r="C1845" t="str">
            <v>PC</v>
          </cell>
          <cell r="D1845">
            <v>0</v>
          </cell>
          <cell r="E1845">
            <v>525000</v>
          </cell>
          <cell r="F1845">
            <v>0</v>
          </cell>
        </row>
        <row r="1846">
          <cell r="A1846" t="str">
            <v>FN-03-11</v>
          </cell>
          <cell r="B1846" t="str">
            <v>FLOW CONTROL VICKERS FN-03-11</v>
          </cell>
          <cell r="C1846" t="str">
            <v>PC</v>
          </cell>
          <cell r="D1846">
            <v>0</v>
          </cell>
          <cell r="E1846">
            <v>722303</v>
          </cell>
          <cell r="F1846">
            <v>0</v>
          </cell>
        </row>
        <row r="1847">
          <cell r="A1847" t="str">
            <v>FN-06</v>
          </cell>
          <cell r="B1847" t="str">
            <v>FLOW CONTROL</v>
          </cell>
          <cell r="C1847" t="str">
            <v>PC</v>
          </cell>
          <cell r="D1847">
            <v>1</v>
          </cell>
          <cell r="E1847">
            <v>910159</v>
          </cell>
          <cell r="F1847">
            <v>910159</v>
          </cell>
        </row>
        <row r="1848">
          <cell r="A1848" t="str">
            <v>FN-06-21</v>
          </cell>
          <cell r="B1848" t="str">
            <v>FLOW CONTROL VICKERS FN-06-21</v>
          </cell>
          <cell r="C1848" t="str">
            <v>PC</v>
          </cell>
          <cell r="D1848">
            <v>0</v>
          </cell>
          <cell r="E1848">
            <v>969630</v>
          </cell>
          <cell r="F1848">
            <v>0</v>
          </cell>
        </row>
        <row r="1849">
          <cell r="A1849" t="str">
            <v>FN-10-11-B</v>
          </cell>
          <cell r="B1849" t="str">
            <v>FLOW CONTROL VICKERS FN-10-11</v>
          </cell>
          <cell r="C1849" t="str">
            <v>PC</v>
          </cell>
          <cell r="D1849">
            <v>0</v>
          </cell>
          <cell r="E1849">
            <v>1542939</v>
          </cell>
          <cell r="F1849">
            <v>0</v>
          </cell>
        </row>
        <row r="1850">
          <cell r="A1850" t="str">
            <v>FSK 125X100</v>
          </cell>
          <cell r="B1850" t="str">
            <v>EBARA PUMP</v>
          </cell>
          <cell r="C1850" t="str">
            <v>PC</v>
          </cell>
          <cell r="D1850">
            <v>1</v>
          </cell>
          <cell r="E1850">
            <v>2205000</v>
          </cell>
          <cell r="F1850">
            <v>2205000</v>
          </cell>
        </row>
        <row r="1851">
          <cell r="A1851" t="str">
            <v>FT1-0B4000P</v>
          </cell>
          <cell r="B1851" t="str">
            <v xml:space="preserve"> SUPPORT</v>
          </cell>
          <cell r="C1851" t="str">
            <v>PC</v>
          </cell>
          <cell r="D1851">
            <v>65</v>
          </cell>
          <cell r="E1851">
            <v>240000</v>
          </cell>
          <cell r="F1851">
            <v>15600000</v>
          </cell>
        </row>
        <row r="1852">
          <cell r="A1852" t="str">
            <v>FT1-0BG100P</v>
          </cell>
          <cell r="B1852" t="str">
            <v xml:space="preserve"> PLATE</v>
          </cell>
          <cell r="C1852" t="str">
            <v>PC</v>
          </cell>
          <cell r="D1852">
            <v>0</v>
          </cell>
          <cell r="E1852">
            <v>1</v>
          </cell>
          <cell r="F1852">
            <v>0</v>
          </cell>
        </row>
        <row r="1853">
          <cell r="A1853" t="str">
            <v>FT1-0BG200P</v>
          </cell>
          <cell r="B1853" t="str">
            <v>COVER</v>
          </cell>
          <cell r="C1853" t="str">
            <v>PC</v>
          </cell>
          <cell r="D1853">
            <v>109</v>
          </cell>
          <cell r="E1853">
            <v>4642</v>
          </cell>
          <cell r="F1853">
            <v>505995</v>
          </cell>
        </row>
        <row r="1854">
          <cell r="A1854" t="str">
            <v>FT1-0G1000P</v>
          </cell>
          <cell r="B1854" t="str">
            <v xml:space="preserve"> FENDER RH</v>
          </cell>
          <cell r="C1854" t="str">
            <v>PC</v>
          </cell>
          <cell r="D1854">
            <v>0</v>
          </cell>
          <cell r="E1854">
            <v>410000</v>
          </cell>
          <cell r="F1854">
            <v>0</v>
          </cell>
        </row>
        <row r="1855">
          <cell r="A1855" t="str">
            <v>FT1-0G2000P</v>
          </cell>
          <cell r="B1855" t="str">
            <v xml:space="preserve"> FENDER LH</v>
          </cell>
          <cell r="C1855" t="str">
            <v>PC</v>
          </cell>
          <cell r="D1855">
            <v>0</v>
          </cell>
          <cell r="E1855">
            <v>410000</v>
          </cell>
          <cell r="F1855">
            <v>0</v>
          </cell>
        </row>
        <row r="1856">
          <cell r="A1856" t="str">
            <v>FT1-0G4000P</v>
          </cell>
          <cell r="B1856" t="str">
            <v xml:space="preserve"> DOUBLER</v>
          </cell>
          <cell r="C1856" t="str">
            <v>PC</v>
          </cell>
          <cell r="D1856">
            <v>0</v>
          </cell>
          <cell r="E1856">
            <v>9500</v>
          </cell>
          <cell r="F1856">
            <v>0</v>
          </cell>
        </row>
        <row r="1857">
          <cell r="A1857" t="str">
            <v>FT1-0M2000P</v>
          </cell>
          <cell r="B1857" t="str">
            <v xml:space="preserve"> TOOL BOX FT 10KL</v>
          </cell>
          <cell r="C1857" t="str">
            <v>PC</v>
          </cell>
          <cell r="D1857">
            <v>0</v>
          </cell>
          <cell r="E1857">
            <v>800000</v>
          </cell>
          <cell r="F1857">
            <v>0</v>
          </cell>
        </row>
        <row r="1858">
          <cell r="A1858" t="str">
            <v>FT1-0M3000P</v>
          </cell>
          <cell r="B1858" t="str">
            <v xml:space="preserve"> BRACKET</v>
          </cell>
          <cell r="C1858" t="str">
            <v>PC</v>
          </cell>
          <cell r="D1858">
            <v>0</v>
          </cell>
          <cell r="E1858">
            <v>115000</v>
          </cell>
          <cell r="F1858">
            <v>0</v>
          </cell>
        </row>
        <row r="1859">
          <cell r="A1859" t="str">
            <v>FT1-0R0000P</v>
          </cell>
          <cell r="B1859" t="str">
            <v>POSITIONER PIPING</v>
          </cell>
          <cell r="C1859" t="str">
            <v>PC</v>
          </cell>
          <cell r="D1859">
            <v>0</v>
          </cell>
          <cell r="E1859">
            <v>1</v>
          </cell>
          <cell r="F1859">
            <v>0</v>
          </cell>
        </row>
        <row r="1860">
          <cell r="A1860" t="str">
            <v>FT1-6B0000P</v>
          </cell>
          <cell r="B1860" t="str">
            <v xml:space="preserve"> BODY ASSY</v>
          </cell>
          <cell r="C1860" t="str">
            <v>PC</v>
          </cell>
          <cell r="D1860">
            <v>0</v>
          </cell>
          <cell r="E1860">
            <v>0</v>
          </cell>
          <cell r="F1860">
            <v>0</v>
          </cell>
        </row>
        <row r="1861">
          <cell r="A1861" t="str">
            <v>FT1-6B2110P</v>
          </cell>
          <cell r="B1861" t="str">
            <v>PLATE</v>
          </cell>
          <cell r="C1861" t="str">
            <v>PC</v>
          </cell>
          <cell r="D1861">
            <v>0</v>
          </cell>
          <cell r="E1861">
            <v>609352</v>
          </cell>
          <cell r="F1861">
            <v>0</v>
          </cell>
        </row>
        <row r="1862">
          <cell r="A1862" t="str">
            <v>FT1-6B2120P</v>
          </cell>
          <cell r="B1862" t="str">
            <v>PLATE</v>
          </cell>
          <cell r="C1862" t="str">
            <v>PC</v>
          </cell>
          <cell r="D1862">
            <v>0</v>
          </cell>
          <cell r="E1862">
            <v>609352</v>
          </cell>
          <cell r="F1862">
            <v>0</v>
          </cell>
        </row>
        <row r="1863">
          <cell r="A1863" t="str">
            <v>FT1-6B2160P</v>
          </cell>
          <cell r="B1863" t="str">
            <v>HEAD</v>
          </cell>
          <cell r="C1863" t="str">
            <v>PC</v>
          </cell>
          <cell r="D1863">
            <v>0</v>
          </cell>
          <cell r="E1863">
            <v>484709</v>
          </cell>
          <cell r="F1863">
            <v>0</v>
          </cell>
        </row>
        <row r="1864">
          <cell r="A1864" t="str">
            <v>FT1-6B2171P</v>
          </cell>
          <cell r="B1864" t="str">
            <v>PLATE</v>
          </cell>
          <cell r="C1864" t="str">
            <v>PC</v>
          </cell>
          <cell r="D1864">
            <v>0</v>
          </cell>
          <cell r="E1864">
            <v>285283</v>
          </cell>
          <cell r="F1864">
            <v>0</v>
          </cell>
        </row>
        <row r="1865">
          <cell r="A1865" t="str">
            <v>FT1-6B2172P</v>
          </cell>
          <cell r="B1865" t="str">
            <v>PLATE</v>
          </cell>
          <cell r="C1865" t="str">
            <v>PC</v>
          </cell>
          <cell r="D1865">
            <v>0</v>
          </cell>
          <cell r="E1865">
            <v>67435</v>
          </cell>
          <cell r="F1865">
            <v>0</v>
          </cell>
        </row>
        <row r="1866">
          <cell r="A1866" t="str">
            <v>FT1-6B2181P</v>
          </cell>
          <cell r="B1866" t="str">
            <v>PLATE</v>
          </cell>
          <cell r="C1866" t="str">
            <v>PC</v>
          </cell>
          <cell r="D1866">
            <v>0</v>
          </cell>
          <cell r="E1866">
            <v>276927</v>
          </cell>
          <cell r="F1866">
            <v>0</v>
          </cell>
        </row>
        <row r="1867">
          <cell r="A1867" t="str">
            <v>FT1-6B2182P</v>
          </cell>
          <cell r="B1867" t="str">
            <v>PLATE</v>
          </cell>
          <cell r="C1867" t="str">
            <v>PC</v>
          </cell>
          <cell r="D1867">
            <v>0</v>
          </cell>
          <cell r="E1867">
            <v>46334</v>
          </cell>
          <cell r="F1867">
            <v>0</v>
          </cell>
        </row>
        <row r="1868">
          <cell r="A1868" t="str">
            <v>FT1-6B2190P</v>
          </cell>
          <cell r="B1868" t="str">
            <v>PLATE</v>
          </cell>
          <cell r="C1868" t="str">
            <v>PC</v>
          </cell>
          <cell r="D1868">
            <v>0</v>
          </cell>
          <cell r="E1868">
            <v>18066</v>
          </cell>
          <cell r="F1868">
            <v>0</v>
          </cell>
        </row>
        <row r="1869">
          <cell r="A1869" t="str">
            <v>FT1-6B21B0P</v>
          </cell>
          <cell r="B1869" t="str">
            <v>PLATE</v>
          </cell>
          <cell r="C1869" t="str">
            <v>PC</v>
          </cell>
          <cell r="D1869">
            <v>0</v>
          </cell>
          <cell r="E1869">
            <v>22442</v>
          </cell>
          <cell r="F1869">
            <v>0</v>
          </cell>
        </row>
        <row r="1870">
          <cell r="A1870" t="str">
            <v>FT1-6B2411P-M</v>
          </cell>
          <cell r="B1870" t="str">
            <v>PLATE</v>
          </cell>
          <cell r="C1870" t="str">
            <v>PC</v>
          </cell>
          <cell r="D1870">
            <v>0</v>
          </cell>
          <cell r="E1870">
            <v>226341</v>
          </cell>
          <cell r="F1870">
            <v>0</v>
          </cell>
        </row>
        <row r="1871">
          <cell r="A1871" t="str">
            <v>FT1-6B2412P-M</v>
          </cell>
          <cell r="B1871" t="str">
            <v>PLATE</v>
          </cell>
          <cell r="C1871" t="str">
            <v>PC</v>
          </cell>
          <cell r="D1871">
            <v>0</v>
          </cell>
          <cell r="E1871">
            <v>174109</v>
          </cell>
          <cell r="F1871">
            <v>0</v>
          </cell>
        </row>
        <row r="1872">
          <cell r="A1872" t="str">
            <v>FT1-6B2421P-M</v>
          </cell>
          <cell r="B1872" t="str">
            <v>PLATE</v>
          </cell>
          <cell r="C1872" t="str">
            <v>PC</v>
          </cell>
          <cell r="D1872">
            <v>0</v>
          </cell>
          <cell r="E1872">
            <v>226341</v>
          </cell>
          <cell r="F1872">
            <v>0</v>
          </cell>
        </row>
        <row r="1873">
          <cell r="A1873" t="str">
            <v>FT1-6B2422P-M</v>
          </cell>
          <cell r="B1873" t="str">
            <v>PLATE</v>
          </cell>
          <cell r="C1873" t="str">
            <v>PC</v>
          </cell>
          <cell r="D1873">
            <v>0</v>
          </cell>
          <cell r="E1873">
            <v>174109</v>
          </cell>
          <cell r="F1873">
            <v>0</v>
          </cell>
        </row>
        <row r="1874">
          <cell r="A1874" t="str">
            <v>FT1-6B2431P-M</v>
          </cell>
          <cell r="B1874" t="str">
            <v>PLATE</v>
          </cell>
          <cell r="C1874" t="str">
            <v>PC</v>
          </cell>
          <cell r="D1874">
            <v>0</v>
          </cell>
          <cell r="E1874">
            <v>69644</v>
          </cell>
          <cell r="F1874">
            <v>0</v>
          </cell>
        </row>
        <row r="1875">
          <cell r="A1875" t="str">
            <v>FT1-6B2441P-M</v>
          </cell>
          <cell r="B1875" t="str">
            <v>PLATE</v>
          </cell>
          <cell r="C1875" t="str">
            <v>PC</v>
          </cell>
          <cell r="D1875">
            <v>0</v>
          </cell>
          <cell r="E1875">
            <v>15669</v>
          </cell>
          <cell r="F1875">
            <v>0</v>
          </cell>
        </row>
        <row r="1876">
          <cell r="A1876" t="str">
            <v>FT1-6B2451P-M</v>
          </cell>
          <cell r="B1876" t="str">
            <v>PLATE</v>
          </cell>
          <cell r="C1876" t="str">
            <v>PC</v>
          </cell>
          <cell r="D1876">
            <v>0</v>
          </cell>
          <cell r="E1876">
            <v>15669</v>
          </cell>
          <cell r="F1876">
            <v>0</v>
          </cell>
        </row>
        <row r="1877">
          <cell r="A1877" t="str">
            <v>FT1-6B2471P-M</v>
          </cell>
          <cell r="B1877" t="str">
            <v>PLATE</v>
          </cell>
          <cell r="C1877" t="str">
            <v>PC</v>
          </cell>
          <cell r="D1877">
            <v>0</v>
          </cell>
          <cell r="E1877">
            <v>34821</v>
          </cell>
          <cell r="F1877">
            <v>0</v>
          </cell>
        </row>
        <row r="1878">
          <cell r="A1878" t="str">
            <v>FT1-6B2530P</v>
          </cell>
          <cell r="B1878" t="str">
            <v>PLATE</v>
          </cell>
          <cell r="C1878" t="str">
            <v>PC</v>
          </cell>
          <cell r="D1878">
            <v>0</v>
          </cell>
          <cell r="E1878">
            <v>1</v>
          </cell>
          <cell r="F1878">
            <v>0</v>
          </cell>
        </row>
        <row r="1879">
          <cell r="A1879" t="str">
            <v>FT1-6B2530P-M</v>
          </cell>
          <cell r="B1879" t="str">
            <v>PLATE</v>
          </cell>
          <cell r="C1879" t="str">
            <v>PC</v>
          </cell>
          <cell r="D1879">
            <v>0</v>
          </cell>
          <cell r="E1879">
            <v>10500</v>
          </cell>
          <cell r="F1879">
            <v>0</v>
          </cell>
        </row>
        <row r="1880">
          <cell r="A1880" t="str">
            <v>FT1-6B2540P</v>
          </cell>
          <cell r="B1880" t="str">
            <v>PLATE</v>
          </cell>
          <cell r="C1880" t="str">
            <v>PC</v>
          </cell>
          <cell r="D1880">
            <v>0</v>
          </cell>
          <cell r="E1880">
            <v>1</v>
          </cell>
          <cell r="F1880">
            <v>0</v>
          </cell>
        </row>
        <row r="1881">
          <cell r="A1881" t="str">
            <v>FT1-6B2550P</v>
          </cell>
          <cell r="B1881" t="str">
            <v>PLATE</v>
          </cell>
          <cell r="C1881" t="str">
            <v>PC</v>
          </cell>
          <cell r="D1881">
            <v>0</v>
          </cell>
          <cell r="E1881">
            <v>1</v>
          </cell>
          <cell r="F1881">
            <v>0</v>
          </cell>
        </row>
        <row r="1882">
          <cell r="A1882" t="str">
            <v>FT1-6B2560P</v>
          </cell>
          <cell r="B1882" t="str">
            <v>PLATE</v>
          </cell>
          <cell r="C1882" t="str">
            <v>PC</v>
          </cell>
          <cell r="D1882">
            <v>0</v>
          </cell>
          <cell r="E1882">
            <v>1</v>
          </cell>
          <cell r="F1882">
            <v>0</v>
          </cell>
        </row>
        <row r="1883">
          <cell r="A1883" t="str">
            <v>FT1-6BXXXXXX</v>
          </cell>
          <cell r="B1883" t="str">
            <v>MAN HOLE</v>
          </cell>
          <cell r="C1883" t="str">
            <v>PC</v>
          </cell>
          <cell r="D1883">
            <v>0</v>
          </cell>
          <cell r="E1883">
            <v>216000</v>
          </cell>
          <cell r="F1883">
            <v>0</v>
          </cell>
        </row>
        <row r="1884">
          <cell r="A1884" t="str">
            <v>FT1-6F0000P</v>
          </cell>
          <cell r="B1884" t="str">
            <v xml:space="preserve"> FENDER ASSY</v>
          </cell>
          <cell r="C1884" t="str">
            <v>PC</v>
          </cell>
          <cell r="D1884">
            <v>0</v>
          </cell>
          <cell r="E1884">
            <v>0</v>
          </cell>
          <cell r="F1884">
            <v>0</v>
          </cell>
        </row>
        <row r="1885">
          <cell r="A1885" t="str">
            <v>FT1-6F1000P</v>
          </cell>
          <cell r="B1885" t="str">
            <v xml:space="preserve"> FENDER LH</v>
          </cell>
          <cell r="C1885" t="str">
            <v>PC</v>
          </cell>
          <cell r="D1885">
            <v>0</v>
          </cell>
          <cell r="E1885">
            <v>0</v>
          </cell>
          <cell r="F1885">
            <v>0</v>
          </cell>
        </row>
        <row r="1886">
          <cell r="A1886" t="str">
            <v>FT1-6F2000P</v>
          </cell>
          <cell r="B1886" t="str">
            <v xml:space="preserve"> FENDER LH</v>
          </cell>
          <cell r="C1886" t="str">
            <v>PC</v>
          </cell>
          <cell r="D1886">
            <v>0</v>
          </cell>
          <cell r="E1886">
            <v>0</v>
          </cell>
          <cell r="F1886">
            <v>0</v>
          </cell>
        </row>
        <row r="1887">
          <cell r="A1887" t="str">
            <v>FT1-6F3000P</v>
          </cell>
          <cell r="B1887" t="str">
            <v xml:space="preserve"> PIPE</v>
          </cell>
          <cell r="C1887" t="str">
            <v>PC</v>
          </cell>
          <cell r="D1887">
            <v>0</v>
          </cell>
          <cell r="E1887">
            <v>0</v>
          </cell>
          <cell r="F1887">
            <v>0</v>
          </cell>
        </row>
        <row r="1888">
          <cell r="A1888" t="str">
            <v>FT1-6F4000P</v>
          </cell>
          <cell r="B1888" t="str">
            <v xml:space="preserve"> DOUBLER 1</v>
          </cell>
          <cell r="C1888" t="str">
            <v>PC</v>
          </cell>
          <cell r="D1888">
            <v>0</v>
          </cell>
          <cell r="E1888">
            <v>0</v>
          </cell>
          <cell r="F1888">
            <v>0</v>
          </cell>
        </row>
        <row r="1889">
          <cell r="A1889" t="str">
            <v>FT1-6F5000P</v>
          </cell>
          <cell r="B1889" t="str">
            <v xml:space="preserve"> DOUBLER 2</v>
          </cell>
          <cell r="C1889" t="str">
            <v>PC</v>
          </cell>
          <cell r="D1889">
            <v>0</v>
          </cell>
          <cell r="E1889">
            <v>0</v>
          </cell>
          <cell r="F1889">
            <v>0</v>
          </cell>
        </row>
        <row r="1890">
          <cell r="A1890" t="str">
            <v>FT1-6G2100P(1)</v>
          </cell>
          <cell r="B1890" t="str">
            <v>SIDE GUARD</v>
          </cell>
          <cell r="C1890" t="str">
            <v>PC</v>
          </cell>
          <cell r="D1890">
            <v>0</v>
          </cell>
          <cell r="E1890">
            <v>1</v>
          </cell>
          <cell r="F1890">
            <v>0</v>
          </cell>
        </row>
        <row r="1891">
          <cell r="A1891" t="str">
            <v>FT1-6M0000P</v>
          </cell>
          <cell r="B1891" t="str">
            <v xml:space="preserve"> MOUNTING ASSY</v>
          </cell>
          <cell r="C1891" t="str">
            <v>PC</v>
          </cell>
          <cell r="D1891">
            <v>0</v>
          </cell>
          <cell r="E1891">
            <v>0</v>
          </cell>
          <cell r="F1891">
            <v>0</v>
          </cell>
        </row>
        <row r="1892">
          <cell r="A1892" t="str">
            <v>FT1-6M1000P</v>
          </cell>
          <cell r="B1892" t="str">
            <v xml:space="preserve"> BRACKET</v>
          </cell>
          <cell r="C1892" t="str">
            <v>PC</v>
          </cell>
          <cell r="D1892">
            <v>0</v>
          </cell>
          <cell r="E1892">
            <v>166000</v>
          </cell>
          <cell r="F1892">
            <v>0</v>
          </cell>
        </row>
        <row r="1893">
          <cell r="A1893" t="str">
            <v>FT1-6M2100P(1)</v>
          </cell>
          <cell r="B1893" t="str">
            <v>U BOLT ASSY FT 16 SUPPORT</v>
          </cell>
          <cell r="C1893" t="str">
            <v>PC</v>
          </cell>
          <cell r="D1893">
            <v>96</v>
          </cell>
          <cell r="E1893">
            <v>33755</v>
          </cell>
          <cell r="F1893">
            <v>3240480</v>
          </cell>
        </row>
        <row r="1894">
          <cell r="A1894" t="str">
            <v>FT1-6M2200P(1)</v>
          </cell>
          <cell r="B1894" t="str">
            <v>BRACKET ASSY</v>
          </cell>
          <cell r="C1894" t="str">
            <v>PC</v>
          </cell>
          <cell r="D1894">
            <v>100</v>
          </cell>
          <cell r="E1894">
            <v>12500</v>
          </cell>
          <cell r="F1894">
            <v>1250000</v>
          </cell>
        </row>
        <row r="1895">
          <cell r="A1895" t="str">
            <v>FT1-6M2300P(1)</v>
          </cell>
          <cell r="B1895" t="str">
            <v>BRACKET</v>
          </cell>
          <cell r="C1895" t="str">
            <v>PC</v>
          </cell>
          <cell r="D1895">
            <v>48</v>
          </cell>
          <cell r="E1895">
            <v>31000</v>
          </cell>
          <cell r="F1895">
            <v>1488000</v>
          </cell>
        </row>
        <row r="1896">
          <cell r="A1896" t="str">
            <v>FT1-6M2400P(1)</v>
          </cell>
          <cell r="B1896" t="str">
            <v>BRACKET</v>
          </cell>
          <cell r="C1896" t="str">
            <v>PC</v>
          </cell>
          <cell r="D1896">
            <v>16</v>
          </cell>
          <cell r="E1896">
            <v>115000</v>
          </cell>
          <cell r="F1896">
            <v>1840000</v>
          </cell>
        </row>
        <row r="1897">
          <cell r="A1897" t="str">
            <v>FT1-6M2500P(1)</v>
          </cell>
          <cell r="B1897" t="str">
            <v>SPACER 1</v>
          </cell>
          <cell r="C1897" t="str">
            <v>PC</v>
          </cell>
          <cell r="D1897">
            <v>16</v>
          </cell>
          <cell r="E1897">
            <v>27500</v>
          </cell>
          <cell r="F1897">
            <v>440000</v>
          </cell>
        </row>
        <row r="1898">
          <cell r="A1898" t="str">
            <v>FT1-6M2600P(1)</v>
          </cell>
          <cell r="B1898" t="str">
            <v>SPACER 2</v>
          </cell>
          <cell r="C1898" t="str">
            <v>PC</v>
          </cell>
          <cell r="D1898">
            <v>16</v>
          </cell>
          <cell r="E1898">
            <v>27500</v>
          </cell>
          <cell r="F1898">
            <v>440000</v>
          </cell>
        </row>
        <row r="1899">
          <cell r="A1899" t="str">
            <v>FT1-6M2700P(1)</v>
          </cell>
          <cell r="B1899" t="str">
            <v>SPACER 3</v>
          </cell>
          <cell r="C1899" t="str">
            <v>PC</v>
          </cell>
          <cell r="D1899">
            <v>16</v>
          </cell>
          <cell r="E1899">
            <v>27500</v>
          </cell>
          <cell r="F1899">
            <v>440000</v>
          </cell>
        </row>
        <row r="1900">
          <cell r="A1900" t="str">
            <v>FT1-6M4000P</v>
          </cell>
          <cell r="B1900" t="str">
            <v xml:space="preserve"> BOX ASSY</v>
          </cell>
          <cell r="C1900" t="str">
            <v>PC</v>
          </cell>
          <cell r="D1900">
            <v>0</v>
          </cell>
          <cell r="E1900">
            <v>0</v>
          </cell>
          <cell r="F1900">
            <v>0</v>
          </cell>
        </row>
        <row r="1901">
          <cell r="A1901" t="str">
            <v>FT1-6M4100P</v>
          </cell>
          <cell r="B1901" t="str">
            <v xml:space="preserve"> BOX</v>
          </cell>
          <cell r="C1901" t="str">
            <v>PC</v>
          </cell>
          <cell r="D1901">
            <v>0</v>
          </cell>
          <cell r="E1901">
            <v>0</v>
          </cell>
          <cell r="F1901">
            <v>0</v>
          </cell>
        </row>
        <row r="1902">
          <cell r="A1902" t="str">
            <v>FT1-6M4200P</v>
          </cell>
          <cell r="B1902" t="str">
            <v xml:space="preserve"> BRACKET</v>
          </cell>
          <cell r="C1902" t="str">
            <v>PC</v>
          </cell>
          <cell r="D1902">
            <v>0</v>
          </cell>
          <cell r="E1902">
            <v>0</v>
          </cell>
          <cell r="F1902">
            <v>0</v>
          </cell>
        </row>
        <row r="1903">
          <cell r="A1903" t="str">
            <v>FT1-6M4300P</v>
          </cell>
          <cell r="B1903" t="str">
            <v xml:space="preserve"> DOUBLER</v>
          </cell>
          <cell r="C1903" t="str">
            <v>PC</v>
          </cell>
          <cell r="D1903">
            <v>0</v>
          </cell>
          <cell r="E1903">
            <v>0</v>
          </cell>
          <cell r="F1903">
            <v>0</v>
          </cell>
        </row>
        <row r="1904">
          <cell r="A1904" t="str">
            <v>FT1-6PP230P</v>
          </cell>
          <cell r="B1904" t="str">
            <v>PLATE ASSY</v>
          </cell>
          <cell r="C1904" t="str">
            <v>PC</v>
          </cell>
          <cell r="D1904">
            <v>0</v>
          </cell>
          <cell r="E1904">
            <v>14400</v>
          </cell>
          <cell r="F1904">
            <v>0</v>
          </cell>
        </row>
        <row r="1905">
          <cell r="A1905" t="str">
            <v>FT1-6PP240P</v>
          </cell>
          <cell r="B1905" t="str">
            <v>PLATE ASSY</v>
          </cell>
          <cell r="C1905" t="str">
            <v>PC</v>
          </cell>
          <cell r="D1905">
            <v>0</v>
          </cell>
          <cell r="E1905">
            <v>39950</v>
          </cell>
          <cell r="F1905">
            <v>0</v>
          </cell>
        </row>
        <row r="1906">
          <cell r="A1906" t="str">
            <v>FT1-6PP250P</v>
          </cell>
          <cell r="B1906" t="str">
            <v>PIN SEGEL</v>
          </cell>
          <cell r="C1906" t="str">
            <v>PC</v>
          </cell>
          <cell r="D1906">
            <v>0</v>
          </cell>
          <cell r="E1906">
            <v>17500</v>
          </cell>
          <cell r="F1906">
            <v>0</v>
          </cell>
        </row>
        <row r="1907">
          <cell r="A1907" t="str">
            <v>FT1-6PP260P</v>
          </cell>
          <cell r="B1907" t="str">
            <v>PIN 1</v>
          </cell>
          <cell r="C1907" t="str">
            <v>PC</v>
          </cell>
          <cell r="D1907">
            <v>0</v>
          </cell>
          <cell r="E1907">
            <v>17500</v>
          </cell>
          <cell r="F1907">
            <v>0</v>
          </cell>
        </row>
        <row r="1908">
          <cell r="A1908" t="str">
            <v>FT1-6PP270P</v>
          </cell>
          <cell r="B1908" t="str">
            <v>PIN 2</v>
          </cell>
          <cell r="C1908" t="str">
            <v>PC</v>
          </cell>
          <cell r="D1908">
            <v>0</v>
          </cell>
          <cell r="E1908">
            <v>7500</v>
          </cell>
          <cell r="F1908">
            <v>0</v>
          </cell>
        </row>
        <row r="1909">
          <cell r="A1909" t="str">
            <v>FT1-6PP280P</v>
          </cell>
          <cell r="B1909" t="str">
            <v>bracket</v>
          </cell>
          <cell r="C1909" t="str">
            <v>PC</v>
          </cell>
          <cell r="D1909">
            <v>0</v>
          </cell>
          <cell r="E1909">
            <v>14100</v>
          </cell>
          <cell r="F1909">
            <v>0</v>
          </cell>
        </row>
        <row r="1910">
          <cell r="A1910" t="str">
            <v>FT1-6PP2A0P</v>
          </cell>
          <cell r="B1910" t="str">
            <v>BRACKET</v>
          </cell>
          <cell r="C1910" t="str">
            <v>PC</v>
          </cell>
          <cell r="D1910">
            <v>0</v>
          </cell>
          <cell r="E1910">
            <v>9300</v>
          </cell>
          <cell r="F1910">
            <v>0</v>
          </cell>
        </row>
        <row r="1911">
          <cell r="A1911" t="str">
            <v>FT2-0F1110P-M</v>
          </cell>
          <cell r="B1911" t="str">
            <v>Plate</v>
          </cell>
          <cell r="C1911" t="str">
            <v>PC</v>
          </cell>
          <cell r="D1911">
            <v>0</v>
          </cell>
          <cell r="E1911">
            <v>12700</v>
          </cell>
          <cell r="F1911">
            <v>0</v>
          </cell>
        </row>
        <row r="1912">
          <cell r="A1912" t="str">
            <v>FT2-0F1120P-M</v>
          </cell>
          <cell r="B1912" t="str">
            <v>Plate</v>
          </cell>
          <cell r="C1912" t="str">
            <v>PC</v>
          </cell>
          <cell r="D1912">
            <v>0</v>
          </cell>
          <cell r="E1912">
            <v>4200</v>
          </cell>
          <cell r="F1912">
            <v>0</v>
          </cell>
        </row>
        <row r="1913">
          <cell r="A1913" t="str">
            <v>FT2-0F1210P-M</v>
          </cell>
          <cell r="B1913" t="str">
            <v>Plate</v>
          </cell>
          <cell r="C1913" t="str">
            <v>PC</v>
          </cell>
          <cell r="D1913">
            <v>0</v>
          </cell>
          <cell r="E1913">
            <v>12700</v>
          </cell>
          <cell r="F1913">
            <v>0</v>
          </cell>
        </row>
        <row r="1914">
          <cell r="A1914" t="str">
            <v>FT2-0M1000P</v>
          </cell>
          <cell r="B1914" t="str">
            <v xml:space="preserve"> EXTREMITY PLATE RR</v>
          </cell>
          <cell r="C1914" t="str">
            <v>PC</v>
          </cell>
          <cell r="D1914">
            <v>2</v>
          </cell>
          <cell r="E1914">
            <v>34200</v>
          </cell>
          <cell r="F1914">
            <v>68400</v>
          </cell>
        </row>
        <row r="1915">
          <cell r="A1915" t="str">
            <v>FT2-4A0000P</v>
          </cell>
          <cell r="B1915" t="str">
            <v>FT  24 KL BOTTOM LOADING - OLD DESIGN</v>
          </cell>
          <cell r="C1915" t="str">
            <v>PC</v>
          </cell>
          <cell r="D1915">
            <v>0</v>
          </cell>
          <cell r="E1915">
            <v>84189518</v>
          </cell>
          <cell r="F1915">
            <v>0</v>
          </cell>
        </row>
        <row r="1916">
          <cell r="A1916" t="str">
            <v>FT2-4B1211P-M</v>
          </cell>
          <cell r="B1916" t="str">
            <v>PLATE jasa SHP</v>
          </cell>
          <cell r="C1916" t="str">
            <v>PC</v>
          </cell>
          <cell r="D1916">
            <v>0</v>
          </cell>
          <cell r="E1916">
            <v>128919</v>
          </cell>
          <cell r="F1916">
            <v>0</v>
          </cell>
        </row>
        <row r="1917">
          <cell r="A1917" t="str">
            <v>FT2-4B1212P-M</v>
          </cell>
          <cell r="B1917" t="str">
            <v>PLATE jasa SHP</v>
          </cell>
          <cell r="C1917" t="str">
            <v>PC</v>
          </cell>
          <cell r="D1917">
            <v>5</v>
          </cell>
          <cell r="E1917">
            <v>122475</v>
          </cell>
          <cell r="F1917">
            <v>612375</v>
          </cell>
        </row>
        <row r="1918">
          <cell r="A1918" t="str">
            <v>FT2-4B1241P-M</v>
          </cell>
          <cell r="B1918" t="str">
            <v>PLATE jasa SHP</v>
          </cell>
          <cell r="C1918" t="str">
            <v>PC</v>
          </cell>
          <cell r="D1918">
            <v>5</v>
          </cell>
          <cell r="E1918">
            <v>130325</v>
          </cell>
          <cell r="F1918">
            <v>651625</v>
          </cell>
        </row>
        <row r="1919">
          <cell r="A1919" t="str">
            <v>FT2-4B1242P-M</v>
          </cell>
          <cell r="B1919" t="str">
            <v>PLATE jasa SHP</v>
          </cell>
          <cell r="C1919" t="str">
            <v>PC</v>
          </cell>
          <cell r="D1919">
            <v>0</v>
          </cell>
          <cell r="E1919">
            <v>123188</v>
          </cell>
          <cell r="F1919">
            <v>0</v>
          </cell>
        </row>
        <row r="1920">
          <cell r="A1920" t="str">
            <v>FT2-4B1243P-M</v>
          </cell>
          <cell r="B1920" t="str">
            <v>PLATE jasa SHP</v>
          </cell>
          <cell r="C1920" t="str">
            <v>PC</v>
          </cell>
          <cell r="D1920">
            <v>0</v>
          </cell>
          <cell r="E1920">
            <v>128919</v>
          </cell>
          <cell r="F1920">
            <v>0</v>
          </cell>
        </row>
        <row r="1921">
          <cell r="A1921" t="str">
            <v>FT2-4B1311P-M</v>
          </cell>
          <cell r="B1921" t="str">
            <v>PLATE jasa SHP</v>
          </cell>
          <cell r="C1921" t="str">
            <v>PC</v>
          </cell>
          <cell r="D1921">
            <v>0</v>
          </cell>
          <cell r="E1921">
            <v>278686</v>
          </cell>
          <cell r="F1921">
            <v>0</v>
          </cell>
        </row>
        <row r="1922">
          <cell r="A1922" t="str">
            <v>FT2-4B1321P-M</v>
          </cell>
          <cell r="B1922" t="str">
            <v>PLATE jasa SHP</v>
          </cell>
          <cell r="C1922" t="str">
            <v>PC</v>
          </cell>
          <cell r="D1922">
            <v>0</v>
          </cell>
          <cell r="E1922">
            <v>278686</v>
          </cell>
          <cell r="F1922">
            <v>0</v>
          </cell>
        </row>
        <row r="1923">
          <cell r="A1923" t="str">
            <v>FT2-4B1410P</v>
          </cell>
          <cell r="B1923" t="str">
            <v>SKID PLATE</v>
          </cell>
          <cell r="C1923" t="str">
            <v>PC</v>
          </cell>
          <cell r="D1923">
            <v>0</v>
          </cell>
          <cell r="E1923">
            <v>659200</v>
          </cell>
          <cell r="F1923">
            <v>0</v>
          </cell>
        </row>
        <row r="1924">
          <cell r="A1924" t="str">
            <v>FT2-4B1410P-M</v>
          </cell>
          <cell r="B1924" t="str">
            <v>SKID PLATE jasa SHP</v>
          </cell>
          <cell r="C1924" t="str">
            <v>PC</v>
          </cell>
          <cell r="D1924">
            <v>0</v>
          </cell>
          <cell r="E1924">
            <v>484578</v>
          </cell>
          <cell r="F1924">
            <v>0</v>
          </cell>
        </row>
        <row r="1925">
          <cell r="A1925" t="str">
            <v>FT2-4B1510P-M</v>
          </cell>
          <cell r="B1925" t="str">
            <v>FRAME LH</v>
          </cell>
          <cell r="C1925" t="str">
            <v>PC</v>
          </cell>
          <cell r="D1925">
            <v>0</v>
          </cell>
          <cell r="E1925">
            <v>30600</v>
          </cell>
          <cell r="F1925">
            <v>0</v>
          </cell>
        </row>
        <row r="1926">
          <cell r="A1926" t="str">
            <v>FT2-4B1520P-M</v>
          </cell>
          <cell r="B1926" t="str">
            <v>FRAME RH</v>
          </cell>
          <cell r="C1926" t="str">
            <v>PC</v>
          </cell>
          <cell r="D1926">
            <v>0</v>
          </cell>
          <cell r="E1926">
            <v>30600</v>
          </cell>
          <cell r="F1926">
            <v>0</v>
          </cell>
        </row>
        <row r="1927">
          <cell r="A1927" t="str">
            <v>FT2-4B1830P-M</v>
          </cell>
          <cell r="B1927" t="str">
            <v>PLATE</v>
          </cell>
          <cell r="C1927" t="str">
            <v>PC</v>
          </cell>
          <cell r="D1927">
            <v>0</v>
          </cell>
          <cell r="E1927">
            <v>9600</v>
          </cell>
          <cell r="F1927">
            <v>0</v>
          </cell>
        </row>
        <row r="1928">
          <cell r="A1928" t="str">
            <v>FT2-4B1N00P</v>
          </cell>
          <cell r="B1928" t="str">
            <v>DOBLER</v>
          </cell>
          <cell r="C1928" t="str">
            <v>PC</v>
          </cell>
          <cell r="D1928">
            <v>0</v>
          </cell>
          <cell r="E1928">
            <v>169250</v>
          </cell>
          <cell r="F1928">
            <v>0</v>
          </cell>
        </row>
        <row r="1929">
          <cell r="A1929" t="str">
            <v>FT2-4BJ400P</v>
          </cell>
          <cell r="B1929" t="str">
            <v>KACA  T. 04 DIA 100</v>
          </cell>
          <cell r="C1929" t="str">
            <v>PC</v>
          </cell>
          <cell r="D1929">
            <v>0</v>
          </cell>
          <cell r="E1929">
            <v>4000</v>
          </cell>
          <cell r="F1929">
            <v>0</v>
          </cell>
        </row>
        <row r="1930">
          <cell r="A1930" t="str">
            <v>FT3-L10000P</v>
          </cell>
          <cell r="B1930" t="str">
            <v>ELECTRIC SYSTEM KIT 24V5</v>
          </cell>
          <cell r="C1930" t="str">
            <v>PC</v>
          </cell>
          <cell r="D1930">
            <v>0</v>
          </cell>
          <cell r="E1930">
            <v>0</v>
          </cell>
          <cell r="F1930">
            <v>0</v>
          </cell>
        </row>
        <row r="1931">
          <cell r="A1931" t="str">
            <v>FT3-R10000P</v>
          </cell>
          <cell r="B1931" t="str">
            <v>BRAKE SYSTEM KIT B06040 YORK</v>
          </cell>
          <cell r="C1931" t="str">
            <v>PC</v>
          </cell>
          <cell r="D1931">
            <v>0</v>
          </cell>
          <cell r="E1931">
            <v>0</v>
          </cell>
          <cell r="F1931">
            <v>0</v>
          </cell>
        </row>
        <row r="1932">
          <cell r="A1932" t="str">
            <v>FUSE-10A</v>
          </cell>
          <cell r="B1932" t="str">
            <v xml:space="preserve"> FUSE GLASS 10A 20MM</v>
          </cell>
          <cell r="C1932" t="str">
            <v>PC</v>
          </cell>
          <cell r="D1932">
            <v>17</v>
          </cell>
          <cell r="E1932">
            <v>400</v>
          </cell>
          <cell r="F1932">
            <v>6800</v>
          </cell>
        </row>
        <row r="1933">
          <cell r="A1933" t="str">
            <v>FUSE-5A</v>
          </cell>
          <cell r="B1933" t="str">
            <v xml:space="preserve"> FUSE GLASS 50A 20MM</v>
          </cell>
          <cell r="C1933" t="str">
            <v>PC</v>
          </cell>
          <cell r="D1933">
            <v>14</v>
          </cell>
          <cell r="E1933">
            <v>400</v>
          </cell>
          <cell r="F1933">
            <v>5600</v>
          </cell>
        </row>
        <row r="1934">
          <cell r="A1934" t="str">
            <v>GATE-V10</v>
          </cell>
          <cell r="B1934" t="str">
            <v xml:space="preserve"> GATE VALVE 1"</v>
          </cell>
          <cell r="C1934" t="str">
            <v>PC</v>
          </cell>
          <cell r="D1934">
            <v>2</v>
          </cell>
          <cell r="E1934">
            <v>83514</v>
          </cell>
          <cell r="F1934">
            <v>167028</v>
          </cell>
        </row>
        <row r="1935">
          <cell r="A1935" t="str">
            <v>GATE-V15</v>
          </cell>
          <cell r="B1935" t="str">
            <v>GATE VALVE</v>
          </cell>
          <cell r="C1935" t="str">
            <v>PC</v>
          </cell>
          <cell r="D1935">
            <v>4</v>
          </cell>
          <cell r="E1935">
            <v>147006</v>
          </cell>
          <cell r="F1935">
            <v>588024</v>
          </cell>
        </row>
        <row r="1936">
          <cell r="A1936" t="str">
            <v>GATE-V25</v>
          </cell>
          <cell r="B1936" t="str">
            <v>GATE VALVE</v>
          </cell>
          <cell r="C1936" t="str">
            <v>PC</v>
          </cell>
          <cell r="D1936">
            <v>2</v>
          </cell>
          <cell r="E1936">
            <v>443669</v>
          </cell>
          <cell r="F1936">
            <v>887338</v>
          </cell>
        </row>
        <row r="1937">
          <cell r="A1937" t="str">
            <v>GATE-V30</v>
          </cell>
          <cell r="B1937" t="str">
            <v xml:space="preserve"> GATE VALVE 3" KITZ</v>
          </cell>
          <cell r="C1937" t="str">
            <v>PC</v>
          </cell>
          <cell r="D1937">
            <v>0</v>
          </cell>
          <cell r="E1937">
            <v>615918</v>
          </cell>
          <cell r="F1937">
            <v>0</v>
          </cell>
        </row>
        <row r="1938">
          <cell r="A1938" t="str">
            <v>GEH50ES-2RS</v>
          </cell>
          <cell r="B1938" t="str">
            <v xml:space="preserve"> BEARING IKO-50MM</v>
          </cell>
          <cell r="C1938" t="str">
            <v>PC</v>
          </cell>
          <cell r="D1938">
            <v>0</v>
          </cell>
          <cell r="E1938">
            <v>510000</v>
          </cell>
          <cell r="F1938">
            <v>0</v>
          </cell>
        </row>
        <row r="1939">
          <cell r="A1939" t="str">
            <v>GEH-50-ES-2RS</v>
          </cell>
          <cell r="B1939" t="str">
            <v>Plain Bearing GEH 50 ES-2RS</v>
          </cell>
          <cell r="C1939" t="str">
            <v>PC</v>
          </cell>
          <cell r="D1939">
            <v>0</v>
          </cell>
          <cell r="E1939">
            <v>459000</v>
          </cell>
          <cell r="F1939">
            <v>0</v>
          </cell>
        </row>
        <row r="1940">
          <cell r="A1940" t="str">
            <v>GS-200</v>
          </cell>
          <cell r="B1940" t="str">
            <v xml:space="preserve"> ACCU GS 200 A, 12V</v>
          </cell>
          <cell r="C1940" t="str">
            <v>PC</v>
          </cell>
          <cell r="D1940">
            <v>0</v>
          </cell>
          <cell r="E1940">
            <v>762500</v>
          </cell>
          <cell r="F1940">
            <v>0</v>
          </cell>
        </row>
        <row r="1941">
          <cell r="A1941" t="str">
            <v>GS-70</v>
          </cell>
          <cell r="B1941" t="str">
            <v xml:space="preserve"> ACCU GS 70 A, 12V</v>
          </cell>
          <cell r="C1941" t="str">
            <v>PC</v>
          </cell>
          <cell r="D1941">
            <v>0</v>
          </cell>
          <cell r="E1941">
            <v>310000</v>
          </cell>
          <cell r="F1941">
            <v>0</v>
          </cell>
        </row>
        <row r="1942">
          <cell r="A1942" t="str">
            <v>GV-11S-CE</v>
          </cell>
          <cell r="B1942" t="str">
            <v>INDEXATOR STEEL 10 T</v>
          </cell>
          <cell r="C1942" t="str">
            <v>PC</v>
          </cell>
          <cell r="D1942">
            <v>5</v>
          </cell>
          <cell r="E1942">
            <v>1581360</v>
          </cell>
          <cell r="F1942">
            <v>7906800</v>
          </cell>
        </row>
        <row r="1943">
          <cell r="A1943" t="str">
            <v>H20LW</v>
          </cell>
          <cell r="B1943" t="str">
            <v>ADAPTOR</v>
          </cell>
          <cell r="C1943" t="str">
            <v>PC</v>
          </cell>
          <cell r="D1943">
            <v>0</v>
          </cell>
          <cell r="E1943">
            <v>0</v>
          </cell>
          <cell r="F1943">
            <v>0</v>
          </cell>
        </row>
        <row r="1944">
          <cell r="A1944" t="str">
            <v>H4-20SFH45S-3-20</v>
          </cell>
          <cell r="B1944" t="str">
            <v>ADAPTOR</v>
          </cell>
          <cell r="C1944" t="str">
            <v>PC</v>
          </cell>
          <cell r="D1944">
            <v>0</v>
          </cell>
          <cell r="E1944">
            <v>0</v>
          </cell>
          <cell r="F1944">
            <v>0</v>
          </cell>
        </row>
        <row r="1945">
          <cell r="A1945" t="str">
            <v>H8-62</v>
          </cell>
          <cell r="B1945" t="str">
            <v>QUICK COUPLER</v>
          </cell>
          <cell r="C1945" t="str">
            <v>PC</v>
          </cell>
          <cell r="D1945">
            <v>24</v>
          </cell>
          <cell r="E1945">
            <v>113326</v>
          </cell>
          <cell r="F1945">
            <v>2719818</v>
          </cell>
        </row>
        <row r="1946">
          <cell r="A1946" t="str">
            <v>H8-63</v>
          </cell>
          <cell r="B1946" t="str">
            <v>QUICK COUPLER</v>
          </cell>
          <cell r="C1946" t="str">
            <v>PC</v>
          </cell>
          <cell r="D1946">
            <v>0</v>
          </cell>
          <cell r="E1946">
            <v>227074</v>
          </cell>
          <cell r="F1946">
            <v>0</v>
          </cell>
        </row>
        <row r="1947">
          <cell r="A1947" t="str">
            <v>H-A</v>
          </cell>
          <cell r="B1947" t="str">
            <v>HURUF "A"</v>
          </cell>
          <cell r="C1947" t="str">
            <v>PC</v>
          </cell>
          <cell r="D1947">
            <v>84</v>
          </cell>
          <cell r="E1947">
            <v>990</v>
          </cell>
          <cell r="F1947">
            <v>83160</v>
          </cell>
        </row>
        <row r="1948">
          <cell r="A1948" t="str">
            <v>HD-001</v>
          </cell>
          <cell r="B1948" t="str">
            <v>CONTROL PANEL ASSY FOR WT 80 HD 785</v>
          </cell>
          <cell r="C1948" t="str">
            <v>PC</v>
          </cell>
          <cell r="D1948">
            <v>3</v>
          </cell>
          <cell r="E1948">
            <v>7823</v>
          </cell>
          <cell r="F1948">
            <v>23469</v>
          </cell>
        </row>
        <row r="1949">
          <cell r="A1949" t="str">
            <v>HENSLEY-385RC</v>
          </cell>
          <cell r="B1949" t="str">
            <v>TEETH HENSLEY385</v>
          </cell>
          <cell r="C1949" t="str">
            <v>PC</v>
          </cell>
          <cell r="D1949">
            <v>0</v>
          </cell>
          <cell r="E1949">
            <v>482909</v>
          </cell>
          <cell r="F1949">
            <v>0</v>
          </cell>
        </row>
        <row r="1950">
          <cell r="A1950" t="str">
            <v>HFD-12-BPC</v>
          </cell>
          <cell r="B1950" t="str">
            <v xml:space="preserve"> FUEL DISPENCER KERAX</v>
          </cell>
          <cell r="C1950" t="str">
            <v>PC</v>
          </cell>
          <cell r="D1950">
            <v>0</v>
          </cell>
          <cell r="E1950">
            <v>98331450</v>
          </cell>
          <cell r="F1950">
            <v>0</v>
          </cell>
        </row>
        <row r="1951">
          <cell r="A1951" t="str">
            <v>H-I</v>
          </cell>
          <cell r="B1951" t="str">
            <v>HURUF "I"</v>
          </cell>
          <cell r="C1951" t="str">
            <v>PC</v>
          </cell>
          <cell r="D1951">
            <v>83</v>
          </cell>
          <cell r="E1951">
            <v>810</v>
          </cell>
          <cell r="F1951">
            <v>67230</v>
          </cell>
        </row>
        <row r="1952">
          <cell r="A1952" t="str">
            <v>HL1-A50B000</v>
          </cell>
          <cell r="B1952" t="str">
            <v>SHAFT</v>
          </cell>
          <cell r="C1952" t="str">
            <v>PC</v>
          </cell>
          <cell r="D1952">
            <v>0</v>
          </cell>
          <cell r="E1952">
            <v>42000</v>
          </cell>
          <cell r="F1952">
            <v>0</v>
          </cell>
        </row>
        <row r="1953">
          <cell r="A1953" t="str">
            <v>HM2-F1F200</v>
          </cell>
          <cell r="B1953" t="str">
            <v>Fork 25 - 1220</v>
          </cell>
          <cell r="C1953" t="str">
            <v>PC</v>
          </cell>
          <cell r="D1953">
            <v>0</v>
          </cell>
          <cell r="E1953">
            <v>758815</v>
          </cell>
          <cell r="F1953">
            <v>0</v>
          </cell>
        </row>
        <row r="1954">
          <cell r="A1954" t="str">
            <v>HMR-A2FM63/61W</v>
          </cell>
          <cell r="B1954" t="str">
            <v>HYD MOTOR</v>
          </cell>
          <cell r="C1954" t="str">
            <v>PC</v>
          </cell>
          <cell r="D1954">
            <v>108</v>
          </cell>
          <cell r="E1954">
            <v>5611526</v>
          </cell>
          <cell r="F1954">
            <v>606044808</v>
          </cell>
        </row>
        <row r="1955">
          <cell r="A1955" t="str">
            <v>H-P</v>
          </cell>
          <cell r="B1955" t="str">
            <v>HURUF "P"</v>
          </cell>
          <cell r="C1955" t="str">
            <v>PC</v>
          </cell>
          <cell r="D1955">
            <v>47</v>
          </cell>
          <cell r="E1955">
            <v>1050</v>
          </cell>
          <cell r="F1955">
            <v>49350</v>
          </cell>
        </row>
        <row r="1956">
          <cell r="A1956" t="str">
            <v>HPR-A4VTG90HWL</v>
          </cell>
          <cell r="B1956" t="str">
            <v>HYD.PUMP REXROTH TYP</v>
          </cell>
          <cell r="C1956" t="str">
            <v>PC</v>
          </cell>
          <cell r="D1956">
            <v>7</v>
          </cell>
          <cell r="E1956">
            <v>2896249</v>
          </cell>
          <cell r="F1956">
            <v>20273743</v>
          </cell>
        </row>
        <row r="1957">
          <cell r="A1957" t="str">
            <v>H-R</v>
          </cell>
          <cell r="B1957" t="str">
            <v>HURUF "R"</v>
          </cell>
          <cell r="C1957" t="str">
            <v>PC</v>
          </cell>
          <cell r="D1957">
            <v>43</v>
          </cell>
          <cell r="E1957">
            <v>1050</v>
          </cell>
          <cell r="F1957">
            <v>45150</v>
          </cell>
        </row>
        <row r="1958">
          <cell r="A1958" t="str">
            <v>HS-RAD</v>
          </cell>
          <cell r="B1958" t="str">
            <v xml:space="preserve"> HOSE RADIATOR</v>
          </cell>
          <cell r="C1958" t="str">
            <v>PC</v>
          </cell>
          <cell r="D1958">
            <v>0</v>
          </cell>
          <cell r="E1958">
            <v>72500</v>
          </cell>
          <cell r="F1958">
            <v>0</v>
          </cell>
        </row>
        <row r="1959">
          <cell r="A1959" t="str">
            <v>HSY-2-12VAC</v>
          </cell>
          <cell r="B1959" t="str">
            <v xml:space="preserve"> RELAY TIMBER</v>
          </cell>
          <cell r="C1959" t="str">
            <v>PC</v>
          </cell>
          <cell r="D1959">
            <v>0</v>
          </cell>
          <cell r="E1959">
            <v>95000</v>
          </cell>
          <cell r="F1959">
            <v>0</v>
          </cell>
        </row>
        <row r="1960">
          <cell r="A1960" t="str">
            <v>H-T</v>
          </cell>
          <cell r="B1960" t="str">
            <v>HURUF "T"</v>
          </cell>
          <cell r="C1960" t="str">
            <v>PC</v>
          </cell>
          <cell r="D1960">
            <v>47</v>
          </cell>
          <cell r="E1960">
            <v>102</v>
          </cell>
          <cell r="F1960">
            <v>4794</v>
          </cell>
        </row>
        <row r="1961">
          <cell r="A1961" t="str">
            <v>HT5-F36002</v>
          </cell>
          <cell r="B1961" t="str">
            <v>SPRING</v>
          </cell>
          <cell r="C1961" t="str">
            <v>PC</v>
          </cell>
          <cell r="D1961">
            <v>57</v>
          </cell>
          <cell r="E1961">
            <v>12750</v>
          </cell>
          <cell r="F1961">
            <v>726750</v>
          </cell>
        </row>
        <row r="1962">
          <cell r="A1962" t="str">
            <v>HYD-SBD80</v>
          </cell>
          <cell r="B1962" t="str">
            <v>PAKET HYDRAULIC SBD 80</v>
          </cell>
          <cell r="C1962" t="str">
            <v>PC</v>
          </cell>
          <cell r="D1962">
            <v>0</v>
          </cell>
          <cell r="E1962">
            <v>12228813</v>
          </cell>
          <cell r="F1962">
            <v>0</v>
          </cell>
        </row>
        <row r="1963">
          <cell r="A1963" t="str">
            <v>HZ-14010-1-ECO</v>
          </cell>
          <cell r="B1963" t="str">
            <v>AXLE HZ</v>
          </cell>
          <cell r="C1963" t="str">
            <v>PC</v>
          </cell>
          <cell r="D1963">
            <v>2</v>
          </cell>
          <cell r="E1963">
            <v>1538831</v>
          </cell>
          <cell r="F1963">
            <v>3077662</v>
          </cell>
        </row>
        <row r="1964">
          <cell r="A1964" t="str">
            <v>HZM-16010</v>
          </cell>
          <cell r="B1964" t="str">
            <v>TWIN AXLE BOGIE BPW</v>
          </cell>
          <cell r="C1964" t="str">
            <v>PC</v>
          </cell>
          <cell r="D1964">
            <v>1</v>
          </cell>
          <cell r="E1964">
            <v>2047269</v>
          </cell>
          <cell r="F1964">
            <v>2047269</v>
          </cell>
        </row>
        <row r="1965">
          <cell r="A1965" t="str">
            <v>HZMO3/14010-1-20</v>
          </cell>
          <cell r="B1965" t="str">
            <v xml:space="preserve"> BPW 3 AXLE-AIR SUSP</v>
          </cell>
          <cell r="C1965" t="str">
            <v>PC</v>
          </cell>
          <cell r="D1965">
            <v>0</v>
          </cell>
          <cell r="E1965">
            <v>108714632</v>
          </cell>
          <cell r="F1965">
            <v>0</v>
          </cell>
        </row>
        <row r="1966">
          <cell r="A1966" t="str">
            <v>HZMOT2/14010-1-20</v>
          </cell>
          <cell r="B1966" t="str">
            <v xml:space="preserve"> BPW TAND AXLE-AIR SU</v>
          </cell>
          <cell r="C1966" t="str">
            <v>PC</v>
          </cell>
          <cell r="D1966">
            <v>0</v>
          </cell>
          <cell r="E1966">
            <v>68550664</v>
          </cell>
          <cell r="F1966">
            <v>0</v>
          </cell>
        </row>
        <row r="1967">
          <cell r="A1967" t="str">
            <v>HZMW2/16010</v>
          </cell>
          <cell r="B1967" t="str">
            <v>TRUNION BPW</v>
          </cell>
          <cell r="C1967" t="str">
            <v>PC</v>
          </cell>
          <cell r="D1967">
            <v>1</v>
          </cell>
          <cell r="E1967">
            <v>1</v>
          </cell>
          <cell r="F1967">
            <v>1</v>
          </cell>
        </row>
        <row r="1968">
          <cell r="A1968" t="str">
            <v>HZW-2/1108</v>
          </cell>
          <cell r="B1968" t="str">
            <v>AXLE HZW BOGIE BPW (</v>
          </cell>
          <cell r="C1968" t="str">
            <v>PC</v>
          </cell>
          <cell r="D1968">
            <v>2</v>
          </cell>
          <cell r="E1968">
            <v>6274598</v>
          </cell>
          <cell r="F1968">
            <v>12549196</v>
          </cell>
        </row>
        <row r="1969">
          <cell r="A1969" t="str">
            <v>INSERT-12</v>
          </cell>
          <cell r="B1969" t="str">
            <v>INSERT 12 MM</v>
          </cell>
          <cell r="C1969" t="str">
            <v>PC</v>
          </cell>
          <cell r="D1969">
            <v>75</v>
          </cell>
          <cell r="E1969">
            <v>3600</v>
          </cell>
          <cell r="F1969">
            <v>270000</v>
          </cell>
        </row>
        <row r="1970">
          <cell r="A1970" t="str">
            <v>INSERT-8</v>
          </cell>
          <cell r="B1970" t="str">
            <v>INSERT 8 MM</v>
          </cell>
          <cell r="C1970" t="str">
            <v>PC</v>
          </cell>
          <cell r="D1970">
            <v>0</v>
          </cell>
          <cell r="E1970">
            <v>2500</v>
          </cell>
          <cell r="F1970">
            <v>0</v>
          </cell>
        </row>
        <row r="1971">
          <cell r="A1971" t="str">
            <v>INSERT-M12</v>
          </cell>
          <cell r="B1971" t="str">
            <v>INSERT TUBE M.10</v>
          </cell>
          <cell r="C1971" t="str">
            <v>PC</v>
          </cell>
          <cell r="D1971">
            <v>0</v>
          </cell>
          <cell r="E1971">
            <v>8750</v>
          </cell>
          <cell r="F1971">
            <v>0</v>
          </cell>
        </row>
        <row r="1972">
          <cell r="A1972" t="str">
            <v>INTERVALVE-20-C</v>
          </cell>
          <cell r="B1972" t="str">
            <v xml:space="preserve"> BUTTERFLY VALV 2"</v>
          </cell>
          <cell r="C1972" t="str">
            <v>PC</v>
          </cell>
          <cell r="D1972">
            <v>0</v>
          </cell>
          <cell r="E1972">
            <v>260000</v>
          </cell>
          <cell r="F1972">
            <v>0</v>
          </cell>
        </row>
        <row r="1973">
          <cell r="A1973" t="str">
            <v>INTERVALVE-25-C</v>
          </cell>
          <cell r="B1973" t="str">
            <v xml:space="preserve"> BUTTELFLY VALV 2,5"</v>
          </cell>
          <cell r="C1973" t="str">
            <v>PC</v>
          </cell>
          <cell r="D1973">
            <v>0</v>
          </cell>
          <cell r="E1973">
            <v>331500</v>
          </cell>
          <cell r="F1973">
            <v>0</v>
          </cell>
        </row>
        <row r="1974">
          <cell r="A1974" t="str">
            <v>IT-06</v>
          </cell>
          <cell r="B1974" t="str">
            <v>DOUBLE NIPPLE</v>
          </cell>
          <cell r="C1974" t="str">
            <v>PC</v>
          </cell>
          <cell r="D1974">
            <v>0</v>
          </cell>
          <cell r="E1974">
            <v>17788</v>
          </cell>
          <cell r="F1974">
            <v>0</v>
          </cell>
        </row>
        <row r="1975">
          <cell r="A1975" t="str">
            <v>IT3-8900000</v>
          </cell>
          <cell r="B1975" t="str">
            <v>LOGO PATRIA</v>
          </cell>
          <cell r="C1975" t="str">
            <v>PC</v>
          </cell>
          <cell r="D1975">
            <v>19</v>
          </cell>
          <cell r="E1975">
            <v>33285</v>
          </cell>
          <cell r="F1975">
            <v>632415</v>
          </cell>
        </row>
        <row r="1976">
          <cell r="A1976" t="str">
            <v>IVG-250-15</v>
          </cell>
          <cell r="B1976" t="str">
            <v xml:space="preserve"> HOSE IVG 2 1/2"X1.5M</v>
          </cell>
          <cell r="C1976" t="str">
            <v>PC</v>
          </cell>
          <cell r="D1976">
            <v>0</v>
          </cell>
          <cell r="E1976">
            <v>405000</v>
          </cell>
          <cell r="F1976">
            <v>0</v>
          </cell>
        </row>
        <row r="1977">
          <cell r="A1977" t="str">
            <v>J-1321-10</v>
          </cell>
          <cell r="B1977" t="str">
            <v>FILTER CARTRIDGE</v>
          </cell>
          <cell r="C1977" t="str">
            <v>PC</v>
          </cell>
          <cell r="D1977">
            <v>4</v>
          </cell>
          <cell r="E1977">
            <v>1</v>
          </cell>
          <cell r="F1977">
            <v>4</v>
          </cell>
        </row>
        <row r="1978">
          <cell r="A1978" t="str">
            <v>J200-CCB/8</v>
          </cell>
          <cell r="B1978" t="str">
            <v xml:space="preserve"> CASTOR WHEEL SWIVEL</v>
          </cell>
          <cell r="C1978" t="str">
            <v>PC</v>
          </cell>
          <cell r="D1978">
            <v>0</v>
          </cell>
          <cell r="E1978">
            <v>284900</v>
          </cell>
          <cell r="F1978">
            <v>0</v>
          </cell>
        </row>
        <row r="1979">
          <cell r="A1979" t="str">
            <v>J-3730</v>
          </cell>
          <cell r="B1979" t="str">
            <v xml:space="preserve"> JOST HUBODO METER</v>
          </cell>
          <cell r="C1979" t="str">
            <v>PC</v>
          </cell>
          <cell r="D1979">
            <v>12</v>
          </cell>
          <cell r="E1979">
            <v>954980</v>
          </cell>
          <cell r="F1979">
            <v>11459760</v>
          </cell>
        </row>
        <row r="1980">
          <cell r="A1980" t="str">
            <v>JASA-HMR</v>
          </cell>
          <cell r="B1980" t="str">
            <v xml:space="preserve"> FLUSHING&amp;SEAL HMR</v>
          </cell>
          <cell r="C1980" t="str">
            <v>PC</v>
          </cell>
          <cell r="D1980">
            <v>0</v>
          </cell>
          <cell r="E1980">
            <v>585000</v>
          </cell>
          <cell r="F1980">
            <v>0</v>
          </cell>
        </row>
        <row r="1981">
          <cell r="A1981" t="str">
            <v>JASA-HPR</v>
          </cell>
          <cell r="B1981" t="str">
            <v xml:space="preserve"> FLUSHING&amp;SEAL HPR</v>
          </cell>
          <cell r="C1981" t="str">
            <v>PC</v>
          </cell>
          <cell r="D1981">
            <v>0</v>
          </cell>
          <cell r="E1981">
            <v>628000</v>
          </cell>
          <cell r="F1981">
            <v>0</v>
          </cell>
        </row>
        <row r="1982">
          <cell r="A1982" t="str">
            <v>JASA-SHP</v>
          </cell>
          <cell r="B1982" t="str">
            <v>Jasa Sharing Plate u/ SDT50</v>
          </cell>
          <cell r="C1982" t="str">
            <v>PC</v>
          </cell>
          <cell r="D1982">
            <v>0</v>
          </cell>
          <cell r="E1982">
            <v>85392796</v>
          </cell>
          <cell r="F1982">
            <v>0</v>
          </cell>
        </row>
        <row r="1983">
          <cell r="A1983" t="str">
            <v>JASA-SHP1</v>
          </cell>
          <cell r="B1983" t="str">
            <v>Jasa Sharing Plate</v>
          </cell>
          <cell r="C1983" t="str">
            <v>PC</v>
          </cell>
          <cell r="D1983">
            <v>0</v>
          </cell>
          <cell r="E1983">
            <v>50577694</v>
          </cell>
          <cell r="F1983">
            <v>0</v>
          </cell>
        </row>
        <row r="1984">
          <cell r="A1984" t="str">
            <v>JASA-SHP2</v>
          </cell>
          <cell r="B1984" t="str">
            <v>Jasa Sharing Plate</v>
          </cell>
          <cell r="C1984" t="str">
            <v>PC</v>
          </cell>
          <cell r="D1984">
            <v>0</v>
          </cell>
          <cell r="E1984">
            <v>9093365</v>
          </cell>
          <cell r="F1984">
            <v>0</v>
          </cell>
        </row>
        <row r="1985">
          <cell r="A1985" t="str">
            <v>JASA-SHP4</v>
          </cell>
          <cell r="B1985" t="str">
            <v>Jasa Sharing Plate</v>
          </cell>
          <cell r="C1985" t="str">
            <v>PC</v>
          </cell>
          <cell r="D1985">
            <v>1</v>
          </cell>
          <cell r="E1985">
            <v>3507343</v>
          </cell>
          <cell r="F1985">
            <v>3507343</v>
          </cell>
        </row>
        <row r="1986">
          <cell r="A1986" t="str">
            <v>JF14-UNO17</v>
          </cell>
          <cell r="B1986" t="str">
            <v>ADAPTOR</v>
          </cell>
          <cell r="C1986" t="str">
            <v>PC</v>
          </cell>
          <cell r="D1986">
            <v>13</v>
          </cell>
          <cell r="E1986">
            <v>13816</v>
          </cell>
          <cell r="F1986">
            <v>179608</v>
          </cell>
        </row>
        <row r="1987">
          <cell r="A1987" t="str">
            <v>JF17-BM12</v>
          </cell>
          <cell r="B1987" t="str">
            <v>ADAPTOR</v>
          </cell>
          <cell r="C1987" t="str">
            <v>PC</v>
          </cell>
          <cell r="D1987">
            <v>5</v>
          </cell>
          <cell r="E1987">
            <v>80085</v>
          </cell>
          <cell r="F1987">
            <v>400425</v>
          </cell>
        </row>
        <row r="1988">
          <cell r="A1988" t="str">
            <v>JF17-JF17-12-1650</v>
          </cell>
          <cell r="B1988" t="str">
            <v>PRESSURE HOSE</v>
          </cell>
          <cell r="C1988" t="str">
            <v>PC</v>
          </cell>
          <cell r="D1988">
            <v>13</v>
          </cell>
          <cell r="E1988">
            <v>179199</v>
          </cell>
          <cell r="F1988">
            <v>2329581</v>
          </cell>
        </row>
        <row r="1989">
          <cell r="A1989" t="str">
            <v>JF17-JF1790-12-250</v>
          </cell>
          <cell r="B1989" t="str">
            <v>PRESSURE HOSE</v>
          </cell>
          <cell r="C1989" t="str">
            <v>PC</v>
          </cell>
          <cell r="D1989">
            <v>0</v>
          </cell>
          <cell r="E1989">
            <v>1</v>
          </cell>
          <cell r="F1989">
            <v>0</v>
          </cell>
        </row>
        <row r="1990">
          <cell r="A1990" t="str">
            <v>JF17-UNO17</v>
          </cell>
          <cell r="B1990" t="str">
            <v>NIPPLE</v>
          </cell>
          <cell r="C1990" t="str">
            <v>PC</v>
          </cell>
          <cell r="D1990">
            <v>3</v>
          </cell>
          <cell r="E1990">
            <v>13205</v>
          </cell>
          <cell r="F1990">
            <v>39615</v>
          </cell>
        </row>
        <row r="1991">
          <cell r="A1991" t="str">
            <v>JF17-UNO17-JF17</v>
          </cell>
          <cell r="B1991" t="str">
            <v>TEE</v>
          </cell>
          <cell r="C1991" t="str">
            <v>PC</v>
          </cell>
          <cell r="D1991">
            <v>3</v>
          </cell>
          <cell r="E1991">
            <v>79046</v>
          </cell>
          <cell r="F1991">
            <v>237138</v>
          </cell>
        </row>
        <row r="1992">
          <cell r="A1992" t="str">
            <v>JF17-UNO21</v>
          </cell>
          <cell r="B1992" t="str">
            <v>NIPPLE</v>
          </cell>
          <cell r="C1992" t="str">
            <v>PC</v>
          </cell>
          <cell r="D1992">
            <v>2</v>
          </cell>
          <cell r="E1992">
            <v>24759</v>
          </cell>
          <cell r="F1992">
            <v>49518</v>
          </cell>
        </row>
        <row r="1993">
          <cell r="A1993" t="str">
            <v>JF2190X2-16-2250</v>
          </cell>
          <cell r="B1993" t="str">
            <v>RETURN HOSE</v>
          </cell>
          <cell r="C1993" t="str">
            <v>PC</v>
          </cell>
          <cell r="D1993">
            <v>6</v>
          </cell>
          <cell r="E1993">
            <v>495835</v>
          </cell>
          <cell r="F1993">
            <v>2975010</v>
          </cell>
        </row>
        <row r="1994">
          <cell r="A1994" t="str">
            <v>JF30-JF3090-24-115</v>
          </cell>
          <cell r="B1994" t="str">
            <v>SUCTION HOSE</v>
          </cell>
          <cell r="C1994" t="str">
            <v>PC</v>
          </cell>
          <cell r="D1994">
            <v>0</v>
          </cell>
          <cell r="E1994">
            <v>1</v>
          </cell>
          <cell r="F1994">
            <v>0</v>
          </cell>
        </row>
        <row r="1995">
          <cell r="A1995" t="str">
            <v>JF30-JF3090-24-820</v>
          </cell>
          <cell r="B1995" t="str">
            <v>SUCTION HOSE</v>
          </cell>
          <cell r="C1995" t="str">
            <v>PC</v>
          </cell>
          <cell r="D1995">
            <v>13</v>
          </cell>
          <cell r="E1995">
            <v>721766</v>
          </cell>
          <cell r="F1995">
            <v>9382962</v>
          </cell>
        </row>
        <row r="1996">
          <cell r="A1996" t="str">
            <v>JM17-JM17</v>
          </cell>
          <cell r="B1996" t="str">
            <v>BULK HEAD</v>
          </cell>
          <cell r="C1996" t="str">
            <v>PC</v>
          </cell>
          <cell r="D1996">
            <v>13</v>
          </cell>
          <cell r="E1996">
            <v>41510</v>
          </cell>
          <cell r="F1996">
            <v>539630</v>
          </cell>
        </row>
        <row r="1997">
          <cell r="A1997" t="str">
            <v>JSK38C-1</v>
          </cell>
          <cell r="B1997" t="str">
            <v>FIFTH WHEEL</v>
          </cell>
          <cell r="C1997" t="str">
            <v>PC</v>
          </cell>
          <cell r="D1997">
            <v>0</v>
          </cell>
          <cell r="E1997">
            <v>15065517</v>
          </cell>
          <cell r="F1997">
            <v>0</v>
          </cell>
        </row>
        <row r="1998">
          <cell r="A1998" t="str">
            <v>JSK38G-1</v>
          </cell>
          <cell r="B1998" t="str">
            <v>FIFTH WHEEL</v>
          </cell>
          <cell r="C1998" t="str">
            <v>PC</v>
          </cell>
          <cell r="D1998">
            <v>0</v>
          </cell>
          <cell r="E1998">
            <v>22202061</v>
          </cell>
          <cell r="F1998">
            <v>0</v>
          </cell>
        </row>
        <row r="1999">
          <cell r="A1999" t="str">
            <v>K200-CCB/8</v>
          </cell>
          <cell r="B1999" t="str">
            <v xml:space="preserve"> CASTOR WHEEL RIGID</v>
          </cell>
          <cell r="C1999" t="str">
            <v>PC</v>
          </cell>
          <cell r="D1999">
            <v>0</v>
          </cell>
          <cell r="E1999">
            <v>224000</v>
          </cell>
          <cell r="F1999">
            <v>0</v>
          </cell>
        </row>
        <row r="2000">
          <cell r="A2000" t="str">
            <v>K30AX603-151</v>
          </cell>
          <cell r="B2000" t="str">
            <v>TW AXL BOGY PEERLES</v>
          </cell>
          <cell r="C2000" t="str">
            <v>PC</v>
          </cell>
          <cell r="D2000">
            <v>11</v>
          </cell>
          <cell r="E2000">
            <v>1</v>
          </cell>
          <cell r="F2000">
            <v>11</v>
          </cell>
        </row>
        <row r="2001">
          <cell r="A2001" t="str">
            <v>KB</v>
          </cell>
          <cell r="B2001" t="str">
            <v xml:space="preserve"> KAPUR BESI</v>
          </cell>
          <cell r="C2001" t="str">
            <v>PC</v>
          </cell>
          <cell r="D2001">
            <v>0</v>
          </cell>
          <cell r="E2001">
            <v>80000</v>
          </cell>
          <cell r="F2001">
            <v>0</v>
          </cell>
        </row>
        <row r="2002">
          <cell r="A2002" t="str">
            <v>KMG-5-670-700</v>
          </cell>
          <cell r="B2002" t="str">
            <v>KARET MUD FLAP 5X670X700</v>
          </cell>
          <cell r="C2002" t="str">
            <v>PC</v>
          </cell>
          <cell r="D2002">
            <v>0</v>
          </cell>
          <cell r="E2002">
            <v>97500</v>
          </cell>
          <cell r="F2002">
            <v>0</v>
          </cell>
        </row>
        <row r="2003">
          <cell r="A2003" t="str">
            <v>KP-0885</v>
          </cell>
          <cell r="B2003" t="str">
            <v xml:space="preserve"> HOLLAND K PIN 3.5"</v>
          </cell>
          <cell r="C2003" t="str">
            <v>PC</v>
          </cell>
          <cell r="D2003">
            <v>2</v>
          </cell>
          <cell r="E2003">
            <v>2653783</v>
          </cell>
          <cell r="F2003">
            <v>5307567</v>
          </cell>
        </row>
        <row r="2004">
          <cell r="A2004" t="str">
            <v>KP-1403-A</v>
          </cell>
          <cell r="B2004" t="str">
            <v>HYD PUMP</v>
          </cell>
          <cell r="C2004" t="str">
            <v>PC</v>
          </cell>
          <cell r="D2004">
            <v>9</v>
          </cell>
          <cell r="E2004">
            <v>1</v>
          </cell>
          <cell r="F2004">
            <v>9</v>
          </cell>
        </row>
        <row r="2005">
          <cell r="A2005" t="str">
            <v>KQH 02-03-K</v>
          </cell>
          <cell r="B2005" t="str">
            <v xml:space="preserve"> CONECTOR 1/4"X3/8" </v>
          </cell>
          <cell r="C2005" t="str">
            <v>PC</v>
          </cell>
          <cell r="D2005">
            <v>1</v>
          </cell>
          <cell r="E2005">
            <v>10000</v>
          </cell>
          <cell r="F2005">
            <v>10000</v>
          </cell>
        </row>
        <row r="2006">
          <cell r="A2006" t="str">
            <v>KQH 03-03-K</v>
          </cell>
          <cell r="B2006" t="str">
            <v xml:space="preserve"> TUB CON 3/8X3/8</v>
          </cell>
          <cell r="C2006" t="str">
            <v>PC</v>
          </cell>
          <cell r="D2006">
            <v>10</v>
          </cell>
          <cell r="E2006">
            <v>13500</v>
          </cell>
          <cell r="F2006">
            <v>135000</v>
          </cell>
        </row>
        <row r="2007">
          <cell r="A2007" t="str">
            <v>KQH 04-06</v>
          </cell>
          <cell r="B2007" t="str">
            <v>MALE CONNECTOR</v>
          </cell>
          <cell r="C2007" t="str">
            <v>PC</v>
          </cell>
          <cell r="D2007">
            <v>0</v>
          </cell>
          <cell r="E2007">
            <v>21050</v>
          </cell>
          <cell r="F2007">
            <v>0</v>
          </cell>
        </row>
        <row r="2008">
          <cell r="A2008" t="str">
            <v>KQH 06-01</v>
          </cell>
          <cell r="B2008" t="str">
            <v>TUBING CON. KQH 06-01</v>
          </cell>
          <cell r="C2008" t="str">
            <v>PC</v>
          </cell>
          <cell r="D2008">
            <v>28</v>
          </cell>
          <cell r="E2008">
            <v>13470</v>
          </cell>
          <cell r="F2008">
            <v>377169</v>
          </cell>
        </row>
        <row r="2009">
          <cell r="A2009" t="str">
            <v>KQH 08-02</v>
          </cell>
          <cell r="B2009" t="str">
            <v>MALE CONNECTOR KQH 0</v>
          </cell>
          <cell r="C2009" t="str">
            <v>PC</v>
          </cell>
          <cell r="D2009">
            <v>4</v>
          </cell>
          <cell r="E2009">
            <v>16500</v>
          </cell>
          <cell r="F2009">
            <v>66000</v>
          </cell>
        </row>
        <row r="2010">
          <cell r="A2010" t="str">
            <v>KQH 08-03-K</v>
          </cell>
          <cell r="B2010" t="str">
            <v xml:space="preserve"> TUB CON 08-03</v>
          </cell>
          <cell r="C2010" t="str">
            <v>PC</v>
          </cell>
          <cell r="D2010">
            <v>0</v>
          </cell>
          <cell r="E2010">
            <v>20250</v>
          </cell>
          <cell r="F2010">
            <v>0</v>
          </cell>
        </row>
        <row r="2011">
          <cell r="A2011" t="str">
            <v>KQH 08-04</v>
          </cell>
          <cell r="B2011" t="str">
            <v>MALE CONNECTOR</v>
          </cell>
          <cell r="C2011" t="str">
            <v>PC</v>
          </cell>
          <cell r="D2011">
            <v>0</v>
          </cell>
          <cell r="E2011">
            <v>35000</v>
          </cell>
          <cell r="F2011">
            <v>0</v>
          </cell>
        </row>
        <row r="2012">
          <cell r="A2012" t="str">
            <v>KQH 1/4-3/8</v>
          </cell>
          <cell r="B2012" t="str">
            <v xml:space="preserve"> CON. 1/4NPT-3/8</v>
          </cell>
          <cell r="C2012" t="str">
            <v>PC</v>
          </cell>
          <cell r="D2012">
            <v>10</v>
          </cell>
          <cell r="E2012">
            <v>10000</v>
          </cell>
          <cell r="F2012">
            <v>100000</v>
          </cell>
        </row>
        <row r="2013">
          <cell r="A2013" t="str">
            <v>KQH 10-00</v>
          </cell>
          <cell r="B2013" t="str">
            <v xml:space="preserve"> TUBING CONECTOR 10MM</v>
          </cell>
          <cell r="C2013" t="str">
            <v>PC</v>
          </cell>
          <cell r="D2013">
            <v>0</v>
          </cell>
          <cell r="E2013">
            <v>18750</v>
          </cell>
          <cell r="F2013">
            <v>0</v>
          </cell>
        </row>
        <row r="2014">
          <cell r="A2014" t="str">
            <v>KQH 10-03</v>
          </cell>
          <cell r="B2014" t="str">
            <v xml:space="preserve"> TUBING CON 10X3/8" </v>
          </cell>
          <cell r="C2014" t="str">
            <v>PC</v>
          </cell>
          <cell r="D2014">
            <v>0</v>
          </cell>
          <cell r="E2014">
            <v>23700</v>
          </cell>
          <cell r="F2014">
            <v>0</v>
          </cell>
        </row>
        <row r="2015">
          <cell r="A2015" t="str">
            <v>KQH 12-00</v>
          </cell>
          <cell r="B2015" t="str">
            <v xml:space="preserve"> TUBING CONECTOR 12MM</v>
          </cell>
          <cell r="C2015" t="str">
            <v>PC</v>
          </cell>
          <cell r="D2015">
            <v>0</v>
          </cell>
          <cell r="E2015">
            <v>39500</v>
          </cell>
          <cell r="F2015">
            <v>0</v>
          </cell>
        </row>
        <row r="2016">
          <cell r="A2016" t="str">
            <v>KQH-10-02S</v>
          </cell>
          <cell r="B2016" t="str">
            <v>CONNECTOR</v>
          </cell>
          <cell r="C2016" t="str">
            <v>PC</v>
          </cell>
          <cell r="D2016">
            <v>0</v>
          </cell>
          <cell r="E2016">
            <v>23200</v>
          </cell>
          <cell r="F2016">
            <v>0</v>
          </cell>
        </row>
        <row r="2017">
          <cell r="A2017" t="str">
            <v>KQL 03-04-K</v>
          </cell>
          <cell r="B2017" t="str">
            <v xml:space="preserve"> L TUB CON 3/8X1/2NPT</v>
          </cell>
          <cell r="C2017" t="str">
            <v>PC</v>
          </cell>
          <cell r="D2017">
            <v>0</v>
          </cell>
          <cell r="E2017">
            <v>32500</v>
          </cell>
          <cell r="F2017">
            <v>0</v>
          </cell>
        </row>
        <row r="2018">
          <cell r="A2018" t="str">
            <v>KQL 04-05-K</v>
          </cell>
          <cell r="B2018" t="str">
            <v xml:space="preserve"> L CONECTOR 1/2"X5/8" </v>
          </cell>
          <cell r="C2018" t="str">
            <v>PC</v>
          </cell>
          <cell r="D2018">
            <v>0</v>
          </cell>
          <cell r="E2018">
            <v>35000</v>
          </cell>
          <cell r="F2018">
            <v>0</v>
          </cell>
        </row>
        <row r="2019">
          <cell r="A2019" t="str">
            <v>KQL 04-08</v>
          </cell>
          <cell r="B2019" t="str">
            <v>L-FITTING  QSL-1/2-8</v>
          </cell>
          <cell r="C2019" t="str">
            <v>PC</v>
          </cell>
          <cell r="D2019">
            <v>6</v>
          </cell>
          <cell r="E2019">
            <v>23340</v>
          </cell>
          <cell r="F2019">
            <v>140040</v>
          </cell>
        </row>
        <row r="2020">
          <cell r="A2020" t="str">
            <v>KQL 05-03-K</v>
          </cell>
          <cell r="B2020" t="str">
            <v xml:space="preserve"> L TUB CON 5/8X3/8NPT</v>
          </cell>
          <cell r="C2020" t="str">
            <v>PC</v>
          </cell>
          <cell r="D2020">
            <v>0</v>
          </cell>
          <cell r="E2020">
            <v>58500</v>
          </cell>
          <cell r="F2020">
            <v>0</v>
          </cell>
        </row>
        <row r="2021">
          <cell r="A2021" t="str">
            <v>KQL 08-03-K</v>
          </cell>
          <cell r="B2021" t="str">
            <v xml:space="preserve"> CONECTOR 1/2" X 5/8" </v>
          </cell>
          <cell r="C2021" t="str">
            <v>PC</v>
          </cell>
          <cell r="D2021">
            <v>0</v>
          </cell>
          <cell r="E2021">
            <v>25000</v>
          </cell>
          <cell r="F2021">
            <v>0</v>
          </cell>
        </row>
        <row r="2022">
          <cell r="A2022" t="str">
            <v>KQL 08-04</v>
          </cell>
          <cell r="B2022" t="str">
            <v>ELBOW CONNECTOR 08 MM - 1/2"</v>
          </cell>
          <cell r="C2022" t="str">
            <v>PC</v>
          </cell>
          <cell r="D2022">
            <v>9</v>
          </cell>
          <cell r="E2022">
            <v>27950</v>
          </cell>
          <cell r="F2022">
            <v>251550</v>
          </cell>
        </row>
        <row r="2023">
          <cell r="A2023" t="str">
            <v>KQL-06-01</v>
          </cell>
          <cell r="B2023" t="str">
            <v xml:space="preserve"> LBOW CON 1/8X6MM</v>
          </cell>
          <cell r="C2023" t="str">
            <v>PC</v>
          </cell>
          <cell r="D2023">
            <v>0</v>
          </cell>
          <cell r="E2023">
            <v>18900</v>
          </cell>
          <cell r="F2023">
            <v>0</v>
          </cell>
        </row>
        <row r="2024">
          <cell r="A2024" t="str">
            <v>KQL-1/2-8 SMC</v>
          </cell>
          <cell r="B2024" t="str">
            <v>T.CON 1/2X8 SMC (EL)</v>
          </cell>
          <cell r="C2024" t="str">
            <v>PC</v>
          </cell>
          <cell r="D2024">
            <v>3</v>
          </cell>
          <cell r="E2024">
            <v>13200</v>
          </cell>
          <cell r="F2024">
            <v>39600</v>
          </cell>
        </row>
        <row r="2025">
          <cell r="A2025" t="str">
            <v>KQL-10-04</v>
          </cell>
          <cell r="B2025" t="str">
            <v xml:space="preserve"> ELBOW CON. 10X1/2" </v>
          </cell>
          <cell r="C2025" t="str">
            <v>PC</v>
          </cell>
          <cell r="D2025">
            <v>0</v>
          </cell>
          <cell r="E2025">
            <v>34750</v>
          </cell>
          <cell r="F2025">
            <v>0</v>
          </cell>
        </row>
        <row r="2026">
          <cell r="A2026" t="str">
            <v>KQL10-125</v>
          </cell>
          <cell r="B2026" t="str">
            <v>Tubing Con. 10 x 1/4 ELBOW</v>
          </cell>
          <cell r="C2026" t="str">
            <v>PC</v>
          </cell>
          <cell r="D2026">
            <v>45</v>
          </cell>
          <cell r="E2026">
            <v>24600</v>
          </cell>
          <cell r="F2026">
            <v>1107000</v>
          </cell>
        </row>
        <row r="2027">
          <cell r="A2027" t="str">
            <v>KQR-08-10</v>
          </cell>
          <cell r="B2027" t="str">
            <v xml:space="preserve"> REDUCER CON. 10X1/2" </v>
          </cell>
          <cell r="C2027" t="str">
            <v>PC</v>
          </cell>
          <cell r="D2027">
            <v>19</v>
          </cell>
          <cell r="E2027">
            <v>32700</v>
          </cell>
          <cell r="F2027">
            <v>621300</v>
          </cell>
        </row>
        <row r="2028">
          <cell r="A2028" t="str">
            <v>KQT 03-00-K</v>
          </cell>
          <cell r="B2028" t="str">
            <v>TUB CON 03-00</v>
          </cell>
          <cell r="C2028" t="str">
            <v>PC</v>
          </cell>
          <cell r="D2028">
            <v>0</v>
          </cell>
          <cell r="E2028">
            <v>19500</v>
          </cell>
          <cell r="F2028">
            <v>0</v>
          </cell>
        </row>
        <row r="2029">
          <cell r="A2029" t="str">
            <v>KQT 05-00-K</v>
          </cell>
          <cell r="B2029" t="str">
            <v xml:space="preserve"> TEE 5/8" </v>
          </cell>
          <cell r="C2029" t="str">
            <v>PC</v>
          </cell>
          <cell r="D2029">
            <v>0</v>
          </cell>
          <cell r="E2029">
            <v>52500</v>
          </cell>
          <cell r="F2029">
            <v>0</v>
          </cell>
        </row>
        <row r="2030">
          <cell r="A2030" t="str">
            <v>KZ-1010</v>
          </cell>
          <cell r="B2030" t="str">
            <v>KING PIN JOST 2" - SAE</v>
          </cell>
          <cell r="C2030" t="str">
            <v>PC</v>
          </cell>
          <cell r="D2030">
            <v>0</v>
          </cell>
          <cell r="E2030">
            <v>744075</v>
          </cell>
          <cell r="F2030">
            <v>0</v>
          </cell>
        </row>
        <row r="2031">
          <cell r="A2031" t="str">
            <v>KZ-1016-01</v>
          </cell>
          <cell r="B2031" t="str">
            <v>KING PIN 3.5"</v>
          </cell>
          <cell r="C2031" t="str">
            <v>PC</v>
          </cell>
          <cell r="D2031">
            <v>2</v>
          </cell>
          <cell r="E2031">
            <v>2253360</v>
          </cell>
          <cell r="F2031">
            <v>4506720</v>
          </cell>
        </row>
        <row r="2032">
          <cell r="A2032" t="str">
            <v>KZ-1412-01</v>
          </cell>
          <cell r="B2032" t="str">
            <v xml:space="preserve"> KING PIN 3,5"</v>
          </cell>
          <cell r="C2032" t="str">
            <v>PC</v>
          </cell>
          <cell r="D2032">
            <v>0</v>
          </cell>
          <cell r="E2032">
            <v>1470555</v>
          </cell>
          <cell r="F2032">
            <v>0</v>
          </cell>
        </row>
        <row r="2033">
          <cell r="A2033" t="str">
            <v>L-1.5-LONG</v>
          </cell>
          <cell r="B2033" t="str">
            <v xml:space="preserve"> ELBOW 1.5  LONG</v>
          </cell>
          <cell r="C2033" t="str">
            <v>PC</v>
          </cell>
          <cell r="D2033">
            <v>0</v>
          </cell>
          <cell r="E2033">
            <v>29500</v>
          </cell>
          <cell r="F2033">
            <v>0</v>
          </cell>
        </row>
        <row r="2034">
          <cell r="A2034" t="str">
            <v>L-2 1/2-SGP</v>
          </cell>
          <cell r="B2034" t="str">
            <v>ELBOW 2,5" WELD 90D</v>
          </cell>
          <cell r="C2034" t="str">
            <v>PC</v>
          </cell>
          <cell r="D2034">
            <v>1</v>
          </cell>
          <cell r="E2034">
            <v>15000</v>
          </cell>
          <cell r="F2034">
            <v>15000</v>
          </cell>
        </row>
        <row r="2035">
          <cell r="A2035" t="str">
            <v>L-2.5-T</v>
          </cell>
          <cell r="B2035" t="str">
            <v xml:space="preserve"> ELBOW 2.5" T. 3 WELDED</v>
          </cell>
          <cell r="C2035" t="str">
            <v>PC</v>
          </cell>
          <cell r="D2035">
            <v>16</v>
          </cell>
          <cell r="E2035">
            <v>15000</v>
          </cell>
          <cell r="F2035">
            <v>240000</v>
          </cell>
        </row>
        <row r="2036">
          <cell r="A2036" t="str">
            <v>L-2-45-SGP</v>
          </cell>
          <cell r="B2036" t="str">
            <v>ELBOW 2" X 45 WELD</v>
          </cell>
          <cell r="C2036" t="str">
            <v>PC</v>
          </cell>
          <cell r="D2036">
            <v>0</v>
          </cell>
          <cell r="E2036">
            <v>14300</v>
          </cell>
          <cell r="F2036">
            <v>0</v>
          </cell>
        </row>
        <row r="2037">
          <cell r="A2037" t="str">
            <v>L-2-LONG</v>
          </cell>
          <cell r="B2037" t="str">
            <v xml:space="preserve"> ELBOW 2  LONG "</v>
          </cell>
          <cell r="C2037" t="str">
            <v>PC</v>
          </cell>
          <cell r="D2037">
            <v>0</v>
          </cell>
          <cell r="E2037">
            <v>8200</v>
          </cell>
          <cell r="F2037">
            <v>0</v>
          </cell>
        </row>
        <row r="2038">
          <cell r="A2038" t="str">
            <v>L-2-SGP</v>
          </cell>
          <cell r="B2038" t="str">
            <v>ELBOW 2" WELD 90D</v>
          </cell>
          <cell r="C2038" t="str">
            <v>PC</v>
          </cell>
          <cell r="D2038">
            <v>2</v>
          </cell>
          <cell r="E2038">
            <v>10400</v>
          </cell>
          <cell r="F2038">
            <v>20800</v>
          </cell>
        </row>
        <row r="2039">
          <cell r="A2039" t="str">
            <v>L-3/8-BS</v>
          </cell>
          <cell r="B2039" t="str">
            <v>Elbow Drat 3/8(F) x 3/8(F)</v>
          </cell>
          <cell r="C2039" t="str">
            <v>PC</v>
          </cell>
          <cell r="D2039">
            <v>0</v>
          </cell>
          <cell r="E2039">
            <v>2000</v>
          </cell>
          <cell r="F2039">
            <v>0</v>
          </cell>
        </row>
        <row r="2040">
          <cell r="A2040" t="str">
            <v>L-3-BS</v>
          </cell>
          <cell r="B2040" t="str">
            <v>ELBOW 3" 90 DEG (WELDED)</v>
          </cell>
          <cell r="C2040" t="str">
            <v>PC</v>
          </cell>
          <cell r="D2040">
            <v>0</v>
          </cell>
          <cell r="E2040">
            <v>20250</v>
          </cell>
          <cell r="F2040">
            <v>0</v>
          </cell>
        </row>
        <row r="2041">
          <cell r="A2041" t="str">
            <v>L-3-BS-45</v>
          </cell>
          <cell r="B2041" t="str">
            <v xml:space="preserve"> ELBOW 3" - 45 </v>
          </cell>
          <cell r="C2041" t="str">
            <v>PC</v>
          </cell>
          <cell r="D2041">
            <v>0</v>
          </cell>
          <cell r="E2041">
            <v>21500</v>
          </cell>
          <cell r="F2041">
            <v>0</v>
          </cell>
        </row>
        <row r="2042">
          <cell r="A2042" t="str">
            <v>L-3-LONG</v>
          </cell>
          <cell r="B2042" t="str">
            <v xml:space="preserve"> ELBOW 3" LONG </v>
          </cell>
          <cell r="C2042" t="str">
            <v>PC</v>
          </cell>
          <cell r="D2042">
            <v>4</v>
          </cell>
          <cell r="E2042">
            <v>20679</v>
          </cell>
          <cell r="F2042">
            <v>82714</v>
          </cell>
        </row>
        <row r="2043">
          <cell r="A2043" t="str">
            <v>L-3-SGP</v>
          </cell>
          <cell r="B2043" t="str">
            <v xml:space="preserve"> ELBOW 3"-SGP WELDED</v>
          </cell>
          <cell r="C2043" t="str">
            <v>PC</v>
          </cell>
          <cell r="D2043">
            <v>0</v>
          </cell>
          <cell r="E2043">
            <v>16446</v>
          </cell>
          <cell r="F2043">
            <v>0</v>
          </cell>
        </row>
        <row r="2044">
          <cell r="A2044" t="str">
            <v>L-4</v>
          </cell>
          <cell r="B2044" t="str">
            <v>ELBOW 4" 90 DEG (WELDED)</v>
          </cell>
          <cell r="C2044" t="str">
            <v>PC</v>
          </cell>
          <cell r="D2044">
            <v>138</v>
          </cell>
          <cell r="E2044">
            <v>28548</v>
          </cell>
          <cell r="F2044">
            <v>3939566</v>
          </cell>
        </row>
        <row r="2045">
          <cell r="A2045" t="str">
            <v>L432</v>
          </cell>
          <cell r="B2045" t="str">
            <v>FLASHING LAMP BEACON</v>
          </cell>
          <cell r="C2045" t="str">
            <v>PC</v>
          </cell>
          <cell r="D2045">
            <v>0</v>
          </cell>
          <cell r="E2045">
            <v>375000</v>
          </cell>
          <cell r="F2045">
            <v>0</v>
          </cell>
        </row>
        <row r="2046">
          <cell r="A2046" t="str">
            <v>L-4-60</v>
          </cell>
          <cell r="B2046" t="str">
            <v>ELBOW WELD 4" X 60 DEGREE</v>
          </cell>
          <cell r="C2046" t="str">
            <v>PC</v>
          </cell>
          <cell r="D2046">
            <v>0</v>
          </cell>
          <cell r="E2046">
            <v>22485</v>
          </cell>
          <cell r="F2046">
            <v>0</v>
          </cell>
        </row>
        <row r="2047">
          <cell r="A2047" t="str">
            <v>L-4-LONG</v>
          </cell>
          <cell r="B2047" t="str">
            <v xml:space="preserve"> ELBOW 4" LONG </v>
          </cell>
          <cell r="C2047" t="str">
            <v>PC</v>
          </cell>
          <cell r="D2047">
            <v>0</v>
          </cell>
          <cell r="E2047">
            <v>49000</v>
          </cell>
          <cell r="F2047">
            <v>0</v>
          </cell>
        </row>
        <row r="2048">
          <cell r="A2048" t="str">
            <v>L-5-BS</v>
          </cell>
          <cell r="B2048" t="str">
            <v>ELBOW 5" 90 DEG (WELDED)</v>
          </cell>
          <cell r="C2048" t="str">
            <v>PC</v>
          </cell>
          <cell r="D2048">
            <v>1</v>
          </cell>
          <cell r="E2048">
            <v>59500</v>
          </cell>
          <cell r="F2048">
            <v>59500</v>
          </cell>
        </row>
        <row r="2049">
          <cell r="A2049" t="str">
            <v>L-5-SGP</v>
          </cell>
          <cell r="B2049" t="str">
            <v xml:space="preserve"> ELBOW 5"-SGP WELDED</v>
          </cell>
          <cell r="C2049" t="str">
            <v>PC</v>
          </cell>
          <cell r="D2049">
            <v>2</v>
          </cell>
          <cell r="E2049">
            <v>59500</v>
          </cell>
          <cell r="F2049">
            <v>119000</v>
          </cell>
        </row>
        <row r="2050">
          <cell r="A2050" t="str">
            <v>LAMP 0.11A28V</v>
          </cell>
          <cell r="B2050" t="str">
            <v xml:space="preserve"> LAMPU ULIR</v>
          </cell>
          <cell r="C2050" t="str">
            <v>PC</v>
          </cell>
          <cell r="D2050">
            <v>0</v>
          </cell>
          <cell r="E2050">
            <v>5000</v>
          </cell>
          <cell r="F2050">
            <v>0</v>
          </cell>
        </row>
        <row r="2051">
          <cell r="A2051" t="str">
            <v>LAMP 15A220V</v>
          </cell>
          <cell r="B2051" t="str">
            <v xml:space="preserve"> LAMPU ULIR</v>
          </cell>
          <cell r="C2051" t="str">
            <v>PC</v>
          </cell>
          <cell r="D2051">
            <v>0</v>
          </cell>
          <cell r="E2051">
            <v>9000</v>
          </cell>
          <cell r="F2051">
            <v>0</v>
          </cell>
        </row>
        <row r="2052">
          <cell r="A2052" t="str">
            <v>LB3-0W2000P</v>
          </cell>
          <cell r="B2052" t="str">
            <v>KAYU KAMPER 100X50X960</v>
          </cell>
          <cell r="C2052" t="str">
            <v>PC</v>
          </cell>
          <cell r="D2052">
            <v>0</v>
          </cell>
          <cell r="E2052">
            <v>30000</v>
          </cell>
          <cell r="F2052">
            <v>0</v>
          </cell>
        </row>
        <row r="2053">
          <cell r="A2053" t="str">
            <v>LB3-0W3000P</v>
          </cell>
          <cell r="B2053" t="str">
            <v>KAYU KAMPER 100X50X3637</v>
          </cell>
          <cell r="C2053" t="str">
            <v>PC</v>
          </cell>
          <cell r="D2053">
            <v>0</v>
          </cell>
          <cell r="E2053">
            <v>105000</v>
          </cell>
          <cell r="F2053">
            <v>0</v>
          </cell>
        </row>
        <row r="2054">
          <cell r="A2054" t="str">
            <v>LB3-0W4000P</v>
          </cell>
          <cell r="B2054" t="str">
            <v>KAYU KAMPER 130X50X960</v>
          </cell>
          <cell r="C2054" t="str">
            <v>PC</v>
          </cell>
          <cell r="D2054">
            <v>0</v>
          </cell>
          <cell r="E2054">
            <v>32500</v>
          </cell>
          <cell r="F2054">
            <v>0</v>
          </cell>
        </row>
        <row r="2055">
          <cell r="A2055" t="str">
            <v>LB3-0W5000P</v>
          </cell>
          <cell r="B2055" t="str">
            <v>KAYU KAMPER 130X50X3772</v>
          </cell>
          <cell r="C2055" t="str">
            <v>PC</v>
          </cell>
          <cell r="D2055">
            <v>0</v>
          </cell>
          <cell r="E2055">
            <v>130000</v>
          </cell>
          <cell r="F2055">
            <v>0</v>
          </cell>
        </row>
        <row r="2056">
          <cell r="A2056" t="str">
            <v>LB3-0W6000P</v>
          </cell>
          <cell r="B2056" t="str">
            <v>KAYU KAMPER 100X50X3772</v>
          </cell>
          <cell r="C2056" t="str">
            <v>PC</v>
          </cell>
          <cell r="D2056">
            <v>0</v>
          </cell>
          <cell r="E2056">
            <v>105000</v>
          </cell>
          <cell r="F2056">
            <v>0</v>
          </cell>
        </row>
        <row r="2057">
          <cell r="A2057" t="str">
            <v>LB3-0W7000P</v>
          </cell>
          <cell r="B2057" t="str">
            <v>KAYU KAMPER 130X50X3770</v>
          </cell>
          <cell r="C2057" t="str">
            <v>PC</v>
          </cell>
          <cell r="D2057">
            <v>0</v>
          </cell>
          <cell r="E2057">
            <v>130000</v>
          </cell>
          <cell r="F2057">
            <v>0</v>
          </cell>
        </row>
        <row r="2058">
          <cell r="A2058" t="str">
            <v>LB3-0W8000P</v>
          </cell>
          <cell r="B2058" t="str">
            <v>KAYU KAMPER 100X50X3770</v>
          </cell>
          <cell r="C2058" t="str">
            <v>PC</v>
          </cell>
          <cell r="D2058">
            <v>0</v>
          </cell>
          <cell r="E2058">
            <v>105000</v>
          </cell>
          <cell r="F2058">
            <v>0</v>
          </cell>
        </row>
        <row r="2059">
          <cell r="A2059" t="str">
            <v>LB3-0W9000P</v>
          </cell>
          <cell r="B2059" t="str">
            <v>KAYU WING OUT RINGER 50X330X4800</v>
          </cell>
          <cell r="C2059" t="str">
            <v>PC</v>
          </cell>
          <cell r="D2059">
            <v>0</v>
          </cell>
          <cell r="E2059">
            <v>650000</v>
          </cell>
          <cell r="F2059">
            <v>0</v>
          </cell>
        </row>
        <row r="2060">
          <cell r="A2060" t="str">
            <v>LBN-20</v>
          </cell>
          <cell r="B2060" t="str">
            <v>MALE STUD</v>
          </cell>
          <cell r="C2060" t="str">
            <v>PC</v>
          </cell>
          <cell r="D2060">
            <v>0</v>
          </cell>
          <cell r="E2060">
            <v>1</v>
          </cell>
          <cell r="F2060">
            <v>0</v>
          </cell>
        </row>
        <row r="2061">
          <cell r="A2061" t="str">
            <v>LC-2R-20G</v>
          </cell>
          <cell r="B2061" t="str">
            <v>COLLAR</v>
          </cell>
          <cell r="C2061" t="str">
            <v>PC</v>
          </cell>
          <cell r="D2061">
            <v>356</v>
          </cell>
          <cell r="E2061">
            <v>6720</v>
          </cell>
          <cell r="F2061">
            <v>2392320</v>
          </cell>
        </row>
        <row r="2062">
          <cell r="A2062" t="str">
            <v>LC-2R-24G</v>
          </cell>
          <cell r="B2062" t="str">
            <v>COLLAR</v>
          </cell>
          <cell r="C2062" t="str">
            <v>PC</v>
          </cell>
          <cell r="D2062">
            <v>948</v>
          </cell>
          <cell r="E2062">
            <v>7158</v>
          </cell>
          <cell r="F2062">
            <v>6785784</v>
          </cell>
        </row>
        <row r="2063">
          <cell r="A2063" t="str">
            <v>LE55-10-CVB</v>
          </cell>
          <cell r="B2063" t="str">
            <v xml:space="preserve"> COMPRESSOR LE55-10</v>
          </cell>
          <cell r="C2063" t="str">
            <v>PC</v>
          </cell>
          <cell r="D2063">
            <v>0</v>
          </cell>
          <cell r="E2063">
            <v>21484267</v>
          </cell>
          <cell r="F2063">
            <v>0</v>
          </cell>
        </row>
        <row r="2064">
          <cell r="A2064" t="str">
            <v>LED-92156</v>
          </cell>
          <cell r="B2064" t="str">
            <v>NARVA SIDE MARKER-24V</v>
          </cell>
          <cell r="C2064" t="str">
            <v>PC</v>
          </cell>
          <cell r="D2064">
            <v>0</v>
          </cell>
          <cell r="E2064">
            <v>223905</v>
          </cell>
          <cell r="F2064">
            <v>0</v>
          </cell>
        </row>
        <row r="2065">
          <cell r="A2065" t="str">
            <v>LED-94087</v>
          </cell>
          <cell r="B2065" t="str">
            <v xml:space="preserve"> LED METAL MODULE BOX</v>
          </cell>
          <cell r="C2065" t="str">
            <v>PC</v>
          </cell>
          <cell r="D2065">
            <v>0</v>
          </cell>
          <cell r="E2065">
            <v>190846</v>
          </cell>
          <cell r="F2065">
            <v>0</v>
          </cell>
        </row>
        <row r="2066">
          <cell r="A2066" t="str">
            <v>LED-94406</v>
          </cell>
          <cell r="B2066" t="str">
            <v xml:space="preserve"> LED LAMP 24V-AMBER</v>
          </cell>
          <cell r="C2066" t="str">
            <v>PC</v>
          </cell>
          <cell r="D2066">
            <v>0</v>
          </cell>
          <cell r="E2066">
            <v>1314964</v>
          </cell>
          <cell r="F2066">
            <v>0</v>
          </cell>
        </row>
        <row r="2067">
          <cell r="A2067" t="str">
            <v>LED-94412</v>
          </cell>
          <cell r="B2067" t="str">
            <v xml:space="preserve"> LED LAMP 24V-RED</v>
          </cell>
          <cell r="C2067" t="str">
            <v>PC</v>
          </cell>
          <cell r="D2067">
            <v>0</v>
          </cell>
          <cell r="E2067">
            <v>1027541</v>
          </cell>
          <cell r="F2067">
            <v>0</v>
          </cell>
        </row>
        <row r="2068">
          <cell r="A2068" t="str">
            <v>LFR-1/4-D-MINI</v>
          </cell>
          <cell r="B2068" t="str">
            <v>REGULATOR</v>
          </cell>
          <cell r="C2068" t="str">
            <v>PC</v>
          </cell>
          <cell r="D2068">
            <v>0</v>
          </cell>
          <cell r="E2068">
            <v>1000000</v>
          </cell>
          <cell r="F2068">
            <v>0</v>
          </cell>
        </row>
        <row r="2069">
          <cell r="A2069" t="str">
            <v>LS1-B5000P</v>
          </cell>
          <cell r="B2069" t="str">
            <v xml:space="preserve"> TOOL BOX LUBE TRUCK</v>
          </cell>
          <cell r="C2069" t="str">
            <v>PC</v>
          </cell>
          <cell r="D2069">
            <v>0</v>
          </cell>
          <cell r="E2069">
            <v>2750000</v>
          </cell>
          <cell r="F2069">
            <v>0</v>
          </cell>
        </row>
        <row r="2070">
          <cell r="A2070" t="str">
            <v>LS1-H00000P</v>
          </cell>
          <cell r="B2070" t="str">
            <v>HYD.SYSTEM WT LUBETRUCK BMA40A</v>
          </cell>
          <cell r="C2070" t="str">
            <v>PC</v>
          </cell>
          <cell r="D2070">
            <v>0</v>
          </cell>
          <cell r="E2070">
            <v>51848518</v>
          </cell>
          <cell r="F2070">
            <v>0</v>
          </cell>
        </row>
        <row r="2071">
          <cell r="A2071" t="str">
            <v>LS2-H00000P</v>
          </cell>
          <cell r="B2071" t="str">
            <v>HYD.SYSTEM FT LUBETRUCK BMA40A</v>
          </cell>
          <cell r="C2071" t="str">
            <v>PC</v>
          </cell>
          <cell r="D2071">
            <v>0</v>
          </cell>
          <cell r="E2071">
            <v>51848518</v>
          </cell>
          <cell r="F2071">
            <v>0</v>
          </cell>
        </row>
        <row r="2072">
          <cell r="A2072" t="str">
            <v>LT1-FN00000</v>
          </cell>
          <cell r="B2072" t="str">
            <v>PLATE ASSY</v>
          </cell>
          <cell r="C2072" t="str">
            <v>PC</v>
          </cell>
          <cell r="D2072">
            <v>0</v>
          </cell>
          <cell r="E2072">
            <v>39486</v>
          </cell>
          <cell r="F2072">
            <v>0</v>
          </cell>
        </row>
        <row r="2073">
          <cell r="A2073" t="str">
            <v>LT1-FN0000P</v>
          </cell>
          <cell r="B2073" t="str">
            <v>PLATE ASSY</v>
          </cell>
          <cell r="C2073" t="str">
            <v>PC</v>
          </cell>
          <cell r="D2073">
            <v>20</v>
          </cell>
          <cell r="E2073">
            <v>19100</v>
          </cell>
          <cell r="F2073">
            <v>382000</v>
          </cell>
        </row>
        <row r="2074">
          <cell r="A2074" t="str">
            <v>LWE-07-90-SGP</v>
          </cell>
          <cell r="B2074" t="str">
            <v>ELBOW WELD 3/4"-90-SGP</v>
          </cell>
          <cell r="C2074" t="str">
            <v>PC</v>
          </cell>
          <cell r="D2074">
            <v>2</v>
          </cell>
          <cell r="E2074">
            <v>1500</v>
          </cell>
          <cell r="F2074">
            <v>3000</v>
          </cell>
        </row>
        <row r="2075">
          <cell r="A2075" t="str">
            <v>LWE-15-90-SGP</v>
          </cell>
          <cell r="B2075" t="str">
            <v xml:space="preserve"> ELBOW WELD 1 1/2"-90-SGP </v>
          </cell>
          <cell r="C2075" t="str">
            <v>PC</v>
          </cell>
          <cell r="D2075">
            <v>0</v>
          </cell>
          <cell r="E2075">
            <v>4500</v>
          </cell>
          <cell r="F2075">
            <v>0</v>
          </cell>
        </row>
        <row r="2076">
          <cell r="A2076" t="str">
            <v>LWE-20-45-SGP</v>
          </cell>
          <cell r="B2076" t="str">
            <v xml:space="preserve"> ELBOW WELD 2"-45-SGP </v>
          </cell>
          <cell r="C2076" t="str">
            <v>PC</v>
          </cell>
          <cell r="D2076">
            <v>0</v>
          </cell>
          <cell r="E2076">
            <v>7500</v>
          </cell>
          <cell r="F2076">
            <v>0</v>
          </cell>
        </row>
        <row r="2077">
          <cell r="A2077" t="str">
            <v>LWE-25-90-SGP</v>
          </cell>
          <cell r="B2077" t="str">
            <v xml:space="preserve"> ELBOW WELD 2 1/2"-90-SGP </v>
          </cell>
          <cell r="C2077" t="str">
            <v>PC</v>
          </cell>
          <cell r="D2077">
            <v>0</v>
          </cell>
          <cell r="E2077">
            <v>17500</v>
          </cell>
          <cell r="F2077">
            <v>0</v>
          </cell>
        </row>
        <row r="2078">
          <cell r="A2078" t="str">
            <v>LWE-30-90-BS</v>
          </cell>
          <cell r="B2078" t="str">
            <v xml:space="preserve"> ELBOW WELD 3"-90-BS </v>
          </cell>
          <cell r="C2078" t="str">
            <v>PC</v>
          </cell>
          <cell r="D2078">
            <v>10</v>
          </cell>
          <cell r="E2078">
            <v>20250</v>
          </cell>
          <cell r="F2078">
            <v>202500</v>
          </cell>
        </row>
        <row r="2079">
          <cell r="A2079" t="str">
            <v>LWE-40-90-BS</v>
          </cell>
          <cell r="B2079" t="str">
            <v>ELBOW WELD 4"-90-BS</v>
          </cell>
          <cell r="C2079" t="str">
            <v>PC</v>
          </cell>
          <cell r="D2079">
            <v>0</v>
          </cell>
          <cell r="E2079">
            <v>22500</v>
          </cell>
          <cell r="F2079">
            <v>0</v>
          </cell>
        </row>
        <row r="2080">
          <cell r="A2080" t="str">
            <v>LWE-50-90-BS</v>
          </cell>
          <cell r="B2080" t="str">
            <v>ELBOW WELD 5"-90-BS</v>
          </cell>
          <cell r="C2080" t="str">
            <v>PC</v>
          </cell>
          <cell r="D2080">
            <v>0</v>
          </cell>
          <cell r="E2080">
            <v>59500</v>
          </cell>
          <cell r="F2080">
            <v>0</v>
          </cell>
        </row>
        <row r="2081">
          <cell r="A2081" t="str">
            <v>LW-MB11</v>
          </cell>
          <cell r="B2081" t="str">
            <v>LOCK WASHER / RING G</v>
          </cell>
          <cell r="C2081" t="str">
            <v>PC</v>
          </cell>
          <cell r="D2081">
            <v>2</v>
          </cell>
          <cell r="E2081">
            <v>720</v>
          </cell>
          <cell r="F2081">
            <v>1440</v>
          </cell>
        </row>
        <row r="2082">
          <cell r="A2082" t="str">
            <v>LYY-12V-DC</v>
          </cell>
          <cell r="B2082" t="str">
            <v xml:space="preserve"> RELAY OMRON</v>
          </cell>
          <cell r="C2082" t="str">
            <v>PC</v>
          </cell>
          <cell r="D2082">
            <v>0</v>
          </cell>
          <cell r="E2082">
            <v>32500</v>
          </cell>
          <cell r="F2082">
            <v>0</v>
          </cell>
        </row>
        <row r="2083">
          <cell r="A2083" t="str">
            <v>M2-210-25</v>
          </cell>
          <cell r="B2083" t="str">
            <v>HYDRAULIC MOTOR</v>
          </cell>
          <cell r="C2083" t="str">
            <v>PC</v>
          </cell>
          <cell r="D2083">
            <v>1</v>
          </cell>
          <cell r="E2083">
            <v>4578000</v>
          </cell>
          <cell r="F2083">
            <v>4578000</v>
          </cell>
        </row>
        <row r="2084">
          <cell r="A2084" t="str">
            <v>M2-210-25-1C</v>
          </cell>
          <cell r="B2084" t="str">
            <v>VANE MOTOR VICKERS M2-210-25-1C</v>
          </cell>
          <cell r="C2084" t="str">
            <v>PC</v>
          </cell>
          <cell r="D2084">
            <v>0</v>
          </cell>
          <cell r="E2084">
            <v>4234190</v>
          </cell>
          <cell r="F2084">
            <v>0</v>
          </cell>
        </row>
        <row r="2085">
          <cell r="A2085" t="str">
            <v>M2-210-35-1C</v>
          </cell>
          <cell r="B2085" t="str">
            <v xml:space="preserve"> HYDRAULIC MOTOR</v>
          </cell>
          <cell r="C2085" t="str">
            <v>PC</v>
          </cell>
          <cell r="D2085">
            <v>0</v>
          </cell>
          <cell r="E2085">
            <v>4310248</v>
          </cell>
          <cell r="F2085">
            <v>0</v>
          </cell>
        </row>
        <row r="2086">
          <cell r="A2086" t="str">
            <v>M22F-M22F-08-1300</v>
          </cell>
          <cell r="B2086" t="str">
            <v>HOSE ASSY</v>
          </cell>
          <cell r="C2086" t="str">
            <v>PC</v>
          </cell>
          <cell r="D2086">
            <v>3</v>
          </cell>
          <cell r="E2086">
            <v>162553</v>
          </cell>
          <cell r="F2086">
            <v>487659</v>
          </cell>
        </row>
        <row r="2087">
          <cell r="A2087" t="str">
            <v>M22F-M22F-08-1500</v>
          </cell>
          <cell r="B2087" t="str">
            <v>HOSE ASSY LT18</v>
          </cell>
          <cell r="C2087" t="str">
            <v>PC</v>
          </cell>
          <cell r="D2087">
            <v>0</v>
          </cell>
          <cell r="E2087">
            <v>158795</v>
          </cell>
          <cell r="F2087">
            <v>0</v>
          </cell>
        </row>
        <row r="2088">
          <cell r="A2088" t="str">
            <v>M-80-SQPB</v>
          </cell>
          <cell r="B2088" t="str">
            <v xml:space="preserve"> PUMP EBARA 3" SELF P</v>
          </cell>
          <cell r="C2088" t="str">
            <v>PC</v>
          </cell>
          <cell r="D2088">
            <v>0</v>
          </cell>
          <cell r="E2088">
            <v>1700000</v>
          </cell>
          <cell r="F2088">
            <v>0</v>
          </cell>
        </row>
        <row r="2089">
          <cell r="A2089" t="str">
            <v>MD2-W21140</v>
          </cell>
          <cell r="B2089" t="str">
            <v>Tire Front 20/25 P</v>
          </cell>
          <cell r="C2089" t="str">
            <v>PC</v>
          </cell>
          <cell r="D2089">
            <v>0</v>
          </cell>
          <cell r="E2089">
            <v>226718</v>
          </cell>
          <cell r="F2089">
            <v>0</v>
          </cell>
        </row>
        <row r="2090">
          <cell r="A2090" t="str">
            <v>MD2-W22132</v>
          </cell>
          <cell r="B2090" t="str">
            <v>RIM, rear 30/35T</v>
          </cell>
          <cell r="C2090" t="str">
            <v>PC</v>
          </cell>
          <cell r="D2090">
            <v>0</v>
          </cell>
          <cell r="E2090">
            <v>356770</v>
          </cell>
          <cell r="F2090">
            <v>0</v>
          </cell>
        </row>
        <row r="2091">
          <cell r="A2091" t="str">
            <v>MD2-WA41510</v>
          </cell>
          <cell r="B2091" t="str">
            <v>Tire Rear FD 30,35TA SL</v>
          </cell>
          <cell r="C2091" t="str">
            <v>PC</v>
          </cell>
          <cell r="D2091">
            <v>0</v>
          </cell>
          <cell r="E2091">
            <v>666000</v>
          </cell>
          <cell r="F2091">
            <v>0</v>
          </cell>
        </row>
        <row r="2092">
          <cell r="A2092" t="str">
            <v>MD2-WA90000</v>
          </cell>
          <cell r="B2092" t="str">
            <v>EXT. VALVE</v>
          </cell>
          <cell r="C2092" t="str">
            <v>PC</v>
          </cell>
          <cell r="D2092">
            <v>0</v>
          </cell>
          <cell r="E2092">
            <v>72500</v>
          </cell>
          <cell r="F2092">
            <v>0</v>
          </cell>
        </row>
        <row r="2093">
          <cell r="A2093" t="str">
            <v>MEC10ARM-2L</v>
          </cell>
          <cell r="B2093" t="str">
            <v xml:space="preserve"> FLOW METER 3-120LPM</v>
          </cell>
          <cell r="C2093" t="str">
            <v>PC</v>
          </cell>
          <cell r="D2093">
            <v>0</v>
          </cell>
          <cell r="E2093">
            <v>3347089</v>
          </cell>
          <cell r="F2093">
            <v>0</v>
          </cell>
        </row>
        <row r="2094">
          <cell r="A2094" t="str">
            <v>MFG-18</v>
          </cell>
          <cell r="B2094" t="str">
            <v>RUBBER SEAL</v>
          </cell>
          <cell r="C2094" t="str">
            <v>PC</v>
          </cell>
          <cell r="D2094">
            <v>0</v>
          </cell>
          <cell r="E2094">
            <v>425000</v>
          </cell>
          <cell r="F2094">
            <v>0</v>
          </cell>
        </row>
        <row r="2095">
          <cell r="A2095" t="str">
            <v>MFV-420-M</v>
          </cell>
          <cell r="B2095" t="str">
            <v>FABRIKASI PONTOON</v>
          </cell>
          <cell r="C2095" t="str">
            <v>PC</v>
          </cell>
          <cell r="D2095">
            <v>0</v>
          </cell>
          <cell r="E2095">
            <v>75000000</v>
          </cell>
          <cell r="F2095">
            <v>0</v>
          </cell>
        </row>
        <row r="2096">
          <cell r="A2096" t="str">
            <v>MIKA-10</v>
          </cell>
          <cell r="B2096" t="str">
            <v xml:space="preserve"> KACA MIKA</v>
          </cell>
          <cell r="C2096" t="str">
            <v>PC</v>
          </cell>
          <cell r="D2096">
            <v>0</v>
          </cell>
          <cell r="E2096">
            <v>92500</v>
          </cell>
          <cell r="F2096">
            <v>0</v>
          </cell>
        </row>
        <row r="2097">
          <cell r="A2097" t="str">
            <v>MK1016</v>
          </cell>
          <cell r="B2097" t="str">
            <v>MOUNT KIT ALLISON T/M</v>
          </cell>
          <cell r="C2097" t="str">
            <v>PC</v>
          </cell>
          <cell r="D2097">
            <v>0</v>
          </cell>
          <cell r="E2097">
            <v>182409</v>
          </cell>
          <cell r="F2097">
            <v>0</v>
          </cell>
        </row>
        <row r="2098">
          <cell r="A2098" t="str">
            <v>MM40</v>
          </cell>
          <cell r="B2098" t="str">
            <v xml:space="preserve"> MAGNUM MONITOR</v>
          </cell>
          <cell r="C2098" t="str">
            <v>PC</v>
          </cell>
          <cell r="D2098">
            <v>0</v>
          </cell>
          <cell r="E2098">
            <v>8789017</v>
          </cell>
          <cell r="F2098">
            <v>0</v>
          </cell>
        </row>
        <row r="2099">
          <cell r="A2099" t="str">
            <v>MM65</v>
          </cell>
          <cell r="B2099" t="str">
            <v>CANON GUN MAGNUM</v>
          </cell>
          <cell r="C2099" t="str">
            <v>PC</v>
          </cell>
          <cell r="D2099">
            <v>0</v>
          </cell>
          <cell r="E2099">
            <v>21044210</v>
          </cell>
          <cell r="F2099">
            <v>0</v>
          </cell>
        </row>
        <row r="2100">
          <cell r="A2100" t="str">
            <v>MS0006-14-LV</v>
          </cell>
          <cell r="B2100" t="str">
            <v>FLANGE STANDART</v>
          </cell>
          <cell r="C2100" t="str">
            <v>PC</v>
          </cell>
          <cell r="D2100">
            <v>3</v>
          </cell>
          <cell r="E2100">
            <v>475000</v>
          </cell>
          <cell r="F2100">
            <v>1425000</v>
          </cell>
        </row>
        <row r="2101">
          <cell r="A2101" t="str">
            <v>MT-1</v>
          </cell>
          <cell r="B2101" t="str">
            <v>MASKING TAPE 1"</v>
          </cell>
          <cell r="C2101" t="str">
            <v>PC</v>
          </cell>
          <cell r="D2101">
            <v>72</v>
          </cell>
          <cell r="E2101">
            <v>2700</v>
          </cell>
          <cell r="F2101">
            <v>194400</v>
          </cell>
        </row>
        <row r="2102">
          <cell r="A2102" t="str">
            <v>MT307004-7</v>
          </cell>
          <cell r="B2102" t="str">
            <v>PLATE</v>
          </cell>
          <cell r="C2102" t="str">
            <v>PC</v>
          </cell>
          <cell r="D2102">
            <v>2</v>
          </cell>
          <cell r="E2102">
            <v>90000</v>
          </cell>
          <cell r="F2102">
            <v>180000</v>
          </cell>
        </row>
        <row r="2103">
          <cell r="A2103" t="str">
            <v>MVM62A-R</v>
          </cell>
          <cell r="B2103" t="str">
            <v xml:space="preserve"> MECH.VALVE ROLL NO</v>
          </cell>
          <cell r="C2103" t="str">
            <v>PC</v>
          </cell>
          <cell r="D2103">
            <v>1</v>
          </cell>
          <cell r="E2103">
            <v>186470</v>
          </cell>
          <cell r="F2103">
            <v>186470</v>
          </cell>
        </row>
        <row r="2104">
          <cell r="A2104" t="str">
            <v>NA0860-20B</v>
          </cell>
          <cell r="B2104" t="str">
            <v>NYLON TUBING 8X6-PISCO</v>
          </cell>
          <cell r="C2104" t="str">
            <v>PC</v>
          </cell>
          <cell r="D2104">
            <v>0</v>
          </cell>
          <cell r="E2104">
            <v>11500</v>
          </cell>
          <cell r="F2104">
            <v>0</v>
          </cell>
        </row>
        <row r="2105">
          <cell r="A2105" t="str">
            <v>NA1290-20B</v>
          </cell>
          <cell r="B2105" t="str">
            <v>NYLON TUBING 12X9-PISCO</v>
          </cell>
          <cell r="C2105" t="str">
            <v>PC</v>
          </cell>
          <cell r="D2105">
            <v>0</v>
          </cell>
          <cell r="E2105">
            <v>23500</v>
          </cell>
          <cell r="F2105">
            <v>0</v>
          </cell>
        </row>
        <row r="2106">
          <cell r="A2106" t="str">
            <v>NARVA-94406</v>
          </cell>
          <cell r="B2106" t="str">
            <v xml:space="preserve"> REAR LAMP 24V-LED</v>
          </cell>
          <cell r="C2106" t="str">
            <v>PC</v>
          </cell>
          <cell r="D2106">
            <v>0</v>
          </cell>
          <cell r="E2106">
            <v>199</v>
          </cell>
          <cell r="F2106">
            <v>0</v>
          </cell>
        </row>
        <row r="2107">
          <cell r="A2107" t="str">
            <v>NCT</v>
          </cell>
          <cell r="B2107" t="str">
            <v xml:space="preserve"> NUT CUTTING TORCH</v>
          </cell>
          <cell r="C2107" t="str">
            <v>PC</v>
          </cell>
          <cell r="D2107">
            <v>0</v>
          </cell>
          <cell r="E2107">
            <v>26500</v>
          </cell>
          <cell r="F2107">
            <v>0</v>
          </cell>
        </row>
        <row r="2108">
          <cell r="A2108" t="str">
            <v>NH-1/2</v>
          </cell>
          <cell r="B2108" t="str">
            <v xml:space="preserve"> NYLON HOSE 1/2"</v>
          </cell>
          <cell r="C2108" t="str">
            <v>PC</v>
          </cell>
          <cell r="D2108">
            <v>25</v>
          </cell>
          <cell r="E2108">
            <v>3600</v>
          </cell>
          <cell r="F2108">
            <v>90000</v>
          </cell>
        </row>
        <row r="2109">
          <cell r="A2109" t="str">
            <v>NH-3/4</v>
          </cell>
          <cell r="B2109" t="str">
            <v xml:space="preserve"> NYLON HOSE 3/4" </v>
          </cell>
          <cell r="C2109" t="str">
            <v>PC</v>
          </cell>
          <cell r="D2109">
            <v>70</v>
          </cell>
          <cell r="E2109">
            <v>4000</v>
          </cell>
          <cell r="F2109">
            <v>280000</v>
          </cell>
        </row>
        <row r="2110">
          <cell r="A2110" t="str">
            <v>NL-1/2-13C</v>
          </cell>
          <cell r="B2110" t="str">
            <v>LOCK NUT 1/2"-NC</v>
          </cell>
          <cell r="C2110" t="str">
            <v>PC</v>
          </cell>
          <cell r="D2110">
            <v>205</v>
          </cell>
          <cell r="E2110">
            <v>132</v>
          </cell>
          <cell r="F2110">
            <v>27060</v>
          </cell>
        </row>
        <row r="2111">
          <cell r="A2111" t="str">
            <v>NL-1/4-NF</v>
          </cell>
          <cell r="B2111" t="str">
            <v>LOCK NUT 1/4"-NF</v>
          </cell>
          <cell r="C2111" t="str">
            <v>PC</v>
          </cell>
          <cell r="D2111">
            <v>8</v>
          </cell>
          <cell r="E2111">
            <v>180</v>
          </cell>
          <cell r="F2111">
            <v>1440</v>
          </cell>
        </row>
        <row r="2112">
          <cell r="A2112" t="str">
            <v>NL-3/4</v>
          </cell>
          <cell r="B2112" t="str">
            <v>LOCK NUT 3/4"-NF</v>
          </cell>
          <cell r="C2112" t="str">
            <v>PC</v>
          </cell>
          <cell r="D2112">
            <v>441</v>
          </cell>
          <cell r="E2112">
            <v>30</v>
          </cell>
          <cell r="F2112">
            <v>13230</v>
          </cell>
        </row>
        <row r="2113">
          <cell r="A2113" t="str">
            <v>NL-5/8-11C</v>
          </cell>
          <cell r="B2113" t="str">
            <v>LOCK NUT 5/8"-NC</v>
          </cell>
          <cell r="C2113" t="str">
            <v>PC</v>
          </cell>
          <cell r="D2113">
            <v>124</v>
          </cell>
          <cell r="E2113">
            <v>390</v>
          </cell>
          <cell r="F2113">
            <v>48360</v>
          </cell>
        </row>
        <row r="2114">
          <cell r="A2114" t="str">
            <v>NT-04-02-B</v>
          </cell>
          <cell r="B2114" t="str">
            <v>NYLON TUBING 4X2 BLACK</v>
          </cell>
          <cell r="C2114" t="str">
            <v>M</v>
          </cell>
          <cell r="D2114">
            <v>0</v>
          </cell>
          <cell r="E2114">
            <v>4325</v>
          </cell>
          <cell r="F2114">
            <v>0</v>
          </cell>
        </row>
        <row r="2115">
          <cell r="A2115" t="str">
            <v>NT-06-04-B</v>
          </cell>
          <cell r="B2115" t="str">
            <v xml:space="preserve"> PU TUBING 4X6 BLACK</v>
          </cell>
          <cell r="C2115" t="str">
            <v>PC</v>
          </cell>
          <cell r="D2115">
            <v>400</v>
          </cell>
          <cell r="E2115">
            <v>5499</v>
          </cell>
          <cell r="F2115">
            <v>2199695</v>
          </cell>
        </row>
        <row r="2116">
          <cell r="A2116" t="str">
            <v>NT-06-04-BL</v>
          </cell>
          <cell r="B2116" t="str">
            <v>PU TUBIMG 4X6 BLUE</v>
          </cell>
          <cell r="C2116" t="str">
            <v>PC</v>
          </cell>
          <cell r="D2116">
            <v>0</v>
          </cell>
          <cell r="E2116">
            <v>7150</v>
          </cell>
          <cell r="F2116">
            <v>0</v>
          </cell>
        </row>
        <row r="2117">
          <cell r="A2117" t="str">
            <v>NT-08-06-B</v>
          </cell>
          <cell r="B2117" t="str">
            <v>NYLON TUBING 8X6 BLACK</v>
          </cell>
          <cell r="C2117" t="str">
            <v>PC</v>
          </cell>
          <cell r="D2117">
            <v>90</v>
          </cell>
          <cell r="E2117">
            <v>8544</v>
          </cell>
          <cell r="F2117">
            <v>768935</v>
          </cell>
        </row>
        <row r="2118">
          <cell r="A2118" t="str">
            <v>NT-12-09-B</v>
          </cell>
          <cell r="B2118" t="str">
            <v>NYLON TUBING 12X9 BLACK</v>
          </cell>
          <cell r="C2118" t="str">
            <v>M</v>
          </cell>
          <cell r="D2118">
            <v>0</v>
          </cell>
          <cell r="E2118">
            <v>13000</v>
          </cell>
          <cell r="F2118">
            <v>0</v>
          </cell>
        </row>
        <row r="2119">
          <cell r="A2119" t="str">
            <v>NT-12-10-B</v>
          </cell>
          <cell r="B2119" t="str">
            <v>NYLON TUBING 12X10-BLAC</v>
          </cell>
          <cell r="C2119" t="str">
            <v>PC</v>
          </cell>
          <cell r="D2119">
            <v>33</v>
          </cell>
          <cell r="E2119">
            <v>25800</v>
          </cell>
          <cell r="F2119">
            <v>851400</v>
          </cell>
        </row>
        <row r="2120">
          <cell r="A2120" t="str">
            <v>NT12-80-B</v>
          </cell>
          <cell r="B2120" t="str">
            <v>TUBING PUN 8 X 1,25 (NT12-80-B)</v>
          </cell>
          <cell r="C2120" t="str">
            <v>M</v>
          </cell>
          <cell r="D2120">
            <v>0</v>
          </cell>
          <cell r="E2120">
            <v>0</v>
          </cell>
          <cell r="F2120">
            <v>0</v>
          </cell>
        </row>
        <row r="2121">
          <cell r="A2121" t="str">
            <v>NT-12-80-B</v>
          </cell>
          <cell r="B2121" t="str">
            <v xml:space="preserve"> PU TUBIMG 8X12 BLACK</v>
          </cell>
          <cell r="C2121" t="str">
            <v>PC</v>
          </cell>
          <cell r="D2121">
            <v>0</v>
          </cell>
          <cell r="E2121">
            <v>32750</v>
          </cell>
          <cell r="F2121">
            <v>0</v>
          </cell>
        </row>
        <row r="2122">
          <cell r="A2122" t="str">
            <v>NT-12-80-O</v>
          </cell>
          <cell r="B2122" t="str">
            <v>PU TUBING 8X12 ORANG</v>
          </cell>
          <cell r="C2122" t="str">
            <v>PC</v>
          </cell>
          <cell r="D2122">
            <v>0</v>
          </cell>
          <cell r="E2122">
            <v>3000</v>
          </cell>
          <cell r="F2122">
            <v>0</v>
          </cell>
        </row>
        <row r="2123">
          <cell r="A2123" t="str">
            <v>NT-5/8-B</v>
          </cell>
          <cell r="B2123" t="str">
            <v xml:space="preserve"> PU TUBING 5/8" BIRU</v>
          </cell>
          <cell r="C2123" t="str">
            <v>PC</v>
          </cell>
          <cell r="D2123">
            <v>0</v>
          </cell>
          <cell r="E2123">
            <v>32750</v>
          </cell>
          <cell r="F2123">
            <v>0</v>
          </cell>
        </row>
        <row r="2124">
          <cell r="A2124" t="str">
            <v>NT-5/8-M</v>
          </cell>
          <cell r="B2124" t="str">
            <v xml:space="preserve"> PU TUBING 5/8" MERAH</v>
          </cell>
          <cell r="C2124" t="str">
            <v>PC</v>
          </cell>
          <cell r="D2124">
            <v>0</v>
          </cell>
          <cell r="E2124">
            <v>32750</v>
          </cell>
          <cell r="F2124">
            <v>0</v>
          </cell>
        </row>
        <row r="2125">
          <cell r="A2125" t="str">
            <v>NT8-5B1000P</v>
          </cell>
          <cell r="B2125" t="str">
            <v>BODY EMPTY BUNCH</v>
          </cell>
          <cell r="C2125" t="str">
            <v>PC</v>
          </cell>
          <cell r="D2125">
            <v>2</v>
          </cell>
          <cell r="E2125">
            <v>12750000</v>
          </cell>
          <cell r="F2125">
            <v>25500000</v>
          </cell>
        </row>
        <row r="2126">
          <cell r="A2126" t="str">
            <v>NYY-HY-4-10</v>
          </cell>
          <cell r="B2126" t="str">
            <v xml:space="preserve"> KABEL POWER</v>
          </cell>
          <cell r="C2126" t="str">
            <v>PC</v>
          </cell>
          <cell r="D2126">
            <v>0</v>
          </cell>
          <cell r="E2126">
            <v>23625</v>
          </cell>
          <cell r="F2126">
            <v>0</v>
          </cell>
        </row>
        <row r="2127">
          <cell r="A2127" t="str">
            <v>NYY-HY-7-1.5</v>
          </cell>
          <cell r="B2127" t="str">
            <v>CABLE 7CLR</v>
          </cell>
          <cell r="C2127" t="str">
            <v>PC</v>
          </cell>
          <cell r="D2127">
            <v>160</v>
          </cell>
          <cell r="E2127">
            <v>11438</v>
          </cell>
          <cell r="F2127">
            <v>1830000</v>
          </cell>
        </row>
        <row r="2128">
          <cell r="A2128" t="str">
            <v>NYY-HY-S-25</v>
          </cell>
          <cell r="B2128" t="str">
            <v xml:space="preserve"> KABEL POWER DIA 25 SERABUT</v>
          </cell>
          <cell r="C2128" t="str">
            <v>PC</v>
          </cell>
          <cell r="D2128">
            <v>0</v>
          </cell>
          <cell r="E2128">
            <v>23625</v>
          </cell>
          <cell r="F2128">
            <v>0</v>
          </cell>
        </row>
        <row r="2129">
          <cell r="A2129" t="str">
            <v>OR-18X18</v>
          </cell>
          <cell r="B2129" t="str">
            <v xml:space="preserve"> ORING 18X18 MANHOLE</v>
          </cell>
          <cell r="C2129" t="str">
            <v>PC</v>
          </cell>
          <cell r="D2129">
            <v>0</v>
          </cell>
          <cell r="E2129">
            <v>325000</v>
          </cell>
          <cell r="F2129">
            <v>0</v>
          </cell>
        </row>
        <row r="2130">
          <cell r="A2130" t="str">
            <v>ORG-327</v>
          </cell>
          <cell r="B2130" t="str">
            <v xml:space="preserve"> O RING 327</v>
          </cell>
          <cell r="C2130" t="str">
            <v>PC</v>
          </cell>
          <cell r="D2130">
            <v>0</v>
          </cell>
          <cell r="E2130">
            <v>4200</v>
          </cell>
          <cell r="F2130">
            <v>0</v>
          </cell>
        </row>
        <row r="2131">
          <cell r="A2131" t="str">
            <v>P385</v>
          </cell>
          <cell r="B2131" t="str">
            <v>PIN</v>
          </cell>
          <cell r="C2131" t="str">
            <v>PC</v>
          </cell>
          <cell r="D2131">
            <v>10</v>
          </cell>
          <cell r="E2131">
            <v>105344</v>
          </cell>
          <cell r="F2131">
            <v>442000</v>
          </cell>
        </row>
        <row r="2132">
          <cell r="A2132" t="str">
            <v>P396-44636</v>
          </cell>
          <cell r="B2132" t="str">
            <v xml:space="preserve"> WHITE PM</v>
          </cell>
          <cell r="C2132" t="str">
            <v>PC</v>
          </cell>
          <cell r="D2132">
            <v>50</v>
          </cell>
          <cell r="E2132">
            <v>36000</v>
          </cell>
          <cell r="F2132">
            <v>1800000</v>
          </cell>
        </row>
        <row r="2133">
          <cell r="A2133" t="str">
            <v>P550</v>
          </cell>
          <cell r="B2133" t="str">
            <v>PIN</v>
          </cell>
          <cell r="C2133" t="str">
            <v>PC</v>
          </cell>
          <cell r="D2133">
            <v>0</v>
          </cell>
          <cell r="E2133">
            <v>177444</v>
          </cell>
          <cell r="F2133">
            <v>0</v>
          </cell>
        </row>
        <row r="2134">
          <cell r="A2134" t="str">
            <v>PA34BBL11F08C</v>
          </cell>
          <cell r="B2134" t="str">
            <v>HOT SHIFT PTO ALLISON</v>
          </cell>
          <cell r="C2134" t="str">
            <v>PC</v>
          </cell>
          <cell r="D2134">
            <v>0</v>
          </cell>
          <cell r="E2134">
            <v>8383086</v>
          </cell>
          <cell r="F2134">
            <v>0</v>
          </cell>
        </row>
        <row r="2135">
          <cell r="A2135" t="str">
            <v>PA485RI</v>
          </cell>
          <cell r="B2135" t="str">
            <v>PIN</v>
          </cell>
          <cell r="C2135" t="str">
            <v>PC</v>
          </cell>
          <cell r="D2135">
            <v>0</v>
          </cell>
          <cell r="E2135">
            <v>161261</v>
          </cell>
          <cell r="F2135">
            <v>0</v>
          </cell>
        </row>
        <row r="2136">
          <cell r="A2136" t="str">
            <v>PAKET-HOSEWT16</v>
          </cell>
          <cell r="B2136" t="str">
            <v>Paket Hose system WT 16 CWB 520 LDN</v>
          </cell>
          <cell r="C2136" t="str">
            <v>PC</v>
          </cell>
          <cell r="D2136">
            <v>0</v>
          </cell>
          <cell r="E2136">
            <v>6399154</v>
          </cell>
          <cell r="F2136">
            <v>0</v>
          </cell>
        </row>
        <row r="2137">
          <cell r="A2137" t="str">
            <v>PAP-6040-P10</v>
          </cell>
          <cell r="B2137" t="str">
            <v>Dry Bush (PGA 60-40)</v>
          </cell>
          <cell r="C2137" t="str">
            <v>PC</v>
          </cell>
          <cell r="D2137">
            <v>0</v>
          </cell>
          <cell r="E2137">
            <v>1</v>
          </cell>
          <cell r="F2137">
            <v>0</v>
          </cell>
        </row>
        <row r="2138">
          <cell r="A2138" t="str">
            <v>PAP-6040-P20</v>
          </cell>
          <cell r="B2138" t="str">
            <v>DRY BUSH</v>
          </cell>
          <cell r="C2138" t="str">
            <v>PC</v>
          </cell>
          <cell r="D2138">
            <v>94</v>
          </cell>
          <cell r="E2138">
            <v>88306</v>
          </cell>
          <cell r="F2138">
            <v>8300785</v>
          </cell>
        </row>
        <row r="2139">
          <cell r="A2139" t="str">
            <v>P-ASV 38 S2</v>
          </cell>
          <cell r="B2139" t="str">
            <v>WELDABLE STUD</v>
          </cell>
          <cell r="C2139" t="str">
            <v>PC</v>
          </cell>
          <cell r="D2139">
            <v>0</v>
          </cell>
          <cell r="E2139">
            <v>215849</v>
          </cell>
          <cell r="F2139">
            <v>0</v>
          </cell>
        </row>
        <row r="2140">
          <cell r="A2140" t="str">
            <v>P-ASV35L</v>
          </cell>
          <cell r="B2140" t="str">
            <v>WELDABLE STUD</v>
          </cell>
          <cell r="C2140" t="str">
            <v>PC</v>
          </cell>
          <cell r="D2140">
            <v>0</v>
          </cell>
          <cell r="E2140">
            <v>96723</v>
          </cell>
          <cell r="F2140">
            <v>0</v>
          </cell>
        </row>
        <row r="2141">
          <cell r="A2141" t="str">
            <v>PDH140</v>
          </cell>
          <cell r="B2141" t="str">
            <v>PDH-140</v>
          </cell>
          <cell r="C2141" t="str">
            <v>PC</v>
          </cell>
          <cell r="D2141">
            <v>0</v>
          </cell>
          <cell r="E2141">
            <v>9000000</v>
          </cell>
          <cell r="F2141">
            <v>0</v>
          </cell>
        </row>
        <row r="2142">
          <cell r="A2142" t="str">
            <v>PDH200-IM</v>
          </cell>
          <cell r="B2142" t="str">
            <v>DUMP HOIST PDH200-1M</v>
          </cell>
          <cell r="C2142" t="str">
            <v>PC</v>
          </cell>
          <cell r="D2142">
            <v>8</v>
          </cell>
          <cell r="E2142">
            <v>13990000</v>
          </cell>
          <cell r="F2142">
            <v>111920000</v>
          </cell>
        </row>
        <row r="2143">
          <cell r="A2143" t="str">
            <v>PDH200-IM-1</v>
          </cell>
          <cell r="B2143" t="str">
            <v xml:space="preserve"> PDH2001M WO GEAR.P</v>
          </cell>
          <cell r="C2143" t="str">
            <v>PC</v>
          </cell>
          <cell r="D2143">
            <v>1</v>
          </cell>
          <cell r="E2143">
            <v>10580000</v>
          </cell>
          <cell r="F2143">
            <v>10580000</v>
          </cell>
        </row>
        <row r="2144">
          <cell r="A2144" t="str">
            <v>PDH200-PDP</v>
          </cell>
          <cell r="B2144" t="str">
            <v>HOIST MECH.</v>
          </cell>
          <cell r="C2144" t="str">
            <v>PC</v>
          </cell>
          <cell r="D2144">
            <v>0</v>
          </cell>
          <cell r="E2144">
            <v>0</v>
          </cell>
          <cell r="F2144">
            <v>0</v>
          </cell>
        </row>
        <row r="2145">
          <cell r="A2145" t="str">
            <v>PDH200-PNEUMATIC</v>
          </cell>
          <cell r="B2145" t="str">
            <v xml:space="preserve"> CONTROL PNEUMATIC</v>
          </cell>
          <cell r="C2145" t="str">
            <v>PC</v>
          </cell>
          <cell r="D2145">
            <v>0</v>
          </cell>
          <cell r="E2145">
            <v>8719091</v>
          </cell>
          <cell r="F2145">
            <v>0</v>
          </cell>
        </row>
        <row r="2146">
          <cell r="A2146" t="str">
            <v>PE-6</v>
          </cell>
          <cell r="B2146" t="str">
            <v xml:space="preserve"> PISCO UNION TEE</v>
          </cell>
          <cell r="C2146" t="str">
            <v>PC</v>
          </cell>
          <cell r="D2146">
            <v>48</v>
          </cell>
          <cell r="E2146">
            <v>23670</v>
          </cell>
          <cell r="F2146">
            <v>1136160</v>
          </cell>
        </row>
        <row r="2147">
          <cell r="A2147" t="str">
            <v>P-EGES30SR-WD</v>
          </cell>
          <cell r="B2147" t="str">
            <v>MALE STUD</v>
          </cell>
          <cell r="C2147" t="str">
            <v>PC</v>
          </cell>
          <cell r="D2147">
            <v>0</v>
          </cell>
          <cell r="E2147">
            <v>166216</v>
          </cell>
          <cell r="F2147">
            <v>0</v>
          </cell>
        </row>
        <row r="2148">
          <cell r="A2148" t="str">
            <v>P-ELVD12L</v>
          </cell>
          <cell r="B2148" t="str">
            <v>ADJ. TEE  ELBOW</v>
          </cell>
          <cell r="C2148" t="str">
            <v>PC</v>
          </cell>
          <cell r="D2148">
            <v>0</v>
          </cell>
          <cell r="E2148">
            <v>110414</v>
          </cell>
          <cell r="F2148">
            <v>0</v>
          </cell>
        </row>
        <row r="2149">
          <cell r="A2149" t="str">
            <v>P-ELVD35L</v>
          </cell>
          <cell r="B2149" t="str">
            <v>ADJ. M. STUD BARREL</v>
          </cell>
          <cell r="C2149" t="str">
            <v>PC</v>
          </cell>
          <cell r="D2149">
            <v>0</v>
          </cell>
          <cell r="E2149">
            <v>326352</v>
          </cell>
          <cell r="F2149">
            <v>0</v>
          </cell>
        </row>
        <row r="2150">
          <cell r="A2150" t="str">
            <v>P-ETVD15L</v>
          </cell>
          <cell r="B2150" t="str">
            <v>ADJUSTABLE TEE</v>
          </cell>
          <cell r="C2150" t="str">
            <v>PC</v>
          </cell>
          <cell r="D2150">
            <v>0</v>
          </cell>
          <cell r="E2150">
            <v>77997</v>
          </cell>
          <cell r="F2150">
            <v>0</v>
          </cell>
        </row>
        <row r="2151">
          <cell r="A2151" t="str">
            <v>P-ETVD20S</v>
          </cell>
          <cell r="B2151" t="str">
            <v>ADJUSTABLE TEE</v>
          </cell>
          <cell r="C2151" t="str">
            <v>PC</v>
          </cell>
          <cell r="D2151">
            <v>0</v>
          </cell>
          <cell r="E2151">
            <v>169995</v>
          </cell>
          <cell r="F2151">
            <v>0</v>
          </cell>
        </row>
        <row r="2152">
          <cell r="A2152" t="str">
            <v>P-EWD20L</v>
          </cell>
          <cell r="B2152" t="str">
            <v>ADJUSTABLE ELBOW</v>
          </cell>
          <cell r="C2152" t="str">
            <v>PC</v>
          </cell>
          <cell r="D2152">
            <v>0</v>
          </cell>
          <cell r="E2152">
            <v>109260</v>
          </cell>
          <cell r="F2152">
            <v>0</v>
          </cell>
        </row>
        <row r="2153">
          <cell r="A2153" t="str">
            <v>P-EWV30S-SV</v>
          </cell>
          <cell r="B2153" t="str">
            <v>ADJ ELBOW</v>
          </cell>
          <cell r="C2153" t="str">
            <v>PC</v>
          </cell>
          <cell r="D2153">
            <v>0</v>
          </cell>
          <cell r="E2153">
            <v>210884</v>
          </cell>
          <cell r="F2153">
            <v>0</v>
          </cell>
        </row>
        <row r="2154">
          <cell r="A2154" t="str">
            <v>P-EWVD 38 S</v>
          </cell>
          <cell r="B2154" t="str">
            <v>ADJ.MALE STUD ELBOW</v>
          </cell>
          <cell r="C2154" t="str">
            <v>PC</v>
          </cell>
          <cell r="D2154">
            <v>0</v>
          </cell>
          <cell r="E2154">
            <v>470370</v>
          </cell>
          <cell r="F2154">
            <v>0</v>
          </cell>
        </row>
        <row r="2155">
          <cell r="A2155" t="str">
            <v>P-EWVD12L</v>
          </cell>
          <cell r="B2155" t="str">
            <v>ADJ.MALE STUD ELBOW</v>
          </cell>
          <cell r="C2155" t="str">
            <v>PC</v>
          </cell>
          <cell r="D2155">
            <v>2</v>
          </cell>
          <cell r="E2155">
            <v>46975</v>
          </cell>
          <cell r="F2155">
            <v>93949</v>
          </cell>
        </row>
        <row r="2156">
          <cell r="A2156" t="str">
            <v>P-EWVD20L</v>
          </cell>
          <cell r="B2156" t="str">
            <v>ADJUSTABLE ELBOW</v>
          </cell>
          <cell r="C2156" t="str">
            <v>PC</v>
          </cell>
          <cell r="D2156">
            <v>0</v>
          </cell>
          <cell r="E2156">
            <v>99882</v>
          </cell>
          <cell r="F2156">
            <v>0</v>
          </cell>
        </row>
        <row r="2157">
          <cell r="A2157" t="str">
            <v>P-EWVD30S</v>
          </cell>
          <cell r="B2157" t="str">
            <v>ADJ.MALE STUD ELBOW</v>
          </cell>
          <cell r="C2157" t="str">
            <v>PC</v>
          </cell>
          <cell r="D2157">
            <v>4</v>
          </cell>
          <cell r="E2157">
            <v>237596</v>
          </cell>
          <cell r="F2157">
            <v>950383</v>
          </cell>
        </row>
        <row r="2158">
          <cell r="A2158" t="str">
            <v>P-EWVD35L</v>
          </cell>
          <cell r="B2158" t="str">
            <v>ADJ.MALE STUD ELBOW</v>
          </cell>
          <cell r="C2158" t="str">
            <v>PC</v>
          </cell>
          <cell r="D2158">
            <v>0</v>
          </cell>
          <cell r="E2158">
            <v>213449</v>
          </cell>
          <cell r="F2158">
            <v>0</v>
          </cell>
        </row>
        <row r="2159">
          <cell r="A2159" t="str">
            <v>P-EWVD42L</v>
          </cell>
          <cell r="B2159" t="str">
            <v>MALE STUD ELBOW</v>
          </cell>
          <cell r="C2159" t="str">
            <v>PC</v>
          </cell>
          <cell r="D2159">
            <v>2</v>
          </cell>
          <cell r="E2159">
            <v>320570</v>
          </cell>
          <cell r="F2159">
            <v>641140</v>
          </cell>
        </row>
        <row r="2160">
          <cell r="A2160" t="str">
            <v>PGA 60-40</v>
          </cell>
          <cell r="B2160" t="str">
            <v>DRY BUSH</v>
          </cell>
          <cell r="C2160" t="str">
            <v>PCS</v>
          </cell>
          <cell r="D2160">
            <v>0</v>
          </cell>
          <cell r="E2160">
            <v>1</v>
          </cell>
          <cell r="F2160">
            <v>0</v>
          </cell>
        </row>
        <row r="2161">
          <cell r="A2161" t="str">
            <v>P-GE30SR-WD</v>
          </cell>
          <cell r="B2161" t="str">
            <v>MALE STUD</v>
          </cell>
          <cell r="C2161" t="str">
            <v>PC</v>
          </cell>
          <cell r="D2161">
            <v>0</v>
          </cell>
          <cell r="E2161">
            <v>95811</v>
          </cell>
          <cell r="F2161">
            <v>0</v>
          </cell>
        </row>
        <row r="2162">
          <cell r="A2162" t="str">
            <v>P-GEV12L</v>
          </cell>
          <cell r="B2162" t="str">
            <v>MALE STUD  3/8"</v>
          </cell>
          <cell r="C2162" t="str">
            <v>PC</v>
          </cell>
          <cell r="D2162">
            <v>0</v>
          </cell>
          <cell r="E2162">
            <v>12979</v>
          </cell>
          <cell r="F2162">
            <v>0</v>
          </cell>
        </row>
        <row r="2163">
          <cell r="A2163" t="str">
            <v>P-GEV12L/3/8NPT</v>
          </cell>
          <cell r="B2163" t="str">
            <v>MALE STUD COUPLING</v>
          </cell>
          <cell r="C2163" t="str">
            <v>PC</v>
          </cell>
          <cell r="D2163">
            <v>0</v>
          </cell>
          <cell r="E2163">
            <v>12620</v>
          </cell>
          <cell r="F2163">
            <v>0</v>
          </cell>
        </row>
        <row r="2164">
          <cell r="A2164" t="str">
            <v>P-GEV12L1/2NPT</v>
          </cell>
          <cell r="B2164" t="str">
            <v>MALE STUD COUPLING</v>
          </cell>
          <cell r="C2164" t="str">
            <v>PC</v>
          </cell>
          <cell r="D2164">
            <v>0</v>
          </cell>
          <cell r="E2164">
            <v>12021</v>
          </cell>
          <cell r="F2164">
            <v>0</v>
          </cell>
        </row>
        <row r="2165">
          <cell r="A2165" t="str">
            <v>P-GEV12L1/4NPT</v>
          </cell>
          <cell r="B2165" t="str">
            <v>MALE STUD COUPLING</v>
          </cell>
          <cell r="C2165" t="str">
            <v>PC</v>
          </cell>
          <cell r="D2165">
            <v>0</v>
          </cell>
          <cell r="E2165">
            <v>13016</v>
          </cell>
          <cell r="F2165">
            <v>0</v>
          </cell>
        </row>
        <row r="2166">
          <cell r="A2166" t="str">
            <v>P-GEV12L3/8NPT</v>
          </cell>
          <cell r="B2166" t="str">
            <v>MALE STUD COUPLING</v>
          </cell>
          <cell r="C2166" t="str">
            <v>PC</v>
          </cell>
          <cell r="D2166">
            <v>0</v>
          </cell>
          <cell r="E2166">
            <v>12269</v>
          </cell>
          <cell r="F2166">
            <v>0</v>
          </cell>
        </row>
        <row r="2167">
          <cell r="A2167" t="str">
            <v>P-GEV12LM</v>
          </cell>
          <cell r="B2167" t="str">
            <v>MALE STUD COUPLING</v>
          </cell>
          <cell r="C2167" t="str">
            <v>PC</v>
          </cell>
          <cell r="D2167">
            <v>0</v>
          </cell>
          <cell r="E2167">
            <v>12353</v>
          </cell>
          <cell r="F2167">
            <v>0</v>
          </cell>
        </row>
        <row r="2168">
          <cell r="A2168" t="str">
            <v>P-GEV12LR-WD</v>
          </cell>
          <cell r="B2168" t="str">
            <v>MALE STUD</v>
          </cell>
          <cell r="C2168" t="str">
            <v>PC</v>
          </cell>
          <cell r="D2168">
            <v>0</v>
          </cell>
          <cell r="E2168">
            <v>15457</v>
          </cell>
          <cell r="F2168">
            <v>0</v>
          </cell>
        </row>
        <row r="2169">
          <cell r="A2169" t="str">
            <v>P-GEV15L1/2NPT</v>
          </cell>
          <cell r="B2169" t="str">
            <v>MALE STUD COUPLING</v>
          </cell>
          <cell r="C2169" t="str">
            <v>PC</v>
          </cell>
          <cell r="D2169">
            <v>0</v>
          </cell>
          <cell r="E2169">
            <v>18101</v>
          </cell>
          <cell r="F2169">
            <v>0</v>
          </cell>
        </row>
        <row r="2170">
          <cell r="A2170" t="str">
            <v>P-GEV20S/3/4NPT</v>
          </cell>
          <cell r="B2170" t="str">
            <v>MALE STUD COUPLING</v>
          </cell>
          <cell r="C2170" t="str">
            <v>PC</v>
          </cell>
          <cell r="D2170">
            <v>0</v>
          </cell>
          <cell r="E2170">
            <v>42536</v>
          </cell>
          <cell r="F2170">
            <v>0</v>
          </cell>
        </row>
        <row r="2171">
          <cell r="A2171" t="str">
            <v>P-GEV22L</v>
          </cell>
          <cell r="B2171" t="str">
            <v>MALE STUD COUPLING 3/4" NPT</v>
          </cell>
          <cell r="C2171" t="str">
            <v>PC</v>
          </cell>
          <cell r="D2171">
            <v>2</v>
          </cell>
          <cell r="E2171">
            <v>35749</v>
          </cell>
          <cell r="F2171">
            <v>71498</v>
          </cell>
        </row>
        <row r="2172">
          <cell r="A2172" t="str">
            <v>P-GEV22L/3/4NPT</v>
          </cell>
          <cell r="B2172" t="str">
            <v>MALE STUD COUPLING</v>
          </cell>
          <cell r="C2172" t="str">
            <v>PC</v>
          </cell>
          <cell r="D2172">
            <v>0</v>
          </cell>
          <cell r="E2172">
            <v>35749</v>
          </cell>
          <cell r="F2172">
            <v>0</v>
          </cell>
        </row>
        <row r="2173">
          <cell r="A2173" t="str">
            <v>P-GEV22L3/4NPT</v>
          </cell>
          <cell r="B2173" t="str">
            <v>MALE STUD COUPLING</v>
          </cell>
          <cell r="C2173" t="str">
            <v>PC</v>
          </cell>
          <cell r="D2173">
            <v>0</v>
          </cell>
          <cell r="E2173">
            <v>1</v>
          </cell>
          <cell r="F2173">
            <v>0</v>
          </cell>
        </row>
        <row r="2174">
          <cell r="A2174" t="str">
            <v>P-GEV22LR-WD</v>
          </cell>
          <cell r="B2174" t="str">
            <v>MALE STUD</v>
          </cell>
          <cell r="C2174" t="str">
            <v>PC</v>
          </cell>
          <cell r="D2174">
            <v>0</v>
          </cell>
          <cell r="E2174">
            <v>36699</v>
          </cell>
          <cell r="F2174">
            <v>0</v>
          </cell>
        </row>
        <row r="2175">
          <cell r="A2175" t="str">
            <v>P-GEV30S</v>
          </cell>
          <cell r="B2175" t="str">
            <v>MALE STUD</v>
          </cell>
          <cell r="C2175" t="str">
            <v>PC</v>
          </cell>
          <cell r="D2175">
            <v>0</v>
          </cell>
          <cell r="E2175">
            <v>158864</v>
          </cell>
          <cell r="F2175">
            <v>0</v>
          </cell>
        </row>
        <row r="2176">
          <cell r="A2176" t="str">
            <v>P-GEV30S/1-1/4NPT</v>
          </cell>
          <cell r="B2176" t="str">
            <v>MALE STUD</v>
          </cell>
          <cell r="C2176" t="str">
            <v>PC</v>
          </cell>
          <cell r="D2176">
            <v>0</v>
          </cell>
          <cell r="E2176">
            <v>138320</v>
          </cell>
          <cell r="F2176">
            <v>0</v>
          </cell>
        </row>
        <row r="2177">
          <cell r="A2177" t="str">
            <v>P-GEV30S/3/4NPT</v>
          </cell>
          <cell r="B2177" t="str">
            <v>MALE STUD</v>
          </cell>
          <cell r="C2177" t="str">
            <v>PC</v>
          </cell>
          <cell r="D2177">
            <v>0</v>
          </cell>
          <cell r="E2177">
            <v>290588</v>
          </cell>
          <cell r="F2177">
            <v>0</v>
          </cell>
        </row>
        <row r="2178">
          <cell r="A2178" t="str">
            <v>P-GEV35L11/4NPT</v>
          </cell>
          <cell r="B2178" t="str">
            <v>MALE STUD COUPLING</v>
          </cell>
          <cell r="C2178" t="str">
            <v>PC</v>
          </cell>
          <cell r="D2178">
            <v>0</v>
          </cell>
          <cell r="E2178">
            <v>101346</v>
          </cell>
          <cell r="F2178">
            <v>0</v>
          </cell>
        </row>
        <row r="2179">
          <cell r="A2179" t="str">
            <v>P-GEV35LR</v>
          </cell>
          <cell r="B2179" t="str">
            <v>MALE STUD</v>
          </cell>
          <cell r="C2179" t="str">
            <v>PC</v>
          </cell>
          <cell r="D2179">
            <v>0</v>
          </cell>
          <cell r="E2179">
            <v>237596</v>
          </cell>
          <cell r="F2179">
            <v>0</v>
          </cell>
        </row>
        <row r="2180">
          <cell r="A2180" t="str">
            <v>P-GEV38S</v>
          </cell>
          <cell r="B2180" t="str">
            <v>MALE STUD  1.5 NPT</v>
          </cell>
          <cell r="C2180" t="str">
            <v>PC</v>
          </cell>
          <cell r="D2180">
            <v>0</v>
          </cell>
          <cell r="E2180">
            <v>148908</v>
          </cell>
          <cell r="F2180">
            <v>0</v>
          </cell>
        </row>
        <row r="2181">
          <cell r="A2181" t="str">
            <v>P-GV12/10L</v>
          </cell>
          <cell r="B2181" t="str">
            <v>STANDPIPE REDUCER</v>
          </cell>
          <cell r="C2181" t="str">
            <v>PC</v>
          </cell>
          <cell r="D2181">
            <v>0</v>
          </cell>
          <cell r="E2181">
            <v>28329</v>
          </cell>
          <cell r="F2181">
            <v>0</v>
          </cell>
        </row>
        <row r="2182">
          <cell r="A2182" t="str">
            <v>P-GV22L</v>
          </cell>
          <cell r="B2182" t="str">
            <v>STRAIGHT COUPLING</v>
          </cell>
          <cell r="C2182" t="str">
            <v>PC</v>
          </cell>
          <cell r="D2182">
            <v>0</v>
          </cell>
          <cell r="E2182">
            <v>46939</v>
          </cell>
          <cell r="F2182">
            <v>0</v>
          </cell>
        </row>
        <row r="2183">
          <cell r="A2183" t="str">
            <v>P-GV25S</v>
          </cell>
          <cell r="B2183" t="str">
            <v xml:space="preserve"> STRAIGHT COUPLING</v>
          </cell>
          <cell r="C2183" t="str">
            <v>PC</v>
          </cell>
          <cell r="D2183">
            <v>2</v>
          </cell>
          <cell r="E2183">
            <v>106512</v>
          </cell>
          <cell r="F2183">
            <v>213024</v>
          </cell>
        </row>
        <row r="2184">
          <cell r="A2184" t="str">
            <v>P-GV30S</v>
          </cell>
          <cell r="B2184" t="str">
            <v xml:space="preserve"> STRAIGHT COUPLING</v>
          </cell>
          <cell r="C2184" t="str">
            <v>PC</v>
          </cell>
          <cell r="D2184">
            <v>0</v>
          </cell>
          <cell r="E2184">
            <v>148892</v>
          </cell>
          <cell r="F2184">
            <v>0</v>
          </cell>
        </row>
        <row r="2185">
          <cell r="A2185" t="str">
            <v>P-GV35L</v>
          </cell>
          <cell r="B2185" t="str">
            <v>STRAIGHT COUPLING</v>
          </cell>
          <cell r="C2185" t="str">
            <v>PC</v>
          </cell>
          <cell r="D2185">
            <v>0</v>
          </cell>
          <cell r="E2185">
            <v>115392</v>
          </cell>
          <cell r="F2185">
            <v>0</v>
          </cell>
        </row>
        <row r="2186">
          <cell r="A2186" t="str">
            <v>P-GV42L</v>
          </cell>
          <cell r="B2186" t="str">
            <v>STRAIGHT COUPLING</v>
          </cell>
          <cell r="C2186" t="str">
            <v>PC</v>
          </cell>
          <cell r="D2186">
            <v>1</v>
          </cell>
          <cell r="E2186">
            <v>155484</v>
          </cell>
          <cell r="F2186">
            <v>155484</v>
          </cell>
        </row>
        <row r="2187">
          <cell r="A2187" t="str">
            <v>PIPA12X1.5X6000MM</v>
          </cell>
          <cell r="B2187" t="str">
            <v>SEAMLESS PIPE</v>
          </cell>
          <cell r="C2187" t="str">
            <v>PC</v>
          </cell>
          <cell r="D2187">
            <v>0</v>
          </cell>
          <cell r="E2187">
            <v>94781</v>
          </cell>
          <cell r="F2187">
            <v>0</v>
          </cell>
        </row>
        <row r="2188">
          <cell r="A2188" t="str">
            <v>PIPA15X1.5X6000MM</v>
          </cell>
          <cell r="B2188" t="str">
            <v>SEAMLESS PIPE</v>
          </cell>
          <cell r="C2188" t="str">
            <v>PC</v>
          </cell>
          <cell r="D2188">
            <v>0</v>
          </cell>
          <cell r="E2188">
            <v>101363</v>
          </cell>
          <cell r="F2188">
            <v>0</v>
          </cell>
        </row>
        <row r="2189">
          <cell r="A2189" t="str">
            <v>PIPA20X2X6000MM</v>
          </cell>
          <cell r="B2189" t="str">
            <v>SEAMLESS PIPE</v>
          </cell>
          <cell r="C2189" t="str">
            <v>PC</v>
          </cell>
          <cell r="D2189">
            <v>0</v>
          </cell>
          <cell r="E2189">
            <v>173765</v>
          </cell>
          <cell r="F2189">
            <v>0</v>
          </cell>
        </row>
        <row r="2190">
          <cell r="A2190" t="str">
            <v>P-KV22L</v>
          </cell>
          <cell r="B2190" t="str">
            <v>EQUAL CROSS</v>
          </cell>
          <cell r="C2190" t="str">
            <v>PC</v>
          </cell>
          <cell r="D2190">
            <v>0</v>
          </cell>
          <cell r="E2190">
            <v>1</v>
          </cell>
          <cell r="F2190">
            <v>0</v>
          </cell>
        </row>
        <row r="2191">
          <cell r="A2191" t="str">
            <v>P-KV35L</v>
          </cell>
          <cell r="B2191" t="str">
            <v>CROSS COUPLING</v>
          </cell>
          <cell r="C2191" t="str">
            <v>PC</v>
          </cell>
          <cell r="D2191">
            <v>0</v>
          </cell>
          <cell r="E2191">
            <v>543833</v>
          </cell>
          <cell r="F2191">
            <v>0</v>
          </cell>
        </row>
        <row r="2192">
          <cell r="A2192" t="str">
            <v>PLUG3/4NPT</v>
          </cell>
          <cell r="B2192" t="str">
            <v>PLUG</v>
          </cell>
          <cell r="C2192" t="str">
            <v>PC</v>
          </cell>
          <cell r="D2192">
            <v>0</v>
          </cell>
          <cell r="E2192">
            <v>17875</v>
          </cell>
          <cell r="F2192">
            <v>0</v>
          </cell>
        </row>
        <row r="2193">
          <cell r="A2193" t="str">
            <v>POK-08</v>
          </cell>
          <cell r="B2193" t="str">
            <v>STOP COCK 1/2"</v>
          </cell>
          <cell r="C2193" t="str">
            <v>PC</v>
          </cell>
          <cell r="D2193">
            <v>0</v>
          </cell>
          <cell r="E2193">
            <v>113457</v>
          </cell>
          <cell r="F2193">
            <v>0</v>
          </cell>
        </row>
        <row r="2194">
          <cell r="A2194" t="str">
            <v>POK-16</v>
          </cell>
          <cell r="B2194" t="str">
            <v>STOP COCK 1"</v>
          </cell>
          <cell r="C2194" t="str">
            <v>PC</v>
          </cell>
          <cell r="D2194">
            <v>0</v>
          </cell>
          <cell r="E2194">
            <v>86618</v>
          </cell>
          <cell r="F2194">
            <v>0</v>
          </cell>
        </row>
        <row r="2195">
          <cell r="A2195" t="str">
            <v>P-REDVD22/12L</v>
          </cell>
          <cell r="B2195" t="str">
            <v>STAND PIPE REDUCER</v>
          </cell>
          <cell r="C2195" t="str">
            <v>PC</v>
          </cell>
          <cell r="D2195">
            <v>0</v>
          </cell>
          <cell r="E2195">
            <v>43952</v>
          </cell>
          <cell r="F2195">
            <v>0</v>
          </cell>
        </row>
        <row r="2196">
          <cell r="A2196" t="str">
            <v>P-REDVD35/22L</v>
          </cell>
          <cell r="B2196" t="str">
            <v>REDUCING FITTING</v>
          </cell>
          <cell r="C2196" t="str">
            <v>PC</v>
          </cell>
          <cell r="D2196">
            <v>0</v>
          </cell>
          <cell r="E2196">
            <v>113348</v>
          </cell>
          <cell r="F2196">
            <v>0</v>
          </cell>
        </row>
        <row r="2197">
          <cell r="A2197" t="str">
            <v>P-REDVD38/30</v>
          </cell>
          <cell r="B2197" t="str">
            <v>REDUCER</v>
          </cell>
          <cell r="C2197" t="str">
            <v>PC</v>
          </cell>
          <cell r="D2197">
            <v>0</v>
          </cell>
          <cell r="E2197">
            <v>215292</v>
          </cell>
          <cell r="F2197">
            <v>0</v>
          </cell>
        </row>
        <row r="2198">
          <cell r="A2198" t="str">
            <v>P-TV12L</v>
          </cell>
          <cell r="B2198" t="str">
            <v>EQUAL TEE</v>
          </cell>
          <cell r="C2198" t="str">
            <v>PC</v>
          </cell>
          <cell r="D2198">
            <v>0</v>
          </cell>
          <cell r="E2198">
            <v>45416</v>
          </cell>
          <cell r="F2198">
            <v>0</v>
          </cell>
        </row>
        <row r="2199">
          <cell r="A2199" t="str">
            <v>P-TV22L</v>
          </cell>
          <cell r="B2199" t="str">
            <v>EQUAL TEE</v>
          </cell>
          <cell r="C2199" t="str">
            <v>PC</v>
          </cell>
          <cell r="D2199">
            <v>0</v>
          </cell>
          <cell r="E2199">
            <v>121149</v>
          </cell>
          <cell r="F2199">
            <v>0</v>
          </cell>
        </row>
        <row r="2200">
          <cell r="A2200" t="str">
            <v>P-TV30S</v>
          </cell>
          <cell r="B2200" t="str">
            <v xml:space="preserve"> EQUAL TEE</v>
          </cell>
          <cell r="C2200" t="str">
            <v>PC</v>
          </cell>
          <cell r="D2200">
            <v>4</v>
          </cell>
          <cell r="E2200">
            <v>338266</v>
          </cell>
          <cell r="F2200">
            <v>1353065</v>
          </cell>
        </row>
        <row r="2201">
          <cell r="A2201" t="str">
            <v>P-TV35L</v>
          </cell>
          <cell r="B2201" t="str">
            <v>REDUCING TEE</v>
          </cell>
          <cell r="C2201" t="str">
            <v>PC</v>
          </cell>
          <cell r="D2201">
            <v>0</v>
          </cell>
          <cell r="E2201">
            <v>256832</v>
          </cell>
          <cell r="F2201">
            <v>0</v>
          </cell>
        </row>
        <row r="2202">
          <cell r="A2202" t="str">
            <v>PUKS85R01</v>
          </cell>
          <cell r="B2202" t="str">
            <v>PUMP KS85-SAME (HIGH PRESSURE)</v>
          </cell>
          <cell r="C2202" t="str">
            <v>PC</v>
          </cell>
          <cell r="D2202">
            <v>0</v>
          </cell>
          <cell r="E2202">
            <v>3593272</v>
          </cell>
          <cell r="F2202">
            <v>0</v>
          </cell>
        </row>
        <row r="2203">
          <cell r="A2203" t="str">
            <v>PV-22-057B</v>
          </cell>
          <cell r="B2203" t="str">
            <v>HYD PUMP DAIKIN</v>
          </cell>
          <cell r="C2203" t="str">
            <v>PC</v>
          </cell>
          <cell r="D2203">
            <v>4</v>
          </cell>
          <cell r="E2203">
            <v>1</v>
          </cell>
          <cell r="F2203">
            <v>4</v>
          </cell>
        </row>
        <row r="2204">
          <cell r="A2204" t="str">
            <v>P-WEV22L3/4NPT</v>
          </cell>
          <cell r="B2204" t="str">
            <v>MALE STUD ELBOW</v>
          </cell>
          <cell r="C2204" t="str">
            <v>PC</v>
          </cell>
          <cell r="D2204">
            <v>0</v>
          </cell>
          <cell r="E2204">
            <v>97701</v>
          </cell>
          <cell r="F2204">
            <v>0</v>
          </cell>
        </row>
        <row r="2205">
          <cell r="A2205" t="str">
            <v>P-WV12L</v>
          </cell>
          <cell r="B2205" t="str">
            <v>EQUAL ELBOW</v>
          </cell>
          <cell r="C2205" t="str">
            <v>PC</v>
          </cell>
          <cell r="D2205">
            <v>0</v>
          </cell>
          <cell r="E2205">
            <v>32663</v>
          </cell>
          <cell r="F2205">
            <v>0</v>
          </cell>
        </row>
        <row r="2206">
          <cell r="A2206" t="str">
            <v>P-WV15L</v>
          </cell>
          <cell r="B2206" t="str">
            <v>EQUAL ELBOW</v>
          </cell>
          <cell r="C2206" t="str">
            <v>PC</v>
          </cell>
          <cell r="D2206">
            <v>0</v>
          </cell>
          <cell r="E2206">
            <v>43935</v>
          </cell>
          <cell r="F2206">
            <v>0</v>
          </cell>
        </row>
        <row r="2207">
          <cell r="A2207" t="str">
            <v>P-WV20S</v>
          </cell>
          <cell r="B2207" t="str">
            <v>EQUAL ELBOW</v>
          </cell>
          <cell r="C2207" t="str">
            <v>PC</v>
          </cell>
          <cell r="D2207">
            <v>0</v>
          </cell>
          <cell r="E2207">
            <v>84603</v>
          </cell>
          <cell r="F2207">
            <v>0</v>
          </cell>
        </row>
        <row r="2208">
          <cell r="A2208" t="str">
            <v>P-WV22L</v>
          </cell>
          <cell r="B2208" t="str">
            <v>EQUAL ELBOW</v>
          </cell>
          <cell r="C2208" t="str">
            <v>PC</v>
          </cell>
          <cell r="D2208">
            <v>0</v>
          </cell>
          <cell r="E2208">
            <v>85344</v>
          </cell>
          <cell r="F2208">
            <v>0</v>
          </cell>
        </row>
        <row r="2209">
          <cell r="A2209" t="str">
            <v>P-WV30S</v>
          </cell>
          <cell r="B2209" t="str">
            <v>EQUAL ELBOW</v>
          </cell>
          <cell r="C2209" t="str">
            <v>PC</v>
          </cell>
          <cell r="D2209">
            <v>0</v>
          </cell>
          <cell r="E2209">
            <v>232680</v>
          </cell>
          <cell r="F2209">
            <v>0</v>
          </cell>
        </row>
        <row r="2210">
          <cell r="A2210" t="str">
            <v>P-WV35L</v>
          </cell>
          <cell r="B2210" t="str">
            <v>EQUAL ELBOW</v>
          </cell>
          <cell r="C2210" t="str">
            <v>PC</v>
          </cell>
          <cell r="D2210">
            <v>0</v>
          </cell>
          <cell r="E2210">
            <v>195224</v>
          </cell>
          <cell r="F2210">
            <v>0</v>
          </cell>
        </row>
        <row r="2211">
          <cell r="A2211" t="str">
            <v>PY-6</v>
          </cell>
          <cell r="B2211" t="str">
            <v xml:space="preserve"> PISCO UNION Y</v>
          </cell>
          <cell r="C2211" t="str">
            <v>PC</v>
          </cell>
          <cell r="D2211">
            <v>28</v>
          </cell>
          <cell r="E2211">
            <v>29400</v>
          </cell>
          <cell r="F2211">
            <v>823200</v>
          </cell>
        </row>
        <row r="2212">
          <cell r="A2212" t="str">
            <v>QRC12FNF</v>
          </cell>
          <cell r="B2212" t="str">
            <v>COUPLER</v>
          </cell>
          <cell r="C2212" t="str">
            <v>PC</v>
          </cell>
          <cell r="D2212">
            <v>0</v>
          </cell>
          <cell r="E2212">
            <v>0</v>
          </cell>
          <cell r="F2212">
            <v>0</v>
          </cell>
        </row>
        <row r="2213">
          <cell r="A2213" t="str">
            <v>QRC16FNF</v>
          </cell>
          <cell r="B2213" t="str">
            <v>COUPLER(female)</v>
          </cell>
          <cell r="C2213" t="str">
            <v>PC</v>
          </cell>
          <cell r="D2213">
            <v>0</v>
          </cell>
          <cell r="E2213">
            <v>250509</v>
          </cell>
          <cell r="F2213">
            <v>0</v>
          </cell>
        </row>
        <row r="2214">
          <cell r="A2214" t="str">
            <v>QRP12FNF</v>
          </cell>
          <cell r="B2214" t="str">
            <v>NIPPLE</v>
          </cell>
          <cell r="C2214" t="str">
            <v>PC</v>
          </cell>
          <cell r="D2214">
            <v>0</v>
          </cell>
          <cell r="E2214">
            <v>0</v>
          </cell>
          <cell r="F2214">
            <v>0</v>
          </cell>
        </row>
        <row r="2215">
          <cell r="A2215" t="str">
            <v>QRP16FNF</v>
          </cell>
          <cell r="B2215" t="str">
            <v>NIPPLE(male router)</v>
          </cell>
          <cell r="C2215" t="str">
            <v>PC</v>
          </cell>
          <cell r="D2215">
            <v>0</v>
          </cell>
          <cell r="E2215">
            <v>128054</v>
          </cell>
          <cell r="F2215">
            <v>0</v>
          </cell>
        </row>
        <row r="2216">
          <cell r="A2216" t="str">
            <v>QSS-6/153158</v>
          </cell>
          <cell r="B2216" t="str">
            <v>FITTING FESTO 6MM</v>
          </cell>
          <cell r="C2216" t="str">
            <v>PC</v>
          </cell>
          <cell r="D2216">
            <v>438</v>
          </cell>
          <cell r="E2216">
            <v>19321</v>
          </cell>
          <cell r="F2216">
            <v>8462393</v>
          </cell>
        </row>
        <row r="2217">
          <cell r="A2217" t="str">
            <v>QSX-6</v>
          </cell>
          <cell r="B2217" t="str">
            <v>X-FITTING 6 MM</v>
          </cell>
          <cell r="C2217" t="str">
            <v>PC</v>
          </cell>
          <cell r="D2217">
            <v>9</v>
          </cell>
          <cell r="E2217">
            <v>28300</v>
          </cell>
          <cell r="F2217">
            <v>254700</v>
          </cell>
        </row>
        <row r="2218">
          <cell r="A2218" t="str">
            <v>R GUARD-LDN-UT</v>
          </cell>
          <cell r="B2218" t="str">
            <v xml:space="preserve"> RADIATOR GUARD CWB</v>
          </cell>
          <cell r="C2218" t="str">
            <v>PC</v>
          </cell>
          <cell r="D2218">
            <v>5</v>
          </cell>
          <cell r="E2218">
            <v>233725</v>
          </cell>
          <cell r="F2218">
            <v>1168625</v>
          </cell>
        </row>
        <row r="2219">
          <cell r="A2219" t="str">
            <v>R2AT-04-E</v>
          </cell>
          <cell r="B2219" t="str">
            <v>Hose</v>
          </cell>
          <cell r="C2219" t="str">
            <v>PC</v>
          </cell>
          <cell r="D2219">
            <v>0</v>
          </cell>
          <cell r="E2219">
            <v>0</v>
          </cell>
          <cell r="F2219">
            <v>0</v>
          </cell>
        </row>
        <row r="2220">
          <cell r="A2220" t="str">
            <v>R2AT-06-E</v>
          </cell>
          <cell r="B2220" t="str">
            <v>HOSE</v>
          </cell>
          <cell r="C2220" t="str">
            <v>PC</v>
          </cell>
          <cell r="D2220">
            <v>0</v>
          </cell>
          <cell r="E2220">
            <v>0</v>
          </cell>
          <cell r="F2220">
            <v>0</v>
          </cell>
        </row>
        <row r="2221">
          <cell r="A2221" t="str">
            <v>R2AT-08-E</v>
          </cell>
          <cell r="B2221" t="str">
            <v>Hose</v>
          </cell>
          <cell r="C2221" t="str">
            <v>PC</v>
          </cell>
          <cell r="D2221">
            <v>0</v>
          </cell>
          <cell r="E2221">
            <v>0</v>
          </cell>
          <cell r="F2221">
            <v>0</v>
          </cell>
        </row>
        <row r="2222">
          <cell r="A2222" t="str">
            <v>R2AT-08X1000MM</v>
          </cell>
          <cell r="B2222" t="str">
            <v>HOSE</v>
          </cell>
          <cell r="C2222" t="str">
            <v>PC</v>
          </cell>
          <cell r="D2222">
            <v>0</v>
          </cell>
          <cell r="E2222">
            <v>22482</v>
          </cell>
          <cell r="F2222">
            <v>0</v>
          </cell>
        </row>
        <row r="2223">
          <cell r="A2223" t="str">
            <v>R2AT-12-E</v>
          </cell>
          <cell r="B2223" t="str">
            <v>Hose</v>
          </cell>
          <cell r="C2223" t="str">
            <v>PC</v>
          </cell>
          <cell r="D2223">
            <v>0</v>
          </cell>
          <cell r="E2223">
            <v>0</v>
          </cell>
          <cell r="F2223">
            <v>0</v>
          </cell>
        </row>
        <row r="2224">
          <cell r="A2224" t="str">
            <v>R2AT-16-E</v>
          </cell>
          <cell r="B2224" t="str">
            <v>HOSE</v>
          </cell>
          <cell r="C2224" t="str">
            <v>PC</v>
          </cell>
          <cell r="D2224">
            <v>0</v>
          </cell>
          <cell r="E2224">
            <v>0</v>
          </cell>
          <cell r="F2224">
            <v>0</v>
          </cell>
        </row>
        <row r="2225">
          <cell r="A2225" t="str">
            <v>R2AT-20</v>
          </cell>
          <cell r="B2225" t="str">
            <v>Return hose1-1/4" press120bar</v>
          </cell>
          <cell r="C2225" t="str">
            <v>PC</v>
          </cell>
          <cell r="D2225">
            <v>0</v>
          </cell>
          <cell r="E2225">
            <v>167582</v>
          </cell>
          <cell r="F2225">
            <v>0</v>
          </cell>
        </row>
        <row r="2226">
          <cell r="A2226" t="str">
            <v>R2AT-20-E</v>
          </cell>
          <cell r="B2226" t="str">
            <v>HOSE</v>
          </cell>
          <cell r="C2226" t="str">
            <v>PC</v>
          </cell>
          <cell r="D2226">
            <v>0</v>
          </cell>
          <cell r="E2226">
            <v>0</v>
          </cell>
          <cell r="F2226">
            <v>0</v>
          </cell>
        </row>
        <row r="2227">
          <cell r="A2227" t="str">
            <v>R-3/8</v>
          </cell>
          <cell r="B2227" t="str">
            <v>CHAIN 3/8"</v>
          </cell>
          <cell r="C2227" t="str">
            <v>PC</v>
          </cell>
          <cell r="D2227">
            <v>0</v>
          </cell>
          <cell r="E2227">
            <v>0</v>
          </cell>
          <cell r="F2227">
            <v>0</v>
          </cell>
        </row>
        <row r="2228">
          <cell r="A2228" t="str">
            <v>R4-24-E-08</v>
          </cell>
          <cell r="B2228" t="str">
            <v>HOSE SAE100 - 0,8 MM</v>
          </cell>
          <cell r="C2228" t="str">
            <v>PC</v>
          </cell>
          <cell r="D2228">
            <v>1</v>
          </cell>
          <cell r="E2228">
            <v>181521</v>
          </cell>
          <cell r="F2228">
            <v>181521</v>
          </cell>
        </row>
        <row r="2229">
          <cell r="A2229" t="str">
            <v>R6-06-E</v>
          </cell>
          <cell r="B2229" t="str">
            <v>Hose</v>
          </cell>
          <cell r="C2229" t="str">
            <v>PC</v>
          </cell>
          <cell r="D2229">
            <v>0</v>
          </cell>
          <cell r="E2229">
            <v>0</v>
          </cell>
          <cell r="F2229">
            <v>0</v>
          </cell>
        </row>
        <row r="2230">
          <cell r="A2230" t="str">
            <v>R83RGD164</v>
          </cell>
          <cell r="B2230" t="str">
            <v>MOTOR</v>
          </cell>
          <cell r="C2230" t="str">
            <v>PC</v>
          </cell>
          <cell r="D2230">
            <v>1</v>
          </cell>
          <cell r="E2230">
            <v>1</v>
          </cell>
          <cell r="F2230">
            <v>1</v>
          </cell>
        </row>
        <row r="2231">
          <cell r="A2231" t="str">
            <v>RED 4-3</v>
          </cell>
          <cell r="B2231" t="str">
            <v>REDUCER 4"X3" (WELDED)</v>
          </cell>
          <cell r="C2231" t="str">
            <v>PC</v>
          </cell>
          <cell r="D2231">
            <v>0</v>
          </cell>
          <cell r="E2231">
            <v>26250</v>
          </cell>
          <cell r="F2231">
            <v>0</v>
          </cell>
        </row>
        <row r="2232">
          <cell r="A2232" t="str">
            <v>RED 5-4</v>
          </cell>
          <cell r="B2232" t="str">
            <v>REDUCING 5"-4"</v>
          </cell>
          <cell r="C2232" t="str">
            <v>PC</v>
          </cell>
          <cell r="D2232">
            <v>0</v>
          </cell>
          <cell r="E2232">
            <v>35750</v>
          </cell>
          <cell r="F2232">
            <v>0</v>
          </cell>
        </row>
        <row r="2233">
          <cell r="A2233" t="str">
            <v>REDR1"-WD/R3/4</v>
          </cell>
          <cell r="B2233" t="str">
            <v>REDUCE ADAPTOR</v>
          </cell>
          <cell r="C2233" t="str">
            <v>PC</v>
          </cell>
          <cell r="D2233">
            <v>0</v>
          </cell>
          <cell r="E2233">
            <v>40930</v>
          </cell>
          <cell r="F2233">
            <v>0</v>
          </cell>
        </row>
        <row r="2234">
          <cell r="A2234" t="str">
            <v>REMOTE-CLS12</v>
          </cell>
          <cell r="B2234" t="str">
            <v>REMOTE ADAPTER CLS12000</v>
          </cell>
          <cell r="C2234" t="str">
            <v>PC</v>
          </cell>
          <cell r="D2234">
            <v>0</v>
          </cell>
          <cell r="E2234">
            <v>500000</v>
          </cell>
          <cell r="F2234">
            <v>0</v>
          </cell>
        </row>
        <row r="2235">
          <cell r="A2235" t="str">
            <v>RIVET-5</v>
          </cell>
          <cell r="B2235" t="str">
            <v>PAKU RIVET 5 MM</v>
          </cell>
          <cell r="C2235" t="str">
            <v>PC</v>
          </cell>
          <cell r="D2235">
            <v>0</v>
          </cell>
          <cell r="E2235">
            <v>33000</v>
          </cell>
          <cell r="F2235">
            <v>0</v>
          </cell>
        </row>
        <row r="2236">
          <cell r="A2236" t="str">
            <v>RP-28</v>
          </cell>
          <cell r="B2236" t="str">
            <v>RUBBER PLUG M28</v>
          </cell>
          <cell r="C2236" t="str">
            <v>PC</v>
          </cell>
          <cell r="D2236">
            <v>1</v>
          </cell>
          <cell r="E2236">
            <v>1500</v>
          </cell>
          <cell r="F2236">
            <v>1500</v>
          </cell>
        </row>
        <row r="2237">
          <cell r="A2237" t="str">
            <v>RT1-08-E</v>
          </cell>
          <cell r="B2237" t="str">
            <v>Hose</v>
          </cell>
          <cell r="C2237" t="str">
            <v>PC</v>
          </cell>
          <cell r="D2237">
            <v>0</v>
          </cell>
          <cell r="E2237">
            <v>0</v>
          </cell>
          <cell r="F2237">
            <v>0</v>
          </cell>
        </row>
        <row r="2238">
          <cell r="A2238" t="str">
            <v>RX16SFC-3</v>
          </cell>
          <cell r="B2238" t="str">
            <v>SPLIT FLANGE 1"</v>
          </cell>
          <cell r="C2238" t="str">
            <v>PC</v>
          </cell>
          <cell r="D2238">
            <v>6</v>
          </cell>
          <cell r="E2238">
            <v>55997</v>
          </cell>
          <cell r="F2238">
            <v>335982</v>
          </cell>
        </row>
        <row r="2239">
          <cell r="A2239" t="str">
            <v>RX20SFC-3</v>
          </cell>
          <cell r="B2239" t="str">
            <v>SPLIT FLANGE 1 1/4"</v>
          </cell>
          <cell r="C2239" t="str">
            <v>PC</v>
          </cell>
          <cell r="D2239">
            <v>6</v>
          </cell>
          <cell r="E2239">
            <v>60820</v>
          </cell>
          <cell r="F2239">
            <v>364920</v>
          </cell>
        </row>
        <row r="2240">
          <cell r="A2240" t="str">
            <v>SAF-FAC0000P</v>
          </cell>
          <cell r="B2240" t="str">
            <v>MJ CUT SAF ASSY</v>
          </cell>
          <cell r="C2240" t="str">
            <v>PC</v>
          </cell>
          <cell r="D2240">
            <v>0</v>
          </cell>
          <cell r="E2240">
            <v>1</v>
          </cell>
          <cell r="F2240">
            <v>0</v>
          </cell>
        </row>
        <row r="2241">
          <cell r="A2241" t="str">
            <v>SB 16X2</v>
          </cell>
          <cell r="B2241" t="str">
            <v>STUD BOLT M16X2</v>
          </cell>
          <cell r="C2241" t="str">
            <v>PC</v>
          </cell>
          <cell r="D2241">
            <v>1</v>
          </cell>
          <cell r="E2241">
            <v>7312</v>
          </cell>
          <cell r="F2241">
            <v>7312</v>
          </cell>
        </row>
        <row r="2242">
          <cell r="A2242" t="str">
            <v>SC-2-4</v>
          </cell>
          <cell r="B2242" t="str">
            <v xml:space="preserve"> KABEL SKUN Y</v>
          </cell>
          <cell r="C2242" t="str">
            <v>PC</v>
          </cell>
          <cell r="D2242">
            <v>0</v>
          </cell>
          <cell r="E2242">
            <v>450</v>
          </cell>
          <cell r="F2242">
            <v>0</v>
          </cell>
        </row>
        <row r="2243">
          <cell r="A2243" t="str">
            <v>SC-8-16</v>
          </cell>
          <cell r="B2243" t="str">
            <v xml:space="preserve"> KABEL SKUN RING</v>
          </cell>
          <cell r="C2243" t="str">
            <v>PC</v>
          </cell>
          <cell r="D2243">
            <v>0</v>
          </cell>
          <cell r="E2243">
            <v>550</v>
          </cell>
          <cell r="F2243">
            <v>0</v>
          </cell>
        </row>
        <row r="2244">
          <cell r="A2244" t="str">
            <v>SCK-2TF</v>
          </cell>
          <cell r="B2244" t="str">
            <v xml:space="preserve"> SOCKET (TERMINAL SCO</v>
          </cell>
          <cell r="C2244" t="str">
            <v>PC</v>
          </cell>
          <cell r="D2244">
            <v>512</v>
          </cell>
          <cell r="E2244">
            <v>1000</v>
          </cell>
          <cell r="F2244">
            <v>512000</v>
          </cell>
        </row>
        <row r="2245">
          <cell r="A2245" t="str">
            <v>SCK-2TM</v>
          </cell>
          <cell r="B2245" t="str">
            <v xml:space="preserve"> SOCKET (TERMINAL SCOEN ) MALE</v>
          </cell>
          <cell r="C2245" t="str">
            <v>PC</v>
          </cell>
          <cell r="D2245">
            <v>484</v>
          </cell>
          <cell r="E2245">
            <v>1000</v>
          </cell>
          <cell r="F2245">
            <v>484000</v>
          </cell>
        </row>
        <row r="2246">
          <cell r="A2246" t="str">
            <v>SCK-3/4-BS-3000</v>
          </cell>
          <cell r="B2246" t="str">
            <v>SOCKET 3/4" 3000PSI</v>
          </cell>
          <cell r="C2246" t="str">
            <v>PC</v>
          </cell>
          <cell r="D2246">
            <v>23</v>
          </cell>
          <cell r="E2246">
            <v>10125</v>
          </cell>
          <cell r="F2246">
            <v>232875</v>
          </cell>
        </row>
        <row r="2247">
          <cell r="A2247" t="str">
            <v>SCK-3TF</v>
          </cell>
          <cell r="B2247" t="str">
            <v>SOCKET 3 KAKI FEMALE</v>
          </cell>
          <cell r="C2247" t="str">
            <v>PC</v>
          </cell>
          <cell r="D2247">
            <v>400</v>
          </cell>
          <cell r="E2247">
            <v>1500</v>
          </cell>
          <cell r="F2247">
            <v>600000</v>
          </cell>
        </row>
        <row r="2248">
          <cell r="A2248" t="str">
            <v>SCK-6TF</v>
          </cell>
          <cell r="B2248" t="str">
            <v>Socket Scoen 6T (Female)</v>
          </cell>
          <cell r="C2248" t="str">
            <v>PC</v>
          </cell>
          <cell r="D2248">
            <v>2</v>
          </cell>
          <cell r="E2248">
            <v>1000</v>
          </cell>
          <cell r="F2248">
            <v>2000</v>
          </cell>
        </row>
        <row r="2249">
          <cell r="A2249" t="str">
            <v>SCK-6TM</v>
          </cell>
          <cell r="B2249" t="str">
            <v>Socket Scoen 6T (Male)</v>
          </cell>
          <cell r="C2249" t="str">
            <v>PC</v>
          </cell>
          <cell r="D2249">
            <v>4</v>
          </cell>
          <cell r="E2249">
            <v>1000</v>
          </cell>
          <cell r="F2249">
            <v>4000</v>
          </cell>
        </row>
        <row r="2250">
          <cell r="A2250" t="str">
            <v>SCP-125-100-250</v>
          </cell>
          <cell r="B2250" t="str">
            <v>PUMP (SHOUTERCROSS 125X100-250)</v>
          </cell>
          <cell r="C2250" t="str">
            <v>PC</v>
          </cell>
          <cell r="D2250">
            <v>0</v>
          </cell>
          <cell r="E2250">
            <v>10264716</v>
          </cell>
          <cell r="F2250">
            <v>0</v>
          </cell>
        </row>
        <row r="2251">
          <cell r="A2251" t="str">
            <v>SD4-B13600P</v>
          </cell>
          <cell r="B2251" t="str">
            <v xml:space="preserve"> BRACKET</v>
          </cell>
          <cell r="C2251" t="str">
            <v>PC</v>
          </cell>
          <cell r="D2251">
            <v>0</v>
          </cell>
          <cell r="E2251">
            <v>0</v>
          </cell>
          <cell r="F2251">
            <v>0</v>
          </cell>
        </row>
        <row r="2252">
          <cell r="A2252" t="str">
            <v>SD5-B100000</v>
          </cell>
          <cell r="B2252" t="str">
            <v xml:space="preserve"> BODY ASSY</v>
          </cell>
          <cell r="C2252" t="str">
            <v>PC</v>
          </cell>
          <cell r="D2252">
            <v>0</v>
          </cell>
          <cell r="E2252">
            <v>0</v>
          </cell>
          <cell r="F2252">
            <v>0</v>
          </cell>
        </row>
        <row r="2253">
          <cell r="A2253" t="str">
            <v>SD5-B110000</v>
          </cell>
          <cell r="B2253" t="str">
            <v xml:space="preserve"> GATE ASSY</v>
          </cell>
          <cell r="C2253" t="str">
            <v>PC</v>
          </cell>
          <cell r="D2253">
            <v>0</v>
          </cell>
          <cell r="E2253">
            <v>0</v>
          </cell>
          <cell r="F2253">
            <v>0</v>
          </cell>
        </row>
        <row r="2254">
          <cell r="A2254" t="str">
            <v>SD5-B111000</v>
          </cell>
          <cell r="B2254" t="str">
            <v xml:space="preserve"> GATE</v>
          </cell>
          <cell r="C2254" t="str">
            <v>PC</v>
          </cell>
          <cell r="D2254">
            <v>0</v>
          </cell>
          <cell r="E2254">
            <v>0</v>
          </cell>
          <cell r="F2254">
            <v>0</v>
          </cell>
        </row>
        <row r="2255">
          <cell r="A2255" t="str">
            <v>SD5-B111100</v>
          </cell>
          <cell r="B2255" t="str">
            <v xml:space="preserve"> UPPER COAMING</v>
          </cell>
          <cell r="C2255" t="str">
            <v>PC</v>
          </cell>
          <cell r="D2255">
            <v>0</v>
          </cell>
          <cell r="E2255">
            <v>0</v>
          </cell>
          <cell r="F2255">
            <v>0</v>
          </cell>
        </row>
        <row r="2256">
          <cell r="A2256" t="str">
            <v>SD5-B111200</v>
          </cell>
          <cell r="B2256" t="str">
            <v xml:space="preserve"> LOWER COAMING</v>
          </cell>
          <cell r="C2256" t="str">
            <v>PC</v>
          </cell>
          <cell r="D2256">
            <v>0</v>
          </cell>
          <cell r="E2256">
            <v>0</v>
          </cell>
          <cell r="F2256">
            <v>0</v>
          </cell>
        </row>
        <row r="2257">
          <cell r="A2257" t="str">
            <v>SD5-B111210</v>
          </cell>
          <cell r="B2257" t="str">
            <v xml:space="preserve"> GATE COAMING</v>
          </cell>
          <cell r="C2257" t="str">
            <v>PC</v>
          </cell>
          <cell r="D2257">
            <v>0</v>
          </cell>
          <cell r="E2257">
            <v>0</v>
          </cell>
          <cell r="F2257">
            <v>0</v>
          </cell>
        </row>
        <row r="2258">
          <cell r="A2258" t="str">
            <v>SD5-B111300</v>
          </cell>
          <cell r="B2258" t="str">
            <v xml:space="preserve"> WALL PLATE</v>
          </cell>
          <cell r="C2258" t="str">
            <v>PC</v>
          </cell>
          <cell r="D2258">
            <v>0</v>
          </cell>
          <cell r="E2258">
            <v>0</v>
          </cell>
          <cell r="F2258">
            <v>0</v>
          </cell>
        </row>
        <row r="2259">
          <cell r="A2259" t="str">
            <v>SD5-B112000</v>
          </cell>
          <cell r="B2259" t="str">
            <v xml:space="preserve"> PIN GATE ASSY</v>
          </cell>
          <cell r="C2259" t="str">
            <v>PC</v>
          </cell>
          <cell r="D2259">
            <v>0</v>
          </cell>
          <cell r="E2259">
            <v>0</v>
          </cell>
          <cell r="F2259">
            <v>0</v>
          </cell>
        </row>
        <row r="2260">
          <cell r="A2260" t="str">
            <v>SD5-B112200</v>
          </cell>
          <cell r="B2260" t="str">
            <v xml:space="preserve"> PIN GATE</v>
          </cell>
          <cell r="C2260" t="str">
            <v>PC</v>
          </cell>
          <cell r="D2260">
            <v>0</v>
          </cell>
          <cell r="E2260">
            <v>0</v>
          </cell>
          <cell r="F2260">
            <v>0</v>
          </cell>
        </row>
        <row r="2261">
          <cell r="A2261" t="str">
            <v>SD5-B11230P</v>
          </cell>
          <cell r="B2261" t="str">
            <v xml:space="preserve"> DOUBLER PLATE</v>
          </cell>
          <cell r="C2261" t="str">
            <v>PC</v>
          </cell>
          <cell r="D2261">
            <v>0</v>
          </cell>
          <cell r="E2261">
            <v>0</v>
          </cell>
          <cell r="F2261">
            <v>0</v>
          </cell>
        </row>
        <row r="2262">
          <cell r="A2262" t="str">
            <v>SD5-B11240-M</v>
          </cell>
          <cell r="B2262" t="str">
            <v>PIN system</v>
          </cell>
          <cell r="C2262" t="str">
            <v>PC</v>
          </cell>
          <cell r="D2262">
            <v>0</v>
          </cell>
          <cell r="E2262">
            <v>39300</v>
          </cell>
          <cell r="F2262">
            <v>0</v>
          </cell>
        </row>
        <row r="2263">
          <cell r="A2263" t="str">
            <v>SD5-B11240P</v>
          </cell>
          <cell r="B2263" t="str">
            <v xml:space="preserve"> PIN SYSTEM</v>
          </cell>
          <cell r="C2263" t="str">
            <v>PC</v>
          </cell>
          <cell r="D2263">
            <v>0</v>
          </cell>
          <cell r="E2263">
            <v>0</v>
          </cell>
          <cell r="F2263">
            <v>0</v>
          </cell>
        </row>
        <row r="2264">
          <cell r="A2264" t="str">
            <v>SD5-B120000</v>
          </cell>
          <cell r="B2264" t="str">
            <v xml:space="preserve"> TOP WALL</v>
          </cell>
          <cell r="C2264" t="str">
            <v>PC</v>
          </cell>
          <cell r="D2264">
            <v>0</v>
          </cell>
          <cell r="E2264">
            <v>0</v>
          </cell>
          <cell r="F2264">
            <v>0</v>
          </cell>
        </row>
        <row r="2265">
          <cell r="A2265" t="str">
            <v>SD5-B121000</v>
          </cell>
          <cell r="B2265" t="str">
            <v xml:space="preserve"> WALL PLATE</v>
          </cell>
          <cell r="C2265" t="str">
            <v>PC</v>
          </cell>
          <cell r="D2265">
            <v>0</v>
          </cell>
          <cell r="E2265">
            <v>0</v>
          </cell>
          <cell r="F2265">
            <v>0</v>
          </cell>
        </row>
        <row r="2266">
          <cell r="A2266" t="str">
            <v>SD5-B122000</v>
          </cell>
          <cell r="B2266" t="str">
            <v xml:space="preserve"> TOP COAMING</v>
          </cell>
          <cell r="C2266" t="str">
            <v>PC</v>
          </cell>
          <cell r="D2266">
            <v>0</v>
          </cell>
          <cell r="E2266">
            <v>0</v>
          </cell>
          <cell r="F2266">
            <v>0</v>
          </cell>
        </row>
        <row r="2267">
          <cell r="A2267" t="str">
            <v>SD5-B123000</v>
          </cell>
          <cell r="B2267" t="str">
            <v xml:space="preserve"> LOWER COAMING</v>
          </cell>
          <cell r="C2267" t="str">
            <v>PC</v>
          </cell>
          <cell r="D2267">
            <v>0</v>
          </cell>
          <cell r="E2267">
            <v>0</v>
          </cell>
          <cell r="F2267">
            <v>0</v>
          </cell>
        </row>
        <row r="2268">
          <cell r="A2268" t="str">
            <v>SD5-B130000</v>
          </cell>
          <cell r="B2268" t="str">
            <v xml:space="preserve"> WALL ASSY</v>
          </cell>
          <cell r="C2268" t="str">
            <v>PC</v>
          </cell>
          <cell r="D2268">
            <v>0</v>
          </cell>
          <cell r="E2268">
            <v>0</v>
          </cell>
          <cell r="F2268">
            <v>0</v>
          </cell>
        </row>
        <row r="2269">
          <cell r="A2269" t="str">
            <v>SD5-B131000</v>
          </cell>
          <cell r="B2269" t="str">
            <v xml:space="preserve"> TOP COAMING</v>
          </cell>
          <cell r="C2269" t="str">
            <v>PC</v>
          </cell>
          <cell r="D2269">
            <v>0</v>
          </cell>
          <cell r="E2269">
            <v>0</v>
          </cell>
          <cell r="F2269">
            <v>0</v>
          </cell>
        </row>
        <row r="2270">
          <cell r="A2270" t="str">
            <v>SD5-B132000</v>
          </cell>
          <cell r="B2270" t="str">
            <v xml:space="preserve"> WALL PLATE</v>
          </cell>
          <cell r="C2270" t="str">
            <v>PC</v>
          </cell>
          <cell r="D2270">
            <v>0</v>
          </cell>
          <cell r="E2270">
            <v>0</v>
          </cell>
          <cell r="F2270">
            <v>0</v>
          </cell>
        </row>
        <row r="2271">
          <cell r="A2271" t="str">
            <v>SD5-B133000</v>
          </cell>
          <cell r="B2271" t="str">
            <v xml:space="preserve"> SIDE BEAM</v>
          </cell>
          <cell r="C2271" t="str">
            <v>PC</v>
          </cell>
          <cell r="D2271">
            <v>0</v>
          </cell>
          <cell r="E2271">
            <v>0</v>
          </cell>
          <cell r="F2271">
            <v>0</v>
          </cell>
        </row>
        <row r="2272">
          <cell r="A2272" t="str">
            <v>SD5-B134000</v>
          </cell>
          <cell r="B2272" t="str">
            <v xml:space="preserve"> STIFFENER BEAM</v>
          </cell>
          <cell r="C2272" t="str">
            <v>PC</v>
          </cell>
          <cell r="D2272">
            <v>0</v>
          </cell>
          <cell r="E2272">
            <v>0</v>
          </cell>
          <cell r="F2272">
            <v>0</v>
          </cell>
        </row>
        <row r="2273">
          <cell r="A2273" t="str">
            <v>SD5-B135000</v>
          </cell>
          <cell r="B2273" t="str">
            <v xml:space="preserve"> SIDE CHANNEL</v>
          </cell>
          <cell r="C2273" t="str">
            <v>PC</v>
          </cell>
          <cell r="D2273">
            <v>0</v>
          </cell>
          <cell r="E2273">
            <v>0</v>
          </cell>
          <cell r="F2273">
            <v>0</v>
          </cell>
        </row>
        <row r="2274">
          <cell r="A2274" t="str">
            <v>SD5-B135100</v>
          </cell>
          <cell r="B2274" t="str">
            <v xml:space="preserve"> BEAM</v>
          </cell>
          <cell r="C2274" t="str">
            <v>PC</v>
          </cell>
          <cell r="D2274">
            <v>0</v>
          </cell>
          <cell r="E2274">
            <v>0</v>
          </cell>
          <cell r="F2274">
            <v>0</v>
          </cell>
        </row>
        <row r="2275">
          <cell r="A2275" t="str">
            <v>SD5-B138000</v>
          </cell>
          <cell r="B2275" t="str">
            <v xml:space="preserve"> CROSS 3</v>
          </cell>
          <cell r="C2275" t="str">
            <v>PC</v>
          </cell>
          <cell r="D2275">
            <v>0</v>
          </cell>
          <cell r="E2275">
            <v>0</v>
          </cell>
          <cell r="F2275">
            <v>0</v>
          </cell>
        </row>
        <row r="2276">
          <cell r="A2276" t="str">
            <v>SD5-B139000</v>
          </cell>
          <cell r="B2276" t="str">
            <v xml:space="preserve"> DIAFRAGMA</v>
          </cell>
          <cell r="C2276" t="str">
            <v>PC</v>
          </cell>
          <cell r="D2276">
            <v>0</v>
          </cell>
          <cell r="E2276">
            <v>0</v>
          </cell>
          <cell r="F2276">
            <v>0</v>
          </cell>
        </row>
        <row r="2277">
          <cell r="A2277" t="str">
            <v>SD5-B140000</v>
          </cell>
          <cell r="B2277" t="str">
            <v xml:space="preserve"> FRONT WALL</v>
          </cell>
          <cell r="C2277" t="str">
            <v>PC</v>
          </cell>
          <cell r="D2277">
            <v>0</v>
          </cell>
          <cell r="E2277">
            <v>0</v>
          </cell>
          <cell r="F2277">
            <v>0</v>
          </cell>
        </row>
        <row r="2278">
          <cell r="A2278" t="str">
            <v>SD5-B143000</v>
          </cell>
          <cell r="B2278" t="str">
            <v xml:space="preserve"> CONNECTOR PLATE</v>
          </cell>
          <cell r="C2278" t="str">
            <v>PC</v>
          </cell>
          <cell r="D2278">
            <v>0</v>
          </cell>
          <cell r="E2278">
            <v>0</v>
          </cell>
          <cell r="F2278">
            <v>0</v>
          </cell>
        </row>
        <row r="2279">
          <cell r="A2279" t="str">
            <v>SD5-B144000</v>
          </cell>
          <cell r="B2279" t="str">
            <v xml:space="preserve"> BEAM</v>
          </cell>
          <cell r="C2279" t="str">
            <v>PC</v>
          </cell>
          <cell r="D2279">
            <v>0</v>
          </cell>
          <cell r="E2279">
            <v>0</v>
          </cell>
          <cell r="F2279">
            <v>0</v>
          </cell>
        </row>
        <row r="2280">
          <cell r="A2280" t="str">
            <v>SD5-B144300</v>
          </cell>
          <cell r="B2280" t="str">
            <v xml:space="preserve"> GUIDE PIN S/A</v>
          </cell>
          <cell r="C2280" t="str">
            <v>PC</v>
          </cell>
          <cell r="D2280">
            <v>0</v>
          </cell>
          <cell r="E2280">
            <v>0</v>
          </cell>
          <cell r="F2280">
            <v>0</v>
          </cell>
        </row>
        <row r="2281">
          <cell r="A2281" t="str">
            <v>SD5-B147000</v>
          </cell>
          <cell r="B2281" t="str">
            <v xml:space="preserve"> BEAM ASSY</v>
          </cell>
          <cell r="C2281" t="str">
            <v>PC</v>
          </cell>
          <cell r="D2281">
            <v>0</v>
          </cell>
          <cell r="E2281">
            <v>0</v>
          </cell>
          <cell r="F2281">
            <v>0</v>
          </cell>
        </row>
        <row r="2282">
          <cell r="A2282" t="str">
            <v>SD5-B14A000</v>
          </cell>
          <cell r="B2282" t="str">
            <v xml:space="preserve"> BRACKET</v>
          </cell>
          <cell r="C2282" t="str">
            <v>PC</v>
          </cell>
          <cell r="D2282">
            <v>0</v>
          </cell>
          <cell r="E2282">
            <v>0</v>
          </cell>
          <cell r="F2282">
            <v>0</v>
          </cell>
        </row>
        <row r="2283">
          <cell r="A2283" t="str">
            <v>SD5-B14A100</v>
          </cell>
          <cell r="B2283" t="str">
            <v xml:space="preserve"> DOUBLER PLATE</v>
          </cell>
          <cell r="C2283" t="str">
            <v>PC</v>
          </cell>
          <cell r="D2283">
            <v>0</v>
          </cell>
          <cell r="E2283">
            <v>0</v>
          </cell>
          <cell r="F2283">
            <v>0</v>
          </cell>
        </row>
        <row r="2284">
          <cell r="A2284" t="str">
            <v>SD5-B14A400</v>
          </cell>
          <cell r="B2284" t="str">
            <v xml:space="preserve"> PIN SYSTEM</v>
          </cell>
          <cell r="C2284" t="str">
            <v>PC</v>
          </cell>
          <cell r="D2284">
            <v>0</v>
          </cell>
          <cell r="E2284">
            <v>0</v>
          </cell>
          <cell r="F2284">
            <v>0</v>
          </cell>
        </row>
        <row r="2285">
          <cell r="A2285" t="str">
            <v>SD5-B14B000</v>
          </cell>
          <cell r="B2285" t="str">
            <v xml:space="preserve"> BRACKET</v>
          </cell>
          <cell r="C2285" t="str">
            <v>PC</v>
          </cell>
          <cell r="D2285">
            <v>0</v>
          </cell>
          <cell r="E2285">
            <v>0</v>
          </cell>
          <cell r="F2285">
            <v>0</v>
          </cell>
        </row>
        <row r="2286">
          <cell r="A2286" t="str">
            <v>SD5-B14B300</v>
          </cell>
          <cell r="B2286" t="str">
            <v xml:space="preserve"> DOUBLER PLATE</v>
          </cell>
          <cell r="C2286" t="str">
            <v>PC</v>
          </cell>
          <cell r="D2286">
            <v>0</v>
          </cell>
          <cell r="E2286">
            <v>0</v>
          </cell>
          <cell r="F2286">
            <v>0</v>
          </cell>
        </row>
        <row r="2287">
          <cell r="A2287" t="str">
            <v>SD5-B14B400</v>
          </cell>
          <cell r="B2287" t="str">
            <v xml:space="preserve"> PIN SYSTEM</v>
          </cell>
          <cell r="C2287" t="str">
            <v>PC</v>
          </cell>
          <cell r="D2287">
            <v>0</v>
          </cell>
          <cell r="E2287">
            <v>0</v>
          </cell>
          <cell r="F2287">
            <v>0</v>
          </cell>
        </row>
        <row r="2288">
          <cell r="A2288" t="str">
            <v>SD5-B150000</v>
          </cell>
          <cell r="B2288" t="str">
            <v xml:space="preserve"> REAR WALL</v>
          </cell>
          <cell r="C2288" t="str">
            <v>PC</v>
          </cell>
          <cell r="D2288">
            <v>0</v>
          </cell>
          <cell r="E2288">
            <v>0</v>
          </cell>
          <cell r="F2288">
            <v>0</v>
          </cell>
        </row>
        <row r="2289">
          <cell r="A2289" t="str">
            <v>SD5-B152000</v>
          </cell>
          <cell r="B2289" t="str">
            <v xml:space="preserve"> CONNECTOR PLATE</v>
          </cell>
          <cell r="C2289" t="str">
            <v>PC</v>
          </cell>
          <cell r="D2289">
            <v>0</v>
          </cell>
          <cell r="E2289">
            <v>0</v>
          </cell>
          <cell r="F2289">
            <v>0</v>
          </cell>
        </row>
        <row r="2290">
          <cell r="A2290" t="str">
            <v>SD5-B15360P</v>
          </cell>
          <cell r="B2290" t="str">
            <v>GROMET RUBBER T6-ID.30</v>
          </cell>
          <cell r="C2290" t="str">
            <v>PC</v>
          </cell>
          <cell r="D2290">
            <v>0</v>
          </cell>
          <cell r="E2290">
            <v>2100</v>
          </cell>
          <cell r="F2290">
            <v>0</v>
          </cell>
        </row>
        <row r="2291">
          <cell r="A2291" t="str">
            <v>SD5-B1C000P</v>
          </cell>
          <cell r="B2291" t="str">
            <v>DOUBLER</v>
          </cell>
          <cell r="C2291" t="str">
            <v>PC</v>
          </cell>
          <cell r="D2291">
            <v>0</v>
          </cell>
          <cell r="E2291">
            <v>0</v>
          </cell>
          <cell r="F2291">
            <v>0</v>
          </cell>
        </row>
        <row r="2292">
          <cell r="A2292" t="str">
            <v>SD5-F1M200P</v>
          </cell>
          <cell r="B2292" t="str">
            <v>GROMET RUBBER</v>
          </cell>
          <cell r="C2292" t="str">
            <v>PC</v>
          </cell>
          <cell r="D2292">
            <v>32</v>
          </cell>
          <cell r="E2292">
            <v>10500</v>
          </cell>
          <cell r="F2292">
            <v>336000</v>
          </cell>
        </row>
        <row r="2293">
          <cell r="A2293" t="str">
            <v>SD5-F1U0000</v>
          </cell>
          <cell r="B2293" t="str">
            <v>TEE BRACKET 1</v>
          </cell>
          <cell r="C2293" t="str">
            <v>PC</v>
          </cell>
          <cell r="D2293">
            <v>0</v>
          </cell>
          <cell r="E2293">
            <v>18900</v>
          </cell>
          <cell r="F2293">
            <v>0</v>
          </cell>
        </row>
        <row r="2294">
          <cell r="A2294" t="str">
            <v>SD5-JXXX100</v>
          </cell>
          <cell r="B2294" t="str">
            <v>SHIM 1 MM</v>
          </cell>
          <cell r="C2294" t="str">
            <v>PC</v>
          </cell>
          <cell r="D2294">
            <v>0</v>
          </cell>
          <cell r="E2294">
            <v>1</v>
          </cell>
          <cell r="F2294">
            <v>0</v>
          </cell>
        </row>
        <row r="2295">
          <cell r="A2295" t="str">
            <v>SD5-JXXX200</v>
          </cell>
          <cell r="B2295" t="str">
            <v>SHIM 2 MM</v>
          </cell>
          <cell r="C2295" t="str">
            <v>PC</v>
          </cell>
          <cell r="D2295">
            <v>0</v>
          </cell>
          <cell r="E2295">
            <v>1635</v>
          </cell>
          <cell r="F2295">
            <v>0</v>
          </cell>
        </row>
        <row r="2296">
          <cell r="A2296" t="str">
            <v>SD5-JXXX300</v>
          </cell>
          <cell r="B2296" t="str">
            <v>SHIM 3mm</v>
          </cell>
          <cell r="C2296" t="str">
            <v>PC</v>
          </cell>
          <cell r="D2296">
            <v>0</v>
          </cell>
          <cell r="E2296">
            <v>1635</v>
          </cell>
          <cell r="F2296">
            <v>0</v>
          </cell>
        </row>
        <row r="2297">
          <cell r="A2297" t="str">
            <v>SD5-L110000</v>
          </cell>
          <cell r="B2297" t="str">
            <v>LAMP BRACKET</v>
          </cell>
          <cell r="C2297" t="str">
            <v>PC</v>
          </cell>
          <cell r="D2297">
            <v>0</v>
          </cell>
          <cell r="E2297">
            <v>115550</v>
          </cell>
          <cell r="F2297">
            <v>0</v>
          </cell>
        </row>
        <row r="2298">
          <cell r="A2298" t="str">
            <v>SD5-L120000</v>
          </cell>
          <cell r="B2298" t="str">
            <v>SIDE LAMP RH</v>
          </cell>
          <cell r="C2298" t="str">
            <v>PC</v>
          </cell>
          <cell r="D2298">
            <v>0</v>
          </cell>
          <cell r="E2298">
            <v>115550</v>
          </cell>
          <cell r="F2298">
            <v>0</v>
          </cell>
        </row>
        <row r="2299">
          <cell r="A2299" t="str">
            <v>SD5-L130000</v>
          </cell>
          <cell r="B2299" t="str">
            <v>SIDE LAMP LH</v>
          </cell>
          <cell r="C2299" t="str">
            <v>PC</v>
          </cell>
          <cell r="D2299">
            <v>0</v>
          </cell>
          <cell r="E2299">
            <v>75000</v>
          </cell>
          <cell r="F2299">
            <v>0</v>
          </cell>
        </row>
        <row r="2300">
          <cell r="A2300" t="str">
            <v>SD5-Y13000P</v>
          </cell>
          <cell r="B2300" t="str">
            <v>FEEDER 18-1</v>
          </cell>
          <cell r="C2300" t="str">
            <v>PC</v>
          </cell>
          <cell r="D2300">
            <v>6</v>
          </cell>
          <cell r="E2300">
            <v>119556</v>
          </cell>
          <cell r="F2300">
            <v>717333</v>
          </cell>
        </row>
        <row r="2301">
          <cell r="A2301" t="str">
            <v>SD5-Y13100P</v>
          </cell>
          <cell r="B2301" t="str">
            <v>CLAMP 13 ATAS</v>
          </cell>
          <cell r="C2301" t="str">
            <v>PC</v>
          </cell>
          <cell r="D2301">
            <v>13</v>
          </cell>
          <cell r="E2301">
            <v>45222</v>
          </cell>
          <cell r="F2301">
            <v>587881</v>
          </cell>
        </row>
        <row r="2302">
          <cell r="A2302" t="str">
            <v>SD5-Y13200P</v>
          </cell>
          <cell r="B2302" t="str">
            <v>CLAMP 13 BAWAH</v>
          </cell>
          <cell r="C2302" t="str">
            <v>PC</v>
          </cell>
          <cell r="D2302">
            <v>12</v>
          </cell>
          <cell r="E2302">
            <v>45500</v>
          </cell>
          <cell r="F2302">
            <v>546000</v>
          </cell>
        </row>
        <row r="2303">
          <cell r="A2303" t="str">
            <v>SD5-Y14100P</v>
          </cell>
          <cell r="B2303" t="str">
            <v>CLAMP 9 ATAS</v>
          </cell>
          <cell r="C2303" t="str">
            <v>PC</v>
          </cell>
          <cell r="D2303">
            <v>196</v>
          </cell>
          <cell r="E2303">
            <v>28350</v>
          </cell>
          <cell r="F2303">
            <v>5556507</v>
          </cell>
        </row>
        <row r="2304">
          <cell r="A2304" t="str">
            <v>SD5-Y14200P</v>
          </cell>
          <cell r="B2304" t="str">
            <v>CLAMP 9 BAWAH</v>
          </cell>
          <cell r="C2304" t="str">
            <v>PC</v>
          </cell>
          <cell r="D2304">
            <v>196</v>
          </cell>
          <cell r="E2304">
            <v>28350</v>
          </cell>
          <cell r="F2304">
            <v>5556507</v>
          </cell>
        </row>
        <row r="2305">
          <cell r="A2305" t="str">
            <v>SD6-B11700P</v>
          </cell>
          <cell r="B2305" t="str">
            <v>CONECTOR PLATE</v>
          </cell>
          <cell r="C2305" t="str">
            <v>PC</v>
          </cell>
          <cell r="D2305">
            <v>0</v>
          </cell>
          <cell r="E2305">
            <v>0</v>
          </cell>
          <cell r="F2305">
            <v>0</v>
          </cell>
        </row>
        <row r="2306">
          <cell r="A2306" t="str">
            <v>SD6-B11821P</v>
          </cell>
          <cell r="B2306" t="str">
            <v>PIN</v>
          </cell>
          <cell r="C2306" t="str">
            <v>PC</v>
          </cell>
          <cell r="D2306">
            <v>0</v>
          </cell>
          <cell r="E2306">
            <v>0</v>
          </cell>
          <cell r="F2306">
            <v>0</v>
          </cell>
        </row>
        <row r="2307">
          <cell r="A2307" t="str">
            <v>SD6-B11822P</v>
          </cell>
          <cell r="B2307" t="str">
            <v>DOUBLER</v>
          </cell>
          <cell r="C2307" t="str">
            <v>PC</v>
          </cell>
          <cell r="D2307">
            <v>0</v>
          </cell>
          <cell r="E2307">
            <v>0</v>
          </cell>
          <cell r="F2307">
            <v>0</v>
          </cell>
        </row>
        <row r="2308">
          <cell r="A2308" t="str">
            <v>SD6-B12000P</v>
          </cell>
          <cell r="B2308" t="str">
            <v>FRONT WALL</v>
          </cell>
          <cell r="C2308" t="str">
            <v>PC</v>
          </cell>
          <cell r="D2308">
            <v>0</v>
          </cell>
          <cell r="E2308">
            <v>30570</v>
          </cell>
          <cell r="F2308">
            <v>0</v>
          </cell>
        </row>
        <row r="2309">
          <cell r="A2309" t="str">
            <v>SD6-B132001</v>
          </cell>
          <cell r="B2309" t="str">
            <v xml:space="preserve"> RH WALL PLATE</v>
          </cell>
          <cell r="C2309" t="str">
            <v>PC</v>
          </cell>
          <cell r="D2309">
            <v>0</v>
          </cell>
          <cell r="E2309">
            <v>0</v>
          </cell>
          <cell r="F2309">
            <v>0</v>
          </cell>
        </row>
        <row r="2310">
          <cell r="A2310" t="str">
            <v>SD6-B13220P</v>
          </cell>
          <cell r="B2310" t="str">
            <v xml:space="preserve"> RR SLOT COVER</v>
          </cell>
          <cell r="C2310" t="str">
            <v>PC</v>
          </cell>
          <cell r="D2310">
            <v>0</v>
          </cell>
          <cell r="E2310">
            <v>60100</v>
          </cell>
          <cell r="F2310">
            <v>0</v>
          </cell>
        </row>
        <row r="2311">
          <cell r="A2311" t="str">
            <v>SD6-B135000</v>
          </cell>
          <cell r="B2311" t="str">
            <v xml:space="preserve"> CHAIN BRACKET</v>
          </cell>
          <cell r="C2311" t="str">
            <v>PC</v>
          </cell>
          <cell r="D2311">
            <v>0</v>
          </cell>
          <cell r="E2311">
            <v>0</v>
          </cell>
          <cell r="F2311">
            <v>0</v>
          </cell>
        </row>
        <row r="2312">
          <cell r="A2312" t="str">
            <v>SD6-B13510P</v>
          </cell>
          <cell r="B2312" t="str">
            <v>PLATE</v>
          </cell>
          <cell r="C2312" t="str">
            <v>PC</v>
          </cell>
          <cell r="D2312">
            <v>0</v>
          </cell>
          <cell r="E2312">
            <v>0</v>
          </cell>
          <cell r="F2312">
            <v>0</v>
          </cell>
        </row>
        <row r="2313">
          <cell r="A2313" t="str">
            <v>SD6-B13520P</v>
          </cell>
          <cell r="B2313" t="str">
            <v>PLATE</v>
          </cell>
          <cell r="C2313" t="str">
            <v>PC</v>
          </cell>
          <cell r="D2313">
            <v>0</v>
          </cell>
          <cell r="E2313">
            <v>0</v>
          </cell>
          <cell r="F2313">
            <v>0</v>
          </cell>
        </row>
        <row r="2314">
          <cell r="A2314" t="str">
            <v>SD6-B138001</v>
          </cell>
          <cell r="B2314" t="str">
            <v xml:space="preserve"> LH WALL PLATE</v>
          </cell>
          <cell r="C2314" t="str">
            <v>PC</v>
          </cell>
          <cell r="D2314">
            <v>0</v>
          </cell>
          <cell r="E2314">
            <v>0</v>
          </cell>
          <cell r="F2314">
            <v>0</v>
          </cell>
        </row>
        <row r="2315">
          <cell r="A2315" t="str">
            <v>SD6-B13810P</v>
          </cell>
          <cell r="B2315" t="str">
            <v xml:space="preserve"> FR SLOT COVER</v>
          </cell>
          <cell r="C2315" t="str">
            <v>PC</v>
          </cell>
          <cell r="D2315">
            <v>0</v>
          </cell>
          <cell r="E2315">
            <v>60100</v>
          </cell>
          <cell r="F2315">
            <v>0</v>
          </cell>
        </row>
        <row r="2316">
          <cell r="A2316" t="str">
            <v>SD6-B15110P</v>
          </cell>
          <cell r="B2316" t="str">
            <v>COAMING SEGMENT</v>
          </cell>
          <cell r="C2316" t="str">
            <v>PC</v>
          </cell>
          <cell r="D2316">
            <v>0</v>
          </cell>
          <cell r="E2316">
            <v>30570</v>
          </cell>
          <cell r="F2316">
            <v>0</v>
          </cell>
        </row>
        <row r="2317">
          <cell r="A2317" t="str">
            <v>SD6-B15210P</v>
          </cell>
          <cell r="B2317" t="str">
            <v>BODY  SEGMENT</v>
          </cell>
          <cell r="C2317" t="str">
            <v>PC</v>
          </cell>
          <cell r="D2317">
            <v>0</v>
          </cell>
          <cell r="E2317">
            <v>30570</v>
          </cell>
          <cell r="F2317">
            <v>0</v>
          </cell>
        </row>
        <row r="2318">
          <cell r="A2318" t="str">
            <v>SD6-B159001</v>
          </cell>
          <cell r="B2318" t="str">
            <v>CROSS 2</v>
          </cell>
          <cell r="C2318" t="str">
            <v>PC</v>
          </cell>
          <cell r="D2318">
            <v>0</v>
          </cell>
          <cell r="E2318">
            <v>0</v>
          </cell>
          <cell r="F2318">
            <v>0</v>
          </cell>
        </row>
        <row r="2319">
          <cell r="A2319" t="str">
            <v>SD6-B159101</v>
          </cell>
          <cell r="B2319" t="str">
            <v>PLATE</v>
          </cell>
          <cell r="C2319" t="str">
            <v>PC</v>
          </cell>
          <cell r="D2319">
            <v>0</v>
          </cell>
          <cell r="E2319">
            <v>0</v>
          </cell>
          <cell r="F2319">
            <v>0</v>
          </cell>
        </row>
        <row r="2320">
          <cell r="A2320" t="str">
            <v>SD6-B15920P</v>
          </cell>
          <cell r="B2320" t="str">
            <v>PLATE</v>
          </cell>
          <cell r="C2320" t="str">
            <v>PC</v>
          </cell>
          <cell r="D2320">
            <v>0</v>
          </cell>
          <cell r="E2320">
            <v>0</v>
          </cell>
          <cell r="F2320">
            <v>0</v>
          </cell>
        </row>
        <row r="2321">
          <cell r="A2321" t="str">
            <v>SD6-B15B007</v>
          </cell>
          <cell r="B2321" t="str">
            <v>REINFORCE BRACKET</v>
          </cell>
          <cell r="C2321" t="str">
            <v>PC</v>
          </cell>
          <cell r="D2321">
            <v>0</v>
          </cell>
          <cell r="E2321">
            <v>0</v>
          </cell>
          <cell r="F2321">
            <v>0</v>
          </cell>
        </row>
        <row r="2322">
          <cell r="A2322" t="str">
            <v>SD6-B16000P</v>
          </cell>
          <cell r="B2322" t="str">
            <v>REINF. PLATE 1</v>
          </cell>
          <cell r="C2322" t="str">
            <v>PC</v>
          </cell>
          <cell r="D2322">
            <v>0</v>
          </cell>
          <cell r="E2322">
            <v>0</v>
          </cell>
          <cell r="F2322">
            <v>0</v>
          </cell>
        </row>
        <row r="2323">
          <cell r="A2323" t="str">
            <v>SD6-B1V000P</v>
          </cell>
          <cell r="B2323" t="str">
            <v>PLATE</v>
          </cell>
          <cell r="C2323" t="str">
            <v>PC</v>
          </cell>
          <cell r="D2323">
            <v>0</v>
          </cell>
          <cell r="E2323">
            <v>1</v>
          </cell>
          <cell r="F2323">
            <v>0</v>
          </cell>
        </row>
        <row r="2324">
          <cell r="A2324" t="str">
            <v>SD6-B1W000P</v>
          </cell>
          <cell r="B2324" t="str">
            <v>PLATE</v>
          </cell>
          <cell r="C2324" t="str">
            <v>PC</v>
          </cell>
          <cell r="D2324">
            <v>0</v>
          </cell>
          <cell r="E2324">
            <v>1</v>
          </cell>
          <cell r="F2324">
            <v>0</v>
          </cell>
        </row>
        <row r="2325">
          <cell r="A2325" t="str">
            <v>SD6-B1X000P</v>
          </cell>
          <cell r="B2325" t="str">
            <v>PLATE</v>
          </cell>
          <cell r="C2325" t="str">
            <v>PC</v>
          </cell>
          <cell r="D2325">
            <v>0</v>
          </cell>
          <cell r="E2325">
            <v>1</v>
          </cell>
          <cell r="F2325">
            <v>0</v>
          </cell>
        </row>
        <row r="2326">
          <cell r="A2326" t="str">
            <v>SD6-B1Y000P</v>
          </cell>
          <cell r="B2326" t="str">
            <v>PLATE</v>
          </cell>
          <cell r="C2326" t="str">
            <v>PC</v>
          </cell>
          <cell r="D2326">
            <v>0</v>
          </cell>
          <cell r="E2326">
            <v>1</v>
          </cell>
          <cell r="F2326">
            <v>0</v>
          </cell>
        </row>
        <row r="2327">
          <cell r="A2327" t="str">
            <v>SD6-F1H0000</v>
          </cell>
          <cell r="B2327" t="str">
            <v>REINFORCE PLATE</v>
          </cell>
          <cell r="C2327" t="str">
            <v>PC</v>
          </cell>
          <cell r="D2327">
            <v>0</v>
          </cell>
          <cell r="E2327">
            <v>1</v>
          </cell>
          <cell r="F2327">
            <v>0</v>
          </cell>
        </row>
        <row r="2328">
          <cell r="A2328" t="str">
            <v>SD6-F1H000P</v>
          </cell>
          <cell r="B2328" t="str">
            <v>REINF PLATE</v>
          </cell>
          <cell r="C2328" t="str">
            <v>PC</v>
          </cell>
          <cell r="D2328">
            <v>0</v>
          </cell>
          <cell r="E2328">
            <v>1</v>
          </cell>
          <cell r="F2328">
            <v>0</v>
          </cell>
        </row>
        <row r="2329">
          <cell r="A2329" t="str">
            <v>SD6-F1Q000P-1</v>
          </cell>
          <cell r="B2329" t="str">
            <v>FR CYL BRACKET</v>
          </cell>
          <cell r="C2329" t="str">
            <v>PC</v>
          </cell>
          <cell r="D2329">
            <v>0</v>
          </cell>
          <cell r="E2329">
            <v>0</v>
          </cell>
          <cell r="F2329">
            <v>0</v>
          </cell>
        </row>
        <row r="2330">
          <cell r="A2330" t="str">
            <v>SD6-F1R000P</v>
          </cell>
          <cell r="B2330" t="str">
            <v>RR CYL BRACKET</v>
          </cell>
          <cell r="C2330" t="str">
            <v>PC</v>
          </cell>
          <cell r="D2330">
            <v>0</v>
          </cell>
          <cell r="E2330">
            <v>0</v>
          </cell>
          <cell r="F2330">
            <v>0</v>
          </cell>
        </row>
        <row r="2331">
          <cell r="A2331" t="str">
            <v>SD6-F1W100P</v>
          </cell>
          <cell r="B2331" t="str">
            <v>PIPE ASSY</v>
          </cell>
          <cell r="C2331" t="str">
            <v>PC</v>
          </cell>
          <cell r="D2331">
            <v>0</v>
          </cell>
          <cell r="E2331">
            <v>0</v>
          </cell>
          <cell r="F2331">
            <v>0</v>
          </cell>
        </row>
        <row r="2332">
          <cell r="A2332" t="str">
            <v>SD6-F1W400P</v>
          </cell>
          <cell r="B2332" t="str">
            <v>MUD FLAP</v>
          </cell>
          <cell r="C2332" t="str">
            <v>PC</v>
          </cell>
          <cell r="D2332">
            <v>0</v>
          </cell>
          <cell r="E2332">
            <v>0</v>
          </cell>
          <cell r="F2332">
            <v>0</v>
          </cell>
        </row>
        <row r="2333">
          <cell r="A2333" t="str">
            <v>SD6-L11100P</v>
          </cell>
          <cell r="B2333" t="e">
            <v>#NAME?</v>
          </cell>
          <cell r="C2333" t="str">
            <v>PC</v>
          </cell>
          <cell r="D2333">
            <v>30</v>
          </cell>
          <cell r="E2333">
            <v>48300</v>
          </cell>
          <cell r="F2333">
            <v>1449000</v>
          </cell>
        </row>
        <row r="2334">
          <cell r="A2334" t="str">
            <v>SD6-Y1B100P</v>
          </cell>
          <cell r="B2334" t="str">
            <v>CLAMP 18 TOP</v>
          </cell>
          <cell r="C2334" t="str">
            <v>PC</v>
          </cell>
          <cell r="D2334">
            <v>34</v>
          </cell>
          <cell r="E2334">
            <v>42240</v>
          </cell>
          <cell r="F2334">
            <v>1436160</v>
          </cell>
        </row>
        <row r="2335">
          <cell r="A2335" t="str">
            <v>SD6-Y1B200P</v>
          </cell>
          <cell r="B2335" t="str">
            <v>CLAMP 18 BOTTOM</v>
          </cell>
          <cell r="C2335" t="str">
            <v>PC</v>
          </cell>
          <cell r="D2335">
            <v>34</v>
          </cell>
          <cell r="E2335">
            <v>42240</v>
          </cell>
          <cell r="F2335">
            <v>1436160</v>
          </cell>
        </row>
        <row r="2336">
          <cell r="A2336" t="str">
            <v>SD6-Y1D100P</v>
          </cell>
          <cell r="B2336" t="str">
            <v>CLAMP 6 TOP</v>
          </cell>
          <cell r="C2336" t="str">
            <v>PC</v>
          </cell>
          <cell r="D2336">
            <v>118</v>
          </cell>
          <cell r="E2336">
            <v>19413</v>
          </cell>
          <cell r="F2336">
            <v>2290773</v>
          </cell>
        </row>
        <row r="2337">
          <cell r="A2337" t="str">
            <v>SD6-Y1D200P</v>
          </cell>
          <cell r="B2337" t="str">
            <v>CLAMP 6 BOTTOM</v>
          </cell>
          <cell r="C2337" t="str">
            <v>PC</v>
          </cell>
          <cell r="D2337">
            <v>118</v>
          </cell>
          <cell r="E2337">
            <v>19413</v>
          </cell>
          <cell r="F2337">
            <v>2290773</v>
          </cell>
        </row>
        <row r="2338">
          <cell r="A2338" t="str">
            <v>SDT60-ASS</v>
          </cell>
          <cell r="B2338" t="str">
            <v>ASSY HYD.&amp; GREASING</v>
          </cell>
          <cell r="C2338" t="str">
            <v>PC</v>
          </cell>
          <cell r="D2338">
            <v>0</v>
          </cell>
          <cell r="E2338">
            <v>521101</v>
          </cell>
          <cell r="F2338">
            <v>0</v>
          </cell>
        </row>
        <row r="2339">
          <cell r="A2339" t="str">
            <v>SDT60-FWA</v>
          </cell>
          <cell r="B2339" t="str">
            <v>ASSY CDL3 &amp; FW SDT60</v>
          </cell>
          <cell r="C2339" t="str">
            <v>PC</v>
          </cell>
          <cell r="D2339">
            <v>0</v>
          </cell>
          <cell r="E2339">
            <v>309600</v>
          </cell>
          <cell r="F2339">
            <v>0</v>
          </cell>
        </row>
        <row r="2340">
          <cell r="A2340" t="str">
            <v>SDT60-PPA</v>
          </cell>
          <cell r="B2340" t="str">
            <v>ASSY PIPING SDT60</v>
          </cell>
          <cell r="C2340" t="str">
            <v>PC</v>
          </cell>
          <cell r="D2340">
            <v>0</v>
          </cell>
          <cell r="E2340">
            <v>183918</v>
          </cell>
          <cell r="F2340">
            <v>0</v>
          </cell>
        </row>
        <row r="2341">
          <cell r="A2341" t="str">
            <v>SERVICE-010</v>
          </cell>
          <cell r="B2341" t="str">
            <v>PLATE</v>
          </cell>
          <cell r="C2341" t="str">
            <v>PC</v>
          </cell>
          <cell r="D2341">
            <v>0</v>
          </cell>
          <cell r="E2341">
            <v>91710</v>
          </cell>
          <cell r="F2341">
            <v>0</v>
          </cell>
        </row>
        <row r="2342">
          <cell r="A2342" t="str">
            <v>SERVICE-013</v>
          </cell>
          <cell r="B2342" t="str">
            <v>SERVICE-013</v>
          </cell>
          <cell r="C2342" t="str">
            <v>PC</v>
          </cell>
          <cell r="D2342">
            <v>1</v>
          </cell>
          <cell r="E2342">
            <v>11494357</v>
          </cell>
          <cell r="F2342">
            <v>11494357</v>
          </cell>
        </row>
        <row r="2343">
          <cell r="A2343" t="str">
            <v>SL5-41200P</v>
          </cell>
          <cell r="B2343" t="str">
            <v>SIDE LAMP BRACKET</v>
          </cell>
          <cell r="C2343" t="str">
            <v>PC</v>
          </cell>
          <cell r="D2343">
            <v>0</v>
          </cell>
          <cell r="E2343">
            <v>5575</v>
          </cell>
          <cell r="F2343">
            <v>0</v>
          </cell>
        </row>
        <row r="2344">
          <cell r="A2344" t="str">
            <v>SLPF-835</v>
          </cell>
          <cell r="B2344" t="str">
            <v>HOSE REEL GAMMARO SLPF-835</v>
          </cell>
          <cell r="C2344" t="str">
            <v>PC</v>
          </cell>
          <cell r="D2344">
            <v>0</v>
          </cell>
          <cell r="E2344">
            <v>8665650</v>
          </cell>
          <cell r="F2344">
            <v>0</v>
          </cell>
        </row>
        <row r="2345">
          <cell r="A2345" t="str">
            <v>SLT54-LS4209</v>
          </cell>
          <cell r="B2345" t="str">
            <v xml:space="preserve"> JOST+LOADMASTER</v>
          </cell>
          <cell r="C2345" t="str">
            <v>PC</v>
          </cell>
          <cell r="D2345">
            <v>0</v>
          </cell>
          <cell r="E2345">
            <v>109540312</v>
          </cell>
          <cell r="F2345">
            <v>0</v>
          </cell>
        </row>
        <row r="2346">
          <cell r="A2346" t="str">
            <v>SMB-20-2-100/400</v>
          </cell>
          <cell r="B2346" t="str">
            <v xml:space="preserve"> PRESSURE TEST KIT</v>
          </cell>
          <cell r="C2346" t="str">
            <v>PC</v>
          </cell>
          <cell r="D2346">
            <v>0</v>
          </cell>
          <cell r="E2346">
            <v>2668371</v>
          </cell>
          <cell r="F2346">
            <v>0</v>
          </cell>
        </row>
        <row r="2347">
          <cell r="A2347" t="str">
            <v>SMC-A4000</v>
          </cell>
          <cell r="B2347" t="str">
            <v xml:space="preserve"> AIR REGULATOR</v>
          </cell>
          <cell r="C2347" t="str">
            <v>PC</v>
          </cell>
          <cell r="D2347">
            <v>0</v>
          </cell>
          <cell r="E2347">
            <v>868000</v>
          </cell>
          <cell r="F2347">
            <v>0</v>
          </cell>
        </row>
        <row r="2348">
          <cell r="A2348" t="str">
            <v>SNA-2</v>
          </cell>
          <cell r="B2348" t="str">
            <v>Level Gate 80~ 180</v>
          </cell>
          <cell r="C2348" t="str">
            <v>PC</v>
          </cell>
          <cell r="D2348">
            <v>0</v>
          </cell>
          <cell r="E2348">
            <v>1</v>
          </cell>
          <cell r="F2348">
            <v>0</v>
          </cell>
        </row>
        <row r="2349">
          <cell r="A2349" t="str">
            <v>SP112APP-DP-AS</v>
          </cell>
          <cell r="B2349" t="str">
            <v>PIPE CLAMP</v>
          </cell>
          <cell r="C2349" t="str">
            <v>PC</v>
          </cell>
          <cell r="D2349">
            <v>0</v>
          </cell>
          <cell r="E2349">
            <v>13181</v>
          </cell>
          <cell r="F2349">
            <v>0</v>
          </cell>
        </row>
        <row r="2350">
          <cell r="A2350" t="str">
            <v>SP215PP-DP-AS</v>
          </cell>
          <cell r="B2350" t="str">
            <v>PIPE CLAMP</v>
          </cell>
          <cell r="C2350" t="str">
            <v>PC</v>
          </cell>
          <cell r="D2350">
            <v>0</v>
          </cell>
          <cell r="E2350">
            <v>17658</v>
          </cell>
          <cell r="F2350">
            <v>0</v>
          </cell>
        </row>
        <row r="2351">
          <cell r="A2351" t="str">
            <v>SP319PP-DP-AS</v>
          </cell>
          <cell r="B2351" t="str">
            <v>Clamp hose 3/8"</v>
          </cell>
          <cell r="C2351" t="str">
            <v>PC</v>
          </cell>
          <cell r="D2351">
            <v>0</v>
          </cell>
          <cell r="E2351">
            <v>16305</v>
          </cell>
          <cell r="F2351">
            <v>0</v>
          </cell>
        </row>
        <row r="2352">
          <cell r="A2352" t="str">
            <v>SP320PP-DP-AS</v>
          </cell>
          <cell r="B2352" t="str">
            <v>PIPE CLAMP</v>
          </cell>
          <cell r="C2352" t="str">
            <v>PC</v>
          </cell>
          <cell r="D2352">
            <v>0</v>
          </cell>
          <cell r="E2352">
            <v>19581</v>
          </cell>
          <cell r="F2352">
            <v>0</v>
          </cell>
        </row>
        <row r="2353">
          <cell r="A2353" t="str">
            <v>SP321.3PP-DP-AS</v>
          </cell>
          <cell r="B2353" t="str">
            <v>PIPE CLAMP</v>
          </cell>
          <cell r="C2353" t="str">
            <v>PC</v>
          </cell>
          <cell r="D2353">
            <v>54</v>
          </cell>
          <cell r="E2353">
            <v>18361</v>
          </cell>
          <cell r="F2353">
            <v>991513</v>
          </cell>
        </row>
        <row r="2354">
          <cell r="A2354" t="str">
            <v>SP321-3/21-3-PPGD</v>
          </cell>
          <cell r="B2354" t="str">
            <v>Clamp Pipe 25 x 25 (2 Hole)</v>
          </cell>
          <cell r="C2354" t="str">
            <v>PC</v>
          </cell>
          <cell r="D2354">
            <v>35</v>
          </cell>
          <cell r="E2354">
            <v>36693</v>
          </cell>
          <cell r="F2354">
            <v>1284247</v>
          </cell>
        </row>
        <row r="2355">
          <cell r="A2355" t="str">
            <v>SP3213/213PP-GD-AS</v>
          </cell>
          <cell r="B2355" t="str">
            <v>PIPE CLAMP 21.3 DOUBLE HOLE</v>
          </cell>
          <cell r="C2355" t="str">
            <v>PC</v>
          </cell>
          <cell r="D2355">
            <v>0</v>
          </cell>
          <cell r="E2355">
            <v>1</v>
          </cell>
          <cell r="F2355">
            <v>0</v>
          </cell>
        </row>
        <row r="2356">
          <cell r="A2356" t="str">
            <v>SP321-3PP-DP-AS</v>
          </cell>
          <cell r="B2356" t="str">
            <v>Clamp Pipe 21.3 (1 Hole)</v>
          </cell>
          <cell r="C2356" t="str">
            <v>PC</v>
          </cell>
          <cell r="D2356">
            <v>40</v>
          </cell>
          <cell r="E2356">
            <v>25302</v>
          </cell>
          <cell r="F2356">
            <v>1012095</v>
          </cell>
        </row>
        <row r="2357">
          <cell r="A2357" t="str">
            <v>SP322PP-DP-AS</v>
          </cell>
          <cell r="B2357" t="str">
            <v>PIPE CLAMP</v>
          </cell>
          <cell r="C2357" t="str">
            <v>PC</v>
          </cell>
          <cell r="D2357">
            <v>0</v>
          </cell>
          <cell r="E2357">
            <v>16180</v>
          </cell>
          <cell r="F2357">
            <v>0</v>
          </cell>
        </row>
        <row r="2358">
          <cell r="A2358" t="str">
            <v>SP428PP-DP-AS</v>
          </cell>
          <cell r="B2358" t="str">
            <v>CLAMP HOSE 3/4</v>
          </cell>
          <cell r="C2358" t="str">
            <v>PC</v>
          </cell>
          <cell r="D2358">
            <v>0</v>
          </cell>
          <cell r="E2358">
            <v>30141</v>
          </cell>
          <cell r="F2358">
            <v>0</v>
          </cell>
        </row>
        <row r="2359">
          <cell r="A2359" t="str">
            <v>SP430PP-DP-AS</v>
          </cell>
          <cell r="B2359" t="str">
            <v xml:space="preserve"> PIPE CLAMP</v>
          </cell>
          <cell r="C2359" t="str">
            <v>PC</v>
          </cell>
          <cell r="D2359">
            <v>24</v>
          </cell>
          <cell r="E2359">
            <v>29419</v>
          </cell>
          <cell r="F2359">
            <v>706044</v>
          </cell>
        </row>
        <row r="2360">
          <cell r="A2360" t="str">
            <v>SP530/25PP-GD-AS</v>
          </cell>
          <cell r="B2360" t="str">
            <v xml:space="preserve"> PIPE CLAMP</v>
          </cell>
          <cell r="C2360" t="str">
            <v>PC</v>
          </cell>
          <cell r="D2360">
            <v>20</v>
          </cell>
          <cell r="E2360">
            <v>44647</v>
          </cell>
          <cell r="F2360">
            <v>892938</v>
          </cell>
        </row>
        <row r="2361">
          <cell r="A2361" t="str">
            <v>SP532/25PP-GD-AS</v>
          </cell>
          <cell r="B2361" t="str">
            <v xml:space="preserve"> PIPE CLAMP 25X25</v>
          </cell>
          <cell r="C2361" t="str">
            <v>PC</v>
          </cell>
          <cell r="D2361">
            <v>0</v>
          </cell>
          <cell r="E2361">
            <v>45745</v>
          </cell>
          <cell r="F2361">
            <v>0</v>
          </cell>
        </row>
        <row r="2362">
          <cell r="A2362" t="str">
            <v>SP532PPDPAS</v>
          </cell>
          <cell r="B2362" t="str">
            <v>PIPE CLAMP 32</v>
          </cell>
          <cell r="C2362" t="str">
            <v>PC</v>
          </cell>
          <cell r="D2362">
            <v>6</v>
          </cell>
          <cell r="E2362">
            <v>40344</v>
          </cell>
          <cell r="F2362">
            <v>242065</v>
          </cell>
        </row>
        <row r="2363">
          <cell r="A2363" t="str">
            <v>SP535PP-DP-AS</v>
          </cell>
          <cell r="B2363" t="str">
            <v>PIPE CLAMP</v>
          </cell>
          <cell r="C2363" t="str">
            <v>PC</v>
          </cell>
          <cell r="D2363">
            <v>50</v>
          </cell>
          <cell r="E2363">
            <v>22021</v>
          </cell>
          <cell r="F2363">
            <v>1101041</v>
          </cell>
        </row>
        <row r="2364">
          <cell r="A2364" t="str">
            <v>SP536PP-DP-AS</v>
          </cell>
          <cell r="B2364" t="str">
            <v>PIPE CLAMP 36</v>
          </cell>
          <cell r="C2364" t="str">
            <v>PC</v>
          </cell>
          <cell r="D2364">
            <v>0</v>
          </cell>
          <cell r="E2364">
            <v>37279</v>
          </cell>
          <cell r="F2364">
            <v>0</v>
          </cell>
        </row>
        <row r="2365">
          <cell r="A2365" t="str">
            <v>SP542PP-DP-AS</v>
          </cell>
          <cell r="B2365" t="str">
            <v>PIPE CLAMP</v>
          </cell>
          <cell r="C2365" t="str">
            <v>PC</v>
          </cell>
          <cell r="D2365">
            <v>16</v>
          </cell>
          <cell r="E2365">
            <v>21967</v>
          </cell>
          <cell r="F2365">
            <v>351479</v>
          </cell>
        </row>
        <row r="2366">
          <cell r="A2366" t="str">
            <v>SP648PP-DP-AS</v>
          </cell>
          <cell r="B2366" t="str">
            <v>Clamp hose 1-1/4"</v>
          </cell>
          <cell r="C2366" t="str">
            <v>PC</v>
          </cell>
          <cell r="D2366">
            <v>0</v>
          </cell>
          <cell r="E2366">
            <v>50810</v>
          </cell>
          <cell r="F2366">
            <v>0</v>
          </cell>
        </row>
        <row r="2367">
          <cell r="A2367" t="str">
            <v>SQPB-80</v>
          </cell>
          <cell r="B2367" t="str">
            <v>FUEL PUMP</v>
          </cell>
          <cell r="C2367" t="str">
            <v>PC</v>
          </cell>
          <cell r="D2367">
            <v>0</v>
          </cell>
          <cell r="E2367">
            <v>1700000</v>
          </cell>
          <cell r="F2367">
            <v>0</v>
          </cell>
        </row>
        <row r="2368">
          <cell r="A2368" t="str">
            <v>SR-0200-100100</v>
          </cell>
          <cell r="B2368" t="str">
            <v xml:space="preserve"> RUBBER T20X1M</v>
          </cell>
          <cell r="C2368" t="str">
            <v>PC</v>
          </cell>
          <cell r="D2368">
            <v>0</v>
          </cell>
          <cell r="E2368">
            <v>499500</v>
          </cell>
          <cell r="F2368">
            <v>0</v>
          </cell>
        </row>
        <row r="2369">
          <cell r="A2369" t="str">
            <v>SR-05</v>
          </cell>
          <cell r="B2369" t="str">
            <v>RUBBER SHEET T=5MM,L=1000</v>
          </cell>
          <cell r="C2369" t="str">
            <v>PC</v>
          </cell>
          <cell r="D2369">
            <v>0</v>
          </cell>
          <cell r="E2369">
            <v>0</v>
          </cell>
          <cell r="F2369">
            <v>0</v>
          </cell>
        </row>
        <row r="2370">
          <cell r="A2370" t="str">
            <v>SR-06-2PL1000</v>
          </cell>
          <cell r="B2370" t="str">
            <v>CONV.BELT 6X1000X2PL</v>
          </cell>
          <cell r="C2370" t="str">
            <v>PC</v>
          </cell>
          <cell r="D2370">
            <v>56</v>
          </cell>
          <cell r="E2370">
            <v>210000</v>
          </cell>
          <cell r="F2370">
            <v>11760000</v>
          </cell>
        </row>
        <row r="2371">
          <cell r="A2371" t="str">
            <v>SR-10</v>
          </cell>
          <cell r="B2371" t="str">
            <v>RUBBER SHEET T=10MM,L=1000</v>
          </cell>
          <cell r="C2371" t="str">
            <v>PC</v>
          </cell>
          <cell r="D2371">
            <v>0</v>
          </cell>
          <cell r="E2371">
            <v>0</v>
          </cell>
          <cell r="F2371">
            <v>0</v>
          </cell>
        </row>
        <row r="2372">
          <cell r="A2372" t="str">
            <v>SR-20</v>
          </cell>
          <cell r="B2372" t="str">
            <v>RUBBER SHEET T=20MM</v>
          </cell>
          <cell r="C2372" t="str">
            <v>PC</v>
          </cell>
          <cell r="D2372">
            <v>0</v>
          </cell>
          <cell r="E2372">
            <v>7500</v>
          </cell>
          <cell r="F2372">
            <v>0</v>
          </cell>
        </row>
        <row r="2373">
          <cell r="A2373" t="str">
            <v>SR-6-2PLY</v>
          </cell>
          <cell r="B2373" t="str">
            <v>CONVAYER BELT 6X1X2</v>
          </cell>
          <cell r="C2373" t="str">
            <v>PC</v>
          </cell>
          <cell r="D2373">
            <v>8</v>
          </cell>
          <cell r="E2373">
            <v>159240</v>
          </cell>
          <cell r="F2373">
            <v>1273920</v>
          </cell>
        </row>
        <row r="2374">
          <cell r="A2374" t="str">
            <v>SR-S35</v>
          </cell>
          <cell r="B2374" t="str">
            <v>SNAP RING  S-35</v>
          </cell>
          <cell r="C2374" t="str">
            <v>PC</v>
          </cell>
          <cell r="D2374">
            <v>0</v>
          </cell>
          <cell r="E2374">
            <v>1850</v>
          </cell>
          <cell r="F2374">
            <v>0</v>
          </cell>
        </row>
        <row r="2375">
          <cell r="A2375" t="str">
            <v>SS-TRAN</v>
          </cell>
          <cell r="B2375" t="str">
            <v xml:space="preserve"> SEALEN SILICON TRANS</v>
          </cell>
          <cell r="C2375" t="str">
            <v>PC</v>
          </cell>
          <cell r="D2375">
            <v>0</v>
          </cell>
          <cell r="E2375">
            <v>17500</v>
          </cell>
          <cell r="F2375">
            <v>0</v>
          </cell>
        </row>
        <row r="2376">
          <cell r="A2376" t="str">
            <v>SSWM-35-50</v>
          </cell>
          <cell r="B2376" t="str">
            <v>COIL SPRING BL</v>
          </cell>
          <cell r="C2376" t="str">
            <v>PC</v>
          </cell>
          <cell r="D2376">
            <v>126</v>
          </cell>
          <cell r="E2376">
            <v>26193</v>
          </cell>
          <cell r="F2376">
            <v>3300309</v>
          </cell>
        </row>
        <row r="2377">
          <cell r="A2377" t="str">
            <v>SSWM-40-70</v>
          </cell>
          <cell r="B2377" t="str">
            <v xml:space="preserve"> COIL SPRING</v>
          </cell>
          <cell r="C2377" t="str">
            <v>PC</v>
          </cell>
          <cell r="D2377">
            <v>0</v>
          </cell>
          <cell r="E2377">
            <v>49500</v>
          </cell>
          <cell r="F2377">
            <v>0</v>
          </cell>
        </row>
        <row r="2378">
          <cell r="A2378" t="str">
            <v>ST307-V2-55B</v>
          </cell>
          <cell r="B2378" t="str">
            <v xml:space="preserve"> PRESSURE SWITCH</v>
          </cell>
          <cell r="C2378" t="str">
            <v>PC</v>
          </cell>
          <cell r="D2378">
            <v>0</v>
          </cell>
          <cell r="E2378">
            <v>1881296</v>
          </cell>
          <cell r="F2378">
            <v>0</v>
          </cell>
        </row>
        <row r="2379">
          <cell r="A2379" t="str">
            <v>STK-005</v>
          </cell>
          <cell r="B2379" t="str">
            <v>STIKER PATRIA</v>
          </cell>
          <cell r="C2379" t="str">
            <v>PC</v>
          </cell>
          <cell r="D2379">
            <v>328</v>
          </cell>
          <cell r="E2379">
            <v>6000</v>
          </cell>
          <cell r="F2379">
            <v>1968000</v>
          </cell>
        </row>
        <row r="2380">
          <cell r="A2380" t="str">
            <v>STS010-00100</v>
          </cell>
          <cell r="B2380" t="str">
            <v>EQUALIZER</v>
          </cell>
          <cell r="C2380" t="str">
            <v>PC</v>
          </cell>
          <cell r="D2380">
            <v>10</v>
          </cell>
          <cell r="E2380">
            <v>1290922</v>
          </cell>
          <cell r="F2380">
            <v>12909223</v>
          </cell>
        </row>
        <row r="2381">
          <cell r="A2381" t="str">
            <v>STS010-00111</v>
          </cell>
          <cell r="B2381" t="str">
            <v>SPRING SEAT LOWER</v>
          </cell>
          <cell r="C2381" t="str">
            <v>PC</v>
          </cell>
          <cell r="D2381">
            <v>16</v>
          </cell>
          <cell r="E2381">
            <v>283811</v>
          </cell>
          <cell r="F2381">
            <v>4540984</v>
          </cell>
        </row>
        <row r="2382">
          <cell r="A2382" t="str">
            <v>STS010-00121</v>
          </cell>
          <cell r="B2382" t="str">
            <v>SPRING SEAT UPPER</v>
          </cell>
          <cell r="C2382" t="str">
            <v>PC</v>
          </cell>
          <cell r="D2382">
            <v>16</v>
          </cell>
          <cell r="E2382">
            <v>475662</v>
          </cell>
          <cell r="F2382">
            <v>7610585</v>
          </cell>
        </row>
        <row r="2383">
          <cell r="A2383" t="str">
            <v>STS010-00130</v>
          </cell>
          <cell r="B2383" t="str">
            <v>TORQUE ROD BRACKET</v>
          </cell>
          <cell r="C2383" t="str">
            <v>PC</v>
          </cell>
          <cell r="D2383">
            <v>16</v>
          </cell>
          <cell r="E2383">
            <v>322941</v>
          </cell>
          <cell r="F2383">
            <v>5167054</v>
          </cell>
        </row>
        <row r="2384">
          <cell r="A2384" t="str">
            <v>STS010-00131</v>
          </cell>
          <cell r="B2384" t="str">
            <v>SPRING SEAT WELDING 20T</v>
          </cell>
          <cell r="C2384" t="str">
            <v>PC</v>
          </cell>
          <cell r="D2384">
            <v>8</v>
          </cell>
          <cell r="E2384">
            <v>455422</v>
          </cell>
          <cell r="F2384">
            <v>3643377</v>
          </cell>
        </row>
        <row r="2385">
          <cell r="A2385" t="str">
            <v>STS010-00200</v>
          </cell>
          <cell r="B2385" t="str">
            <v>EQUALIZER HANGER</v>
          </cell>
          <cell r="C2385" t="str">
            <v>PC</v>
          </cell>
          <cell r="D2385">
            <v>10</v>
          </cell>
          <cell r="E2385">
            <v>1154468</v>
          </cell>
          <cell r="F2385">
            <v>11544681</v>
          </cell>
        </row>
        <row r="2386">
          <cell r="A2386" t="str">
            <v>STS010-00300</v>
          </cell>
          <cell r="B2386" t="str">
            <v>FRONT HANGER</v>
          </cell>
          <cell r="C2386" t="str">
            <v>PC</v>
          </cell>
          <cell r="D2386">
            <v>6</v>
          </cell>
          <cell r="E2386">
            <v>1007120</v>
          </cell>
          <cell r="F2386">
            <v>6042717</v>
          </cell>
        </row>
        <row r="2387">
          <cell r="A2387" t="str">
            <v>STS010-00400</v>
          </cell>
          <cell r="B2387" t="str">
            <v>REAR HANGER</v>
          </cell>
          <cell r="C2387" t="str">
            <v>PC</v>
          </cell>
          <cell r="D2387">
            <v>6</v>
          </cell>
          <cell r="E2387">
            <v>655098</v>
          </cell>
          <cell r="F2387">
            <v>3930586</v>
          </cell>
        </row>
        <row r="2388">
          <cell r="A2388" t="str">
            <v>STS010-00500</v>
          </cell>
          <cell r="B2388" t="str">
            <v>U-BOLT RETAINER</v>
          </cell>
          <cell r="C2388" t="str">
            <v>PC</v>
          </cell>
          <cell r="D2388">
            <v>16</v>
          </cell>
          <cell r="E2388">
            <v>307319</v>
          </cell>
          <cell r="F2388">
            <v>4917097</v>
          </cell>
        </row>
        <row r="2389">
          <cell r="A2389" t="str">
            <v>STS010-00600</v>
          </cell>
          <cell r="B2389" t="str">
            <v>TORQUE ROD ARM</v>
          </cell>
          <cell r="C2389" t="str">
            <v>PC</v>
          </cell>
          <cell r="D2389">
            <v>16</v>
          </cell>
          <cell r="E2389">
            <v>400082</v>
          </cell>
          <cell r="F2389">
            <v>6401305</v>
          </cell>
        </row>
        <row r="2390">
          <cell r="A2390" t="str">
            <v>STS010-00700</v>
          </cell>
          <cell r="B2390" t="str">
            <v>PIN-EQUALIZER</v>
          </cell>
          <cell r="C2390" t="str">
            <v>PC</v>
          </cell>
          <cell r="D2390">
            <v>10</v>
          </cell>
          <cell r="E2390">
            <v>358342</v>
          </cell>
          <cell r="F2390">
            <v>3583423</v>
          </cell>
        </row>
        <row r="2391">
          <cell r="A2391" t="str">
            <v>STS010-00800</v>
          </cell>
          <cell r="B2391" t="str">
            <v>SHOCK ABSORBER</v>
          </cell>
          <cell r="C2391" t="str">
            <v>PC</v>
          </cell>
          <cell r="D2391">
            <v>16</v>
          </cell>
          <cell r="E2391">
            <v>227382</v>
          </cell>
          <cell r="F2391">
            <v>3638105</v>
          </cell>
        </row>
        <row r="2392">
          <cell r="A2392" t="str">
            <v>SV1-16C-16T-12V</v>
          </cell>
          <cell r="B2392" t="str">
            <v xml:space="preserve"> MANIFOLD SV1-16C-16T</v>
          </cell>
          <cell r="C2392" t="str">
            <v>PC</v>
          </cell>
          <cell r="D2392">
            <v>0</v>
          </cell>
          <cell r="E2392">
            <v>220</v>
          </cell>
          <cell r="F2392">
            <v>0</v>
          </cell>
        </row>
        <row r="2393">
          <cell r="A2393" t="str">
            <v>SV1-16C-24</v>
          </cell>
          <cell r="B2393" t="str">
            <v>SELENOID VALVE VICKERS SV1-16C-24</v>
          </cell>
          <cell r="C2393" t="str">
            <v>PC</v>
          </cell>
          <cell r="D2393">
            <v>0</v>
          </cell>
          <cell r="E2393">
            <v>1320071</v>
          </cell>
          <cell r="F2393">
            <v>0</v>
          </cell>
        </row>
        <row r="2394">
          <cell r="A2394" t="str">
            <v>SVD-KWT-001-01</v>
          </cell>
          <cell r="B2394" t="str">
            <v>INNER FRAME REINFORCE PLATE KENWORTH</v>
          </cell>
          <cell r="C2394" t="str">
            <v>PC</v>
          </cell>
          <cell r="D2394">
            <v>0</v>
          </cell>
          <cell r="E2394">
            <v>67000</v>
          </cell>
          <cell r="F2394">
            <v>0</v>
          </cell>
        </row>
        <row r="2395">
          <cell r="A2395" t="str">
            <v>SVD-KWT-001-02</v>
          </cell>
          <cell r="B2395" t="str">
            <v>REINF PLATE FRAME</v>
          </cell>
          <cell r="C2395" t="str">
            <v>PC</v>
          </cell>
          <cell r="D2395">
            <v>0</v>
          </cell>
          <cell r="E2395">
            <v>67000</v>
          </cell>
          <cell r="F2395">
            <v>0</v>
          </cell>
        </row>
        <row r="2396">
          <cell r="A2396" t="str">
            <v>SX9-3250-W2</v>
          </cell>
          <cell r="B2396" t="str">
            <v>HOSE CLAMP</v>
          </cell>
          <cell r="C2396" t="str">
            <v>PC</v>
          </cell>
          <cell r="D2396">
            <v>0</v>
          </cell>
          <cell r="E2396">
            <v>0</v>
          </cell>
          <cell r="F2396">
            <v>0</v>
          </cell>
        </row>
        <row r="2397">
          <cell r="A2397" t="str">
            <v>SX9-4060-W2</v>
          </cell>
          <cell r="B2397" t="str">
            <v>HOSE CLAMP</v>
          </cell>
          <cell r="C2397" t="str">
            <v>PC</v>
          </cell>
          <cell r="D2397">
            <v>0</v>
          </cell>
          <cell r="E2397">
            <v>0</v>
          </cell>
          <cell r="F2397">
            <v>0</v>
          </cell>
        </row>
        <row r="2398">
          <cell r="A2398" t="str">
            <v>T116A</v>
          </cell>
          <cell r="B2398" t="str">
            <v xml:space="preserve"> HYD HOSE 1"</v>
          </cell>
          <cell r="C2398" t="str">
            <v>PC</v>
          </cell>
          <cell r="D2398">
            <v>0</v>
          </cell>
          <cell r="E2398">
            <v>67679</v>
          </cell>
          <cell r="F2398">
            <v>0</v>
          </cell>
        </row>
        <row r="2399">
          <cell r="A2399" t="str">
            <v>T18A</v>
          </cell>
          <cell r="B2399" t="str">
            <v>HOSE 1/2" 1 BRAID</v>
          </cell>
          <cell r="C2399" t="str">
            <v>PC</v>
          </cell>
          <cell r="D2399">
            <v>0</v>
          </cell>
          <cell r="E2399">
            <v>36084</v>
          </cell>
          <cell r="F2399">
            <v>0</v>
          </cell>
        </row>
        <row r="2400">
          <cell r="A2400" t="str">
            <v>T201-0808</v>
          </cell>
          <cell r="B2400" t="str">
            <v>HOSE END 1/2"</v>
          </cell>
          <cell r="C2400" t="str">
            <v>PC</v>
          </cell>
          <cell r="D2400">
            <v>0</v>
          </cell>
          <cell r="E2400">
            <v>22530</v>
          </cell>
          <cell r="F2400">
            <v>0</v>
          </cell>
        </row>
        <row r="2401">
          <cell r="A2401" t="str">
            <v>T201-1616</v>
          </cell>
          <cell r="B2401" t="str">
            <v>HOSE END1"X1"BSPT</v>
          </cell>
          <cell r="C2401" t="str">
            <v>PC</v>
          </cell>
          <cell r="D2401">
            <v>0</v>
          </cell>
          <cell r="E2401">
            <v>59511</v>
          </cell>
          <cell r="F2401">
            <v>0</v>
          </cell>
        </row>
        <row r="2402">
          <cell r="A2402" t="str">
            <v>T209-1616</v>
          </cell>
          <cell r="B2402" t="str">
            <v>HOSE END1"X1"BSPT</v>
          </cell>
          <cell r="C2402" t="str">
            <v>PC</v>
          </cell>
          <cell r="D2402">
            <v>0</v>
          </cell>
          <cell r="E2402">
            <v>50355</v>
          </cell>
          <cell r="F2402">
            <v>0</v>
          </cell>
        </row>
        <row r="2403">
          <cell r="A2403" t="str">
            <v>T-3/8-DR</v>
          </cell>
          <cell r="B2403" t="str">
            <v xml:space="preserve"> TEE 3/8"DRAT </v>
          </cell>
          <cell r="C2403" t="str">
            <v>PC</v>
          </cell>
          <cell r="D2403">
            <v>8</v>
          </cell>
          <cell r="E2403">
            <v>25000</v>
          </cell>
          <cell r="F2403">
            <v>200000</v>
          </cell>
        </row>
        <row r="2404">
          <cell r="A2404" t="str">
            <v>T-30/25/30</v>
          </cell>
          <cell r="B2404" t="str">
            <v>TEE REDUCING 3"X2,5"X3" (WELDED)</v>
          </cell>
          <cell r="C2404" t="str">
            <v>PC</v>
          </cell>
          <cell r="D2404">
            <v>0</v>
          </cell>
          <cell r="E2404">
            <v>36000</v>
          </cell>
          <cell r="F2404">
            <v>0</v>
          </cell>
        </row>
        <row r="2405">
          <cell r="A2405" t="str">
            <v>T-40/30/40</v>
          </cell>
          <cell r="B2405" t="str">
            <v>TEE REDUCING 4"X3"X4" (WELDED)</v>
          </cell>
          <cell r="C2405" t="str">
            <v>PC</v>
          </cell>
          <cell r="D2405">
            <v>0</v>
          </cell>
          <cell r="E2405">
            <v>65000</v>
          </cell>
          <cell r="F2405">
            <v>0</v>
          </cell>
        </row>
        <row r="2406">
          <cell r="A2406" t="str">
            <v>T-4-BS</v>
          </cell>
          <cell r="B2406" t="str">
            <v>TEE 4"X4"X4" WELD</v>
          </cell>
          <cell r="C2406" t="str">
            <v>PC</v>
          </cell>
          <cell r="D2406">
            <v>0</v>
          </cell>
          <cell r="E2406">
            <v>65000</v>
          </cell>
          <cell r="F2406">
            <v>0</v>
          </cell>
        </row>
        <row r="2407">
          <cell r="A2407" t="str">
            <v>TA-0F1130P-M</v>
          </cell>
          <cell r="B2407" t="str">
            <v>Plate</v>
          </cell>
          <cell r="C2407" t="str">
            <v>PC</v>
          </cell>
          <cell r="D2407">
            <v>0</v>
          </cell>
          <cell r="E2407">
            <v>20400</v>
          </cell>
          <cell r="F2407">
            <v>0</v>
          </cell>
        </row>
        <row r="2408">
          <cell r="A2408" t="str">
            <v>TA-0F1220P-M</v>
          </cell>
          <cell r="B2408" t="str">
            <v>Plate</v>
          </cell>
          <cell r="C2408" t="str">
            <v>PC</v>
          </cell>
          <cell r="D2408">
            <v>0</v>
          </cell>
          <cell r="E2408">
            <v>20500</v>
          </cell>
          <cell r="F2408">
            <v>0</v>
          </cell>
        </row>
        <row r="2409">
          <cell r="A2409" t="str">
            <v>TA2-0F1130P-M</v>
          </cell>
          <cell r="B2409" t="str">
            <v>Plate</v>
          </cell>
          <cell r="C2409" t="str">
            <v>PC</v>
          </cell>
          <cell r="D2409">
            <v>0</v>
          </cell>
          <cell r="E2409">
            <v>20400</v>
          </cell>
          <cell r="F2409">
            <v>0</v>
          </cell>
        </row>
        <row r="2410">
          <cell r="A2410" t="str">
            <v>TA2-0F1220P-M</v>
          </cell>
          <cell r="B2410" t="str">
            <v>Plate</v>
          </cell>
          <cell r="C2410" t="str">
            <v>PC</v>
          </cell>
          <cell r="D2410">
            <v>0</v>
          </cell>
          <cell r="E2410">
            <v>6000</v>
          </cell>
          <cell r="F2410">
            <v>0</v>
          </cell>
        </row>
        <row r="2411">
          <cell r="A2411" t="str">
            <v>TA3-5B1000P</v>
          </cell>
          <cell r="B2411" t="str">
            <v xml:space="preserve"> BODY ASSY</v>
          </cell>
          <cell r="C2411" t="str">
            <v>PC</v>
          </cell>
          <cell r="D2411">
            <v>0</v>
          </cell>
          <cell r="E2411">
            <v>0</v>
          </cell>
          <cell r="F2411">
            <v>0</v>
          </cell>
        </row>
        <row r="2412">
          <cell r="A2412" t="str">
            <v>TA3-P10000P</v>
          </cell>
          <cell r="B2412" t="str">
            <v>REGULATOR BRACKET</v>
          </cell>
          <cell r="C2412" t="str">
            <v>PC</v>
          </cell>
          <cell r="D2412">
            <v>0</v>
          </cell>
          <cell r="E2412">
            <v>0</v>
          </cell>
          <cell r="F2412">
            <v>0</v>
          </cell>
        </row>
        <row r="2413">
          <cell r="A2413" t="str">
            <v>TA3-PP10001</v>
          </cell>
          <cell r="B2413" t="str">
            <v>PIPING SYSTEM</v>
          </cell>
          <cell r="C2413" t="str">
            <v>PC</v>
          </cell>
          <cell r="D2413">
            <v>0</v>
          </cell>
          <cell r="E2413">
            <v>0</v>
          </cell>
          <cell r="F2413">
            <v>0</v>
          </cell>
        </row>
        <row r="2414">
          <cell r="A2414" t="str">
            <v>TA5-A100000</v>
          </cell>
          <cell r="B2414" t="str">
            <v>MUD GUARD</v>
          </cell>
          <cell r="C2414" t="str">
            <v>PC</v>
          </cell>
          <cell r="D2414">
            <v>0</v>
          </cell>
          <cell r="E2414">
            <v>0</v>
          </cell>
          <cell r="F2414">
            <v>0</v>
          </cell>
        </row>
        <row r="2415">
          <cell r="A2415" t="str">
            <v>TA5-B000000</v>
          </cell>
          <cell r="B2415" t="str">
            <v>BODY ASSY</v>
          </cell>
          <cell r="C2415" t="str">
            <v>PC</v>
          </cell>
          <cell r="D2415">
            <v>0</v>
          </cell>
          <cell r="E2415">
            <v>0</v>
          </cell>
          <cell r="F2415">
            <v>0</v>
          </cell>
        </row>
        <row r="2416">
          <cell r="A2416" t="str">
            <v>TA5-BJ00001</v>
          </cell>
          <cell r="B2416" t="str">
            <v>MAN HOLE ASSY</v>
          </cell>
          <cell r="C2416" t="str">
            <v>PC</v>
          </cell>
          <cell r="D2416">
            <v>0</v>
          </cell>
          <cell r="E2416">
            <v>0</v>
          </cell>
          <cell r="F2416">
            <v>0</v>
          </cell>
        </row>
        <row r="2417">
          <cell r="A2417" t="str">
            <v>TA5-BT30000</v>
          </cell>
          <cell r="B2417" t="str">
            <v>LOAD GUIDE ASSY</v>
          </cell>
          <cell r="C2417" t="str">
            <v>PC</v>
          </cell>
          <cell r="D2417">
            <v>0</v>
          </cell>
          <cell r="E2417">
            <v>490000</v>
          </cell>
          <cell r="F2417">
            <v>0</v>
          </cell>
        </row>
        <row r="2418">
          <cell r="A2418" t="str">
            <v>TA5-BT3000P</v>
          </cell>
          <cell r="B2418" t="str">
            <v xml:space="preserve"> LOAD GUIDE ASSY</v>
          </cell>
          <cell r="C2418" t="str">
            <v>PC</v>
          </cell>
          <cell r="D2418">
            <v>1</v>
          </cell>
          <cell r="E2418">
            <v>490000</v>
          </cell>
          <cell r="F2418">
            <v>490000</v>
          </cell>
        </row>
        <row r="2419">
          <cell r="A2419" t="str">
            <v>TA5-BT31000</v>
          </cell>
          <cell r="B2419" t="str">
            <v>GUIDE PLATE</v>
          </cell>
          <cell r="C2419" t="str">
            <v>PC</v>
          </cell>
          <cell r="D2419">
            <v>0</v>
          </cell>
          <cell r="E2419">
            <v>24486</v>
          </cell>
          <cell r="F2419">
            <v>0</v>
          </cell>
        </row>
        <row r="2420">
          <cell r="A2420" t="str">
            <v>TA5-H000001</v>
          </cell>
          <cell r="B2420" t="str">
            <v>HYDRAULIC SYS.</v>
          </cell>
          <cell r="C2420" t="str">
            <v>PC</v>
          </cell>
          <cell r="D2420">
            <v>0</v>
          </cell>
          <cell r="E2420">
            <v>16535900</v>
          </cell>
          <cell r="F2420">
            <v>0</v>
          </cell>
        </row>
        <row r="2421">
          <cell r="A2421" t="str">
            <v>TA5-H200000</v>
          </cell>
          <cell r="B2421" t="str">
            <v xml:space="preserve"> BLOCK TERMINAL4X1,25</v>
          </cell>
          <cell r="C2421" t="str">
            <v>PC</v>
          </cell>
          <cell r="D2421">
            <v>0</v>
          </cell>
          <cell r="E2421">
            <v>600000</v>
          </cell>
          <cell r="F2421">
            <v>0</v>
          </cell>
        </row>
        <row r="2422">
          <cell r="A2422" t="str">
            <v>TA5-P000001</v>
          </cell>
          <cell r="B2422" t="str">
            <v>PNEU.&amp;ELECT.SYS.</v>
          </cell>
          <cell r="C2422" t="str">
            <v>PC</v>
          </cell>
          <cell r="D2422">
            <v>0</v>
          </cell>
          <cell r="E2422">
            <v>0</v>
          </cell>
          <cell r="F2422">
            <v>0</v>
          </cell>
        </row>
        <row r="2423">
          <cell r="A2423" t="str">
            <v>TA5-P200001</v>
          </cell>
          <cell r="B2423" t="str">
            <v>CABLE &amp; TUBING TRAY</v>
          </cell>
          <cell r="C2423" t="str">
            <v>PC</v>
          </cell>
          <cell r="D2423">
            <v>0</v>
          </cell>
          <cell r="E2423">
            <v>0</v>
          </cell>
          <cell r="F2423">
            <v>0</v>
          </cell>
        </row>
        <row r="2424">
          <cell r="A2424" t="str">
            <v>TA5-P40000P</v>
          </cell>
          <cell r="B2424" t="str">
            <v>SELENOID BRACKET ASSY</v>
          </cell>
          <cell r="C2424" t="str">
            <v>PC</v>
          </cell>
          <cell r="D2424">
            <v>0</v>
          </cell>
          <cell r="E2424">
            <v>0</v>
          </cell>
          <cell r="F2424">
            <v>0</v>
          </cell>
        </row>
        <row r="2425">
          <cell r="A2425" t="str">
            <v>TA5-PPD0002</v>
          </cell>
          <cell r="B2425" t="str">
            <v>NYLON HOSE 2,5"</v>
          </cell>
          <cell r="C2425" t="str">
            <v>PC</v>
          </cell>
          <cell r="D2425">
            <v>0</v>
          </cell>
          <cell r="E2425">
            <v>0</v>
          </cell>
          <cell r="F2425">
            <v>0</v>
          </cell>
        </row>
        <row r="2426">
          <cell r="A2426" t="str">
            <v>TA5-PPK0001</v>
          </cell>
          <cell r="B2426" t="str">
            <v>RUBBER</v>
          </cell>
          <cell r="C2426" t="str">
            <v>PC</v>
          </cell>
          <cell r="D2426">
            <v>0</v>
          </cell>
          <cell r="E2426">
            <v>0</v>
          </cell>
          <cell r="F2426">
            <v>0</v>
          </cell>
        </row>
        <row r="2427">
          <cell r="A2427" t="str">
            <v>TA5-PPL0002</v>
          </cell>
          <cell r="B2427" t="str">
            <v>RUBBER</v>
          </cell>
          <cell r="C2427" t="str">
            <v>PC</v>
          </cell>
          <cell r="D2427">
            <v>0</v>
          </cell>
          <cell r="E2427">
            <v>0</v>
          </cell>
          <cell r="F2427">
            <v>0</v>
          </cell>
        </row>
        <row r="2428">
          <cell r="A2428" t="str">
            <v>TA5-PPP0002</v>
          </cell>
          <cell r="B2428" t="str">
            <v>FRONT MONITOR</v>
          </cell>
          <cell r="C2428" t="str">
            <v>PC</v>
          </cell>
          <cell r="D2428">
            <v>0</v>
          </cell>
          <cell r="E2428">
            <v>26419916</v>
          </cell>
          <cell r="F2428">
            <v>0</v>
          </cell>
        </row>
        <row r="2429">
          <cell r="A2429" t="str">
            <v>TA5-PPP1002</v>
          </cell>
          <cell r="B2429" t="str">
            <v>PLATFORM</v>
          </cell>
          <cell r="C2429" t="str">
            <v>PC</v>
          </cell>
          <cell r="D2429">
            <v>1</v>
          </cell>
          <cell r="E2429">
            <v>561850</v>
          </cell>
          <cell r="F2429">
            <v>176700</v>
          </cell>
        </row>
        <row r="2430">
          <cell r="A2430" t="str">
            <v>TA5-PPP2002</v>
          </cell>
          <cell r="B2430" t="str">
            <v>RAIL1</v>
          </cell>
          <cell r="C2430" t="str">
            <v>PC</v>
          </cell>
          <cell r="D2430">
            <v>1</v>
          </cell>
          <cell r="E2430">
            <v>116700</v>
          </cell>
          <cell r="F2430">
            <v>116700</v>
          </cell>
        </row>
        <row r="2431">
          <cell r="A2431" t="str">
            <v>TA5-PPP3002</v>
          </cell>
          <cell r="B2431" t="str">
            <v>RAIL2</v>
          </cell>
          <cell r="C2431" t="str">
            <v>PC</v>
          </cell>
          <cell r="D2431">
            <v>1</v>
          </cell>
          <cell r="E2431">
            <v>98400</v>
          </cell>
          <cell r="F2431">
            <v>98400</v>
          </cell>
        </row>
        <row r="2432">
          <cell r="A2432" t="str">
            <v>TA8-0B1400P</v>
          </cell>
          <cell r="B2432" t="str">
            <v>FRONT WALL</v>
          </cell>
          <cell r="C2432" t="str">
            <v>PC</v>
          </cell>
          <cell r="D2432">
            <v>0</v>
          </cell>
          <cell r="E2432">
            <v>5600000</v>
          </cell>
          <cell r="F2432">
            <v>0</v>
          </cell>
        </row>
        <row r="2433">
          <cell r="A2433" t="str">
            <v>TA8-0B1A00P</v>
          </cell>
          <cell r="B2433" t="str">
            <v>BAFFLE RH1</v>
          </cell>
          <cell r="C2433" t="str">
            <v>PC</v>
          </cell>
          <cell r="D2433">
            <v>0</v>
          </cell>
          <cell r="E2433">
            <v>1465000</v>
          </cell>
          <cell r="F2433">
            <v>0</v>
          </cell>
        </row>
        <row r="2434">
          <cell r="A2434" t="str">
            <v>TA8-0B1B00P</v>
          </cell>
          <cell r="B2434" t="str">
            <v>BAFFLE LH1</v>
          </cell>
          <cell r="C2434" t="str">
            <v>PC</v>
          </cell>
          <cell r="D2434">
            <v>0</v>
          </cell>
          <cell r="E2434">
            <v>1465000</v>
          </cell>
          <cell r="F2434">
            <v>0</v>
          </cell>
        </row>
        <row r="2435">
          <cell r="A2435" t="str">
            <v>TA8-B14000P</v>
          </cell>
          <cell r="B2435" t="str">
            <v>REAR WALL</v>
          </cell>
          <cell r="C2435" t="str">
            <v>PC</v>
          </cell>
          <cell r="D2435">
            <v>0</v>
          </cell>
          <cell r="E2435">
            <v>3623000</v>
          </cell>
          <cell r="F2435">
            <v>0</v>
          </cell>
        </row>
        <row r="2436">
          <cell r="A2436" t="str">
            <v>TA8-B17000P</v>
          </cell>
          <cell r="B2436" t="str">
            <v>BUFFER V1</v>
          </cell>
          <cell r="C2436" t="str">
            <v>PC</v>
          </cell>
          <cell r="D2436">
            <v>0</v>
          </cell>
          <cell r="E2436">
            <v>4806000</v>
          </cell>
          <cell r="F2436">
            <v>0</v>
          </cell>
        </row>
        <row r="2437">
          <cell r="A2437" t="str">
            <v>TA8-B18000P</v>
          </cell>
          <cell r="B2437" t="str">
            <v>BUFFER V2</v>
          </cell>
          <cell r="C2437" t="str">
            <v>PC</v>
          </cell>
          <cell r="D2437">
            <v>0</v>
          </cell>
          <cell r="E2437">
            <v>4063000</v>
          </cell>
          <cell r="F2437">
            <v>0</v>
          </cell>
        </row>
        <row r="2438">
          <cell r="A2438" t="str">
            <v>TA8-B19000P</v>
          </cell>
          <cell r="B2438" t="str">
            <v>BUFFER V3</v>
          </cell>
          <cell r="C2438" t="str">
            <v>PC</v>
          </cell>
          <cell r="D2438">
            <v>0</v>
          </cell>
          <cell r="E2438">
            <v>4063000</v>
          </cell>
          <cell r="F2438">
            <v>0</v>
          </cell>
        </row>
        <row r="2439">
          <cell r="A2439" t="str">
            <v>TA8-B1B000P</v>
          </cell>
          <cell r="B2439" t="str">
            <v>BUFFER H2 LH</v>
          </cell>
          <cell r="C2439" t="str">
            <v>PC</v>
          </cell>
          <cell r="D2439">
            <v>0</v>
          </cell>
          <cell r="E2439">
            <v>1135000</v>
          </cell>
          <cell r="F2439">
            <v>0</v>
          </cell>
        </row>
        <row r="2440">
          <cell r="A2440" t="str">
            <v>TA8-B1C000P</v>
          </cell>
          <cell r="B2440" t="str">
            <v>BUFFER H3 LH</v>
          </cell>
          <cell r="C2440" t="str">
            <v>PC</v>
          </cell>
          <cell r="D2440">
            <v>0</v>
          </cell>
          <cell r="E2440">
            <v>1035000</v>
          </cell>
          <cell r="F2440">
            <v>0</v>
          </cell>
        </row>
        <row r="2441">
          <cell r="A2441" t="str">
            <v>TA8-B1D000P</v>
          </cell>
          <cell r="B2441" t="str">
            <v>BUFFER H4 LH</v>
          </cell>
          <cell r="C2441" t="str">
            <v>PC</v>
          </cell>
          <cell r="D2441">
            <v>0</v>
          </cell>
          <cell r="E2441">
            <v>910000</v>
          </cell>
          <cell r="F2441">
            <v>0</v>
          </cell>
        </row>
        <row r="2442">
          <cell r="A2442" t="str">
            <v>TA8-B1E000P</v>
          </cell>
          <cell r="B2442" t="str">
            <v>BUFFER H2 RH</v>
          </cell>
          <cell r="C2442" t="str">
            <v>PC</v>
          </cell>
          <cell r="D2442">
            <v>0</v>
          </cell>
          <cell r="E2442">
            <v>1135000</v>
          </cell>
          <cell r="F2442">
            <v>0</v>
          </cell>
        </row>
        <row r="2443">
          <cell r="A2443" t="str">
            <v>TA8-B1G000P</v>
          </cell>
          <cell r="B2443" t="str">
            <v>BUFFER H3 RH</v>
          </cell>
          <cell r="C2443" t="str">
            <v>PC</v>
          </cell>
          <cell r="D2443">
            <v>0</v>
          </cell>
          <cell r="E2443">
            <v>1035000</v>
          </cell>
          <cell r="F2443">
            <v>0</v>
          </cell>
        </row>
        <row r="2444">
          <cell r="A2444" t="str">
            <v>TA8-B1H000P</v>
          </cell>
          <cell r="B2444" t="str">
            <v>BUFFER H4 RH</v>
          </cell>
          <cell r="C2444" t="str">
            <v>PC</v>
          </cell>
          <cell r="D2444">
            <v>0</v>
          </cell>
          <cell r="E2444">
            <v>910000</v>
          </cell>
          <cell r="F2444">
            <v>0</v>
          </cell>
        </row>
        <row r="2445">
          <cell r="A2445" t="str">
            <v>TB-1215-100</v>
          </cell>
          <cell r="B2445" t="str">
            <v xml:space="preserve"> TREE BOND</v>
          </cell>
          <cell r="C2445" t="str">
            <v>PC</v>
          </cell>
          <cell r="D2445">
            <v>0</v>
          </cell>
          <cell r="E2445">
            <v>175000</v>
          </cell>
          <cell r="F2445">
            <v>0</v>
          </cell>
        </row>
        <row r="2446">
          <cell r="A2446" t="str">
            <v>TB2-0F3000P</v>
          </cell>
          <cell r="B2446" t="str">
            <v>Pin</v>
          </cell>
          <cell r="C2446" t="str">
            <v>PC</v>
          </cell>
          <cell r="D2446">
            <v>1</v>
          </cell>
          <cell r="E2446">
            <v>225600</v>
          </cell>
          <cell r="F2446">
            <v>225600</v>
          </cell>
        </row>
        <row r="2447">
          <cell r="A2447" t="str">
            <v>TB2-0F4100P</v>
          </cell>
          <cell r="B2447" t="str">
            <v>Pin</v>
          </cell>
          <cell r="C2447" t="str">
            <v>PC</v>
          </cell>
          <cell r="D2447">
            <v>1</v>
          </cell>
          <cell r="E2447">
            <v>711540</v>
          </cell>
          <cell r="F2447">
            <v>711540</v>
          </cell>
        </row>
        <row r="2448">
          <cell r="A2448" t="str">
            <v>TB2-0F5100P</v>
          </cell>
          <cell r="B2448" t="str">
            <v>Pin</v>
          </cell>
          <cell r="C2448" t="str">
            <v>PC</v>
          </cell>
          <cell r="D2448">
            <v>1</v>
          </cell>
          <cell r="E2448">
            <v>219970</v>
          </cell>
          <cell r="F2448">
            <v>219970</v>
          </cell>
        </row>
        <row r="2449">
          <cell r="A2449" t="str">
            <v>TB2-0F6000P</v>
          </cell>
          <cell r="B2449" t="str">
            <v>Bushing</v>
          </cell>
          <cell r="C2449" t="str">
            <v>PC</v>
          </cell>
          <cell r="D2449">
            <v>2</v>
          </cell>
          <cell r="E2449">
            <v>165600</v>
          </cell>
          <cell r="F2449">
            <v>331200</v>
          </cell>
        </row>
        <row r="2450">
          <cell r="A2450" t="str">
            <v>TB2-0H1100P</v>
          </cell>
          <cell r="B2450" t="str">
            <v>TUBE</v>
          </cell>
          <cell r="C2450" t="str">
            <v>PC</v>
          </cell>
          <cell r="D2450">
            <v>0</v>
          </cell>
          <cell r="E2450">
            <v>316224</v>
          </cell>
          <cell r="F2450">
            <v>0</v>
          </cell>
        </row>
        <row r="2451">
          <cell r="A2451" t="str">
            <v>TBA-3.2</v>
          </cell>
          <cell r="B2451" t="str">
            <v xml:space="preserve"> PACK TBA 3,2X1000</v>
          </cell>
          <cell r="C2451" t="str">
            <v>PC</v>
          </cell>
          <cell r="D2451">
            <v>0</v>
          </cell>
          <cell r="E2451">
            <v>145000</v>
          </cell>
          <cell r="F2451">
            <v>0</v>
          </cell>
        </row>
        <row r="2452">
          <cell r="A2452" t="str">
            <v>TC1-F90000P</v>
          </cell>
          <cell r="B2452" t="str">
            <v>LOCKING BLOCK</v>
          </cell>
          <cell r="C2452" t="str">
            <v>PC</v>
          </cell>
          <cell r="D2452">
            <v>10</v>
          </cell>
          <cell r="E2452">
            <v>32500</v>
          </cell>
          <cell r="F2452">
            <v>325000</v>
          </cell>
        </row>
        <row r="2453">
          <cell r="A2453" t="str">
            <v>TC3-A01000P</v>
          </cell>
          <cell r="B2453" t="str">
            <v xml:space="preserve"> TOOL BOX (TC3-A00000P)</v>
          </cell>
          <cell r="C2453" t="str">
            <v>PC</v>
          </cell>
          <cell r="D2453">
            <v>0</v>
          </cell>
          <cell r="E2453">
            <v>620000</v>
          </cell>
          <cell r="F2453">
            <v>0</v>
          </cell>
        </row>
        <row r="2454">
          <cell r="A2454" t="str">
            <v>TC4-F121000P-M</v>
          </cell>
          <cell r="B2454" t="str">
            <v>PLATE jasa SHP</v>
          </cell>
          <cell r="C2454" t="str">
            <v>PC</v>
          </cell>
          <cell r="D2454">
            <v>0</v>
          </cell>
          <cell r="E2454">
            <v>28504</v>
          </cell>
          <cell r="F2454">
            <v>0</v>
          </cell>
        </row>
        <row r="2455">
          <cell r="A2455" t="str">
            <v>TC4-F12100P-M</v>
          </cell>
          <cell r="B2455" t="str">
            <v>PLATE jasa SHP</v>
          </cell>
          <cell r="C2455" t="str">
            <v>PC</v>
          </cell>
          <cell r="D2455">
            <v>0</v>
          </cell>
          <cell r="E2455">
            <v>28504</v>
          </cell>
          <cell r="F2455">
            <v>0</v>
          </cell>
        </row>
        <row r="2456">
          <cell r="A2456" t="str">
            <v>TD0-JX0000P</v>
          </cell>
          <cell r="B2456" t="str">
            <v>MODUL J BOTTOM</v>
          </cell>
          <cell r="C2456" t="str">
            <v>PC</v>
          </cell>
          <cell r="D2456">
            <v>0</v>
          </cell>
          <cell r="E2456">
            <v>1</v>
          </cell>
          <cell r="F2456">
            <v>0</v>
          </cell>
        </row>
        <row r="2457">
          <cell r="A2457" t="str">
            <v>TD1-0B10000</v>
          </cell>
          <cell r="B2457" t="str">
            <v>BODY ASSY</v>
          </cell>
          <cell r="C2457" t="str">
            <v>PC</v>
          </cell>
          <cell r="D2457">
            <v>0</v>
          </cell>
          <cell r="E2457">
            <v>0</v>
          </cell>
          <cell r="F2457">
            <v>0</v>
          </cell>
        </row>
        <row r="2458">
          <cell r="A2458" t="str">
            <v>TD1-0B11000</v>
          </cell>
          <cell r="B2458" t="str">
            <v>SIDEWALL-LH</v>
          </cell>
          <cell r="C2458" t="str">
            <v>PC</v>
          </cell>
          <cell r="D2458">
            <v>0</v>
          </cell>
          <cell r="E2458">
            <v>2627647</v>
          </cell>
          <cell r="F2458">
            <v>0</v>
          </cell>
        </row>
        <row r="2459">
          <cell r="A2459" t="str">
            <v>TD1-0B12000</v>
          </cell>
          <cell r="B2459" t="str">
            <v>SIDEWALL-RH</v>
          </cell>
          <cell r="C2459" t="str">
            <v>PC</v>
          </cell>
          <cell r="D2459">
            <v>0</v>
          </cell>
          <cell r="E2459">
            <v>2627647</v>
          </cell>
          <cell r="F2459">
            <v>0</v>
          </cell>
        </row>
        <row r="2460">
          <cell r="A2460" t="str">
            <v>TD1-0B13000</v>
          </cell>
          <cell r="B2460" t="str">
            <v>FRONT WALL</v>
          </cell>
          <cell r="C2460" t="str">
            <v>PC</v>
          </cell>
          <cell r="D2460">
            <v>0</v>
          </cell>
          <cell r="E2460">
            <v>1634618</v>
          </cell>
          <cell r="F2460">
            <v>0</v>
          </cell>
        </row>
        <row r="2461">
          <cell r="A2461" t="str">
            <v>TD1-0B1330P</v>
          </cell>
          <cell r="B2461" t="str">
            <v>PLATE</v>
          </cell>
          <cell r="C2461" t="str">
            <v>PC</v>
          </cell>
          <cell r="D2461">
            <v>0</v>
          </cell>
          <cell r="E2461">
            <v>1</v>
          </cell>
          <cell r="F2461">
            <v>0</v>
          </cell>
        </row>
        <row r="2462">
          <cell r="A2462" t="str">
            <v>TD1-0B1431P</v>
          </cell>
          <cell r="B2462" t="str">
            <v>PLATE</v>
          </cell>
          <cell r="C2462" t="str">
            <v>PC</v>
          </cell>
          <cell r="D2462">
            <v>0</v>
          </cell>
          <cell r="E2462">
            <v>209550</v>
          </cell>
          <cell r="F2462">
            <v>0</v>
          </cell>
        </row>
        <row r="2463">
          <cell r="A2463" t="str">
            <v>TD1-0B1431P-M</v>
          </cell>
          <cell r="B2463" t="str">
            <v>PLATE-Jasa Bending</v>
          </cell>
          <cell r="C2463" t="str">
            <v>PC</v>
          </cell>
          <cell r="D2463">
            <v>0</v>
          </cell>
          <cell r="E2463">
            <v>0</v>
          </cell>
          <cell r="F2463">
            <v>0</v>
          </cell>
        </row>
        <row r="2464">
          <cell r="A2464" t="str">
            <v>TD1-0B1433P</v>
          </cell>
          <cell r="B2464" t="str">
            <v>PLATE</v>
          </cell>
          <cell r="C2464" t="str">
            <v>PC</v>
          </cell>
          <cell r="D2464">
            <v>0</v>
          </cell>
          <cell r="E2464">
            <v>138000</v>
          </cell>
          <cell r="F2464">
            <v>0</v>
          </cell>
        </row>
        <row r="2465">
          <cell r="A2465" t="str">
            <v>TD1-0B1441P</v>
          </cell>
          <cell r="B2465" t="str">
            <v>PLATE</v>
          </cell>
          <cell r="C2465" t="str">
            <v>PC</v>
          </cell>
          <cell r="D2465">
            <v>0</v>
          </cell>
          <cell r="E2465">
            <v>209550</v>
          </cell>
          <cell r="F2465">
            <v>0</v>
          </cell>
        </row>
        <row r="2466">
          <cell r="A2466" t="str">
            <v>TD1-0B1441P-M</v>
          </cell>
          <cell r="B2466" t="str">
            <v>PLATE-Jasa Bending</v>
          </cell>
          <cell r="C2466" t="str">
            <v>PC</v>
          </cell>
          <cell r="D2466">
            <v>0</v>
          </cell>
          <cell r="E2466">
            <v>0</v>
          </cell>
          <cell r="F2466">
            <v>0</v>
          </cell>
        </row>
        <row r="2467">
          <cell r="A2467" t="str">
            <v>TD1-0B1451P</v>
          </cell>
          <cell r="B2467" t="str">
            <v>PLATE</v>
          </cell>
          <cell r="C2467" t="str">
            <v>PC</v>
          </cell>
          <cell r="D2467">
            <v>0</v>
          </cell>
          <cell r="E2467">
            <v>137500</v>
          </cell>
          <cell r="F2467">
            <v>0</v>
          </cell>
        </row>
        <row r="2468">
          <cell r="A2468" t="str">
            <v>TD1-0B1452P</v>
          </cell>
          <cell r="B2468" t="str">
            <v>PLATE</v>
          </cell>
          <cell r="C2468" t="str">
            <v>PC</v>
          </cell>
          <cell r="D2468">
            <v>0</v>
          </cell>
          <cell r="E2468">
            <v>4800</v>
          </cell>
          <cell r="F2468">
            <v>0</v>
          </cell>
        </row>
        <row r="2469">
          <cell r="A2469" t="str">
            <v>TD1-0B1461P</v>
          </cell>
          <cell r="B2469" t="str">
            <v>PLATE</v>
          </cell>
          <cell r="C2469" t="str">
            <v>PC</v>
          </cell>
          <cell r="D2469">
            <v>0</v>
          </cell>
          <cell r="E2469">
            <v>58700</v>
          </cell>
          <cell r="F2469">
            <v>0</v>
          </cell>
        </row>
        <row r="2470">
          <cell r="A2470" t="str">
            <v>TD1-0B1513P</v>
          </cell>
          <cell r="B2470" t="str">
            <v>PLATE</v>
          </cell>
          <cell r="C2470" t="str">
            <v>PC</v>
          </cell>
          <cell r="D2470">
            <v>0</v>
          </cell>
          <cell r="E2470">
            <v>14600</v>
          </cell>
          <cell r="F2470">
            <v>0</v>
          </cell>
        </row>
        <row r="2471">
          <cell r="A2471" t="str">
            <v>TD1-0B1523P</v>
          </cell>
          <cell r="B2471" t="str">
            <v>PLATE</v>
          </cell>
          <cell r="C2471" t="str">
            <v>PC</v>
          </cell>
          <cell r="D2471">
            <v>0</v>
          </cell>
          <cell r="E2471">
            <v>10700</v>
          </cell>
          <cell r="F2471">
            <v>0</v>
          </cell>
        </row>
        <row r="2472">
          <cell r="A2472" t="str">
            <v>TD1-0B1530P</v>
          </cell>
          <cell r="B2472" t="str">
            <v>PLATE-LH</v>
          </cell>
          <cell r="C2472" t="str">
            <v>PC</v>
          </cell>
          <cell r="D2472">
            <v>0</v>
          </cell>
          <cell r="E2472">
            <v>128750</v>
          </cell>
          <cell r="F2472">
            <v>0</v>
          </cell>
        </row>
        <row r="2473">
          <cell r="A2473" t="str">
            <v>TD1-0B1540P</v>
          </cell>
          <cell r="B2473" t="str">
            <v>PLATE-RH</v>
          </cell>
          <cell r="C2473" t="str">
            <v>PC</v>
          </cell>
          <cell r="D2473">
            <v>0</v>
          </cell>
          <cell r="E2473">
            <v>128750</v>
          </cell>
          <cell r="F2473">
            <v>0</v>
          </cell>
        </row>
        <row r="2474">
          <cell r="A2474" t="str">
            <v>TD1-0B1550P</v>
          </cell>
          <cell r="B2474" t="str">
            <v>PLATE</v>
          </cell>
          <cell r="C2474" t="str">
            <v>PC</v>
          </cell>
          <cell r="D2474">
            <v>0</v>
          </cell>
          <cell r="E2474">
            <v>127825</v>
          </cell>
          <cell r="F2474">
            <v>0</v>
          </cell>
        </row>
        <row r="2475">
          <cell r="A2475" t="str">
            <v>TD1-0B1560P</v>
          </cell>
          <cell r="B2475" t="str">
            <v>PLATE-LH</v>
          </cell>
          <cell r="C2475" t="str">
            <v>PC</v>
          </cell>
          <cell r="D2475">
            <v>0</v>
          </cell>
          <cell r="E2475">
            <v>124475</v>
          </cell>
          <cell r="F2475">
            <v>0</v>
          </cell>
        </row>
        <row r="2476">
          <cell r="A2476" t="str">
            <v>TD1-0B1570P</v>
          </cell>
          <cell r="B2476" t="str">
            <v>PLATE-RH</v>
          </cell>
          <cell r="C2476" t="str">
            <v>PC</v>
          </cell>
          <cell r="D2476">
            <v>0</v>
          </cell>
          <cell r="E2476">
            <v>124475</v>
          </cell>
          <cell r="F2476">
            <v>0</v>
          </cell>
        </row>
        <row r="2477">
          <cell r="A2477" t="str">
            <v>TD1-0B1700P</v>
          </cell>
          <cell r="B2477" t="str">
            <v>PLATE</v>
          </cell>
          <cell r="C2477" t="str">
            <v>PC</v>
          </cell>
          <cell r="D2477">
            <v>3</v>
          </cell>
          <cell r="E2477">
            <v>145700</v>
          </cell>
          <cell r="F2477">
            <v>437100</v>
          </cell>
        </row>
        <row r="2478">
          <cell r="A2478" t="str">
            <v>TD1-0B2411P</v>
          </cell>
          <cell r="B2478" t="str">
            <v>PLATE</v>
          </cell>
          <cell r="C2478" t="str">
            <v>PC</v>
          </cell>
          <cell r="D2478">
            <v>0</v>
          </cell>
          <cell r="E2478">
            <v>196000</v>
          </cell>
          <cell r="F2478">
            <v>0</v>
          </cell>
        </row>
        <row r="2479">
          <cell r="A2479" t="str">
            <v>TD1-0B2411P-M</v>
          </cell>
          <cell r="B2479" t="str">
            <v>PLATE-Jasa Bending</v>
          </cell>
          <cell r="C2479" t="str">
            <v>PC</v>
          </cell>
          <cell r="D2479">
            <v>0</v>
          </cell>
          <cell r="E2479">
            <v>0</v>
          </cell>
          <cell r="F2479">
            <v>0</v>
          </cell>
        </row>
        <row r="2480">
          <cell r="A2480" t="str">
            <v>TD1-0B2412P</v>
          </cell>
          <cell r="B2480" t="str">
            <v>PLATE</v>
          </cell>
          <cell r="C2480" t="str">
            <v>PC</v>
          </cell>
          <cell r="D2480">
            <v>0</v>
          </cell>
          <cell r="E2480">
            <v>166600</v>
          </cell>
          <cell r="F2480">
            <v>0</v>
          </cell>
        </row>
        <row r="2481">
          <cell r="A2481" t="str">
            <v>TD1-0B2421P</v>
          </cell>
          <cell r="B2481" t="str">
            <v>PLATE</v>
          </cell>
          <cell r="C2481" t="str">
            <v>PC</v>
          </cell>
          <cell r="D2481">
            <v>0</v>
          </cell>
          <cell r="E2481">
            <v>196000</v>
          </cell>
          <cell r="F2481">
            <v>0</v>
          </cell>
        </row>
        <row r="2482">
          <cell r="A2482" t="str">
            <v>TD1-0B2421P-M</v>
          </cell>
          <cell r="B2482" t="str">
            <v>PLATE-Jasa Bending</v>
          </cell>
          <cell r="C2482" t="str">
            <v>PC</v>
          </cell>
          <cell r="D2482">
            <v>0</v>
          </cell>
          <cell r="E2482">
            <v>0</v>
          </cell>
          <cell r="F2482">
            <v>0</v>
          </cell>
        </row>
        <row r="2483">
          <cell r="A2483" t="str">
            <v>TD1-0B2422P</v>
          </cell>
          <cell r="B2483" t="str">
            <v>PLATE</v>
          </cell>
          <cell r="C2483" t="str">
            <v>PC</v>
          </cell>
          <cell r="D2483">
            <v>0</v>
          </cell>
          <cell r="E2483">
            <v>166600</v>
          </cell>
          <cell r="F2483">
            <v>0</v>
          </cell>
        </row>
        <row r="2484">
          <cell r="A2484" t="str">
            <v>TD1-0B2500P</v>
          </cell>
          <cell r="B2484" t="str">
            <v>TAIL GATE DV10</v>
          </cell>
          <cell r="C2484" t="str">
            <v>PC</v>
          </cell>
          <cell r="D2484">
            <v>0</v>
          </cell>
          <cell r="E2484">
            <v>3136000</v>
          </cell>
          <cell r="F2484">
            <v>0</v>
          </cell>
        </row>
        <row r="2485">
          <cell r="A2485" t="str">
            <v>TD1-0B25B0P</v>
          </cell>
          <cell r="B2485" t="str">
            <v xml:space="preserve"> SEALANT</v>
          </cell>
          <cell r="C2485" t="str">
            <v>PC</v>
          </cell>
          <cell r="D2485">
            <v>5</v>
          </cell>
          <cell r="E2485">
            <v>185000</v>
          </cell>
          <cell r="F2485">
            <v>925000</v>
          </cell>
        </row>
        <row r="2486">
          <cell r="A2486" t="str">
            <v>TD1-0B2610P</v>
          </cell>
          <cell r="B2486" t="str">
            <v>PLATE</v>
          </cell>
          <cell r="C2486" t="str">
            <v>PC</v>
          </cell>
          <cell r="D2486">
            <v>0</v>
          </cell>
          <cell r="E2486">
            <v>127000</v>
          </cell>
          <cell r="F2486">
            <v>0</v>
          </cell>
        </row>
        <row r="2487">
          <cell r="A2487" t="str">
            <v>TD1-0B2620P</v>
          </cell>
          <cell r="B2487" t="str">
            <v>PLATE</v>
          </cell>
          <cell r="C2487" t="str">
            <v>PC</v>
          </cell>
          <cell r="D2487">
            <v>0</v>
          </cell>
          <cell r="E2487">
            <v>6100</v>
          </cell>
          <cell r="F2487">
            <v>0</v>
          </cell>
        </row>
        <row r="2488">
          <cell r="A2488" t="str">
            <v>TD1-0B3131P-M</v>
          </cell>
          <cell r="B2488" t="str">
            <v>PLATE-Jasa Bending</v>
          </cell>
          <cell r="C2488" t="str">
            <v>PC</v>
          </cell>
          <cell r="D2488">
            <v>0</v>
          </cell>
          <cell r="E2488">
            <v>0</v>
          </cell>
          <cell r="F2488">
            <v>0</v>
          </cell>
        </row>
        <row r="2489">
          <cell r="A2489" t="str">
            <v>TD1-0L2200P</v>
          </cell>
          <cell r="B2489" t="str">
            <v xml:space="preserve"> DOUBLER</v>
          </cell>
          <cell r="C2489" t="str">
            <v>PC</v>
          </cell>
          <cell r="D2489">
            <v>0</v>
          </cell>
          <cell r="E2489">
            <v>15000</v>
          </cell>
          <cell r="F2489">
            <v>0</v>
          </cell>
        </row>
        <row r="2490">
          <cell r="A2490" t="str">
            <v>TD1-0MG0000</v>
          </cell>
          <cell r="B2490" t="str">
            <v>MUDGUARD ASSY</v>
          </cell>
          <cell r="C2490" t="str">
            <v>PC</v>
          </cell>
          <cell r="D2490">
            <v>0</v>
          </cell>
          <cell r="E2490">
            <v>0</v>
          </cell>
          <cell r="F2490">
            <v>0</v>
          </cell>
        </row>
        <row r="2491">
          <cell r="A2491" t="str">
            <v>TD1-2B1100P</v>
          </cell>
          <cell r="B2491" t="str">
            <v>SIDEWALL RH</v>
          </cell>
          <cell r="C2491" t="str">
            <v>PCS</v>
          </cell>
          <cell r="D2491">
            <v>0</v>
          </cell>
          <cell r="E2491">
            <v>1</v>
          </cell>
          <cell r="F2491">
            <v>0</v>
          </cell>
        </row>
        <row r="2492">
          <cell r="A2492" t="str">
            <v>TD1-2B1200P</v>
          </cell>
          <cell r="B2492" t="str">
            <v>SIDEWALL LH</v>
          </cell>
          <cell r="C2492" t="str">
            <v>PCS</v>
          </cell>
          <cell r="D2492">
            <v>0</v>
          </cell>
          <cell r="E2492">
            <v>1</v>
          </cell>
          <cell r="F2492">
            <v>0</v>
          </cell>
        </row>
        <row r="2493">
          <cell r="A2493" t="str">
            <v>TD1-2B1300P(3)</v>
          </cell>
          <cell r="B2493" t="str">
            <v>FRONT WALL</v>
          </cell>
          <cell r="C2493" t="str">
            <v>PCS</v>
          </cell>
          <cell r="D2493">
            <v>0</v>
          </cell>
          <cell r="E2493">
            <v>1</v>
          </cell>
          <cell r="F2493">
            <v>0</v>
          </cell>
        </row>
        <row r="2494">
          <cell r="A2494" t="str">
            <v>TD1-2F9000P(3)</v>
          </cell>
          <cell r="B2494" t="str">
            <v>SUB FRAME</v>
          </cell>
          <cell r="C2494" t="str">
            <v>PCS</v>
          </cell>
          <cell r="D2494">
            <v>0</v>
          </cell>
          <cell r="E2494">
            <v>1</v>
          </cell>
          <cell r="F2494">
            <v>0</v>
          </cell>
        </row>
        <row r="2495">
          <cell r="A2495" t="str">
            <v>TD1-3H10000</v>
          </cell>
          <cell r="B2495" t="str">
            <v>OIL TANK</v>
          </cell>
          <cell r="C2495" t="str">
            <v>PC</v>
          </cell>
          <cell r="D2495">
            <v>0</v>
          </cell>
          <cell r="E2495">
            <v>760000</v>
          </cell>
          <cell r="F2495">
            <v>0</v>
          </cell>
        </row>
        <row r="2496">
          <cell r="A2496" t="str">
            <v>TD1-3M4A10P</v>
          </cell>
          <cell r="B2496" t="str">
            <v>U-BOLT 3/4X635MM</v>
          </cell>
          <cell r="C2496" t="str">
            <v>PC</v>
          </cell>
          <cell r="D2496">
            <v>72</v>
          </cell>
          <cell r="E2496">
            <v>25800</v>
          </cell>
          <cell r="F2496">
            <v>1857600</v>
          </cell>
        </row>
        <row r="2497">
          <cell r="A2497" t="str">
            <v>TD1-5B1000P(3)</v>
          </cell>
          <cell r="B2497" t="str">
            <v>BODY ASSY</v>
          </cell>
          <cell r="C2497" t="str">
            <v>PC</v>
          </cell>
          <cell r="D2497">
            <v>0</v>
          </cell>
          <cell r="E2497">
            <v>0</v>
          </cell>
          <cell r="F2497">
            <v>0</v>
          </cell>
        </row>
        <row r="2498">
          <cell r="A2498" t="str">
            <v>TD1-5B1300P(1)</v>
          </cell>
          <cell r="B2498" t="str">
            <v>FRONT WALL DV15</v>
          </cell>
          <cell r="C2498" t="str">
            <v>PC</v>
          </cell>
          <cell r="D2498">
            <v>0</v>
          </cell>
          <cell r="E2498">
            <v>2128000</v>
          </cell>
          <cell r="F2498">
            <v>0</v>
          </cell>
        </row>
        <row r="2499">
          <cell r="A2499" t="str">
            <v>TD1-5B1310P(1)</v>
          </cell>
          <cell r="B2499" t="str">
            <v>PLATE</v>
          </cell>
          <cell r="C2499" t="str">
            <v>PC</v>
          </cell>
          <cell r="D2499">
            <v>0</v>
          </cell>
          <cell r="E2499">
            <v>1</v>
          </cell>
          <cell r="F2499">
            <v>0</v>
          </cell>
        </row>
        <row r="2500">
          <cell r="A2500" t="str">
            <v>TD1-5B131CP(1)</v>
          </cell>
          <cell r="B2500" t="str">
            <v>PLATE</v>
          </cell>
          <cell r="C2500" t="str">
            <v>PC</v>
          </cell>
          <cell r="D2500">
            <v>0</v>
          </cell>
          <cell r="E2500">
            <v>1</v>
          </cell>
          <cell r="F2500">
            <v>0</v>
          </cell>
        </row>
        <row r="2501">
          <cell r="A2501" t="str">
            <v>TD1-5B1320P</v>
          </cell>
          <cell r="B2501" t="str">
            <v>PLATE</v>
          </cell>
          <cell r="C2501" t="str">
            <v>PC</v>
          </cell>
          <cell r="D2501">
            <v>0</v>
          </cell>
          <cell r="E2501">
            <v>342000</v>
          </cell>
          <cell r="F2501">
            <v>0</v>
          </cell>
        </row>
        <row r="2502">
          <cell r="A2502" t="str">
            <v>TD1-5B1320P(1)</v>
          </cell>
          <cell r="B2502" t="str">
            <v>PLATE</v>
          </cell>
          <cell r="C2502" t="str">
            <v>PC</v>
          </cell>
          <cell r="D2502">
            <v>0</v>
          </cell>
          <cell r="E2502">
            <v>1</v>
          </cell>
          <cell r="F2502">
            <v>0</v>
          </cell>
        </row>
        <row r="2503">
          <cell r="A2503" t="str">
            <v>TD1-5B1330P(1)</v>
          </cell>
          <cell r="B2503" t="str">
            <v>PLATE</v>
          </cell>
          <cell r="C2503" t="str">
            <v>PC</v>
          </cell>
          <cell r="D2503">
            <v>0</v>
          </cell>
          <cell r="E2503">
            <v>1</v>
          </cell>
          <cell r="F2503">
            <v>0</v>
          </cell>
        </row>
        <row r="2504">
          <cell r="A2504" t="str">
            <v>TD1-5B1340P(1)</v>
          </cell>
          <cell r="B2504" t="str">
            <v>PLATE</v>
          </cell>
          <cell r="C2504" t="str">
            <v>PC</v>
          </cell>
          <cell r="D2504">
            <v>0</v>
          </cell>
          <cell r="E2504">
            <v>1</v>
          </cell>
          <cell r="F2504">
            <v>0</v>
          </cell>
        </row>
        <row r="2505">
          <cell r="A2505" t="str">
            <v>TD1-5B1370P</v>
          </cell>
          <cell r="B2505" t="str">
            <v>PLATE</v>
          </cell>
          <cell r="C2505" t="str">
            <v>PC</v>
          </cell>
          <cell r="D2505">
            <v>0</v>
          </cell>
          <cell r="E2505">
            <v>12600</v>
          </cell>
          <cell r="F2505">
            <v>0</v>
          </cell>
        </row>
        <row r="2506">
          <cell r="A2506" t="str">
            <v>TD1-5B1480P</v>
          </cell>
          <cell r="B2506" t="str">
            <v>PLATE</v>
          </cell>
          <cell r="C2506" t="str">
            <v>PC</v>
          </cell>
          <cell r="D2506">
            <v>0</v>
          </cell>
          <cell r="E2506">
            <v>0</v>
          </cell>
          <cell r="F2506">
            <v>0</v>
          </cell>
        </row>
        <row r="2507">
          <cell r="A2507" t="str">
            <v>TD1-5B3100P</v>
          </cell>
          <cell r="B2507" t="str">
            <v>SIDE WALL LH</v>
          </cell>
          <cell r="C2507" t="str">
            <v>PC</v>
          </cell>
          <cell r="D2507">
            <v>5</v>
          </cell>
          <cell r="E2507">
            <v>4018308</v>
          </cell>
          <cell r="F2507">
            <v>20091538</v>
          </cell>
        </row>
        <row r="2508">
          <cell r="A2508" t="str">
            <v>TD1-5B3200P</v>
          </cell>
          <cell r="B2508" t="str">
            <v>SIDE WALL RH</v>
          </cell>
          <cell r="C2508" t="str">
            <v>PC</v>
          </cell>
          <cell r="D2508">
            <v>5</v>
          </cell>
          <cell r="E2508">
            <v>4018308</v>
          </cell>
          <cell r="F2508">
            <v>20091538</v>
          </cell>
        </row>
        <row r="2509">
          <cell r="A2509" t="str">
            <v>TD1-5B3300P</v>
          </cell>
          <cell r="B2509" t="str">
            <v>FRONT WALL DV15LDN</v>
          </cell>
          <cell r="C2509" t="str">
            <v>PC</v>
          </cell>
          <cell r="D2509">
            <v>0</v>
          </cell>
          <cell r="E2509">
            <v>1855000</v>
          </cell>
          <cell r="F2509">
            <v>0</v>
          </cell>
        </row>
        <row r="2510">
          <cell r="A2510" t="str">
            <v>TD1-5B3431P</v>
          </cell>
          <cell r="B2510" t="str">
            <v>PLATE</v>
          </cell>
          <cell r="C2510" t="str">
            <v>PC</v>
          </cell>
          <cell r="D2510">
            <v>0</v>
          </cell>
          <cell r="E2510">
            <v>193890</v>
          </cell>
          <cell r="F2510">
            <v>0</v>
          </cell>
        </row>
        <row r="2511">
          <cell r="A2511" t="str">
            <v>TD1-5B3431P-M</v>
          </cell>
          <cell r="B2511" t="str">
            <v>PLATE-Jasa Bending</v>
          </cell>
          <cell r="C2511" t="str">
            <v>PC</v>
          </cell>
          <cell r="D2511">
            <v>0</v>
          </cell>
          <cell r="E2511">
            <v>0</v>
          </cell>
          <cell r="F2511">
            <v>0</v>
          </cell>
        </row>
        <row r="2512">
          <cell r="A2512" t="str">
            <v>TD1-5B3432P</v>
          </cell>
          <cell r="B2512" t="str">
            <v>PLATE</v>
          </cell>
          <cell r="C2512" t="str">
            <v>PC</v>
          </cell>
          <cell r="D2512">
            <v>0</v>
          </cell>
          <cell r="E2512">
            <v>266525</v>
          </cell>
          <cell r="F2512">
            <v>0</v>
          </cell>
        </row>
        <row r="2513">
          <cell r="A2513" t="str">
            <v>TD1-5B3432P-M</v>
          </cell>
          <cell r="B2513" t="str">
            <v>PLATE-Jasa Bending</v>
          </cell>
          <cell r="C2513" t="str">
            <v>PC</v>
          </cell>
          <cell r="D2513">
            <v>0</v>
          </cell>
          <cell r="E2513">
            <v>0</v>
          </cell>
          <cell r="F2513">
            <v>0</v>
          </cell>
        </row>
        <row r="2514">
          <cell r="A2514" t="str">
            <v>TD1-5B3433P</v>
          </cell>
          <cell r="B2514" t="str">
            <v>PLATE</v>
          </cell>
          <cell r="C2514" t="str">
            <v>PC</v>
          </cell>
          <cell r="D2514">
            <v>0</v>
          </cell>
          <cell r="E2514">
            <v>118860</v>
          </cell>
          <cell r="F2514">
            <v>0</v>
          </cell>
        </row>
        <row r="2515">
          <cell r="A2515" t="str">
            <v>TD1-5B3434P</v>
          </cell>
          <cell r="B2515" t="str">
            <v>PLATE</v>
          </cell>
          <cell r="C2515" t="str">
            <v>PC</v>
          </cell>
          <cell r="D2515">
            <v>0</v>
          </cell>
          <cell r="E2515">
            <v>265500</v>
          </cell>
          <cell r="F2515">
            <v>0</v>
          </cell>
        </row>
        <row r="2516">
          <cell r="A2516" t="str">
            <v>TD1-5B3441P</v>
          </cell>
          <cell r="B2516" t="str">
            <v>PLATE</v>
          </cell>
          <cell r="C2516" t="str">
            <v>PC</v>
          </cell>
          <cell r="D2516">
            <v>0</v>
          </cell>
          <cell r="E2516">
            <v>195426</v>
          </cell>
          <cell r="F2516">
            <v>0</v>
          </cell>
        </row>
        <row r="2517">
          <cell r="A2517" t="str">
            <v>TD1-5B3441P-M</v>
          </cell>
          <cell r="B2517" t="str">
            <v>PLATE-Jasa Bending</v>
          </cell>
          <cell r="C2517" t="str">
            <v>PC</v>
          </cell>
          <cell r="D2517">
            <v>0</v>
          </cell>
          <cell r="E2517">
            <v>0</v>
          </cell>
          <cell r="F2517">
            <v>0</v>
          </cell>
        </row>
        <row r="2518">
          <cell r="A2518" t="str">
            <v>TD1-5B3442P</v>
          </cell>
          <cell r="B2518" t="str">
            <v>PLATE</v>
          </cell>
          <cell r="C2518" t="str">
            <v>PC</v>
          </cell>
          <cell r="D2518">
            <v>0</v>
          </cell>
          <cell r="E2518">
            <v>266910</v>
          </cell>
          <cell r="F2518">
            <v>0</v>
          </cell>
        </row>
        <row r="2519">
          <cell r="A2519" t="str">
            <v>TD1-5B3442P-M</v>
          </cell>
          <cell r="B2519" t="str">
            <v>PLATE-Jasa Bending</v>
          </cell>
          <cell r="C2519" t="str">
            <v>PC</v>
          </cell>
          <cell r="D2519">
            <v>0</v>
          </cell>
          <cell r="E2519">
            <v>0</v>
          </cell>
          <cell r="F2519">
            <v>0</v>
          </cell>
        </row>
        <row r="2520">
          <cell r="A2520" t="str">
            <v>TD1-5B3443P</v>
          </cell>
          <cell r="B2520" t="str">
            <v>PLATE</v>
          </cell>
          <cell r="C2520" t="str">
            <v>PC</v>
          </cell>
          <cell r="D2520">
            <v>0</v>
          </cell>
          <cell r="E2520">
            <v>265500</v>
          </cell>
          <cell r="F2520">
            <v>0</v>
          </cell>
        </row>
        <row r="2521">
          <cell r="A2521" t="str">
            <v>TD1-5B3451P</v>
          </cell>
          <cell r="B2521" t="str">
            <v>PLATE</v>
          </cell>
          <cell r="C2521" t="str">
            <v>PC</v>
          </cell>
          <cell r="D2521">
            <v>0</v>
          </cell>
          <cell r="E2521">
            <v>145175</v>
          </cell>
          <cell r="F2521">
            <v>0</v>
          </cell>
        </row>
        <row r="2522">
          <cell r="A2522" t="str">
            <v>TD1-5B3452P</v>
          </cell>
          <cell r="B2522" t="str">
            <v>PLATE</v>
          </cell>
          <cell r="C2522" t="str">
            <v>PC</v>
          </cell>
          <cell r="D2522">
            <v>0</v>
          </cell>
          <cell r="E2522">
            <v>5425</v>
          </cell>
          <cell r="F2522">
            <v>0</v>
          </cell>
        </row>
        <row r="2523">
          <cell r="A2523" t="str">
            <v>TD1-5B3461P</v>
          </cell>
          <cell r="B2523" t="str">
            <v>PLATE</v>
          </cell>
          <cell r="C2523" t="str">
            <v>PC</v>
          </cell>
          <cell r="D2523">
            <v>0</v>
          </cell>
          <cell r="E2523">
            <v>54335</v>
          </cell>
          <cell r="F2523">
            <v>0</v>
          </cell>
        </row>
        <row r="2524">
          <cell r="A2524" t="str">
            <v>TD1-5B3462P</v>
          </cell>
          <cell r="B2524" t="str">
            <v>PLATE</v>
          </cell>
          <cell r="C2524" t="str">
            <v>PC</v>
          </cell>
          <cell r="D2524">
            <v>0</v>
          </cell>
          <cell r="E2524">
            <v>0</v>
          </cell>
          <cell r="F2524">
            <v>0</v>
          </cell>
        </row>
        <row r="2525">
          <cell r="A2525" t="str">
            <v>TD1-5B3470P</v>
          </cell>
          <cell r="B2525" t="str">
            <v>PLATE</v>
          </cell>
          <cell r="C2525" t="str">
            <v>PC</v>
          </cell>
          <cell r="D2525">
            <v>0</v>
          </cell>
          <cell r="E2525">
            <v>46025</v>
          </cell>
          <cell r="F2525">
            <v>0</v>
          </cell>
        </row>
        <row r="2526">
          <cell r="A2526" t="str">
            <v>TD1-5B3481P</v>
          </cell>
          <cell r="B2526" t="str">
            <v>PLATE</v>
          </cell>
          <cell r="C2526" t="str">
            <v>PC</v>
          </cell>
          <cell r="D2526">
            <v>0</v>
          </cell>
          <cell r="E2526">
            <v>43697</v>
          </cell>
          <cell r="F2526">
            <v>0</v>
          </cell>
        </row>
        <row r="2527">
          <cell r="A2527" t="str">
            <v>TD1-5B3482P</v>
          </cell>
          <cell r="B2527" t="str">
            <v>PLATE</v>
          </cell>
          <cell r="C2527" t="str">
            <v>PC</v>
          </cell>
          <cell r="D2527">
            <v>0</v>
          </cell>
          <cell r="E2527">
            <v>5100</v>
          </cell>
          <cell r="F2527">
            <v>0</v>
          </cell>
        </row>
        <row r="2528">
          <cell r="A2528" t="str">
            <v>TD1-5B3491P</v>
          </cell>
          <cell r="B2528" t="str">
            <v>PLATE</v>
          </cell>
          <cell r="C2528" t="str">
            <v>PC</v>
          </cell>
          <cell r="D2528">
            <v>0</v>
          </cell>
          <cell r="E2528">
            <v>6400</v>
          </cell>
          <cell r="F2528">
            <v>0</v>
          </cell>
        </row>
        <row r="2529">
          <cell r="A2529" t="str">
            <v>TD1-5B34A1P</v>
          </cell>
          <cell r="B2529" t="str">
            <v>PLATE</v>
          </cell>
          <cell r="C2529" t="str">
            <v>PC</v>
          </cell>
          <cell r="D2529">
            <v>0</v>
          </cell>
          <cell r="E2529">
            <v>292494</v>
          </cell>
          <cell r="F2529">
            <v>0</v>
          </cell>
        </row>
        <row r="2530">
          <cell r="A2530" t="str">
            <v>TD1-5B34A2P</v>
          </cell>
          <cell r="B2530" t="str">
            <v>PLATE</v>
          </cell>
          <cell r="C2530" t="str">
            <v>PC</v>
          </cell>
          <cell r="D2530">
            <v>0</v>
          </cell>
          <cell r="E2530">
            <v>273345</v>
          </cell>
          <cell r="F2530">
            <v>0</v>
          </cell>
        </row>
        <row r="2531">
          <cell r="A2531" t="str">
            <v>TD1-5B34A3P</v>
          </cell>
          <cell r="B2531" t="str">
            <v>PLATE</v>
          </cell>
          <cell r="C2531" t="str">
            <v>PC</v>
          </cell>
          <cell r="D2531">
            <v>0</v>
          </cell>
          <cell r="E2531">
            <v>12135</v>
          </cell>
          <cell r="F2531">
            <v>0</v>
          </cell>
        </row>
        <row r="2532">
          <cell r="A2532" t="str">
            <v>TD1-5B34B1P</v>
          </cell>
          <cell r="B2532" t="str">
            <v>PLATE</v>
          </cell>
          <cell r="C2532" t="str">
            <v>PC</v>
          </cell>
          <cell r="D2532">
            <v>0</v>
          </cell>
          <cell r="E2532">
            <v>31580</v>
          </cell>
          <cell r="F2532">
            <v>0</v>
          </cell>
        </row>
        <row r="2533">
          <cell r="A2533" t="str">
            <v>TD1-5B34B2P</v>
          </cell>
          <cell r="B2533" t="str">
            <v>PLATE</v>
          </cell>
          <cell r="C2533" t="str">
            <v>PC</v>
          </cell>
          <cell r="D2533">
            <v>0</v>
          </cell>
          <cell r="E2533">
            <v>3100</v>
          </cell>
          <cell r="F2533">
            <v>0</v>
          </cell>
        </row>
        <row r="2534">
          <cell r="A2534" t="str">
            <v>TD1-5B3500P</v>
          </cell>
          <cell r="B2534" t="str">
            <v>PLATE-LH</v>
          </cell>
          <cell r="C2534" t="str">
            <v>PC</v>
          </cell>
          <cell r="D2534">
            <v>0</v>
          </cell>
          <cell r="E2534">
            <v>118465</v>
          </cell>
          <cell r="F2534">
            <v>0</v>
          </cell>
        </row>
        <row r="2535">
          <cell r="A2535" t="str">
            <v>TD1-5B3600P</v>
          </cell>
          <cell r="B2535" t="str">
            <v>PLATE-RH</v>
          </cell>
          <cell r="C2535" t="str">
            <v>PC</v>
          </cell>
          <cell r="D2535">
            <v>0</v>
          </cell>
          <cell r="E2535">
            <v>118465</v>
          </cell>
          <cell r="F2535">
            <v>0</v>
          </cell>
        </row>
        <row r="2536">
          <cell r="A2536" t="str">
            <v>TD1-5B3700P</v>
          </cell>
          <cell r="B2536" t="str">
            <v>PLATE</v>
          </cell>
          <cell r="C2536" t="str">
            <v>PC</v>
          </cell>
          <cell r="D2536">
            <v>0</v>
          </cell>
          <cell r="E2536">
            <v>128300</v>
          </cell>
          <cell r="F2536">
            <v>0</v>
          </cell>
        </row>
        <row r="2537">
          <cell r="A2537" t="str">
            <v>TD1-5B3800P</v>
          </cell>
          <cell r="B2537" t="str">
            <v>BACK COVER</v>
          </cell>
          <cell r="C2537" t="str">
            <v>PC</v>
          </cell>
          <cell r="D2537">
            <v>0</v>
          </cell>
          <cell r="E2537">
            <v>134473</v>
          </cell>
          <cell r="F2537">
            <v>0</v>
          </cell>
        </row>
        <row r="2538">
          <cell r="A2538" t="str">
            <v>TD1-5B3900P</v>
          </cell>
          <cell r="B2538" t="str">
            <v>PLATE</v>
          </cell>
          <cell r="C2538" t="str">
            <v>PC</v>
          </cell>
          <cell r="D2538">
            <v>0</v>
          </cell>
          <cell r="E2538">
            <v>122300</v>
          </cell>
          <cell r="F2538">
            <v>0</v>
          </cell>
        </row>
        <row r="2539">
          <cell r="A2539" t="str">
            <v>TD1-5B3A00P</v>
          </cell>
          <cell r="B2539" t="str">
            <v>PLATE-RH</v>
          </cell>
          <cell r="C2539" t="str">
            <v>PC</v>
          </cell>
          <cell r="D2539">
            <v>0</v>
          </cell>
          <cell r="E2539">
            <v>122300</v>
          </cell>
          <cell r="F2539">
            <v>0</v>
          </cell>
        </row>
        <row r="2540">
          <cell r="A2540" t="str">
            <v>TD1-5B3B00P</v>
          </cell>
          <cell r="B2540" t="str">
            <v>PLATE</v>
          </cell>
          <cell r="C2540" t="str">
            <v>PC</v>
          </cell>
          <cell r="D2540">
            <v>0</v>
          </cell>
          <cell r="E2540">
            <v>5600</v>
          </cell>
          <cell r="F2540">
            <v>0</v>
          </cell>
        </row>
        <row r="2541">
          <cell r="A2541" t="str">
            <v>TD1-5B3C00P</v>
          </cell>
          <cell r="B2541" t="str">
            <v>PLATE</v>
          </cell>
          <cell r="C2541" t="str">
            <v>PC</v>
          </cell>
          <cell r="D2541">
            <v>0</v>
          </cell>
          <cell r="E2541">
            <v>122200</v>
          </cell>
          <cell r="F2541">
            <v>0</v>
          </cell>
        </row>
        <row r="2542">
          <cell r="A2542" t="str">
            <v>TD1-5B3D00P</v>
          </cell>
          <cell r="B2542" t="str">
            <v>PLATE-RH</v>
          </cell>
          <cell r="C2542" t="str">
            <v>PC</v>
          </cell>
          <cell r="D2542">
            <v>0</v>
          </cell>
          <cell r="E2542">
            <v>122300</v>
          </cell>
          <cell r="F2542">
            <v>0</v>
          </cell>
        </row>
        <row r="2543">
          <cell r="A2543" t="str">
            <v>TD1-5F9000P</v>
          </cell>
          <cell r="B2543" t="str">
            <v xml:space="preserve"> SUBFRAME DV15CXZ-PRF</v>
          </cell>
          <cell r="C2543" t="str">
            <v>PC</v>
          </cell>
          <cell r="D2543">
            <v>0</v>
          </cell>
          <cell r="E2543">
            <v>4210000</v>
          </cell>
          <cell r="F2543">
            <v>0</v>
          </cell>
        </row>
        <row r="2544">
          <cell r="A2544" t="str">
            <v>TD1-5F9000P(3)</v>
          </cell>
          <cell r="B2544" t="str">
            <v>SUB FRAME</v>
          </cell>
          <cell r="C2544" t="str">
            <v>PC</v>
          </cell>
          <cell r="D2544">
            <v>0</v>
          </cell>
          <cell r="E2544">
            <v>4430000</v>
          </cell>
          <cell r="F2544">
            <v>0</v>
          </cell>
        </row>
        <row r="2545">
          <cell r="A2545" t="str">
            <v>TD1-5F9000P4</v>
          </cell>
          <cell r="B2545" t="str">
            <v>SUB FRAME</v>
          </cell>
          <cell r="C2545" t="str">
            <v>PC</v>
          </cell>
          <cell r="D2545">
            <v>22</v>
          </cell>
          <cell r="E2545">
            <v>3810525</v>
          </cell>
          <cell r="F2545">
            <v>83831543</v>
          </cell>
        </row>
        <row r="2546">
          <cell r="A2546" t="str">
            <v>TD1-5F9000X</v>
          </cell>
          <cell r="B2546" t="str">
            <v>SUBFRAME NISSAN KDN</v>
          </cell>
          <cell r="C2546" t="str">
            <v>PC</v>
          </cell>
          <cell r="D2546">
            <v>0</v>
          </cell>
          <cell r="E2546">
            <v>0</v>
          </cell>
          <cell r="F2546">
            <v>0</v>
          </cell>
        </row>
        <row r="2547">
          <cell r="A2547" t="str">
            <v>TD1-5F98003</v>
          </cell>
          <cell r="B2547" t="str">
            <v>KAMPER 50X70X935</v>
          </cell>
          <cell r="C2547" t="str">
            <v>PC</v>
          </cell>
          <cell r="D2547">
            <v>0</v>
          </cell>
          <cell r="E2547">
            <v>18000</v>
          </cell>
          <cell r="F2547">
            <v>0</v>
          </cell>
        </row>
        <row r="2548">
          <cell r="A2548" t="str">
            <v>TD1-5F9800P(2)</v>
          </cell>
          <cell r="B2548" t="str">
            <v>KPR 50X70X935</v>
          </cell>
          <cell r="C2548" t="str">
            <v>PCS</v>
          </cell>
          <cell r="D2548">
            <v>0</v>
          </cell>
          <cell r="E2548">
            <v>1</v>
          </cell>
          <cell r="F2548">
            <v>0</v>
          </cell>
        </row>
        <row r="2549">
          <cell r="A2549" t="str">
            <v>TD1-5F9800P(3)</v>
          </cell>
          <cell r="B2549" t="str">
            <v>WOOD SPACER</v>
          </cell>
          <cell r="C2549" t="str">
            <v>PC</v>
          </cell>
          <cell r="D2549">
            <v>0</v>
          </cell>
          <cell r="E2549">
            <v>0</v>
          </cell>
          <cell r="F2549">
            <v>0</v>
          </cell>
        </row>
        <row r="2550">
          <cell r="A2550" t="str">
            <v>TD1-5F9D002</v>
          </cell>
          <cell r="B2550" t="str">
            <v>WOOD SPACER 50X70X3700</v>
          </cell>
          <cell r="C2550" t="str">
            <v>PC</v>
          </cell>
          <cell r="D2550">
            <v>0</v>
          </cell>
          <cell r="E2550">
            <v>72000</v>
          </cell>
          <cell r="F2550">
            <v>0</v>
          </cell>
        </row>
        <row r="2551">
          <cell r="A2551" t="str">
            <v>TD1-5F9D00P</v>
          </cell>
          <cell r="B2551" t="str">
            <v>KAMPER 50X70X3700</v>
          </cell>
          <cell r="C2551" t="str">
            <v>PC</v>
          </cell>
          <cell r="D2551">
            <v>0</v>
          </cell>
          <cell r="E2551">
            <v>72000</v>
          </cell>
          <cell r="F2551">
            <v>0</v>
          </cell>
        </row>
        <row r="2552">
          <cell r="A2552" t="str">
            <v>TD1-5F9D00P(2)</v>
          </cell>
          <cell r="B2552" t="str">
            <v>WOOD SPACER</v>
          </cell>
          <cell r="C2552" t="str">
            <v>PC</v>
          </cell>
          <cell r="D2552">
            <v>0</v>
          </cell>
          <cell r="E2552">
            <v>0</v>
          </cell>
          <cell r="F2552">
            <v>0</v>
          </cell>
        </row>
        <row r="2553">
          <cell r="A2553" t="str">
            <v>TD1-5F9D00P(3)</v>
          </cell>
          <cell r="B2553" t="str">
            <v>KPR 50X70X3700</v>
          </cell>
          <cell r="C2553" t="str">
            <v>PCS</v>
          </cell>
          <cell r="D2553">
            <v>0</v>
          </cell>
          <cell r="E2553">
            <v>1</v>
          </cell>
          <cell r="F2553">
            <v>0</v>
          </cell>
        </row>
        <row r="2554">
          <cell r="A2554" t="str">
            <v>TD1-5F9E00P</v>
          </cell>
          <cell r="B2554" t="str">
            <v>KAMPER 50X70X850</v>
          </cell>
          <cell r="C2554" t="str">
            <v>PC</v>
          </cell>
          <cell r="D2554">
            <v>8</v>
          </cell>
          <cell r="E2554">
            <v>10800</v>
          </cell>
          <cell r="F2554">
            <v>86400</v>
          </cell>
        </row>
        <row r="2555">
          <cell r="A2555" t="str">
            <v>TD1-5F9M00P4</v>
          </cell>
          <cell r="B2555" t="str">
            <v>WOOD SPACER 70X70X3700</v>
          </cell>
          <cell r="C2555" t="str">
            <v>PC</v>
          </cell>
          <cell r="D2555">
            <v>49</v>
          </cell>
          <cell r="E2555">
            <v>95000</v>
          </cell>
          <cell r="F2555">
            <v>4655000</v>
          </cell>
        </row>
        <row r="2556">
          <cell r="A2556" t="str">
            <v>TD1-5FG000P</v>
          </cell>
          <cell r="B2556" t="str">
            <v>KAMPER 50X70X475</v>
          </cell>
          <cell r="C2556" t="str">
            <v>PC</v>
          </cell>
          <cell r="D2556">
            <v>5</v>
          </cell>
          <cell r="E2556">
            <v>6000</v>
          </cell>
          <cell r="F2556">
            <v>30000</v>
          </cell>
        </row>
        <row r="2557">
          <cell r="A2557" t="str">
            <v>TD1-5G00003</v>
          </cell>
          <cell r="B2557" t="str">
            <v>HINGE BRACKET</v>
          </cell>
          <cell r="C2557" t="str">
            <v>PC</v>
          </cell>
          <cell r="D2557">
            <v>0</v>
          </cell>
          <cell r="E2557">
            <v>0</v>
          </cell>
          <cell r="F2557">
            <v>0</v>
          </cell>
        </row>
        <row r="2558">
          <cell r="A2558" t="str">
            <v>TD1-5G0000P(3)</v>
          </cell>
          <cell r="B2558" t="str">
            <v>HINGE BRACKET</v>
          </cell>
          <cell r="C2558" t="str">
            <v>PC</v>
          </cell>
          <cell r="D2558">
            <v>0</v>
          </cell>
          <cell r="E2558">
            <v>0</v>
          </cell>
          <cell r="F2558">
            <v>0</v>
          </cell>
        </row>
        <row r="2559">
          <cell r="A2559" t="str">
            <v>TD1-5G1000P(3)</v>
          </cell>
          <cell r="B2559" t="str">
            <v>BRACKET LH</v>
          </cell>
          <cell r="C2559" t="str">
            <v>PC</v>
          </cell>
          <cell r="D2559">
            <v>28</v>
          </cell>
          <cell r="E2559">
            <v>115000</v>
          </cell>
          <cell r="F2559">
            <v>3220000</v>
          </cell>
        </row>
        <row r="2560">
          <cell r="A2560" t="str">
            <v>TD1-5G2000P(3)</v>
          </cell>
          <cell r="B2560" t="str">
            <v>BRACKET-RH</v>
          </cell>
          <cell r="C2560" t="str">
            <v>PC</v>
          </cell>
          <cell r="D2560">
            <v>48</v>
          </cell>
          <cell r="E2560">
            <v>115000</v>
          </cell>
          <cell r="F2560">
            <v>5520000</v>
          </cell>
        </row>
        <row r="2561">
          <cell r="A2561" t="str">
            <v>TD1-5G3000P(3)</v>
          </cell>
          <cell r="B2561" t="str">
            <v>PIN</v>
          </cell>
          <cell r="C2561" t="str">
            <v>PC</v>
          </cell>
          <cell r="D2561">
            <v>60</v>
          </cell>
          <cell r="E2561">
            <v>45300</v>
          </cell>
          <cell r="F2561">
            <v>2718000</v>
          </cell>
        </row>
        <row r="2562">
          <cell r="A2562" t="str">
            <v>TD1-5L3100P</v>
          </cell>
          <cell r="B2562" t="str">
            <v xml:space="preserve"> FRONT PLATE LH</v>
          </cell>
          <cell r="C2562" t="str">
            <v>PC</v>
          </cell>
          <cell r="D2562">
            <v>0</v>
          </cell>
          <cell r="E2562">
            <v>31500</v>
          </cell>
          <cell r="F2562">
            <v>0</v>
          </cell>
        </row>
        <row r="2563">
          <cell r="A2563" t="str">
            <v>TD1-5L3200P</v>
          </cell>
          <cell r="B2563" t="str">
            <v xml:space="preserve"> FRONT PLATE RH</v>
          </cell>
          <cell r="C2563" t="str">
            <v>PC</v>
          </cell>
          <cell r="D2563">
            <v>0</v>
          </cell>
          <cell r="E2563">
            <v>31500</v>
          </cell>
          <cell r="F2563">
            <v>0</v>
          </cell>
        </row>
        <row r="2564">
          <cell r="A2564" t="str">
            <v>TD1-5L3300P</v>
          </cell>
          <cell r="B2564" t="str">
            <v xml:space="preserve"> REAR PLATE RH</v>
          </cell>
          <cell r="C2564" t="str">
            <v>PC</v>
          </cell>
          <cell r="D2564">
            <v>0</v>
          </cell>
          <cell r="E2564">
            <v>30000</v>
          </cell>
          <cell r="F2564">
            <v>0</v>
          </cell>
        </row>
        <row r="2565">
          <cell r="A2565" t="str">
            <v>TD1-5L3400P</v>
          </cell>
          <cell r="B2565" t="str">
            <v xml:space="preserve"> REAR PLATE RH</v>
          </cell>
          <cell r="C2565" t="str">
            <v>PC</v>
          </cell>
          <cell r="D2565">
            <v>0</v>
          </cell>
          <cell r="E2565">
            <v>30000</v>
          </cell>
          <cell r="F2565">
            <v>0</v>
          </cell>
        </row>
        <row r="2566">
          <cell r="A2566" t="str">
            <v>TD1-5L3500P</v>
          </cell>
          <cell r="B2566" t="str">
            <v xml:space="preserve"> PLATE</v>
          </cell>
          <cell r="C2566" t="str">
            <v>PC</v>
          </cell>
          <cell r="D2566">
            <v>0</v>
          </cell>
          <cell r="E2566">
            <v>3000</v>
          </cell>
          <cell r="F2566">
            <v>0</v>
          </cell>
        </row>
        <row r="2567">
          <cell r="A2567" t="str">
            <v>TD1-5MG000P(3)</v>
          </cell>
          <cell r="B2567" t="str">
            <v>MUD GUARD ASSY</v>
          </cell>
          <cell r="C2567" t="str">
            <v>PC</v>
          </cell>
          <cell r="D2567">
            <v>0</v>
          </cell>
          <cell r="E2567">
            <v>0</v>
          </cell>
          <cell r="F2567">
            <v>0</v>
          </cell>
        </row>
        <row r="2568">
          <cell r="A2568" t="str">
            <v>TD1-5PL000P</v>
          </cell>
          <cell r="B2568" t="str">
            <v xml:space="preserve"> BALANCING PROP.SHAFT</v>
          </cell>
          <cell r="C2568" t="str">
            <v>PC</v>
          </cell>
          <cell r="D2568">
            <v>0</v>
          </cell>
          <cell r="E2568">
            <v>127700</v>
          </cell>
          <cell r="F2568">
            <v>0</v>
          </cell>
        </row>
        <row r="2569">
          <cell r="A2569" t="str">
            <v>TD1-7F1000-1</v>
          </cell>
          <cell r="B2569" t="str">
            <v>KAMPER 60X80X1950</v>
          </cell>
          <cell r="C2569" t="str">
            <v>PC</v>
          </cell>
          <cell r="D2569">
            <v>10</v>
          </cell>
          <cell r="E2569">
            <v>42000</v>
          </cell>
          <cell r="F2569">
            <v>420000</v>
          </cell>
        </row>
        <row r="2570">
          <cell r="A2570" t="str">
            <v>TD1-B121100</v>
          </cell>
          <cell r="B2570" t="str">
            <v>PLATE</v>
          </cell>
          <cell r="C2570" t="str">
            <v>PC</v>
          </cell>
          <cell r="D2570">
            <v>0</v>
          </cell>
          <cell r="E2570">
            <v>769000</v>
          </cell>
          <cell r="F2570">
            <v>0</v>
          </cell>
        </row>
        <row r="2571">
          <cell r="A2571" t="str">
            <v>TD1-B121200</v>
          </cell>
          <cell r="B2571" t="str">
            <v>PLATE</v>
          </cell>
          <cell r="C2571" t="str">
            <v>PC</v>
          </cell>
          <cell r="D2571">
            <v>0</v>
          </cell>
          <cell r="E2571">
            <v>767000</v>
          </cell>
          <cell r="F2571">
            <v>0</v>
          </cell>
        </row>
        <row r="2572">
          <cell r="A2572" t="str">
            <v>TD1-B121300</v>
          </cell>
          <cell r="B2572" t="str">
            <v>PLATE</v>
          </cell>
          <cell r="C2572" t="str">
            <v>PC</v>
          </cell>
          <cell r="D2572">
            <v>0</v>
          </cell>
          <cell r="E2572">
            <v>777000</v>
          </cell>
          <cell r="F2572">
            <v>0</v>
          </cell>
        </row>
        <row r="2573">
          <cell r="A2573" t="str">
            <v>TD1-B122000</v>
          </cell>
          <cell r="B2573" t="str">
            <v>PLATE</v>
          </cell>
          <cell r="C2573" t="str">
            <v>PC</v>
          </cell>
          <cell r="D2573">
            <v>0</v>
          </cell>
          <cell r="E2573">
            <v>49550</v>
          </cell>
          <cell r="F2573">
            <v>0</v>
          </cell>
        </row>
        <row r="2574">
          <cell r="A2574" t="str">
            <v>TD1-B123000</v>
          </cell>
          <cell r="B2574" t="str">
            <v>PLATE</v>
          </cell>
          <cell r="C2574" t="str">
            <v>PC</v>
          </cell>
          <cell r="D2574">
            <v>0</v>
          </cell>
          <cell r="E2574">
            <v>135150</v>
          </cell>
          <cell r="F2574">
            <v>0</v>
          </cell>
        </row>
        <row r="2575">
          <cell r="A2575" t="str">
            <v>TD1-B124000</v>
          </cell>
          <cell r="B2575" t="str">
            <v>PLATE</v>
          </cell>
          <cell r="C2575" t="str">
            <v>PC</v>
          </cell>
          <cell r="D2575">
            <v>0</v>
          </cell>
          <cell r="E2575">
            <v>140400</v>
          </cell>
          <cell r="F2575">
            <v>0</v>
          </cell>
        </row>
        <row r="2576">
          <cell r="A2576" t="str">
            <v>TD1-B125000</v>
          </cell>
          <cell r="B2576" t="str">
            <v>PLATE</v>
          </cell>
          <cell r="C2576" t="str">
            <v>PC</v>
          </cell>
          <cell r="D2576">
            <v>0</v>
          </cell>
          <cell r="E2576">
            <v>135500</v>
          </cell>
          <cell r="F2576">
            <v>0</v>
          </cell>
        </row>
        <row r="2577">
          <cell r="A2577" t="str">
            <v>TD1-B126000</v>
          </cell>
          <cell r="B2577" t="str">
            <v>PLATE</v>
          </cell>
          <cell r="C2577" t="str">
            <v>PC</v>
          </cell>
          <cell r="D2577">
            <v>0</v>
          </cell>
          <cell r="E2577">
            <v>0</v>
          </cell>
          <cell r="F2577">
            <v>0</v>
          </cell>
        </row>
        <row r="2578">
          <cell r="A2578" t="str">
            <v>TD1-B127000</v>
          </cell>
          <cell r="B2578" t="str">
            <v>PLATE</v>
          </cell>
          <cell r="C2578" t="str">
            <v>PC</v>
          </cell>
          <cell r="D2578">
            <v>0</v>
          </cell>
          <cell r="E2578">
            <v>41350</v>
          </cell>
          <cell r="F2578">
            <v>0</v>
          </cell>
        </row>
        <row r="2579">
          <cell r="A2579" t="str">
            <v>TD1-B128000</v>
          </cell>
          <cell r="B2579" t="str">
            <v>PLATE</v>
          </cell>
          <cell r="C2579" t="str">
            <v>PC</v>
          </cell>
          <cell r="D2579">
            <v>0</v>
          </cell>
          <cell r="E2579">
            <v>99150</v>
          </cell>
          <cell r="F2579">
            <v>0</v>
          </cell>
        </row>
        <row r="2580">
          <cell r="A2580" t="str">
            <v>TD1-B129000</v>
          </cell>
          <cell r="B2580" t="str">
            <v>PLATE</v>
          </cell>
          <cell r="C2580" t="str">
            <v>PC</v>
          </cell>
          <cell r="D2580">
            <v>0</v>
          </cell>
          <cell r="E2580">
            <v>3250</v>
          </cell>
          <cell r="F2580">
            <v>0</v>
          </cell>
        </row>
        <row r="2581">
          <cell r="A2581" t="str">
            <v>TD1-B12A000</v>
          </cell>
          <cell r="B2581" t="str">
            <v>PLATE</v>
          </cell>
          <cell r="C2581" t="str">
            <v>PC</v>
          </cell>
          <cell r="D2581">
            <v>0</v>
          </cell>
          <cell r="E2581">
            <v>8700</v>
          </cell>
          <cell r="F2581">
            <v>0</v>
          </cell>
        </row>
        <row r="2582">
          <cell r="A2582" t="str">
            <v>TD1-B12C000</v>
          </cell>
          <cell r="B2582" t="str">
            <v>PLATE</v>
          </cell>
          <cell r="C2582" t="str">
            <v>PC</v>
          </cell>
          <cell r="D2582">
            <v>0</v>
          </cell>
          <cell r="E2582">
            <v>13000</v>
          </cell>
          <cell r="F2582">
            <v>0</v>
          </cell>
        </row>
        <row r="2583">
          <cell r="A2583" t="str">
            <v>TD1-B12D000</v>
          </cell>
          <cell r="B2583" t="str">
            <v>PLATE</v>
          </cell>
          <cell r="C2583" t="str">
            <v>PC</v>
          </cell>
          <cell r="D2583">
            <v>0</v>
          </cell>
          <cell r="E2583">
            <v>4550</v>
          </cell>
          <cell r="F2583">
            <v>0</v>
          </cell>
        </row>
        <row r="2584">
          <cell r="A2584" t="str">
            <v>TD1-B12E000</v>
          </cell>
          <cell r="B2584" t="str">
            <v>PLATE</v>
          </cell>
          <cell r="C2584" t="str">
            <v>PC</v>
          </cell>
          <cell r="D2584">
            <v>0</v>
          </cell>
          <cell r="E2584">
            <v>4850</v>
          </cell>
          <cell r="F2584">
            <v>0</v>
          </cell>
        </row>
        <row r="2585">
          <cell r="A2585" t="str">
            <v>TD1-B12F000</v>
          </cell>
          <cell r="B2585" t="str">
            <v>PLATE</v>
          </cell>
          <cell r="C2585" t="str">
            <v>PC</v>
          </cell>
          <cell r="D2585">
            <v>0</v>
          </cell>
          <cell r="E2585">
            <v>4800</v>
          </cell>
          <cell r="F2585">
            <v>0</v>
          </cell>
        </row>
        <row r="2586">
          <cell r="A2586" t="str">
            <v>TD1-B12G100</v>
          </cell>
          <cell r="B2586" t="str">
            <v>PLATE</v>
          </cell>
          <cell r="C2586" t="str">
            <v>PC</v>
          </cell>
          <cell r="D2586">
            <v>0</v>
          </cell>
          <cell r="E2586">
            <v>143000</v>
          </cell>
          <cell r="F2586">
            <v>0</v>
          </cell>
        </row>
        <row r="2587">
          <cell r="A2587" t="str">
            <v>TD1-B12G200</v>
          </cell>
          <cell r="B2587" t="str">
            <v>PLATE</v>
          </cell>
          <cell r="C2587" t="str">
            <v>PC</v>
          </cell>
          <cell r="D2587">
            <v>0</v>
          </cell>
          <cell r="E2587">
            <v>395000</v>
          </cell>
          <cell r="F2587">
            <v>0</v>
          </cell>
        </row>
        <row r="2588">
          <cell r="A2588" t="str">
            <v>TD1-B12G300</v>
          </cell>
          <cell r="B2588" t="str">
            <v>PLATE</v>
          </cell>
          <cell r="C2588" t="str">
            <v>PC</v>
          </cell>
          <cell r="D2588">
            <v>0</v>
          </cell>
          <cell r="E2588">
            <v>144200</v>
          </cell>
          <cell r="F2588">
            <v>0</v>
          </cell>
        </row>
        <row r="2589">
          <cell r="A2589" t="str">
            <v>TD1-B12G400</v>
          </cell>
          <cell r="B2589" t="str">
            <v>PLATE</v>
          </cell>
          <cell r="C2589" t="str">
            <v>PC</v>
          </cell>
          <cell r="D2589">
            <v>0</v>
          </cell>
          <cell r="E2589">
            <v>149000</v>
          </cell>
          <cell r="F2589">
            <v>0</v>
          </cell>
        </row>
        <row r="2590">
          <cell r="A2590" t="str">
            <v>TD1-B12H100</v>
          </cell>
          <cell r="B2590" t="str">
            <v>PLATE</v>
          </cell>
          <cell r="C2590" t="str">
            <v>PC</v>
          </cell>
          <cell r="D2590">
            <v>0</v>
          </cell>
          <cell r="E2590">
            <v>143000</v>
          </cell>
          <cell r="F2590">
            <v>0</v>
          </cell>
        </row>
        <row r="2591">
          <cell r="A2591" t="str">
            <v>TD1-B12H200</v>
          </cell>
          <cell r="B2591" t="str">
            <v>PLATE</v>
          </cell>
          <cell r="C2591" t="str">
            <v>PC</v>
          </cell>
          <cell r="D2591">
            <v>0</v>
          </cell>
          <cell r="E2591">
            <v>395000</v>
          </cell>
          <cell r="F2591">
            <v>0</v>
          </cell>
        </row>
        <row r="2592">
          <cell r="A2592" t="str">
            <v>TD1-B12H300</v>
          </cell>
          <cell r="B2592" t="str">
            <v>PLATE</v>
          </cell>
          <cell r="C2592" t="str">
            <v>PC</v>
          </cell>
          <cell r="D2592">
            <v>0</v>
          </cell>
          <cell r="E2592">
            <v>144200</v>
          </cell>
          <cell r="F2592">
            <v>0</v>
          </cell>
        </row>
        <row r="2593">
          <cell r="A2593" t="str">
            <v>TD1-B12H400</v>
          </cell>
          <cell r="B2593" t="str">
            <v>PLATE</v>
          </cell>
          <cell r="C2593" t="str">
            <v>PC</v>
          </cell>
          <cell r="D2593">
            <v>0</v>
          </cell>
          <cell r="E2593">
            <v>149000</v>
          </cell>
          <cell r="F2593">
            <v>0</v>
          </cell>
        </row>
        <row r="2594">
          <cell r="A2594" t="str">
            <v>TD1-B537000</v>
          </cell>
          <cell r="B2594" t="str">
            <v>PLATE</v>
          </cell>
          <cell r="C2594" t="str">
            <v>PC</v>
          </cell>
          <cell r="D2594">
            <v>0</v>
          </cell>
          <cell r="E2594">
            <v>0</v>
          </cell>
          <cell r="F2594">
            <v>0</v>
          </cell>
        </row>
        <row r="2595">
          <cell r="A2595" t="str">
            <v>TD1-B53700P</v>
          </cell>
          <cell r="B2595" t="str">
            <v>PLATE</v>
          </cell>
          <cell r="C2595" t="str">
            <v>PC</v>
          </cell>
          <cell r="D2595">
            <v>0</v>
          </cell>
          <cell r="E2595">
            <v>0</v>
          </cell>
          <cell r="F2595">
            <v>0</v>
          </cell>
        </row>
        <row r="2596">
          <cell r="A2596" t="str">
            <v>TD2-0B1330P</v>
          </cell>
          <cell r="B2596" t="str">
            <v>PLATE</v>
          </cell>
          <cell r="C2596" t="str">
            <v>PC</v>
          </cell>
          <cell r="D2596">
            <v>0</v>
          </cell>
          <cell r="E2596">
            <v>7100</v>
          </cell>
          <cell r="F2596">
            <v>0</v>
          </cell>
        </row>
        <row r="2597">
          <cell r="A2597" t="str">
            <v>TD2-0B1330P(1)</v>
          </cell>
          <cell r="B2597" t="str">
            <v>PLATE</v>
          </cell>
          <cell r="C2597" t="str">
            <v>PC</v>
          </cell>
          <cell r="D2597">
            <v>0</v>
          </cell>
          <cell r="E2597">
            <v>1</v>
          </cell>
          <cell r="F2597">
            <v>0</v>
          </cell>
        </row>
        <row r="2598">
          <cell r="A2598" t="str">
            <v>TD2-0B1340P</v>
          </cell>
          <cell r="B2598" t="str">
            <v>PLATE</v>
          </cell>
          <cell r="C2598" t="str">
            <v>PC</v>
          </cell>
          <cell r="D2598">
            <v>0</v>
          </cell>
          <cell r="E2598">
            <v>17000</v>
          </cell>
          <cell r="F2598">
            <v>0</v>
          </cell>
        </row>
        <row r="2599">
          <cell r="A2599" t="str">
            <v>TD2-0B1340P(1)</v>
          </cell>
          <cell r="B2599" t="str">
            <v>PLATE</v>
          </cell>
          <cell r="C2599" t="str">
            <v>PC</v>
          </cell>
          <cell r="D2599">
            <v>0</v>
          </cell>
          <cell r="E2599">
            <v>1</v>
          </cell>
          <cell r="F2599">
            <v>0</v>
          </cell>
        </row>
        <row r="2600">
          <cell r="A2600" t="str">
            <v>TD2-0B1350P</v>
          </cell>
          <cell r="B2600" t="str">
            <v>PLATE</v>
          </cell>
          <cell r="C2600" t="str">
            <v>PC</v>
          </cell>
          <cell r="D2600">
            <v>0</v>
          </cell>
          <cell r="E2600">
            <v>8800</v>
          </cell>
          <cell r="F2600">
            <v>0</v>
          </cell>
        </row>
        <row r="2601">
          <cell r="A2601" t="str">
            <v>TD2-0B1360P</v>
          </cell>
          <cell r="B2601" t="str">
            <v>PLATE</v>
          </cell>
          <cell r="C2601" t="str">
            <v>PC</v>
          </cell>
          <cell r="D2601">
            <v>0</v>
          </cell>
          <cell r="E2601">
            <v>88620</v>
          </cell>
          <cell r="F2601">
            <v>0</v>
          </cell>
        </row>
        <row r="2602">
          <cell r="A2602" t="str">
            <v>TD2-0B1380P</v>
          </cell>
          <cell r="B2602" t="str">
            <v>PLATE</v>
          </cell>
          <cell r="C2602" t="str">
            <v>PC</v>
          </cell>
          <cell r="D2602">
            <v>0</v>
          </cell>
          <cell r="E2602">
            <v>407960</v>
          </cell>
          <cell r="F2602">
            <v>0</v>
          </cell>
        </row>
        <row r="2603">
          <cell r="A2603" t="str">
            <v>TD2-0F3000P(1)</v>
          </cell>
          <cell r="B2603" t="str">
            <v xml:space="preserve"> BRACKET PUMP</v>
          </cell>
          <cell r="C2603" t="str">
            <v>PC</v>
          </cell>
          <cell r="D2603">
            <v>0</v>
          </cell>
          <cell r="E2603">
            <v>191000</v>
          </cell>
          <cell r="F2603">
            <v>0</v>
          </cell>
        </row>
        <row r="2604">
          <cell r="A2604" t="str">
            <v>TD2-0M2000P</v>
          </cell>
          <cell r="B2604" t="str">
            <v>PLATE</v>
          </cell>
          <cell r="C2604" t="str">
            <v>PC</v>
          </cell>
          <cell r="D2604">
            <v>2</v>
          </cell>
          <cell r="E2604">
            <v>32200</v>
          </cell>
          <cell r="F2604">
            <v>64400</v>
          </cell>
        </row>
        <row r="2605">
          <cell r="A2605" t="str">
            <v>TD2-B125001</v>
          </cell>
          <cell r="B2605" t="str">
            <v>PLATE</v>
          </cell>
          <cell r="C2605" t="str">
            <v>PC</v>
          </cell>
          <cell r="D2605">
            <v>0</v>
          </cell>
          <cell r="E2605">
            <v>188600</v>
          </cell>
          <cell r="F2605">
            <v>0</v>
          </cell>
        </row>
        <row r="2606">
          <cell r="A2606" t="str">
            <v>TD2-B150001</v>
          </cell>
          <cell r="B2606" t="str">
            <v>TAIL GATE</v>
          </cell>
          <cell r="C2606" t="str">
            <v>PC</v>
          </cell>
          <cell r="D2606">
            <v>0</v>
          </cell>
          <cell r="E2606">
            <v>1410000</v>
          </cell>
          <cell r="F2606">
            <v>0</v>
          </cell>
        </row>
        <row r="2607">
          <cell r="A2607" t="str">
            <v>TD2-B160001</v>
          </cell>
          <cell r="B2607" t="str">
            <v>PLATE</v>
          </cell>
          <cell r="C2607" t="str">
            <v>PC</v>
          </cell>
          <cell r="D2607">
            <v>0</v>
          </cell>
          <cell r="E2607">
            <v>13700</v>
          </cell>
          <cell r="F2607">
            <v>0</v>
          </cell>
        </row>
        <row r="2608">
          <cell r="A2608" t="str">
            <v>TD2-B170001</v>
          </cell>
          <cell r="B2608" t="str">
            <v>PIN ASSY</v>
          </cell>
          <cell r="C2608" t="str">
            <v>PC</v>
          </cell>
          <cell r="D2608">
            <v>0</v>
          </cell>
          <cell r="E2608">
            <v>11700</v>
          </cell>
          <cell r="F2608">
            <v>0</v>
          </cell>
        </row>
        <row r="2609">
          <cell r="A2609" t="str">
            <v>TD2-B180001</v>
          </cell>
          <cell r="B2609" t="str">
            <v>PLATE</v>
          </cell>
          <cell r="C2609" t="str">
            <v>PC</v>
          </cell>
          <cell r="D2609">
            <v>0</v>
          </cell>
          <cell r="E2609">
            <v>1400</v>
          </cell>
          <cell r="F2609">
            <v>0</v>
          </cell>
        </row>
        <row r="2610">
          <cell r="A2610" t="str">
            <v>TD2-B190001</v>
          </cell>
          <cell r="B2610" t="str">
            <v>PLATE</v>
          </cell>
          <cell r="C2610" t="str">
            <v>PC</v>
          </cell>
          <cell r="D2610">
            <v>0</v>
          </cell>
          <cell r="E2610">
            <v>2450</v>
          </cell>
          <cell r="F2610">
            <v>0</v>
          </cell>
        </row>
        <row r="2611">
          <cell r="A2611" t="str">
            <v>TD2-B810001</v>
          </cell>
          <cell r="B2611" t="str">
            <v>PLATE</v>
          </cell>
          <cell r="C2611" t="str">
            <v>PC</v>
          </cell>
          <cell r="D2611">
            <v>0</v>
          </cell>
          <cell r="E2611">
            <v>26100</v>
          </cell>
          <cell r="F2611">
            <v>0</v>
          </cell>
        </row>
        <row r="2612">
          <cell r="A2612" t="str">
            <v>TD2-B820001</v>
          </cell>
          <cell r="B2612" t="str">
            <v>PLATE</v>
          </cell>
          <cell r="C2612" t="str">
            <v>PC</v>
          </cell>
          <cell r="D2612">
            <v>0</v>
          </cell>
          <cell r="E2612">
            <v>45600</v>
          </cell>
          <cell r="F2612">
            <v>0</v>
          </cell>
        </row>
        <row r="2613">
          <cell r="A2613" t="str">
            <v>TD2-B830001</v>
          </cell>
          <cell r="B2613" t="str">
            <v>PLATE</v>
          </cell>
          <cell r="C2613" t="str">
            <v>PC</v>
          </cell>
          <cell r="D2613">
            <v>0</v>
          </cell>
          <cell r="E2613">
            <v>26100</v>
          </cell>
          <cell r="F2613">
            <v>0</v>
          </cell>
        </row>
        <row r="2614">
          <cell r="A2614" t="str">
            <v>TD2-C000001</v>
          </cell>
          <cell r="B2614" t="str">
            <v>LOCK SYSTEM</v>
          </cell>
          <cell r="C2614" t="str">
            <v>PC</v>
          </cell>
          <cell r="D2614">
            <v>0</v>
          </cell>
          <cell r="E2614">
            <v>701041</v>
          </cell>
          <cell r="F2614">
            <v>0</v>
          </cell>
        </row>
        <row r="2615">
          <cell r="A2615" t="str">
            <v>TD2-C100001</v>
          </cell>
          <cell r="B2615" t="str">
            <v>HOOK</v>
          </cell>
          <cell r="C2615" t="str">
            <v>PC</v>
          </cell>
          <cell r="D2615">
            <v>0</v>
          </cell>
          <cell r="E2615">
            <v>15850</v>
          </cell>
          <cell r="F2615">
            <v>0</v>
          </cell>
        </row>
        <row r="2616">
          <cell r="A2616" t="str">
            <v>TD2-C200000</v>
          </cell>
          <cell r="B2616" t="str">
            <v>PIPE</v>
          </cell>
          <cell r="C2616" t="str">
            <v>PC</v>
          </cell>
          <cell r="D2616">
            <v>0</v>
          </cell>
          <cell r="E2616">
            <v>1</v>
          </cell>
          <cell r="F2616">
            <v>0</v>
          </cell>
        </row>
        <row r="2617">
          <cell r="A2617" t="str">
            <v>TD2-C300001</v>
          </cell>
          <cell r="B2617" t="str">
            <v>PLATE</v>
          </cell>
          <cell r="C2617" t="str">
            <v>PC</v>
          </cell>
          <cell r="D2617">
            <v>0</v>
          </cell>
          <cell r="E2617">
            <v>5950</v>
          </cell>
          <cell r="F2617">
            <v>0</v>
          </cell>
        </row>
        <row r="2618">
          <cell r="A2618" t="str">
            <v>TD2-C400001</v>
          </cell>
          <cell r="B2618" t="str">
            <v>PLATE</v>
          </cell>
          <cell r="C2618" t="str">
            <v>PC</v>
          </cell>
          <cell r="D2618">
            <v>0</v>
          </cell>
          <cell r="E2618">
            <v>12500</v>
          </cell>
          <cell r="F2618">
            <v>0</v>
          </cell>
        </row>
        <row r="2619">
          <cell r="A2619" t="str">
            <v>TD2-C700001</v>
          </cell>
          <cell r="B2619" t="str">
            <v>PLATE ASSY</v>
          </cell>
          <cell r="C2619" t="str">
            <v>PC</v>
          </cell>
          <cell r="D2619">
            <v>0</v>
          </cell>
          <cell r="E2619">
            <v>31600</v>
          </cell>
          <cell r="F2619">
            <v>0</v>
          </cell>
        </row>
        <row r="2620">
          <cell r="A2620" t="str">
            <v>TD2-C800001</v>
          </cell>
          <cell r="B2620" t="str">
            <v>BUSHING ASSY</v>
          </cell>
          <cell r="C2620" t="str">
            <v>PC</v>
          </cell>
          <cell r="D2620">
            <v>0</v>
          </cell>
          <cell r="E2620">
            <v>23200</v>
          </cell>
          <cell r="F2620">
            <v>0</v>
          </cell>
        </row>
        <row r="2621">
          <cell r="A2621" t="str">
            <v>TD2-K013000</v>
          </cell>
          <cell r="B2621" t="str">
            <v>PIN HINGE BRC TV20</v>
          </cell>
          <cell r="C2621" t="str">
            <v>PC</v>
          </cell>
          <cell r="D2621">
            <v>36</v>
          </cell>
          <cell r="E2621">
            <v>19150</v>
          </cell>
          <cell r="F2621">
            <v>689400</v>
          </cell>
        </row>
        <row r="2622">
          <cell r="A2622" t="str">
            <v>TD2-M560000</v>
          </cell>
          <cell r="B2622" t="str">
            <v>SP.TIRE MOUNTING</v>
          </cell>
          <cell r="C2622" t="str">
            <v>PC</v>
          </cell>
          <cell r="D2622">
            <v>13</v>
          </cell>
          <cell r="E2622">
            <v>88000</v>
          </cell>
          <cell r="F2622">
            <v>1144000</v>
          </cell>
        </row>
        <row r="2623">
          <cell r="A2623" t="str">
            <v>TD2-M60000</v>
          </cell>
          <cell r="B2623" t="str">
            <v>SPARE TIRE MOUNT</v>
          </cell>
          <cell r="C2623" t="str">
            <v>PC</v>
          </cell>
          <cell r="D2623">
            <v>1</v>
          </cell>
          <cell r="E2623">
            <v>61200</v>
          </cell>
          <cell r="F2623">
            <v>61200</v>
          </cell>
        </row>
        <row r="2624">
          <cell r="A2624" t="str">
            <v>TD3-1300000</v>
          </cell>
          <cell r="B2624" t="str">
            <v>BODY GUIDE</v>
          </cell>
          <cell r="C2624" t="str">
            <v>PC</v>
          </cell>
          <cell r="D2624">
            <v>0</v>
          </cell>
          <cell r="E2624">
            <v>21979</v>
          </cell>
          <cell r="F2624">
            <v>0</v>
          </cell>
        </row>
        <row r="2625">
          <cell r="A2625" t="str">
            <v>TD3-A21000</v>
          </cell>
          <cell r="B2625" t="str">
            <v>U Bolt (TD3-A21000)</v>
          </cell>
          <cell r="C2625" t="str">
            <v>PC</v>
          </cell>
          <cell r="D2625">
            <v>0</v>
          </cell>
          <cell r="E2625">
            <v>1</v>
          </cell>
          <cell r="F2625">
            <v>0</v>
          </cell>
        </row>
        <row r="2626">
          <cell r="A2626" t="str">
            <v>TD3-A300000</v>
          </cell>
          <cell r="B2626" t="str">
            <v>BODY GUIDE</v>
          </cell>
          <cell r="C2626" t="str">
            <v>PC</v>
          </cell>
          <cell r="D2626">
            <v>3</v>
          </cell>
          <cell r="E2626">
            <v>27500</v>
          </cell>
          <cell r="F2626">
            <v>82500</v>
          </cell>
        </row>
        <row r="2627">
          <cell r="A2627" t="str">
            <v>TD6-F11500P</v>
          </cell>
          <cell r="B2627" t="str">
            <v>PLATE</v>
          </cell>
          <cell r="C2627" t="str">
            <v>PC</v>
          </cell>
          <cell r="D2627">
            <v>0</v>
          </cell>
          <cell r="E2627">
            <v>0</v>
          </cell>
          <cell r="F2627">
            <v>0</v>
          </cell>
        </row>
        <row r="2628">
          <cell r="A2628" t="str">
            <v>TEE-1-BSPT</v>
          </cell>
          <cell r="B2628" t="str">
            <v>TEE 1" BSPT (F)</v>
          </cell>
          <cell r="C2628" t="str">
            <v>PC</v>
          </cell>
          <cell r="D2628">
            <v>0</v>
          </cell>
          <cell r="E2628">
            <v>82537</v>
          </cell>
          <cell r="F2628">
            <v>0</v>
          </cell>
        </row>
        <row r="2629">
          <cell r="A2629" t="str">
            <v>TEE-C025-K</v>
          </cell>
          <cell r="B2629" t="str">
            <v>TEE CON. 1/4" FEM KUNINGAN</v>
          </cell>
          <cell r="C2629" t="str">
            <v>PC</v>
          </cell>
          <cell r="D2629">
            <v>0</v>
          </cell>
          <cell r="E2629">
            <v>37500</v>
          </cell>
          <cell r="F2629">
            <v>0</v>
          </cell>
        </row>
        <row r="2630">
          <cell r="A2630" t="str">
            <v>TEE-W200-SGP</v>
          </cell>
          <cell r="B2630" t="str">
            <v>TEE 2" WELD SGP</v>
          </cell>
          <cell r="C2630" t="str">
            <v>PC</v>
          </cell>
          <cell r="D2630">
            <v>0</v>
          </cell>
          <cell r="E2630">
            <v>21800</v>
          </cell>
          <cell r="F2630">
            <v>0</v>
          </cell>
        </row>
        <row r="2631">
          <cell r="A2631" t="str">
            <v>TEE-W250-SGP</v>
          </cell>
          <cell r="B2631" t="str">
            <v>TEE 2 1/2" WELD SGP</v>
          </cell>
          <cell r="C2631" t="str">
            <v>PC</v>
          </cell>
          <cell r="D2631">
            <v>0</v>
          </cell>
          <cell r="E2631">
            <v>43800</v>
          </cell>
          <cell r="F2631">
            <v>0</v>
          </cell>
        </row>
        <row r="2632">
          <cell r="A2632" t="str">
            <v>TEE-W300-SGP</v>
          </cell>
          <cell r="B2632" t="str">
            <v>TEE 3" WELD SGP</v>
          </cell>
          <cell r="C2632" t="str">
            <v>PC</v>
          </cell>
          <cell r="D2632">
            <v>0</v>
          </cell>
          <cell r="E2632">
            <v>55650</v>
          </cell>
          <cell r="F2632">
            <v>0</v>
          </cell>
        </row>
        <row r="2633">
          <cell r="A2633" t="str">
            <v>TF-004-100100</v>
          </cell>
          <cell r="B2633" t="str">
            <v xml:space="preserve"> TEFLON 4X1000X1000</v>
          </cell>
          <cell r="C2633" t="str">
            <v>PC</v>
          </cell>
          <cell r="D2633">
            <v>0</v>
          </cell>
          <cell r="E2633">
            <v>1437500</v>
          </cell>
          <cell r="F2633">
            <v>0</v>
          </cell>
        </row>
        <row r="2634">
          <cell r="A2634" t="str">
            <v>TF-020-018040</v>
          </cell>
          <cell r="B2634" t="str">
            <v xml:space="preserve"> TEFLON 20X180X400</v>
          </cell>
          <cell r="C2634" t="str">
            <v>PC</v>
          </cell>
          <cell r="D2634">
            <v>0</v>
          </cell>
          <cell r="E2634">
            <v>525000</v>
          </cell>
          <cell r="F2634">
            <v>0</v>
          </cell>
        </row>
        <row r="2635">
          <cell r="A2635" t="str">
            <v>TF-155R(1)</v>
          </cell>
          <cell r="B2635" t="str">
            <v>YANMAR TF 155R  W/ MODIFI MOTOR STARTER</v>
          </cell>
          <cell r="C2635" t="str">
            <v>PC</v>
          </cell>
          <cell r="D2635">
            <v>0</v>
          </cell>
          <cell r="E2635">
            <v>22000000</v>
          </cell>
          <cell r="F2635">
            <v>0</v>
          </cell>
        </row>
        <row r="2636">
          <cell r="A2636" t="str">
            <v>TF7-F10650</v>
          </cell>
          <cell r="B2636" t="str">
            <v>PATRIA MUD FLAP</v>
          </cell>
          <cell r="C2636" t="str">
            <v>PC</v>
          </cell>
          <cell r="D2636">
            <v>2</v>
          </cell>
          <cell r="E2636">
            <v>255000</v>
          </cell>
          <cell r="F2636">
            <v>510000</v>
          </cell>
        </row>
        <row r="2637">
          <cell r="A2637" t="str">
            <v>TL2-B111000</v>
          </cell>
          <cell r="B2637" t="str">
            <v>ELBOW</v>
          </cell>
          <cell r="C2637" t="str">
            <v>PC</v>
          </cell>
          <cell r="D2637">
            <v>7</v>
          </cell>
          <cell r="E2637">
            <v>15000</v>
          </cell>
          <cell r="F2637">
            <v>105000</v>
          </cell>
        </row>
        <row r="2638">
          <cell r="A2638" t="str">
            <v>TL2-B112000</v>
          </cell>
          <cell r="B2638" t="str">
            <v>ADAPTOR</v>
          </cell>
          <cell r="C2638" t="str">
            <v>PC</v>
          </cell>
          <cell r="D2638">
            <v>3</v>
          </cell>
          <cell r="E2638">
            <v>7080</v>
          </cell>
          <cell r="F2638">
            <v>21240</v>
          </cell>
        </row>
        <row r="2639">
          <cell r="A2639" t="str">
            <v>TL2-F418000</v>
          </cell>
          <cell r="B2639" t="str">
            <v>PIN</v>
          </cell>
          <cell r="C2639" t="str">
            <v>PC</v>
          </cell>
          <cell r="D2639">
            <v>8</v>
          </cell>
          <cell r="E2639">
            <v>15300</v>
          </cell>
          <cell r="F2639">
            <v>122400</v>
          </cell>
        </row>
        <row r="2640">
          <cell r="A2640" t="str">
            <v>TL2-T110000</v>
          </cell>
          <cell r="B2640" t="str">
            <v xml:space="preserve"> FLANGE GB/CB</v>
          </cell>
          <cell r="C2640" t="str">
            <v>PC</v>
          </cell>
          <cell r="D2640">
            <v>0</v>
          </cell>
          <cell r="E2640">
            <v>79750</v>
          </cell>
          <cell r="F2640">
            <v>0</v>
          </cell>
        </row>
        <row r="2641">
          <cell r="A2641" t="str">
            <v>TL2-T120000</v>
          </cell>
          <cell r="B2641" t="str">
            <v xml:space="preserve"> FLANGE WINCH</v>
          </cell>
          <cell r="C2641" t="str">
            <v>PC</v>
          </cell>
          <cell r="D2641">
            <v>0</v>
          </cell>
          <cell r="E2641">
            <v>90000</v>
          </cell>
          <cell r="F2641">
            <v>0</v>
          </cell>
        </row>
        <row r="2642">
          <cell r="A2642" t="str">
            <v>TL2-T132000</v>
          </cell>
          <cell r="B2642" t="str">
            <v xml:space="preserve"> SHAFT</v>
          </cell>
          <cell r="C2642" t="str">
            <v>PC</v>
          </cell>
          <cell r="D2642">
            <v>0</v>
          </cell>
          <cell r="E2642">
            <v>182000</v>
          </cell>
          <cell r="F2642">
            <v>0</v>
          </cell>
        </row>
        <row r="2643">
          <cell r="A2643" t="str">
            <v>TL2-T133000</v>
          </cell>
          <cell r="B2643" t="str">
            <v xml:space="preserve"> SPI</v>
          </cell>
          <cell r="C2643" t="str">
            <v>PC</v>
          </cell>
          <cell r="D2643">
            <v>0</v>
          </cell>
          <cell r="E2643">
            <v>15950</v>
          </cell>
          <cell r="F2643">
            <v>0</v>
          </cell>
        </row>
        <row r="2644">
          <cell r="A2644" t="str">
            <v>TL2-T172200</v>
          </cell>
          <cell r="B2644" t="str">
            <v>HANDLE</v>
          </cell>
          <cell r="C2644" t="str">
            <v>PC</v>
          </cell>
          <cell r="D2644">
            <v>5</v>
          </cell>
          <cell r="E2644">
            <v>9900</v>
          </cell>
          <cell r="F2644">
            <v>49500</v>
          </cell>
        </row>
        <row r="2645">
          <cell r="A2645" t="str">
            <v>TL5-4F1200P</v>
          </cell>
          <cell r="B2645" t="str">
            <v xml:space="preserve"> CAB PROTECTOR SLT 54</v>
          </cell>
          <cell r="C2645" t="str">
            <v>PC</v>
          </cell>
          <cell r="D2645">
            <v>0</v>
          </cell>
          <cell r="E2645">
            <v>3418000</v>
          </cell>
          <cell r="F2645">
            <v>0</v>
          </cell>
        </row>
        <row r="2646">
          <cell r="A2646" t="str">
            <v>TL5-4F1400P</v>
          </cell>
          <cell r="B2646" t="str">
            <v xml:space="preserve"> TRIP STAKE SLT 54</v>
          </cell>
          <cell r="C2646" t="str">
            <v>PC</v>
          </cell>
          <cell r="D2646">
            <v>0</v>
          </cell>
          <cell r="E2646">
            <v>315000</v>
          </cell>
          <cell r="F2646">
            <v>0</v>
          </cell>
        </row>
        <row r="2647">
          <cell r="A2647" t="str">
            <v>TL5-4F1H00P</v>
          </cell>
          <cell r="B2647" t="str">
            <v xml:space="preserve"> PIN</v>
          </cell>
          <cell r="C2647" t="str">
            <v>PC</v>
          </cell>
          <cell r="D2647">
            <v>1</v>
          </cell>
          <cell r="E2647">
            <v>64000</v>
          </cell>
          <cell r="F2647">
            <v>64000</v>
          </cell>
        </row>
        <row r="2648">
          <cell r="A2648" t="str">
            <v>TL5-4F1P00P</v>
          </cell>
          <cell r="B2648" t="str">
            <v xml:space="preserve"> REAR BUMPER SLT 54</v>
          </cell>
          <cell r="C2648" t="str">
            <v>PC</v>
          </cell>
          <cell r="D2648">
            <v>0</v>
          </cell>
          <cell r="E2648">
            <v>1673000</v>
          </cell>
          <cell r="F2648">
            <v>0</v>
          </cell>
        </row>
        <row r="2649">
          <cell r="A2649" t="str">
            <v>TL5-4F2100P</v>
          </cell>
          <cell r="B2649" t="str">
            <v xml:space="preserve"> KAMPER 150X150X1900</v>
          </cell>
          <cell r="C2649" t="str">
            <v>PC</v>
          </cell>
          <cell r="D2649">
            <v>0</v>
          </cell>
          <cell r="E2649">
            <v>350000</v>
          </cell>
          <cell r="F2649">
            <v>0</v>
          </cell>
        </row>
        <row r="2650">
          <cell r="A2650" t="str">
            <v>TL5-4L1200P</v>
          </cell>
          <cell r="B2650" t="str">
            <v>SIDE LAMP BRACKET</v>
          </cell>
          <cell r="C2650" t="str">
            <v>PC</v>
          </cell>
          <cell r="D2650">
            <v>0</v>
          </cell>
          <cell r="E2650">
            <v>1</v>
          </cell>
          <cell r="F2650">
            <v>0</v>
          </cell>
        </row>
        <row r="2651">
          <cell r="A2651" t="str">
            <v>TL5-4L25000</v>
          </cell>
          <cell r="B2651" t="str">
            <v xml:space="preserve"> STOPPER</v>
          </cell>
          <cell r="C2651" t="str">
            <v>PC</v>
          </cell>
          <cell r="D2651">
            <v>0</v>
          </cell>
          <cell r="E2651">
            <v>17300</v>
          </cell>
          <cell r="F2651">
            <v>0</v>
          </cell>
        </row>
        <row r="2652">
          <cell r="A2652" t="str">
            <v>TM/T22510/25</v>
          </cell>
          <cell r="B2652" t="str">
            <v>SINGLE AXLE R.O.R</v>
          </cell>
          <cell r="C2652" t="str">
            <v>PC</v>
          </cell>
          <cell r="D2652">
            <v>3</v>
          </cell>
          <cell r="E2652">
            <v>1</v>
          </cell>
          <cell r="F2652">
            <v>3</v>
          </cell>
        </row>
        <row r="2653">
          <cell r="A2653" t="str">
            <v>TM7-A00000-1</v>
          </cell>
          <cell r="B2653" t="str">
            <v>CM 700-1 ( EX UT )</v>
          </cell>
          <cell r="C2653" t="str">
            <v>PC</v>
          </cell>
          <cell r="D2653">
            <v>3</v>
          </cell>
          <cell r="E2653">
            <v>30000000</v>
          </cell>
          <cell r="F2653">
            <v>90000000</v>
          </cell>
        </row>
        <row r="2654">
          <cell r="A2654" t="str">
            <v>TM7-C200000</v>
          </cell>
          <cell r="B2654" t="str">
            <v xml:space="preserve"> Side Lever</v>
          </cell>
          <cell r="C2654" t="str">
            <v>PC</v>
          </cell>
          <cell r="D2654">
            <v>0</v>
          </cell>
          <cell r="E2654">
            <v>0</v>
          </cell>
          <cell r="F2654">
            <v>0</v>
          </cell>
        </row>
        <row r="2655">
          <cell r="A2655" t="str">
            <v>TM7-F110001</v>
          </cell>
          <cell r="B2655" t="str">
            <v xml:space="preserve"> DRUM CM700</v>
          </cell>
          <cell r="C2655" t="str">
            <v>PC</v>
          </cell>
          <cell r="D2655">
            <v>2</v>
          </cell>
          <cell r="E2655">
            <v>40000000</v>
          </cell>
          <cell r="F2655">
            <v>80000000</v>
          </cell>
        </row>
        <row r="2656">
          <cell r="A2656" t="str">
            <v>TM7-F112101</v>
          </cell>
          <cell r="B2656" t="str">
            <v>RING PLATE</v>
          </cell>
          <cell r="C2656" t="str">
            <v>PC</v>
          </cell>
          <cell r="D2656">
            <v>0</v>
          </cell>
          <cell r="E2656">
            <v>100000</v>
          </cell>
          <cell r="F2656">
            <v>0</v>
          </cell>
        </row>
        <row r="2657">
          <cell r="A2657" t="str">
            <v>TM7-F112201</v>
          </cell>
          <cell r="B2657" t="str">
            <v>RING PLATE</v>
          </cell>
          <cell r="C2657" t="str">
            <v>PC</v>
          </cell>
          <cell r="D2657">
            <v>0</v>
          </cell>
          <cell r="E2657">
            <v>148800</v>
          </cell>
          <cell r="F2657">
            <v>0</v>
          </cell>
        </row>
        <row r="2658">
          <cell r="A2658" t="str">
            <v>TM7-F112301-M</v>
          </cell>
          <cell r="B2658" t="str">
            <v>RING TYRE ASSY (ROL)</v>
          </cell>
          <cell r="C2658" t="str">
            <v>PC</v>
          </cell>
          <cell r="D2658">
            <v>0</v>
          </cell>
          <cell r="E2658">
            <v>6636791</v>
          </cell>
          <cell r="F2658">
            <v>0</v>
          </cell>
        </row>
        <row r="2659">
          <cell r="A2659" t="str">
            <v>TM7-F112701</v>
          </cell>
          <cell r="B2659" t="str">
            <v>DISH END CM700</v>
          </cell>
          <cell r="C2659" t="str">
            <v>PC</v>
          </cell>
          <cell r="D2659">
            <v>1</v>
          </cell>
          <cell r="E2659">
            <v>1575000</v>
          </cell>
          <cell r="F2659">
            <v>1575000</v>
          </cell>
        </row>
        <row r="2660">
          <cell r="A2660" t="str">
            <v>TM7-F112B01</v>
          </cell>
          <cell r="B2660" t="str">
            <v>DISH END SUPPORT</v>
          </cell>
          <cell r="C2660" t="str">
            <v>PC</v>
          </cell>
          <cell r="D2660">
            <v>1</v>
          </cell>
          <cell r="E2660">
            <v>1050000</v>
          </cell>
          <cell r="F2660">
            <v>1050000</v>
          </cell>
        </row>
        <row r="2661">
          <cell r="A2661" t="str">
            <v>TM7-F112C01</v>
          </cell>
          <cell r="B2661" t="str">
            <v>REINFORCE</v>
          </cell>
          <cell r="C2661" t="str">
            <v>PC</v>
          </cell>
          <cell r="D2661">
            <v>0</v>
          </cell>
          <cell r="E2661">
            <v>450000</v>
          </cell>
          <cell r="F2661">
            <v>0</v>
          </cell>
        </row>
        <row r="2662">
          <cell r="A2662" t="str">
            <v>TM7-F112C01-M</v>
          </cell>
          <cell r="B2662" t="str">
            <v>REINFORCE JASA FLANGING</v>
          </cell>
          <cell r="C2662" t="str">
            <v>PC</v>
          </cell>
          <cell r="D2662">
            <v>0</v>
          </cell>
          <cell r="E2662">
            <v>64876</v>
          </cell>
          <cell r="F2662">
            <v>0</v>
          </cell>
        </row>
        <row r="2663">
          <cell r="A2663" t="str">
            <v>TM7-F113001</v>
          </cell>
          <cell r="B2663" t="str">
            <v>GASKET</v>
          </cell>
          <cell r="C2663" t="str">
            <v>PC</v>
          </cell>
          <cell r="D2663">
            <v>12</v>
          </cell>
          <cell r="E2663">
            <v>68000</v>
          </cell>
          <cell r="F2663">
            <v>816000</v>
          </cell>
        </row>
        <row r="2664">
          <cell r="A2664" t="str">
            <v>TM7-Q100001</v>
          </cell>
          <cell r="B2664" t="str">
            <v xml:space="preserve"> Water System</v>
          </cell>
          <cell r="C2664" t="str">
            <v>PC</v>
          </cell>
          <cell r="D2664">
            <v>0</v>
          </cell>
          <cell r="E2664">
            <v>0</v>
          </cell>
          <cell r="F2664">
            <v>0</v>
          </cell>
        </row>
        <row r="2665">
          <cell r="A2665" t="str">
            <v>TM7-Q150001</v>
          </cell>
          <cell r="B2665" t="str">
            <v xml:space="preserve"> Rubber Hose</v>
          </cell>
          <cell r="C2665" t="str">
            <v>PC</v>
          </cell>
          <cell r="D2665">
            <v>0</v>
          </cell>
          <cell r="E2665">
            <v>0</v>
          </cell>
          <cell r="F2665">
            <v>0</v>
          </cell>
        </row>
        <row r="2666">
          <cell r="A2666" t="str">
            <v>TM7-Q160001</v>
          </cell>
          <cell r="B2666" t="str">
            <v xml:space="preserve"> Rubber Hose</v>
          </cell>
          <cell r="C2666" t="str">
            <v>PC</v>
          </cell>
          <cell r="D2666">
            <v>0</v>
          </cell>
          <cell r="E2666">
            <v>0</v>
          </cell>
          <cell r="F2666">
            <v>0</v>
          </cell>
        </row>
        <row r="2667">
          <cell r="A2667" t="str">
            <v>TM7-Q1A0001</v>
          </cell>
          <cell r="B2667" t="str">
            <v xml:space="preserve"> Rubber Hose</v>
          </cell>
          <cell r="C2667" t="str">
            <v>PC</v>
          </cell>
          <cell r="D2667">
            <v>0</v>
          </cell>
          <cell r="E2667">
            <v>0</v>
          </cell>
          <cell r="F2667">
            <v>0</v>
          </cell>
        </row>
        <row r="2668">
          <cell r="A2668" t="str">
            <v>TM8-G300000</v>
          </cell>
          <cell r="B2668" t="str">
            <v xml:space="preserve"> Rear Guard</v>
          </cell>
          <cell r="C2668" t="str">
            <v>PC</v>
          </cell>
          <cell r="D2668">
            <v>0</v>
          </cell>
          <cell r="E2668">
            <v>0</v>
          </cell>
          <cell r="F2668">
            <v>0</v>
          </cell>
        </row>
        <row r="2669">
          <cell r="A2669" t="str">
            <v>TM8-H700000</v>
          </cell>
          <cell r="B2669" t="str">
            <v xml:space="preserve"> Hydraulic System</v>
          </cell>
          <cell r="C2669" t="str">
            <v>PC</v>
          </cell>
          <cell r="D2669">
            <v>0</v>
          </cell>
          <cell r="E2669">
            <v>0</v>
          </cell>
          <cell r="F2669">
            <v>0</v>
          </cell>
        </row>
        <row r="2670">
          <cell r="A2670" t="str">
            <v>TOYOK-FS80</v>
          </cell>
          <cell r="B2670" t="str">
            <v xml:space="preserve"> HOSE CLAMP</v>
          </cell>
          <cell r="C2670" t="str">
            <v>PC</v>
          </cell>
          <cell r="D2670">
            <v>0</v>
          </cell>
          <cell r="E2670">
            <v>8300</v>
          </cell>
          <cell r="F2670">
            <v>0</v>
          </cell>
        </row>
        <row r="2671">
          <cell r="A2671" t="str">
            <v>TP4-A100000</v>
          </cell>
          <cell r="B2671" t="str">
            <v>TRUCK ASSY</v>
          </cell>
          <cell r="C2671" t="str">
            <v>PC</v>
          </cell>
          <cell r="D2671">
            <v>0</v>
          </cell>
          <cell r="E2671">
            <v>24670272</v>
          </cell>
          <cell r="F2671">
            <v>0</v>
          </cell>
        </row>
        <row r="2672">
          <cell r="A2672" t="str">
            <v>TP4-F100000</v>
          </cell>
          <cell r="B2672" t="str">
            <v>FRAME ASSY LPT405</v>
          </cell>
          <cell r="C2672" t="str">
            <v>PC</v>
          </cell>
          <cell r="D2672">
            <v>0</v>
          </cell>
          <cell r="E2672">
            <v>7980000</v>
          </cell>
          <cell r="F2672">
            <v>0</v>
          </cell>
        </row>
        <row r="2673">
          <cell r="A2673" t="str">
            <v>TP4-F120000</v>
          </cell>
          <cell r="B2673" t="str">
            <v>CABIN PROTECTOR</v>
          </cell>
          <cell r="C2673" t="str">
            <v>PC</v>
          </cell>
          <cell r="D2673">
            <v>0</v>
          </cell>
          <cell r="E2673">
            <v>3511000</v>
          </cell>
          <cell r="F2673">
            <v>0</v>
          </cell>
        </row>
        <row r="2674">
          <cell r="A2674" t="str">
            <v>TP4-F12F000</v>
          </cell>
          <cell r="B2674" t="str">
            <v>RUBBER</v>
          </cell>
          <cell r="C2674" t="str">
            <v>PC</v>
          </cell>
          <cell r="D2674">
            <v>0</v>
          </cell>
          <cell r="E2674">
            <v>0</v>
          </cell>
          <cell r="F2674">
            <v>0</v>
          </cell>
        </row>
        <row r="2675">
          <cell r="A2675" t="str">
            <v>TP4-F140001</v>
          </cell>
          <cell r="B2675" t="str">
            <v>MOUNTING PLATE</v>
          </cell>
          <cell r="C2675" t="str">
            <v>PC</v>
          </cell>
          <cell r="D2675">
            <v>0</v>
          </cell>
          <cell r="E2675">
            <v>23000</v>
          </cell>
          <cell r="F2675">
            <v>0</v>
          </cell>
        </row>
        <row r="2676">
          <cell r="A2676" t="str">
            <v>TP4-F14000P</v>
          </cell>
          <cell r="B2676" t="str">
            <v>TRIPSTAKE RH</v>
          </cell>
          <cell r="C2676" t="str">
            <v>PC</v>
          </cell>
          <cell r="D2676">
            <v>0</v>
          </cell>
          <cell r="E2676">
            <v>1</v>
          </cell>
          <cell r="F2676">
            <v>0</v>
          </cell>
        </row>
        <row r="2677">
          <cell r="A2677" t="str">
            <v>TP4-F15000P</v>
          </cell>
          <cell r="B2677" t="str">
            <v>TRIPSTAKE LH</v>
          </cell>
          <cell r="C2677" t="str">
            <v>PC</v>
          </cell>
          <cell r="D2677">
            <v>0</v>
          </cell>
          <cell r="E2677">
            <v>1</v>
          </cell>
          <cell r="F2677">
            <v>0</v>
          </cell>
        </row>
        <row r="2678">
          <cell r="A2678" t="str">
            <v>TP4-F18000P</v>
          </cell>
          <cell r="B2678" t="str">
            <v>BOLSTER TRUCK</v>
          </cell>
          <cell r="C2678" t="str">
            <v>PC</v>
          </cell>
          <cell r="D2678">
            <v>10</v>
          </cell>
          <cell r="E2678">
            <v>4208764</v>
          </cell>
          <cell r="F2678">
            <v>42087644</v>
          </cell>
        </row>
        <row r="2679">
          <cell r="A2679" t="str">
            <v>TP4-F181F00</v>
          </cell>
          <cell r="B2679" t="str">
            <v>PIN PENGUNCI</v>
          </cell>
          <cell r="C2679" t="str">
            <v>PC</v>
          </cell>
          <cell r="D2679">
            <v>13</v>
          </cell>
          <cell r="E2679">
            <v>8640</v>
          </cell>
          <cell r="F2679">
            <v>112320</v>
          </cell>
        </row>
        <row r="2680">
          <cell r="A2680" t="str">
            <v>TP4-F181H1P</v>
          </cell>
          <cell r="B2680" t="str">
            <v>P I N</v>
          </cell>
          <cell r="C2680" t="str">
            <v>PC</v>
          </cell>
          <cell r="D2680">
            <v>13</v>
          </cell>
          <cell r="E2680">
            <v>8640</v>
          </cell>
          <cell r="F2680">
            <v>112320</v>
          </cell>
        </row>
        <row r="2681">
          <cell r="A2681" t="str">
            <v>TP4-F190000</v>
          </cell>
          <cell r="B2681" t="str">
            <v>STOPPER</v>
          </cell>
          <cell r="C2681" t="str">
            <v>PC</v>
          </cell>
          <cell r="D2681">
            <v>0</v>
          </cell>
          <cell r="E2681">
            <v>1000</v>
          </cell>
          <cell r="F2681">
            <v>0</v>
          </cell>
        </row>
        <row r="2682">
          <cell r="A2682" t="str">
            <v>TP4-F216001</v>
          </cell>
          <cell r="B2682" t="str">
            <v>AIR TANK</v>
          </cell>
          <cell r="C2682" t="str">
            <v>PC</v>
          </cell>
          <cell r="D2682">
            <v>0</v>
          </cell>
          <cell r="E2682">
            <v>424600</v>
          </cell>
          <cell r="F2682">
            <v>0</v>
          </cell>
        </row>
        <row r="2683">
          <cell r="A2683" t="str">
            <v>TP4-F21C6001</v>
          </cell>
          <cell r="B2683" t="str">
            <v>QUARTER BLADE CM</v>
          </cell>
          <cell r="C2683" t="str">
            <v>PC</v>
          </cell>
          <cell r="D2683">
            <v>6</v>
          </cell>
          <cell r="E2683">
            <v>1</v>
          </cell>
          <cell r="F2683">
            <v>6</v>
          </cell>
        </row>
        <row r="2684">
          <cell r="A2684" t="str">
            <v>TP4-F21G000</v>
          </cell>
          <cell r="B2684" t="str">
            <v>PIN TRAILER</v>
          </cell>
          <cell r="C2684" t="str">
            <v>PC</v>
          </cell>
          <cell r="D2684">
            <v>0</v>
          </cell>
          <cell r="E2684">
            <v>0</v>
          </cell>
          <cell r="F2684">
            <v>0</v>
          </cell>
        </row>
        <row r="2685">
          <cell r="A2685" t="str">
            <v>TP4-F220000</v>
          </cell>
          <cell r="B2685" t="str">
            <v>DRAW BAR ASSY</v>
          </cell>
          <cell r="C2685" t="str">
            <v>PC</v>
          </cell>
          <cell r="D2685">
            <v>0</v>
          </cell>
          <cell r="E2685">
            <v>0</v>
          </cell>
          <cell r="F2685">
            <v>0</v>
          </cell>
        </row>
        <row r="2686">
          <cell r="A2686" t="str">
            <v>TP4-F222000</v>
          </cell>
          <cell r="B2686" t="str">
            <v>HOUSING</v>
          </cell>
          <cell r="C2686" t="str">
            <v>PC</v>
          </cell>
          <cell r="D2686">
            <v>0</v>
          </cell>
          <cell r="E2686">
            <v>0</v>
          </cell>
          <cell r="F2686">
            <v>0</v>
          </cell>
        </row>
        <row r="2687">
          <cell r="A2687" t="str">
            <v>TP4-F222400</v>
          </cell>
          <cell r="B2687" t="str">
            <v>FRONT BUSHING</v>
          </cell>
          <cell r="C2687" t="str">
            <v>PC</v>
          </cell>
          <cell r="D2687">
            <v>0</v>
          </cell>
          <cell r="E2687">
            <v>0</v>
          </cell>
          <cell r="F2687">
            <v>0</v>
          </cell>
        </row>
        <row r="2688">
          <cell r="A2688" t="str">
            <v>TP4-F222500</v>
          </cell>
          <cell r="B2688" t="str">
            <v>BUSHING ORKOT</v>
          </cell>
          <cell r="C2688" t="str">
            <v>PC</v>
          </cell>
          <cell r="D2688">
            <v>0</v>
          </cell>
          <cell r="E2688">
            <v>255263</v>
          </cell>
          <cell r="F2688">
            <v>0</v>
          </cell>
        </row>
        <row r="2689">
          <cell r="A2689" t="str">
            <v>TP4-F222500-M</v>
          </cell>
          <cell r="B2689" t="str">
            <v>BUSHING ORKOT D=127.8</v>
          </cell>
          <cell r="C2689" t="str">
            <v>PCS</v>
          </cell>
          <cell r="D2689">
            <v>0</v>
          </cell>
          <cell r="E2689">
            <v>0</v>
          </cell>
          <cell r="F2689">
            <v>0</v>
          </cell>
        </row>
        <row r="2690">
          <cell r="A2690" t="str">
            <v>TP4-F224000</v>
          </cell>
          <cell r="B2690" t="str">
            <v>REAR PANEL</v>
          </cell>
          <cell r="C2690" t="str">
            <v>PC</v>
          </cell>
          <cell r="D2690">
            <v>0</v>
          </cell>
          <cell r="E2690">
            <v>0</v>
          </cell>
          <cell r="F2690">
            <v>0</v>
          </cell>
        </row>
        <row r="2691">
          <cell r="A2691" t="str">
            <v>TP4-F224200</v>
          </cell>
          <cell r="B2691" t="str">
            <v>CONNECTOR 3/8MX1/4F</v>
          </cell>
          <cell r="C2691" t="str">
            <v>PC</v>
          </cell>
          <cell r="D2691">
            <v>87</v>
          </cell>
          <cell r="E2691">
            <v>12931</v>
          </cell>
          <cell r="F2691">
            <v>1124955</v>
          </cell>
        </row>
        <row r="2692">
          <cell r="A2692" t="str">
            <v>TP4-F225000</v>
          </cell>
          <cell r="B2692" t="str">
            <v>FRONT PANEL</v>
          </cell>
          <cell r="C2692" t="str">
            <v>PC</v>
          </cell>
          <cell r="D2692">
            <v>0</v>
          </cell>
          <cell r="E2692">
            <v>0</v>
          </cell>
          <cell r="F2692">
            <v>0</v>
          </cell>
        </row>
        <row r="2693">
          <cell r="A2693" t="str">
            <v>TP4-F226000</v>
          </cell>
          <cell r="B2693" t="str">
            <v>PIN</v>
          </cell>
          <cell r="C2693" t="str">
            <v>PC</v>
          </cell>
          <cell r="D2693">
            <v>0</v>
          </cell>
          <cell r="E2693">
            <v>0</v>
          </cell>
          <cell r="F2693">
            <v>0</v>
          </cell>
        </row>
        <row r="2694">
          <cell r="A2694" t="str">
            <v>TP4-F227000</v>
          </cell>
          <cell r="B2694" t="str">
            <v>CONECTOR 1/2MX1/4F</v>
          </cell>
          <cell r="C2694" t="str">
            <v>PC</v>
          </cell>
          <cell r="D2694">
            <v>33</v>
          </cell>
          <cell r="E2694">
            <v>8955</v>
          </cell>
          <cell r="F2694">
            <v>295515</v>
          </cell>
        </row>
        <row r="2695">
          <cell r="A2695" t="str">
            <v>TP4-F230000</v>
          </cell>
          <cell r="B2695" t="str">
            <v>TRAILER BOLSTER</v>
          </cell>
          <cell r="C2695" t="str">
            <v>PC</v>
          </cell>
          <cell r="D2695">
            <v>0</v>
          </cell>
          <cell r="E2695">
            <v>0</v>
          </cell>
          <cell r="F2695">
            <v>0</v>
          </cell>
        </row>
        <row r="2696">
          <cell r="A2696" t="str">
            <v>TP4-F23000P</v>
          </cell>
          <cell r="B2696" t="str">
            <v>BOLSTER TRAILLER</v>
          </cell>
          <cell r="C2696" t="str">
            <v>PC</v>
          </cell>
          <cell r="D2696">
            <v>10</v>
          </cell>
          <cell r="E2696">
            <v>4484102</v>
          </cell>
          <cell r="F2696">
            <v>44841022</v>
          </cell>
        </row>
        <row r="2697">
          <cell r="A2697" t="str">
            <v>TP4-F300000</v>
          </cell>
          <cell r="B2697" t="str">
            <v>RANGKA PENARIK(OVER HANG)</v>
          </cell>
          <cell r="C2697" t="str">
            <v>PC</v>
          </cell>
          <cell r="D2697">
            <v>0</v>
          </cell>
          <cell r="E2697">
            <v>605000</v>
          </cell>
          <cell r="F2697">
            <v>0</v>
          </cell>
        </row>
        <row r="2698">
          <cell r="A2698" t="str">
            <v>TP4-F300000-1</v>
          </cell>
          <cell r="B2698" t="str">
            <v>RANGKA PENARIK(OVER HANG)</v>
          </cell>
          <cell r="C2698" t="str">
            <v>PC</v>
          </cell>
          <cell r="D2698">
            <v>0</v>
          </cell>
          <cell r="E2698">
            <v>456000</v>
          </cell>
          <cell r="F2698">
            <v>0</v>
          </cell>
        </row>
        <row r="2699">
          <cell r="A2699" t="str">
            <v>TP4-F320000-1</v>
          </cell>
          <cell r="B2699" t="str">
            <v>RANGKA</v>
          </cell>
          <cell r="C2699" t="str">
            <v>PC</v>
          </cell>
          <cell r="D2699">
            <v>0</v>
          </cell>
          <cell r="E2699">
            <v>0</v>
          </cell>
          <cell r="F2699">
            <v>0</v>
          </cell>
        </row>
        <row r="2700">
          <cell r="A2700" t="str">
            <v>TP4-F330000-2</v>
          </cell>
          <cell r="B2700" t="str">
            <v>RANGKA</v>
          </cell>
          <cell r="C2700" t="str">
            <v>PC</v>
          </cell>
          <cell r="D2700">
            <v>0</v>
          </cell>
          <cell r="E2700">
            <v>0</v>
          </cell>
          <cell r="F2700">
            <v>0</v>
          </cell>
        </row>
        <row r="2701">
          <cell r="A2701" t="str">
            <v>TP4-F340000</v>
          </cell>
          <cell r="B2701" t="str">
            <v>RANGKA</v>
          </cell>
          <cell r="C2701" t="str">
            <v>PC</v>
          </cell>
          <cell r="D2701">
            <v>0</v>
          </cell>
          <cell r="E2701">
            <v>0</v>
          </cell>
          <cell r="F2701">
            <v>0</v>
          </cell>
        </row>
        <row r="2702">
          <cell r="A2702" t="str">
            <v>TP4-F350000</v>
          </cell>
          <cell r="B2702" t="str">
            <v>RANGKA</v>
          </cell>
          <cell r="C2702" t="str">
            <v>PC</v>
          </cell>
          <cell r="D2702">
            <v>0</v>
          </cell>
          <cell r="E2702">
            <v>0</v>
          </cell>
          <cell r="F2702">
            <v>0</v>
          </cell>
        </row>
        <row r="2703">
          <cell r="A2703" t="str">
            <v>TP4-F360000-1</v>
          </cell>
          <cell r="B2703" t="str">
            <v>RANGKA (LH)</v>
          </cell>
          <cell r="C2703" t="str">
            <v>PC</v>
          </cell>
          <cell r="D2703">
            <v>0</v>
          </cell>
          <cell r="E2703">
            <v>0</v>
          </cell>
          <cell r="F2703">
            <v>0</v>
          </cell>
        </row>
        <row r="2704">
          <cell r="A2704" t="str">
            <v>TP4-F40000P</v>
          </cell>
          <cell r="B2704" t="str">
            <v>TRIPSTAKE RH</v>
          </cell>
          <cell r="C2704" t="str">
            <v>PC</v>
          </cell>
          <cell r="D2704">
            <v>6</v>
          </cell>
          <cell r="E2704">
            <v>425000</v>
          </cell>
          <cell r="F2704">
            <v>2550000</v>
          </cell>
        </row>
        <row r="2705">
          <cell r="A2705" t="str">
            <v>TP4-F41000P</v>
          </cell>
          <cell r="B2705" t="str">
            <v>U-PLATE</v>
          </cell>
          <cell r="C2705" t="str">
            <v>PC</v>
          </cell>
          <cell r="D2705">
            <v>0</v>
          </cell>
          <cell r="E2705">
            <v>0</v>
          </cell>
          <cell r="F2705">
            <v>0</v>
          </cell>
        </row>
        <row r="2706">
          <cell r="A2706" t="str">
            <v>TP4-F42000P</v>
          </cell>
          <cell r="B2706" t="str">
            <v>LONG COVER</v>
          </cell>
          <cell r="C2706" t="str">
            <v>PC</v>
          </cell>
          <cell r="D2706">
            <v>0</v>
          </cell>
          <cell r="E2706">
            <v>0</v>
          </cell>
          <cell r="F2706">
            <v>0</v>
          </cell>
        </row>
        <row r="2707">
          <cell r="A2707" t="str">
            <v>TP4-F43000P</v>
          </cell>
          <cell r="B2707" t="str">
            <v>LEFT BRACKET</v>
          </cell>
          <cell r="C2707" t="str">
            <v>PC</v>
          </cell>
          <cell r="D2707">
            <v>0</v>
          </cell>
          <cell r="E2707">
            <v>0</v>
          </cell>
          <cell r="F2707">
            <v>0</v>
          </cell>
        </row>
        <row r="2708">
          <cell r="A2708" t="str">
            <v>TP4-F44000P</v>
          </cell>
          <cell r="B2708" t="str">
            <v>RIGHT BRACKET</v>
          </cell>
          <cell r="C2708" t="str">
            <v>PC</v>
          </cell>
          <cell r="D2708">
            <v>0</v>
          </cell>
          <cell r="E2708">
            <v>0</v>
          </cell>
          <cell r="F2708">
            <v>0</v>
          </cell>
        </row>
        <row r="2709">
          <cell r="A2709" t="str">
            <v>TP4-F46000P</v>
          </cell>
          <cell r="B2709" t="str">
            <v>PELAT PENGIKAT</v>
          </cell>
          <cell r="C2709" t="str">
            <v>PC</v>
          </cell>
          <cell r="D2709">
            <v>0</v>
          </cell>
          <cell r="E2709">
            <v>0</v>
          </cell>
          <cell r="F2709">
            <v>0</v>
          </cell>
        </row>
        <row r="2710">
          <cell r="A2710" t="str">
            <v>TP4-F50000P</v>
          </cell>
          <cell r="B2710" t="str">
            <v>TRIPSTAKE LH</v>
          </cell>
          <cell r="C2710" t="str">
            <v>PC</v>
          </cell>
          <cell r="D2710">
            <v>6</v>
          </cell>
          <cell r="E2710">
            <v>425000</v>
          </cell>
          <cell r="F2710">
            <v>2550000</v>
          </cell>
        </row>
        <row r="2711">
          <cell r="A2711" t="str">
            <v>TP4-FA00000</v>
          </cell>
          <cell r="B2711" t="str">
            <v>LOWER MOUNTING</v>
          </cell>
          <cell r="C2711" t="str">
            <v>PC</v>
          </cell>
          <cell r="D2711">
            <v>0</v>
          </cell>
          <cell r="E2711">
            <v>18800</v>
          </cell>
          <cell r="F2711">
            <v>0</v>
          </cell>
        </row>
        <row r="2712">
          <cell r="A2712" t="str">
            <v>TP4-FC00000</v>
          </cell>
          <cell r="B2712" t="str">
            <v>1ST SIDE PLATE</v>
          </cell>
          <cell r="C2712" t="str">
            <v>PC</v>
          </cell>
          <cell r="D2712">
            <v>0</v>
          </cell>
          <cell r="E2712">
            <v>14250</v>
          </cell>
          <cell r="F2712">
            <v>0</v>
          </cell>
        </row>
        <row r="2713">
          <cell r="A2713" t="str">
            <v>TP4-FD00000</v>
          </cell>
          <cell r="B2713" t="str">
            <v>3RD SIDE PLATE</v>
          </cell>
          <cell r="C2713" t="str">
            <v>PC</v>
          </cell>
          <cell r="D2713">
            <v>0</v>
          </cell>
          <cell r="E2713">
            <v>7800</v>
          </cell>
          <cell r="F2713">
            <v>0</v>
          </cell>
        </row>
        <row r="2714">
          <cell r="A2714" t="str">
            <v>TP6-A100000</v>
          </cell>
          <cell r="B2714" t="str">
            <v>TRUCK ASSY</v>
          </cell>
          <cell r="C2714" t="str">
            <v>PC</v>
          </cell>
          <cell r="D2714">
            <v>0</v>
          </cell>
          <cell r="E2714">
            <v>0</v>
          </cell>
          <cell r="F2714">
            <v>0</v>
          </cell>
        </row>
        <row r="2715">
          <cell r="A2715" t="str">
            <v>TP6-A200000</v>
          </cell>
          <cell r="B2715" t="str">
            <v>TRAILER ASSY</v>
          </cell>
          <cell r="C2715" t="str">
            <v>PC</v>
          </cell>
          <cell r="D2715">
            <v>0</v>
          </cell>
          <cell r="E2715">
            <v>0</v>
          </cell>
          <cell r="F2715">
            <v>0</v>
          </cell>
        </row>
        <row r="2716">
          <cell r="A2716" t="str">
            <v>TP6-E100000</v>
          </cell>
          <cell r="B2716" t="str">
            <v>COOLING SYSTEM</v>
          </cell>
          <cell r="C2716" t="str">
            <v>PC</v>
          </cell>
          <cell r="D2716">
            <v>0</v>
          </cell>
          <cell r="E2716">
            <v>4468628</v>
          </cell>
          <cell r="F2716">
            <v>0</v>
          </cell>
        </row>
        <row r="2717">
          <cell r="A2717" t="str">
            <v>TP6-E110000</v>
          </cell>
          <cell r="B2717" t="str">
            <v>NOZZLE BRACKET 1</v>
          </cell>
          <cell r="C2717" t="str">
            <v>PC</v>
          </cell>
          <cell r="D2717">
            <v>0</v>
          </cell>
          <cell r="E2717">
            <v>5025</v>
          </cell>
          <cell r="F2717">
            <v>0</v>
          </cell>
        </row>
        <row r="2718">
          <cell r="A2718" t="str">
            <v>TP6-E120000</v>
          </cell>
          <cell r="B2718" t="str">
            <v>VALVE BRACKET</v>
          </cell>
          <cell r="C2718" t="str">
            <v>PC</v>
          </cell>
          <cell r="D2718">
            <v>0</v>
          </cell>
          <cell r="E2718">
            <v>8500</v>
          </cell>
          <cell r="F2718">
            <v>0</v>
          </cell>
        </row>
        <row r="2719">
          <cell r="A2719" t="str">
            <v>TP6-E130000</v>
          </cell>
          <cell r="B2719" t="str">
            <v>NOZZLE BRACKET 2</v>
          </cell>
          <cell r="C2719" t="str">
            <v>PC</v>
          </cell>
          <cell r="D2719">
            <v>0</v>
          </cell>
          <cell r="E2719">
            <v>0</v>
          </cell>
          <cell r="F2719">
            <v>0</v>
          </cell>
        </row>
        <row r="2720">
          <cell r="A2720" t="str">
            <v>TP6-E140000</v>
          </cell>
          <cell r="B2720" t="str">
            <v>NOZZLE BRACKET 3</v>
          </cell>
          <cell r="C2720" t="str">
            <v>PC</v>
          </cell>
          <cell r="D2720">
            <v>0</v>
          </cell>
          <cell r="E2720">
            <v>0</v>
          </cell>
          <cell r="F2720">
            <v>0</v>
          </cell>
        </row>
        <row r="2721">
          <cell r="A2721" t="str">
            <v>TP6-E150000</v>
          </cell>
          <cell r="B2721" t="str">
            <v>CONTROL BRACKET</v>
          </cell>
          <cell r="C2721" t="str">
            <v>PC</v>
          </cell>
          <cell r="D2721">
            <v>0</v>
          </cell>
          <cell r="E2721">
            <v>17450</v>
          </cell>
          <cell r="F2721">
            <v>0</v>
          </cell>
        </row>
        <row r="2722">
          <cell r="A2722" t="str">
            <v>TP6-F110000</v>
          </cell>
          <cell r="B2722" t="str">
            <v>SUB-FRAME</v>
          </cell>
          <cell r="C2722" t="str">
            <v>PC</v>
          </cell>
          <cell r="D2722">
            <v>0</v>
          </cell>
          <cell r="E2722">
            <v>0</v>
          </cell>
          <cell r="F2722">
            <v>0</v>
          </cell>
        </row>
        <row r="2723">
          <cell r="A2723" t="str">
            <v>TP6-F120000</v>
          </cell>
          <cell r="B2723" t="str">
            <v>TRUCK BOLSTER</v>
          </cell>
          <cell r="C2723" t="str">
            <v>PC</v>
          </cell>
          <cell r="D2723">
            <v>0</v>
          </cell>
          <cell r="E2723">
            <v>0</v>
          </cell>
          <cell r="F2723">
            <v>0</v>
          </cell>
        </row>
        <row r="2724">
          <cell r="A2724" t="str">
            <v>TP6-F12E000</v>
          </cell>
          <cell r="B2724" t="str">
            <v>GUARD BLOCK</v>
          </cell>
          <cell r="C2724" t="str">
            <v>PC</v>
          </cell>
          <cell r="D2724">
            <v>0</v>
          </cell>
          <cell r="E2724">
            <v>0</v>
          </cell>
          <cell r="F2724">
            <v>0</v>
          </cell>
        </row>
        <row r="2725">
          <cell r="A2725" t="str">
            <v>TP6-F130000</v>
          </cell>
          <cell r="B2725" t="str">
            <v>WATER TANK</v>
          </cell>
          <cell r="C2725" t="str">
            <v>PC</v>
          </cell>
          <cell r="D2725">
            <v>0</v>
          </cell>
          <cell r="E2725">
            <v>0</v>
          </cell>
          <cell r="F2725">
            <v>0</v>
          </cell>
        </row>
        <row r="2726">
          <cell r="A2726" t="str">
            <v>TP6-F140000</v>
          </cell>
          <cell r="B2726" t="str">
            <v>TRIPSTAKE RH</v>
          </cell>
          <cell r="C2726" t="str">
            <v>PC</v>
          </cell>
          <cell r="D2726">
            <v>0</v>
          </cell>
          <cell r="E2726">
            <v>0</v>
          </cell>
          <cell r="F2726">
            <v>0</v>
          </cell>
        </row>
        <row r="2727">
          <cell r="A2727" t="str">
            <v>TP6-F14600P</v>
          </cell>
          <cell r="B2727" t="str">
            <v>DOUBLER</v>
          </cell>
          <cell r="C2727" t="str">
            <v>PC</v>
          </cell>
          <cell r="D2727">
            <v>0</v>
          </cell>
          <cell r="E2727">
            <v>0</v>
          </cell>
          <cell r="F2727">
            <v>0</v>
          </cell>
        </row>
        <row r="2728">
          <cell r="A2728" t="str">
            <v>TP6-F14900P</v>
          </cell>
          <cell r="B2728" t="str">
            <v>STOPPER</v>
          </cell>
          <cell r="C2728" t="str">
            <v>PC</v>
          </cell>
          <cell r="D2728">
            <v>0</v>
          </cell>
          <cell r="E2728">
            <v>0</v>
          </cell>
          <cell r="F2728">
            <v>0</v>
          </cell>
        </row>
        <row r="2729">
          <cell r="A2729" t="str">
            <v>TP6-F150000</v>
          </cell>
          <cell r="B2729" t="str">
            <v>TRIPSTAKE LH</v>
          </cell>
          <cell r="C2729" t="str">
            <v>PC</v>
          </cell>
          <cell r="D2729">
            <v>0</v>
          </cell>
          <cell r="E2729">
            <v>0</v>
          </cell>
          <cell r="F2729">
            <v>0</v>
          </cell>
        </row>
        <row r="2730">
          <cell r="A2730" t="str">
            <v>TP6-F180000</v>
          </cell>
          <cell r="B2730" t="str">
            <v>PIN TRIPSTAKE</v>
          </cell>
          <cell r="C2730" t="str">
            <v>PC</v>
          </cell>
          <cell r="D2730">
            <v>0</v>
          </cell>
          <cell r="E2730">
            <v>140000</v>
          </cell>
          <cell r="F2730">
            <v>0</v>
          </cell>
        </row>
        <row r="2731">
          <cell r="A2731" t="str">
            <v>TP6-F18000P</v>
          </cell>
          <cell r="B2731" t="str">
            <v>PIN TRIPSTAKE</v>
          </cell>
          <cell r="C2731" t="str">
            <v>PC</v>
          </cell>
          <cell r="D2731">
            <v>0</v>
          </cell>
          <cell r="E2731">
            <v>140000</v>
          </cell>
          <cell r="F2731">
            <v>0</v>
          </cell>
        </row>
        <row r="2732">
          <cell r="A2732" t="str">
            <v>TP6-F18100P</v>
          </cell>
          <cell r="B2732" t="str">
            <v>PIN</v>
          </cell>
          <cell r="C2732" t="str">
            <v>PC</v>
          </cell>
          <cell r="D2732">
            <v>0</v>
          </cell>
          <cell r="E2732">
            <v>0</v>
          </cell>
          <cell r="F2732">
            <v>0</v>
          </cell>
        </row>
        <row r="2733">
          <cell r="A2733" t="str">
            <v>TP6-F18200P</v>
          </cell>
          <cell r="B2733" t="str">
            <v>FLANGE</v>
          </cell>
          <cell r="C2733" t="str">
            <v>PC</v>
          </cell>
          <cell r="D2733">
            <v>0</v>
          </cell>
          <cell r="E2733">
            <v>0</v>
          </cell>
          <cell r="F2733">
            <v>0</v>
          </cell>
        </row>
        <row r="2734">
          <cell r="A2734" t="str">
            <v>TP6-F190000</v>
          </cell>
          <cell r="B2734" t="str">
            <v>TRIPSTAKE WASHER</v>
          </cell>
          <cell r="C2734" t="str">
            <v>PC</v>
          </cell>
          <cell r="D2734">
            <v>0</v>
          </cell>
          <cell r="E2734">
            <v>0</v>
          </cell>
          <cell r="F2734">
            <v>0</v>
          </cell>
        </row>
        <row r="2735">
          <cell r="A2735" t="str">
            <v>TP6-F19000P</v>
          </cell>
          <cell r="B2735" t="str">
            <v>TRIPSTAKE WASHER</v>
          </cell>
          <cell r="C2735" t="str">
            <v>PC</v>
          </cell>
          <cell r="D2735">
            <v>0</v>
          </cell>
          <cell r="E2735">
            <v>0</v>
          </cell>
          <cell r="F2735">
            <v>0</v>
          </cell>
        </row>
        <row r="2736">
          <cell r="A2736" t="str">
            <v>TP6-F1A0000</v>
          </cell>
          <cell r="B2736" t="str">
            <v>SIDE PLATE A</v>
          </cell>
          <cell r="C2736" t="str">
            <v>PC</v>
          </cell>
          <cell r="D2736">
            <v>0</v>
          </cell>
          <cell r="E2736">
            <v>0</v>
          </cell>
          <cell r="F2736">
            <v>0</v>
          </cell>
        </row>
        <row r="2737">
          <cell r="A2737" t="str">
            <v>TP6-F1B0000</v>
          </cell>
          <cell r="B2737" t="str">
            <v>SIDE PLATE B</v>
          </cell>
          <cell r="C2737" t="str">
            <v>PC</v>
          </cell>
          <cell r="D2737">
            <v>0</v>
          </cell>
          <cell r="E2737">
            <v>0</v>
          </cell>
          <cell r="F2737">
            <v>0</v>
          </cell>
        </row>
        <row r="2738">
          <cell r="A2738" t="str">
            <v>TP6-F1C0000</v>
          </cell>
          <cell r="B2738" t="str">
            <v>SIDE PLATE C</v>
          </cell>
          <cell r="C2738" t="str">
            <v>PC</v>
          </cell>
          <cell r="D2738">
            <v>0</v>
          </cell>
          <cell r="E2738">
            <v>0</v>
          </cell>
          <cell r="F2738">
            <v>0</v>
          </cell>
        </row>
        <row r="2739">
          <cell r="A2739" t="str">
            <v>TP6-F1D0000</v>
          </cell>
          <cell r="B2739" t="str">
            <v>SIDE PLATE D</v>
          </cell>
          <cell r="C2739" t="str">
            <v>PC</v>
          </cell>
          <cell r="D2739">
            <v>0</v>
          </cell>
          <cell r="E2739">
            <v>0</v>
          </cell>
          <cell r="F2739">
            <v>0</v>
          </cell>
        </row>
        <row r="2740">
          <cell r="A2740" t="str">
            <v>TP6-F1E0000</v>
          </cell>
          <cell r="B2740" t="str">
            <v>FRONT MOUNTING</v>
          </cell>
          <cell r="C2740" t="str">
            <v>PC</v>
          </cell>
          <cell r="D2740">
            <v>0</v>
          </cell>
          <cell r="E2740">
            <v>0</v>
          </cell>
          <cell r="F2740">
            <v>0</v>
          </cell>
        </row>
        <row r="2741">
          <cell r="A2741" t="str">
            <v>TP6-F1G0000</v>
          </cell>
          <cell r="B2741" t="str">
            <v>UPPER FRONT</v>
          </cell>
          <cell r="C2741" t="str">
            <v>PC</v>
          </cell>
          <cell r="D2741">
            <v>0</v>
          </cell>
          <cell r="E2741">
            <v>0</v>
          </cell>
          <cell r="F2741">
            <v>0</v>
          </cell>
        </row>
        <row r="2742">
          <cell r="A2742" t="str">
            <v>TP6-F210000</v>
          </cell>
          <cell r="B2742" t="str">
            <v>RANGKA TRAILER</v>
          </cell>
          <cell r="C2742" t="str">
            <v>PC</v>
          </cell>
          <cell r="D2742">
            <v>0</v>
          </cell>
          <cell r="E2742">
            <v>0</v>
          </cell>
          <cell r="F2742">
            <v>0</v>
          </cell>
        </row>
        <row r="2743">
          <cell r="A2743" t="str">
            <v>TP6-F216000</v>
          </cell>
          <cell r="B2743" t="str">
            <v>AIR TANK</v>
          </cell>
          <cell r="C2743" t="str">
            <v>PC</v>
          </cell>
          <cell r="D2743">
            <v>0</v>
          </cell>
          <cell r="E2743">
            <v>0</v>
          </cell>
          <cell r="F2743">
            <v>0</v>
          </cell>
        </row>
        <row r="2744">
          <cell r="A2744" t="str">
            <v>TP6-F222400</v>
          </cell>
          <cell r="B2744" t="str">
            <v>FRONT BUSHING</v>
          </cell>
          <cell r="C2744" t="str">
            <v>PC</v>
          </cell>
          <cell r="D2744">
            <v>0</v>
          </cell>
          <cell r="E2744">
            <v>405855</v>
          </cell>
          <cell r="F2744">
            <v>0</v>
          </cell>
        </row>
        <row r="2745">
          <cell r="A2745" t="str">
            <v>TP6-F222500</v>
          </cell>
          <cell r="B2745" t="str">
            <v>REAR BUSHING</v>
          </cell>
          <cell r="C2745" t="str">
            <v>PC</v>
          </cell>
          <cell r="D2745">
            <v>0</v>
          </cell>
          <cell r="E2745">
            <v>405855</v>
          </cell>
          <cell r="F2745">
            <v>0</v>
          </cell>
        </row>
        <row r="2746">
          <cell r="A2746" t="str">
            <v>TP6-G00000P</v>
          </cell>
          <cell r="B2746" t="str">
            <v>GUARD</v>
          </cell>
          <cell r="C2746" t="str">
            <v>PC</v>
          </cell>
          <cell r="D2746">
            <v>0</v>
          </cell>
          <cell r="E2746">
            <v>0</v>
          </cell>
          <cell r="F2746">
            <v>0</v>
          </cell>
        </row>
        <row r="2747">
          <cell r="A2747" t="str">
            <v>TP6-G10000P</v>
          </cell>
          <cell r="B2747" t="str">
            <v>AIR CHAMBER GUARD</v>
          </cell>
          <cell r="C2747" t="str">
            <v>PC</v>
          </cell>
          <cell r="D2747">
            <v>0</v>
          </cell>
          <cell r="E2747">
            <v>0</v>
          </cell>
          <cell r="F2747">
            <v>0</v>
          </cell>
        </row>
        <row r="2748">
          <cell r="A2748" t="str">
            <v>TP6-G20000P</v>
          </cell>
          <cell r="B2748" t="str">
            <v>GUARD</v>
          </cell>
          <cell r="C2748" t="str">
            <v>PC</v>
          </cell>
          <cell r="D2748">
            <v>0</v>
          </cell>
          <cell r="E2748">
            <v>0</v>
          </cell>
          <cell r="F2748">
            <v>0</v>
          </cell>
        </row>
        <row r="2749">
          <cell r="A2749" t="str">
            <v>TP6-G30000P</v>
          </cell>
          <cell r="B2749" t="str">
            <v>OIL FILTER GUARD</v>
          </cell>
          <cell r="C2749" t="str">
            <v>PC</v>
          </cell>
          <cell r="D2749">
            <v>0</v>
          </cell>
          <cell r="E2749">
            <v>0</v>
          </cell>
          <cell r="F2749">
            <v>0</v>
          </cell>
        </row>
        <row r="2750">
          <cell r="A2750" t="str">
            <v>TP6-G40000P</v>
          </cell>
          <cell r="B2750" t="str">
            <v>AIR TANK GUARD 1</v>
          </cell>
          <cell r="C2750" t="str">
            <v>PC</v>
          </cell>
          <cell r="D2750">
            <v>0</v>
          </cell>
          <cell r="E2750">
            <v>0</v>
          </cell>
          <cell r="F2750">
            <v>0</v>
          </cell>
        </row>
        <row r="2751">
          <cell r="A2751" t="str">
            <v>TP6-G50000P</v>
          </cell>
          <cell r="B2751" t="str">
            <v>AIR TANK GUARD 2</v>
          </cell>
          <cell r="C2751" t="str">
            <v>PC</v>
          </cell>
          <cell r="D2751">
            <v>0</v>
          </cell>
          <cell r="E2751">
            <v>0</v>
          </cell>
          <cell r="F2751">
            <v>0</v>
          </cell>
        </row>
        <row r="2752">
          <cell r="A2752" t="str">
            <v>TP6-XXXXX1P</v>
          </cell>
          <cell r="B2752" t="str">
            <v xml:space="preserve"> REINFORCE LH</v>
          </cell>
          <cell r="C2752" t="str">
            <v>PC</v>
          </cell>
          <cell r="D2752">
            <v>0</v>
          </cell>
          <cell r="E2752">
            <v>7000</v>
          </cell>
          <cell r="F2752">
            <v>0</v>
          </cell>
        </row>
        <row r="2753">
          <cell r="A2753" t="str">
            <v>TP6-XXXXX2P</v>
          </cell>
          <cell r="B2753" t="str">
            <v xml:space="preserve"> REINFORCE RH</v>
          </cell>
          <cell r="C2753" t="str">
            <v>PC</v>
          </cell>
          <cell r="D2753">
            <v>0</v>
          </cell>
          <cell r="E2753">
            <v>7000</v>
          </cell>
          <cell r="F2753">
            <v>0</v>
          </cell>
        </row>
        <row r="2754">
          <cell r="A2754" t="str">
            <v>TP6-XXXXX3P</v>
          </cell>
          <cell r="B2754" t="str">
            <v xml:space="preserve"> PLATE</v>
          </cell>
          <cell r="C2754" t="str">
            <v>PC</v>
          </cell>
          <cell r="D2754">
            <v>0</v>
          </cell>
          <cell r="E2754">
            <v>5000</v>
          </cell>
          <cell r="F2754">
            <v>0</v>
          </cell>
        </row>
        <row r="2755">
          <cell r="A2755" t="str">
            <v>TP6-XXXXX4P</v>
          </cell>
          <cell r="B2755" t="str">
            <v xml:space="preserve"> BRACKET DUDUKAN BAN</v>
          </cell>
          <cell r="C2755" t="str">
            <v>PC</v>
          </cell>
          <cell r="D2755">
            <v>0</v>
          </cell>
          <cell r="E2755">
            <v>32000</v>
          </cell>
          <cell r="F2755">
            <v>0</v>
          </cell>
        </row>
        <row r="2756">
          <cell r="A2756" t="str">
            <v>TRED-W250/200-SGP</v>
          </cell>
          <cell r="B2756" t="str">
            <v>TEE RED 2,5"-2" WELD SGP</v>
          </cell>
          <cell r="C2756" t="str">
            <v>PC</v>
          </cell>
          <cell r="D2756">
            <v>0</v>
          </cell>
          <cell r="E2756">
            <v>50000</v>
          </cell>
          <cell r="F2756">
            <v>0</v>
          </cell>
        </row>
        <row r="2757">
          <cell r="A2757" t="str">
            <v>TS-053060</v>
          </cell>
          <cell r="B2757" t="str">
            <v>TENSION SP 5X30X60</v>
          </cell>
          <cell r="C2757" t="str">
            <v>PC</v>
          </cell>
          <cell r="D2757">
            <v>6</v>
          </cell>
          <cell r="E2757">
            <v>3900</v>
          </cell>
          <cell r="F2757">
            <v>23400</v>
          </cell>
        </row>
        <row r="2758">
          <cell r="A2758" t="str">
            <v>TT0-2F1E00P</v>
          </cell>
          <cell r="B2758" t="str">
            <v>KAMPER 50X70X1400</v>
          </cell>
          <cell r="C2758" t="str">
            <v>PC</v>
          </cell>
          <cell r="D2758">
            <v>0</v>
          </cell>
          <cell r="E2758">
            <v>21600</v>
          </cell>
          <cell r="F2758">
            <v>0</v>
          </cell>
        </row>
        <row r="2759">
          <cell r="A2759" t="str">
            <v>TT0-2LG210P</v>
          </cell>
          <cell r="B2759" t="str">
            <v xml:space="preserve"> COVER LAMP</v>
          </cell>
          <cell r="C2759" t="str">
            <v>PC</v>
          </cell>
          <cell r="D2759">
            <v>0</v>
          </cell>
          <cell r="E2759">
            <v>35000</v>
          </cell>
          <cell r="F2759">
            <v>0</v>
          </cell>
        </row>
        <row r="2760">
          <cell r="A2760" t="str">
            <v>TT1-312000P</v>
          </cell>
          <cell r="B2760" t="str">
            <v>propeller shaft</v>
          </cell>
          <cell r="C2760" t="str">
            <v>PC</v>
          </cell>
          <cell r="D2760">
            <v>0</v>
          </cell>
          <cell r="E2760">
            <v>1</v>
          </cell>
          <cell r="F2760">
            <v>0</v>
          </cell>
        </row>
        <row r="2761">
          <cell r="A2761" t="str">
            <v>TT1-3B15000</v>
          </cell>
          <cell r="B2761" t="str">
            <v>PLATE ASSY(LH)</v>
          </cell>
          <cell r="C2761" t="str">
            <v>PC</v>
          </cell>
          <cell r="D2761">
            <v>0</v>
          </cell>
          <cell r="E2761">
            <v>175000</v>
          </cell>
          <cell r="F2761">
            <v>0</v>
          </cell>
        </row>
        <row r="2762">
          <cell r="A2762" t="str">
            <v>TT1-3B16000</v>
          </cell>
          <cell r="B2762" t="str">
            <v>PLATE ASSY(RH)</v>
          </cell>
          <cell r="C2762" t="str">
            <v>PC</v>
          </cell>
          <cell r="D2762">
            <v>0</v>
          </cell>
          <cell r="E2762">
            <v>175000</v>
          </cell>
          <cell r="F2762">
            <v>0</v>
          </cell>
        </row>
        <row r="2763">
          <cell r="A2763" t="str">
            <v>TT1-3FB100P</v>
          </cell>
          <cell r="B2763" t="str">
            <v>BUMPER CWB520LDN</v>
          </cell>
          <cell r="C2763" t="str">
            <v>PC</v>
          </cell>
          <cell r="D2763">
            <v>0</v>
          </cell>
          <cell r="E2763">
            <v>1000000</v>
          </cell>
          <cell r="F2763">
            <v>0</v>
          </cell>
        </row>
        <row r="2764">
          <cell r="A2764" t="str">
            <v>TT1-3G1000P</v>
          </cell>
          <cell r="B2764" t="str">
            <v>RADIATOR GUARD</v>
          </cell>
          <cell r="C2764" t="str">
            <v>PC</v>
          </cell>
          <cell r="D2764">
            <v>5</v>
          </cell>
          <cell r="E2764">
            <v>233725</v>
          </cell>
          <cell r="F2764">
            <v>1168625</v>
          </cell>
        </row>
        <row r="2765">
          <cell r="A2765" t="str">
            <v>TT1-3G1000P(2)</v>
          </cell>
          <cell r="B2765" t="str">
            <v>BRACKET RH</v>
          </cell>
          <cell r="C2765" t="str">
            <v>PC</v>
          </cell>
          <cell r="D2765">
            <v>0</v>
          </cell>
          <cell r="E2765">
            <v>102300</v>
          </cell>
          <cell r="F2765">
            <v>0</v>
          </cell>
        </row>
        <row r="2766">
          <cell r="A2766" t="str">
            <v>TT1-3PL000P</v>
          </cell>
          <cell r="B2766" t="str">
            <v>PROPELLER SHAFT</v>
          </cell>
          <cell r="C2766" t="str">
            <v>PC</v>
          </cell>
          <cell r="D2766">
            <v>0</v>
          </cell>
          <cell r="E2766">
            <v>127700</v>
          </cell>
          <cell r="F2766">
            <v>0</v>
          </cell>
        </row>
        <row r="2767">
          <cell r="A2767" t="str">
            <v>TT1-3PL100P</v>
          </cell>
          <cell r="B2767" t="str">
            <v>PIPE</v>
          </cell>
          <cell r="C2767" t="str">
            <v>PC</v>
          </cell>
          <cell r="D2767">
            <v>0</v>
          </cell>
          <cell r="E2767">
            <v>1</v>
          </cell>
          <cell r="F2767">
            <v>0</v>
          </cell>
        </row>
        <row r="2768">
          <cell r="A2768" t="str">
            <v>TT1-5G1000P(2)</v>
          </cell>
          <cell r="B2768" t="str">
            <v>bracket rh</v>
          </cell>
          <cell r="C2768" t="str">
            <v>PC</v>
          </cell>
          <cell r="D2768">
            <v>0</v>
          </cell>
          <cell r="E2768">
            <v>1</v>
          </cell>
          <cell r="F2768">
            <v>0</v>
          </cell>
        </row>
        <row r="2769">
          <cell r="A2769" t="str">
            <v>TT1-5G1000P(3)</v>
          </cell>
          <cell r="B2769" t="str">
            <v>bracket LH</v>
          </cell>
          <cell r="C2769" t="str">
            <v>PC</v>
          </cell>
          <cell r="D2769">
            <v>0</v>
          </cell>
          <cell r="E2769">
            <v>1</v>
          </cell>
          <cell r="F2769">
            <v>0</v>
          </cell>
        </row>
        <row r="2770">
          <cell r="A2770" t="str">
            <v>TT1-6F1000P</v>
          </cell>
          <cell r="B2770" t="str">
            <v>SUB FRAME TV16</v>
          </cell>
          <cell r="C2770" t="str">
            <v>PC</v>
          </cell>
          <cell r="D2770">
            <v>2</v>
          </cell>
          <cell r="E2770">
            <v>1749000</v>
          </cell>
          <cell r="F2770">
            <v>3498000</v>
          </cell>
        </row>
        <row r="2771">
          <cell r="A2771" t="str">
            <v>TT1-6H9000P</v>
          </cell>
          <cell r="B2771" t="str">
            <v>PROP. SHAFT TV20MHRT</v>
          </cell>
          <cell r="C2771" t="str">
            <v>PC</v>
          </cell>
          <cell r="D2771">
            <v>1</v>
          </cell>
          <cell r="E2771">
            <v>76620</v>
          </cell>
          <cell r="F2771">
            <v>76620</v>
          </cell>
        </row>
        <row r="2772">
          <cell r="A2772" t="str">
            <v>TT1-8B1000P</v>
          </cell>
          <cell r="B2772" t="str">
            <v>BODY ASSY TV 18</v>
          </cell>
          <cell r="C2772" t="str">
            <v>PC</v>
          </cell>
          <cell r="D2772">
            <v>0</v>
          </cell>
          <cell r="E2772">
            <v>17230000</v>
          </cell>
          <cell r="F2772">
            <v>0</v>
          </cell>
        </row>
        <row r="2773">
          <cell r="A2773" t="str">
            <v>TT1-8F1000P</v>
          </cell>
          <cell r="B2773" t="str">
            <v>SUB FRAME TV 18 HDN</v>
          </cell>
          <cell r="C2773" t="str">
            <v>PC</v>
          </cell>
          <cell r="D2773">
            <v>0</v>
          </cell>
          <cell r="E2773">
            <v>3900000</v>
          </cell>
          <cell r="F2773">
            <v>0</v>
          </cell>
        </row>
        <row r="2774">
          <cell r="A2774" t="str">
            <v>TT1-8F1H00P</v>
          </cell>
          <cell r="B2774" t="str">
            <v xml:space="preserve"> BRACKET PUMP TV 18 HDN</v>
          </cell>
          <cell r="C2774" t="str">
            <v>PC</v>
          </cell>
          <cell r="D2774">
            <v>0</v>
          </cell>
          <cell r="E2774">
            <v>145000</v>
          </cell>
          <cell r="F2774">
            <v>0</v>
          </cell>
        </row>
        <row r="2775">
          <cell r="A2775" t="str">
            <v>TT1-8F1L00P</v>
          </cell>
          <cell r="B2775" t="str">
            <v>WOOD SPACER 70X70X935</v>
          </cell>
          <cell r="C2775" t="str">
            <v>PC</v>
          </cell>
          <cell r="D2775">
            <v>39</v>
          </cell>
          <cell r="E2775">
            <v>23750</v>
          </cell>
          <cell r="F2775">
            <v>926250</v>
          </cell>
        </row>
        <row r="2776">
          <cell r="A2776" t="str">
            <v>TT1-8F1M00P</v>
          </cell>
          <cell r="B2776" t="str">
            <v>WOOD SPACER 70X70X3150</v>
          </cell>
          <cell r="C2776" t="str">
            <v>PC</v>
          </cell>
          <cell r="D2776">
            <v>0</v>
          </cell>
          <cell r="E2776">
            <v>95000</v>
          </cell>
          <cell r="F2776">
            <v>0</v>
          </cell>
        </row>
        <row r="2777">
          <cell r="A2777" t="str">
            <v>TT1-8G1100P-M</v>
          </cell>
          <cell r="B2777" t="str">
            <v>MUDGUARD 1</v>
          </cell>
          <cell r="C2777" t="str">
            <v>PC</v>
          </cell>
          <cell r="D2777">
            <v>2</v>
          </cell>
          <cell r="E2777">
            <v>91963</v>
          </cell>
          <cell r="F2777">
            <v>183925</v>
          </cell>
        </row>
        <row r="2778">
          <cell r="A2778" t="str">
            <v>TT1-8G1200P-M</v>
          </cell>
          <cell r="B2778" t="str">
            <v>MUDGUARD 2</v>
          </cell>
          <cell r="C2778" t="str">
            <v>PC</v>
          </cell>
          <cell r="D2778">
            <v>2</v>
          </cell>
          <cell r="E2778">
            <v>91963</v>
          </cell>
          <cell r="F2778">
            <v>183925</v>
          </cell>
        </row>
        <row r="2779">
          <cell r="A2779" t="str">
            <v>TT1-8G1300P-M</v>
          </cell>
          <cell r="B2779" t="str">
            <v>MUDGUARD 3</v>
          </cell>
          <cell r="C2779" t="str">
            <v>PC</v>
          </cell>
          <cell r="D2779">
            <v>2</v>
          </cell>
          <cell r="E2779">
            <v>88088</v>
          </cell>
          <cell r="F2779">
            <v>176175</v>
          </cell>
        </row>
        <row r="2780">
          <cell r="A2780" t="str">
            <v>TT1-8G1400P-M</v>
          </cell>
          <cell r="B2780" t="str">
            <v>MUDGUARD 4</v>
          </cell>
          <cell r="C2780" t="str">
            <v>PC</v>
          </cell>
          <cell r="D2780">
            <v>2</v>
          </cell>
          <cell r="E2780">
            <v>88088</v>
          </cell>
          <cell r="F2780">
            <v>176175</v>
          </cell>
        </row>
        <row r="2781">
          <cell r="A2781" t="str">
            <v>TT1-8G1500P-M</v>
          </cell>
          <cell r="B2781" t="str">
            <v>PLATE</v>
          </cell>
          <cell r="C2781" t="str">
            <v>PC</v>
          </cell>
          <cell r="D2781">
            <v>0</v>
          </cell>
          <cell r="E2781">
            <v>6000</v>
          </cell>
          <cell r="F2781">
            <v>0</v>
          </cell>
        </row>
        <row r="2782">
          <cell r="A2782" t="str">
            <v>TT1-8G1600P-M</v>
          </cell>
          <cell r="B2782" t="str">
            <v>PLATE</v>
          </cell>
          <cell r="C2782" t="str">
            <v>PC</v>
          </cell>
          <cell r="D2782">
            <v>0</v>
          </cell>
          <cell r="E2782">
            <v>6000</v>
          </cell>
          <cell r="F2782">
            <v>0</v>
          </cell>
        </row>
        <row r="2783">
          <cell r="A2783" t="str">
            <v>TT1-8G1700P-M</v>
          </cell>
          <cell r="B2783" t="str">
            <v>SIDE COVER</v>
          </cell>
          <cell r="C2783" t="str">
            <v>PC</v>
          </cell>
          <cell r="D2783">
            <v>0</v>
          </cell>
          <cell r="E2783">
            <v>40800</v>
          </cell>
          <cell r="F2783">
            <v>0</v>
          </cell>
        </row>
        <row r="2784">
          <cell r="A2784" t="str">
            <v>TT1-A10000P(2)</v>
          </cell>
          <cell r="B2784" t="str">
            <v>COALBODY HD785</v>
          </cell>
          <cell r="C2784" t="str">
            <v>PC</v>
          </cell>
          <cell r="D2784">
            <v>0</v>
          </cell>
          <cell r="E2784">
            <v>389400000</v>
          </cell>
          <cell r="F2784">
            <v>0</v>
          </cell>
        </row>
        <row r="2785">
          <cell r="A2785" t="str">
            <v>TT1-B100000</v>
          </cell>
          <cell r="B2785" t="str">
            <v>BODY SUB ASSY</v>
          </cell>
          <cell r="C2785" t="str">
            <v>PC</v>
          </cell>
          <cell r="D2785">
            <v>0</v>
          </cell>
          <cell r="E2785">
            <v>0</v>
          </cell>
          <cell r="F2785">
            <v>0</v>
          </cell>
        </row>
        <row r="2786">
          <cell r="A2786" t="str">
            <v>TT1-B13V00P-1</v>
          </cell>
          <cell r="B2786" t="str">
            <v>ROUND BAR</v>
          </cell>
          <cell r="C2786" t="str">
            <v>PC</v>
          </cell>
          <cell r="D2786">
            <v>0</v>
          </cell>
          <cell r="E2786">
            <v>0</v>
          </cell>
          <cell r="F2786">
            <v>0</v>
          </cell>
        </row>
        <row r="2787">
          <cell r="A2787" t="str">
            <v>TT1-B1C000P</v>
          </cell>
          <cell r="B2787" t="str">
            <v>LEVER ASSY</v>
          </cell>
          <cell r="C2787" t="str">
            <v>PC</v>
          </cell>
          <cell r="D2787">
            <v>0</v>
          </cell>
          <cell r="E2787">
            <v>0</v>
          </cell>
          <cell r="F2787">
            <v>0</v>
          </cell>
        </row>
        <row r="2788">
          <cell r="A2788" t="str">
            <v>TT2-0F40002</v>
          </cell>
          <cell r="B2788" t="str">
            <v>SUB FRAME DV10LDN</v>
          </cell>
          <cell r="C2788" t="str">
            <v>PC</v>
          </cell>
          <cell r="D2788">
            <v>0</v>
          </cell>
          <cell r="E2788">
            <v>3310000</v>
          </cell>
          <cell r="F2788">
            <v>0</v>
          </cell>
        </row>
        <row r="2789">
          <cell r="A2789" t="str">
            <v>TT2-0F4800P</v>
          </cell>
          <cell r="B2789" t="str">
            <v xml:space="preserve"> BRACKET PUMP TV13LDN</v>
          </cell>
          <cell r="C2789" t="str">
            <v>PC</v>
          </cell>
          <cell r="D2789">
            <v>0</v>
          </cell>
          <cell r="E2789">
            <v>215000</v>
          </cell>
          <cell r="F2789">
            <v>0</v>
          </cell>
        </row>
        <row r="2790">
          <cell r="A2790" t="str">
            <v>TT2-0H9000P</v>
          </cell>
          <cell r="B2790" t="str">
            <v xml:space="preserve"> PROP. SHAFT TV20LDN</v>
          </cell>
          <cell r="C2790" t="str">
            <v>PC</v>
          </cell>
          <cell r="D2790">
            <v>0</v>
          </cell>
          <cell r="E2790">
            <v>127700</v>
          </cell>
          <cell r="F2790">
            <v>0</v>
          </cell>
        </row>
        <row r="2791">
          <cell r="A2791" t="str">
            <v>TT2-0M40002</v>
          </cell>
          <cell r="B2791" t="str">
            <v>MOUNTING ASSY</v>
          </cell>
          <cell r="C2791" t="str">
            <v>PC</v>
          </cell>
          <cell r="D2791">
            <v>0</v>
          </cell>
          <cell r="E2791">
            <v>0</v>
          </cell>
          <cell r="F2791">
            <v>0</v>
          </cell>
        </row>
        <row r="2792">
          <cell r="A2792" t="str">
            <v>TT2-0M41002</v>
          </cell>
          <cell r="B2792" t="str">
            <v>GUSSET-SF</v>
          </cell>
          <cell r="C2792" t="str">
            <v>PC</v>
          </cell>
          <cell r="D2792">
            <v>0</v>
          </cell>
          <cell r="E2792">
            <v>0</v>
          </cell>
          <cell r="F2792">
            <v>0</v>
          </cell>
        </row>
        <row r="2793">
          <cell r="A2793" t="str">
            <v>TT2-2B1100P-2</v>
          </cell>
          <cell r="B2793" t="str">
            <v>SIDE WALL (LH)</v>
          </cell>
          <cell r="C2793" t="str">
            <v>PC</v>
          </cell>
          <cell r="D2793">
            <v>14</v>
          </cell>
          <cell r="E2793">
            <v>5310000</v>
          </cell>
          <cell r="F2793">
            <v>74340000</v>
          </cell>
        </row>
        <row r="2794">
          <cell r="A2794" t="str">
            <v>TT2-2B1200P-2</v>
          </cell>
          <cell r="B2794" t="str">
            <v>SIDE WALL (LH)</v>
          </cell>
          <cell r="C2794" t="str">
            <v>PC</v>
          </cell>
          <cell r="D2794">
            <v>14</v>
          </cell>
          <cell r="E2794">
            <v>5310000</v>
          </cell>
          <cell r="F2794">
            <v>74340000</v>
          </cell>
        </row>
        <row r="2795">
          <cell r="A2795" t="str">
            <v>TT2-2B1400P</v>
          </cell>
          <cell r="B2795" t="str">
            <v>FLOOR TV22</v>
          </cell>
          <cell r="C2795" t="str">
            <v>PC</v>
          </cell>
          <cell r="D2795">
            <v>0</v>
          </cell>
          <cell r="E2795">
            <v>3850000</v>
          </cell>
          <cell r="F2795">
            <v>0</v>
          </cell>
        </row>
        <row r="2796">
          <cell r="A2796" t="str">
            <v>TT2-2B1430P-M</v>
          </cell>
          <cell r="B2796" t="str">
            <v>CROSMEMBER</v>
          </cell>
          <cell r="C2796" t="str">
            <v>PC</v>
          </cell>
          <cell r="D2796">
            <v>0</v>
          </cell>
          <cell r="E2796">
            <v>6000</v>
          </cell>
          <cell r="F2796">
            <v>0</v>
          </cell>
        </row>
        <row r="2797">
          <cell r="A2797" t="str">
            <v>TT2-2B1431P-M</v>
          </cell>
          <cell r="B2797" t="str">
            <v>CROSMEMBER</v>
          </cell>
          <cell r="C2797" t="str">
            <v>PC</v>
          </cell>
          <cell r="D2797">
            <v>0</v>
          </cell>
          <cell r="E2797">
            <v>6000</v>
          </cell>
          <cell r="F2797">
            <v>0</v>
          </cell>
        </row>
        <row r="2798">
          <cell r="A2798" t="str">
            <v>TT2-2B1451P-M</v>
          </cell>
          <cell r="B2798" t="str">
            <v>PLATE</v>
          </cell>
          <cell r="C2798" t="str">
            <v>PC</v>
          </cell>
          <cell r="D2798">
            <v>0</v>
          </cell>
          <cell r="E2798">
            <v>161921</v>
          </cell>
          <cell r="F2798">
            <v>0</v>
          </cell>
        </row>
        <row r="2799">
          <cell r="A2799" t="str">
            <v>TT2-2B1452P-M</v>
          </cell>
          <cell r="B2799" t="str">
            <v>PLATE</v>
          </cell>
          <cell r="C2799" t="str">
            <v>PC</v>
          </cell>
          <cell r="D2799">
            <v>0</v>
          </cell>
          <cell r="E2799">
            <v>184555</v>
          </cell>
          <cell r="F2799">
            <v>0</v>
          </cell>
        </row>
        <row r="2800">
          <cell r="A2800" t="str">
            <v>TT2-2B1461P-M</v>
          </cell>
          <cell r="B2800" t="str">
            <v>PLATE</v>
          </cell>
          <cell r="C2800" t="str">
            <v>PC</v>
          </cell>
          <cell r="D2800">
            <v>0</v>
          </cell>
          <cell r="E2800">
            <v>161921</v>
          </cell>
          <cell r="F2800">
            <v>0</v>
          </cell>
        </row>
        <row r="2801">
          <cell r="A2801" t="str">
            <v>TT2-2B1462P-M</v>
          </cell>
          <cell r="B2801" t="str">
            <v>PLATE</v>
          </cell>
          <cell r="C2801" t="str">
            <v>PC</v>
          </cell>
          <cell r="D2801">
            <v>0</v>
          </cell>
          <cell r="E2801">
            <v>184555</v>
          </cell>
          <cell r="F2801">
            <v>0</v>
          </cell>
        </row>
        <row r="2802">
          <cell r="A2802" t="str">
            <v>TT2-2B1711P</v>
          </cell>
          <cell r="B2802" t="str">
            <v>Plate</v>
          </cell>
          <cell r="C2802" t="str">
            <v>PC</v>
          </cell>
          <cell r="D2802">
            <v>0</v>
          </cell>
          <cell r="E2802">
            <v>0</v>
          </cell>
          <cell r="F2802">
            <v>0</v>
          </cell>
        </row>
        <row r="2803">
          <cell r="A2803" t="str">
            <v>TT2-2B1711P-M</v>
          </cell>
          <cell r="B2803" t="str">
            <v>Plate</v>
          </cell>
          <cell r="C2803" t="str">
            <v>PC</v>
          </cell>
          <cell r="D2803">
            <v>0</v>
          </cell>
          <cell r="E2803">
            <v>4000</v>
          </cell>
          <cell r="F2803">
            <v>0</v>
          </cell>
        </row>
        <row r="2804">
          <cell r="A2804" t="str">
            <v>TT2-2B1712P</v>
          </cell>
          <cell r="B2804" t="str">
            <v>PLATE</v>
          </cell>
          <cell r="C2804" t="str">
            <v>PC</v>
          </cell>
          <cell r="D2804">
            <v>10</v>
          </cell>
          <cell r="E2804">
            <v>11200</v>
          </cell>
          <cell r="F2804">
            <v>112000</v>
          </cell>
        </row>
        <row r="2805">
          <cell r="A2805" t="str">
            <v>TT2-2B1721P-M</v>
          </cell>
          <cell r="B2805" t="str">
            <v>Plate</v>
          </cell>
          <cell r="C2805" t="str">
            <v>PC</v>
          </cell>
          <cell r="D2805">
            <v>0</v>
          </cell>
          <cell r="E2805">
            <v>17100</v>
          </cell>
          <cell r="F2805">
            <v>0</v>
          </cell>
        </row>
        <row r="2806">
          <cell r="A2806" t="str">
            <v>TT2-2B1722P</v>
          </cell>
          <cell r="B2806" t="str">
            <v>PLATE</v>
          </cell>
          <cell r="C2806" t="str">
            <v>PC</v>
          </cell>
          <cell r="D2806">
            <v>0</v>
          </cell>
          <cell r="E2806">
            <v>0</v>
          </cell>
          <cell r="F2806">
            <v>0</v>
          </cell>
        </row>
        <row r="2807">
          <cell r="A2807" t="str">
            <v>TT2-2B1723P</v>
          </cell>
          <cell r="B2807" t="str">
            <v>PLATE</v>
          </cell>
          <cell r="C2807" t="str">
            <v>PC</v>
          </cell>
          <cell r="D2807">
            <v>0</v>
          </cell>
          <cell r="E2807">
            <v>0</v>
          </cell>
          <cell r="F2807">
            <v>0</v>
          </cell>
        </row>
        <row r="2808">
          <cell r="A2808" t="str">
            <v>TT2-2B1724P</v>
          </cell>
          <cell r="B2808" t="str">
            <v>PLATE</v>
          </cell>
          <cell r="C2808" t="str">
            <v>PC</v>
          </cell>
          <cell r="D2808">
            <v>0</v>
          </cell>
          <cell r="E2808">
            <v>0</v>
          </cell>
          <cell r="F2808">
            <v>0</v>
          </cell>
        </row>
        <row r="2809">
          <cell r="A2809" t="str">
            <v>TT2-2B1725P</v>
          </cell>
          <cell r="B2809" t="str">
            <v>PLATE</v>
          </cell>
          <cell r="C2809" t="str">
            <v>PC</v>
          </cell>
          <cell r="D2809">
            <v>10</v>
          </cell>
          <cell r="E2809">
            <v>8150</v>
          </cell>
          <cell r="F2809">
            <v>81500</v>
          </cell>
        </row>
        <row r="2810">
          <cell r="A2810" t="str">
            <v>TT2-2B1726P</v>
          </cell>
          <cell r="B2810" t="str">
            <v>PLATE</v>
          </cell>
          <cell r="C2810" t="str">
            <v>PC</v>
          </cell>
          <cell r="D2810">
            <v>10</v>
          </cell>
          <cell r="E2810">
            <v>1800</v>
          </cell>
          <cell r="F2810">
            <v>18000</v>
          </cell>
        </row>
        <row r="2811">
          <cell r="A2811" t="str">
            <v>TT2-2B1727P</v>
          </cell>
          <cell r="B2811" t="str">
            <v>PLATE</v>
          </cell>
          <cell r="C2811" t="str">
            <v>PC</v>
          </cell>
          <cell r="D2811">
            <v>20</v>
          </cell>
          <cell r="E2811">
            <v>1700</v>
          </cell>
          <cell r="F2811">
            <v>34000</v>
          </cell>
        </row>
        <row r="2812">
          <cell r="A2812" t="str">
            <v>TT2-2B1730P</v>
          </cell>
          <cell r="B2812" t="str">
            <v>PLATE</v>
          </cell>
          <cell r="C2812" t="str">
            <v>PC</v>
          </cell>
          <cell r="D2812">
            <v>0</v>
          </cell>
          <cell r="E2812">
            <v>0</v>
          </cell>
          <cell r="F2812">
            <v>0</v>
          </cell>
        </row>
        <row r="2813">
          <cell r="A2813" t="str">
            <v>TT2-2B1740P</v>
          </cell>
          <cell r="B2813" t="str">
            <v>PLATE</v>
          </cell>
          <cell r="C2813" t="str">
            <v>PC</v>
          </cell>
          <cell r="D2813">
            <v>0</v>
          </cell>
          <cell r="E2813">
            <v>0</v>
          </cell>
          <cell r="F2813">
            <v>0</v>
          </cell>
        </row>
        <row r="2814">
          <cell r="A2814" t="str">
            <v>TT2-2B1750P</v>
          </cell>
          <cell r="B2814" t="str">
            <v>PLATE</v>
          </cell>
          <cell r="C2814" t="str">
            <v>PC</v>
          </cell>
          <cell r="D2814">
            <v>0</v>
          </cell>
          <cell r="E2814">
            <v>0</v>
          </cell>
          <cell r="F2814">
            <v>0</v>
          </cell>
        </row>
        <row r="2815">
          <cell r="A2815" t="str">
            <v>TT2-2B1765P</v>
          </cell>
          <cell r="B2815" t="str">
            <v>PLATE</v>
          </cell>
          <cell r="C2815" t="str">
            <v>PC</v>
          </cell>
          <cell r="D2815">
            <v>0</v>
          </cell>
          <cell r="E2815">
            <v>0</v>
          </cell>
          <cell r="F2815">
            <v>0</v>
          </cell>
        </row>
        <row r="2816">
          <cell r="A2816" t="str">
            <v>TT2-2B1800P-2</v>
          </cell>
          <cell r="B2816" t="str">
            <v>TAIL GATE</v>
          </cell>
          <cell r="C2816" t="str">
            <v>PC</v>
          </cell>
          <cell r="D2816">
            <v>15</v>
          </cell>
          <cell r="E2816">
            <v>3055000</v>
          </cell>
          <cell r="F2816">
            <v>45825000</v>
          </cell>
        </row>
        <row r="2817">
          <cell r="A2817" t="str">
            <v>TT2-2F1E00P</v>
          </cell>
          <cell r="B2817" t="str">
            <v>KAMPER</v>
          </cell>
          <cell r="C2817" t="str">
            <v>PC</v>
          </cell>
          <cell r="D2817">
            <v>58</v>
          </cell>
          <cell r="E2817">
            <v>24000</v>
          </cell>
          <cell r="F2817">
            <v>1392000</v>
          </cell>
        </row>
        <row r="2818">
          <cell r="A2818" t="str">
            <v>TT2-2M0000P</v>
          </cell>
          <cell r="B2818" t="str">
            <v>MOUNTING ASSY</v>
          </cell>
          <cell r="C2818" t="str">
            <v>PC</v>
          </cell>
          <cell r="D2818">
            <v>0</v>
          </cell>
          <cell r="E2818">
            <v>0</v>
          </cell>
          <cell r="F2818">
            <v>0</v>
          </cell>
        </row>
        <row r="2819">
          <cell r="A2819" t="str">
            <v>TT2-2M1000P</v>
          </cell>
          <cell r="B2819" t="str">
            <v>GUSSET-SF</v>
          </cell>
          <cell r="C2819" t="str">
            <v>PC</v>
          </cell>
          <cell r="D2819">
            <v>0</v>
          </cell>
          <cell r="E2819">
            <v>33000</v>
          </cell>
          <cell r="F2819">
            <v>0</v>
          </cell>
        </row>
        <row r="2820">
          <cell r="A2820" t="str">
            <v>TT2-2M1000P(2)</v>
          </cell>
          <cell r="B2820" t="str">
            <v>GUSSET-SF</v>
          </cell>
          <cell r="C2820" t="str">
            <v>PC</v>
          </cell>
          <cell r="D2820">
            <v>44</v>
          </cell>
          <cell r="E2820">
            <v>33000</v>
          </cell>
          <cell r="F2820">
            <v>1452000</v>
          </cell>
        </row>
        <row r="2821">
          <cell r="A2821" t="str">
            <v>TT2-2M20000</v>
          </cell>
          <cell r="B2821" t="str">
            <v>GUSSET CHASIS</v>
          </cell>
          <cell r="C2821" t="str">
            <v>PC</v>
          </cell>
          <cell r="D2821">
            <v>0</v>
          </cell>
          <cell r="E2821">
            <v>0</v>
          </cell>
          <cell r="F2821">
            <v>0</v>
          </cell>
        </row>
        <row r="2822">
          <cell r="A2822" t="str">
            <v>TT2-2M2000P</v>
          </cell>
          <cell r="B2822" t="str">
            <v>GUSSET CHASIS</v>
          </cell>
          <cell r="C2822" t="str">
            <v>PC</v>
          </cell>
          <cell r="D2822">
            <v>12</v>
          </cell>
          <cell r="E2822">
            <v>14700</v>
          </cell>
          <cell r="F2822">
            <v>176400</v>
          </cell>
        </row>
        <row r="2823">
          <cell r="A2823" t="str">
            <v>TT2-2MG110P-M</v>
          </cell>
          <cell r="B2823" t="str">
            <v>MUDGUARD</v>
          </cell>
          <cell r="C2823" t="str">
            <v>PC</v>
          </cell>
          <cell r="D2823">
            <v>12</v>
          </cell>
          <cell r="E2823">
            <v>61875</v>
          </cell>
          <cell r="F2823">
            <v>742500</v>
          </cell>
        </row>
        <row r="2824">
          <cell r="A2824" t="str">
            <v>TT2-2MG210P-M</v>
          </cell>
          <cell r="B2824" t="str">
            <v>MUDGUARD</v>
          </cell>
          <cell r="C2824" t="str">
            <v>PC</v>
          </cell>
          <cell r="D2824">
            <v>12</v>
          </cell>
          <cell r="E2824">
            <v>61875</v>
          </cell>
          <cell r="F2824">
            <v>742500</v>
          </cell>
        </row>
        <row r="2825">
          <cell r="A2825" t="str">
            <v>TT2-2MG310P-M</v>
          </cell>
          <cell r="B2825" t="str">
            <v>Plate</v>
          </cell>
          <cell r="C2825" t="str">
            <v>PC</v>
          </cell>
          <cell r="D2825">
            <v>12</v>
          </cell>
          <cell r="E2825">
            <v>61875</v>
          </cell>
          <cell r="F2825">
            <v>742500</v>
          </cell>
        </row>
        <row r="2826">
          <cell r="A2826" t="str">
            <v>TT2-2MG410P-M</v>
          </cell>
          <cell r="B2826" t="str">
            <v>Plate</v>
          </cell>
          <cell r="C2826" t="str">
            <v>PC</v>
          </cell>
          <cell r="D2826">
            <v>12</v>
          </cell>
          <cell r="E2826">
            <v>61875</v>
          </cell>
          <cell r="F2826">
            <v>742500</v>
          </cell>
        </row>
        <row r="2827">
          <cell r="A2827" t="str">
            <v>TT2-3B1810P</v>
          </cell>
          <cell r="B2827" t="str">
            <v>ROUND BAR</v>
          </cell>
          <cell r="C2827" t="str">
            <v>PC</v>
          </cell>
          <cell r="D2827">
            <v>20</v>
          </cell>
          <cell r="E2827">
            <v>53150</v>
          </cell>
          <cell r="F2827">
            <v>1063000</v>
          </cell>
        </row>
        <row r="2828">
          <cell r="A2828" t="str">
            <v>TT2-3B1820P</v>
          </cell>
          <cell r="B2828" t="str">
            <v>PLATE</v>
          </cell>
          <cell r="C2828" t="str">
            <v>PC</v>
          </cell>
          <cell r="D2828">
            <v>20</v>
          </cell>
          <cell r="E2828">
            <v>24670</v>
          </cell>
          <cell r="F2828">
            <v>493400</v>
          </cell>
        </row>
        <row r="2829">
          <cell r="A2829" t="str">
            <v>TT2-3B1COOP</v>
          </cell>
          <cell r="B2829" t="str">
            <v>PLATE</v>
          </cell>
          <cell r="C2829" t="str">
            <v>PCS</v>
          </cell>
          <cell r="D2829">
            <v>0</v>
          </cell>
          <cell r="E2829">
            <v>8250</v>
          </cell>
          <cell r="F2829">
            <v>0</v>
          </cell>
        </row>
        <row r="2830">
          <cell r="A2830" t="str">
            <v>TT2-3F3000P</v>
          </cell>
          <cell r="B2830" t="str">
            <v xml:space="preserve"> S FRAME TV23 RENAULT</v>
          </cell>
          <cell r="C2830" t="str">
            <v>PC</v>
          </cell>
          <cell r="D2830">
            <v>0</v>
          </cell>
          <cell r="E2830">
            <v>4775000</v>
          </cell>
          <cell r="F2830">
            <v>0</v>
          </cell>
        </row>
        <row r="2831">
          <cell r="A2831" t="str">
            <v>TT2-3F3500P</v>
          </cell>
          <cell r="B2831" t="str">
            <v xml:space="preserve"> KAMPER 50X70X1650</v>
          </cell>
          <cell r="C2831" t="str">
            <v>PC</v>
          </cell>
          <cell r="D2831">
            <v>0</v>
          </cell>
          <cell r="E2831">
            <v>36000</v>
          </cell>
          <cell r="F2831">
            <v>0</v>
          </cell>
        </row>
        <row r="2832">
          <cell r="A2832" t="str">
            <v>TT2-3LL310P</v>
          </cell>
          <cell r="B2832" t="str">
            <v xml:space="preserve"> FRONT PLATE LH</v>
          </cell>
          <cell r="C2832" t="str">
            <v>PC</v>
          </cell>
          <cell r="D2832">
            <v>0</v>
          </cell>
          <cell r="E2832">
            <v>31500</v>
          </cell>
          <cell r="F2832">
            <v>0</v>
          </cell>
        </row>
        <row r="2833">
          <cell r="A2833" t="str">
            <v>TT2-3LL320P</v>
          </cell>
          <cell r="B2833" t="str">
            <v xml:space="preserve"> FRONT PLATE RH</v>
          </cell>
          <cell r="C2833" t="str">
            <v>PC</v>
          </cell>
          <cell r="D2833">
            <v>0</v>
          </cell>
          <cell r="E2833">
            <v>31500</v>
          </cell>
          <cell r="F2833">
            <v>0</v>
          </cell>
        </row>
        <row r="2834">
          <cell r="A2834" t="str">
            <v>TT2-3LL330P</v>
          </cell>
          <cell r="B2834" t="str">
            <v xml:space="preserve"> REAR PLATE LH</v>
          </cell>
          <cell r="C2834" t="str">
            <v>PC</v>
          </cell>
          <cell r="D2834">
            <v>0</v>
          </cell>
          <cell r="E2834">
            <v>31500</v>
          </cell>
          <cell r="F2834">
            <v>0</v>
          </cell>
        </row>
        <row r="2835">
          <cell r="A2835" t="str">
            <v>TT2-3LL340P</v>
          </cell>
          <cell r="B2835" t="str">
            <v xml:space="preserve"> REAR PLATE RH</v>
          </cell>
          <cell r="C2835" t="str">
            <v>PC</v>
          </cell>
          <cell r="D2835">
            <v>0</v>
          </cell>
          <cell r="E2835">
            <v>31500</v>
          </cell>
          <cell r="F2835">
            <v>0</v>
          </cell>
        </row>
        <row r="2836">
          <cell r="A2836" t="str">
            <v>TT2-3M3100P</v>
          </cell>
          <cell r="B2836" t="str">
            <v xml:space="preserve"> LOWER BRACKET FR/LH</v>
          </cell>
          <cell r="C2836" t="str">
            <v>PC</v>
          </cell>
          <cell r="D2836">
            <v>1</v>
          </cell>
          <cell r="E2836">
            <v>43300</v>
          </cell>
          <cell r="F2836">
            <v>43300</v>
          </cell>
        </row>
        <row r="2837">
          <cell r="A2837" t="str">
            <v>TT2-3M3200P</v>
          </cell>
          <cell r="B2837" t="str">
            <v xml:space="preserve"> UPPER BRACKET FR/LH</v>
          </cell>
          <cell r="C2837" t="str">
            <v>PC</v>
          </cell>
          <cell r="D2837">
            <v>4</v>
          </cell>
          <cell r="E2837">
            <v>32300</v>
          </cell>
          <cell r="F2837">
            <v>129200</v>
          </cell>
        </row>
        <row r="2838">
          <cell r="A2838" t="str">
            <v>TT2-3M3300P</v>
          </cell>
          <cell r="B2838" t="str">
            <v xml:space="preserve"> BUSHING</v>
          </cell>
          <cell r="C2838" t="str">
            <v>PC</v>
          </cell>
          <cell r="D2838">
            <v>4</v>
          </cell>
          <cell r="E2838">
            <v>13300</v>
          </cell>
          <cell r="F2838">
            <v>53200</v>
          </cell>
        </row>
        <row r="2839">
          <cell r="A2839" t="str">
            <v>TT2-3M3400P</v>
          </cell>
          <cell r="B2839" t="str">
            <v xml:space="preserve"> LOWER BRACKET RR</v>
          </cell>
          <cell r="C2839" t="str">
            <v>PC</v>
          </cell>
          <cell r="D2839">
            <v>2</v>
          </cell>
          <cell r="E2839">
            <v>40650</v>
          </cell>
          <cell r="F2839">
            <v>81300</v>
          </cell>
        </row>
        <row r="2840">
          <cell r="A2840" t="str">
            <v>TT2-3M3500P</v>
          </cell>
          <cell r="B2840" t="str">
            <v xml:space="preserve"> PLATE</v>
          </cell>
          <cell r="C2840" t="str">
            <v>PC</v>
          </cell>
          <cell r="D2840">
            <v>0</v>
          </cell>
          <cell r="E2840">
            <v>14050</v>
          </cell>
          <cell r="F2840">
            <v>0</v>
          </cell>
        </row>
        <row r="2841">
          <cell r="A2841" t="str">
            <v>TT2-3M3600P</v>
          </cell>
          <cell r="B2841" t="str">
            <v xml:space="preserve"> LATERAL PLATE 1</v>
          </cell>
          <cell r="C2841" t="str">
            <v>PC</v>
          </cell>
          <cell r="D2841">
            <v>2</v>
          </cell>
          <cell r="E2841">
            <v>15000</v>
          </cell>
          <cell r="F2841">
            <v>30000</v>
          </cell>
        </row>
        <row r="2842">
          <cell r="A2842" t="str">
            <v>TT2-3M3700P</v>
          </cell>
          <cell r="B2842" t="str">
            <v xml:space="preserve"> LATERAL PLATE 2</v>
          </cell>
          <cell r="C2842" t="str">
            <v>PC</v>
          </cell>
          <cell r="D2842">
            <v>2</v>
          </cell>
          <cell r="E2842">
            <v>15800</v>
          </cell>
          <cell r="F2842">
            <v>31600</v>
          </cell>
        </row>
        <row r="2843">
          <cell r="A2843" t="str">
            <v>TT2-3M3800P</v>
          </cell>
          <cell r="B2843" t="str">
            <v xml:space="preserve"> LATERAL PLATE 3</v>
          </cell>
          <cell r="C2843" t="str">
            <v>PC</v>
          </cell>
          <cell r="D2843">
            <v>4</v>
          </cell>
          <cell r="E2843">
            <v>29700</v>
          </cell>
          <cell r="F2843">
            <v>118800</v>
          </cell>
        </row>
        <row r="2844">
          <cell r="A2844" t="str">
            <v>TT2-3M3900P</v>
          </cell>
          <cell r="B2844" t="str">
            <v xml:space="preserve"> EXTREMITY PLATE RR</v>
          </cell>
          <cell r="C2844" t="str">
            <v>PC</v>
          </cell>
          <cell r="D2844">
            <v>0</v>
          </cell>
          <cell r="E2844">
            <v>60950</v>
          </cell>
          <cell r="F2844">
            <v>0</v>
          </cell>
        </row>
        <row r="2845">
          <cell r="A2845" t="str">
            <v>TT2-3M3A00P</v>
          </cell>
          <cell r="B2845" t="str">
            <v xml:space="preserve"> LOWER BRACKET FR/RH</v>
          </cell>
          <cell r="C2845" t="str">
            <v>PC</v>
          </cell>
          <cell r="D2845">
            <v>1</v>
          </cell>
          <cell r="E2845">
            <v>40650</v>
          </cell>
          <cell r="F2845">
            <v>40650</v>
          </cell>
        </row>
        <row r="2846">
          <cell r="A2846" t="str">
            <v>TT2-3M4A10P</v>
          </cell>
          <cell r="B2846" t="str">
            <v>U-BOLT 3/4X650MM</v>
          </cell>
          <cell r="C2846" t="str">
            <v>PC</v>
          </cell>
          <cell r="D2846">
            <v>9</v>
          </cell>
          <cell r="E2846">
            <v>25800</v>
          </cell>
          <cell r="F2846">
            <v>232200</v>
          </cell>
        </row>
        <row r="2847">
          <cell r="A2847" t="str">
            <v>TT2-3MG110P-M</v>
          </cell>
          <cell r="B2847" t="str">
            <v>MUDGUARD</v>
          </cell>
          <cell r="C2847" t="str">
            <v>PC</v>
          </cell>
          <cell r="D2847">
            <v>0</v>
          </cell>
          <cell r="E2847">
            <v>12000</v>
          </cell>
          <cell r="F2847">
            <v>0</v>
          </cell>
        </row>
        <row r="2848">
          <cell r="A2848" t="str">
            <v>TT2-3X3100P-M</v>
          </cell>
          <cell r="B2848" t="str">
            <v xml:space="preserve"> PROPELLER SHAFT</v>
          </cell>
          <cell r="C2848" t="str">
            <v>PC</v>
          </cell>
          <cell r="D2848">
            <v>0</v>
          </cell>
          <cell r="E2848">
            <v>127700</v>
          </cell>
          <cell r="F2848">
            <v>0</v>
          </cell>
        </row>
        <row r="2849">
          <cell r="A2849" t="str">
            <v>TT2-B35B00P</v>
          </cell>
          <cell r="B2849" t="str">
            <v>SPRING TV 3.5X25X280</v>
          </cell>
          <cell r="C2849" t="str">
            <v>PC</v>
          </cell>
          <cell r="D2849">
            <v>6</v>
          </cell>
          <cell r="E2849">
            <v>15250</v>
          </cell>
          <cell r="F2849">
            <v>91500</v>
          </cell>
        </row>
        <row r="2850">
          <cell r="A2850" t="str">
            <v>TT2-B550000</v>
          </cell>
          <cell r="B2850" t="str">
            <v>TAIL GATE TV20MHRT</v>
          </cell>
          <cell r="C2850" t="str">
            <v>PC</v>
          </cell>
          <cell r="D2850">
            <v>2</v>
          </cell>
          <cell r="E2850">
            <v>1083600</v>
          </cell>
          <cell r="F2850">
            <v>2167200</v>
          </cell>
        </row>
        <row r="2851">
          <cell r="A2851" t="str">
            <v>TT2-B5E0000</v>
          </cell>
          <cell r="B2851" t="str">
            <v>PIN TAIL GATE</v>
          </cell>
          <cell r="C2851" t="str">
            <v>PC</v>
          </cell>
          <cell r="D2851">
            <v>60</v>
          </cell>
          <cell r="E2851">
            <v>27000</v>
          </cell>
          <cell r="F2851">
            <v>1620000</v>
          </cell>
        </row>
        <row r="2852">
          <cell r="A2852" t="str">
            <v>TT2-C12000P(2)</v>
          </cell>
          <cell r="B2852" t="str">
            <v>PLATE</v>
          </cell>
          <cell r="C2852" t="str">
            <v>PCS</v>
          </cell>
          <cell r="D2852">
            <v>14</v>
          </cell>
          <cell r="E2852">
            <v>5450</v>
          </cell>
          <cell r="F2852">
            <v>76300</v>
          </cell>
        </row>
        <row r="2853">
          <cell r="A2853" t="str">
            <v>TT2-C13100P(2)</v>
          </cell>
          <cell r="B2853" t="str">
            <v>BUSHING</v>
          </cell>
          <cell r="C2853" t="str">
            <v>PCS</v>
          </cell>
          <cell r="D2853">
            <v>12</v>
          </cell>
          <cell r="E2853">
            <v>91250</v>
          </cell>
          <cell r="F2853">
            <v>1095000</v>
          </cell>
        </row>
        <row r="2854">
          <cell r="A2854" t="str">
            <v>TT2-C14000P(2)</v>
          </cell>
          <cell r="B2854" t="str">
            <v>HOOK</v>
          </cell>
          <cell r="C2854" t="str">
            <v>PCS</v>
          </cell>
          <cell r="D2854">
            <v>14</v>
          </cell>
          <cell r="E2854">
            <v>21550</v>
          </cell>
          <cell r="F2854">
            <v>301700</v>
          </cell>
        </row>
        <row r="2855">
          <cell r="A2855" t="str">
            <v>TT2-C150000</v>
          </cell>
          <cell r="B2855" t="str">
            <v>PLATE</v>
          </cell>
          <cell r="C2855" t="str">
            <v>PC</v>
          </cell>
          <cell r="D2855">
            <v>0</v>
          </cell>
          <cell r="E2855">
            <v>5600</v>
          </cell>
          <cell r="F2855">
            <v>0</v>
          </cell>
        </row>
        <row r="2856">
          <cell r="A2856" t="str">
            <v>TT2-C15000P(2)</v>
          </cell>
          <cell r="B2856" t="str">
            <v>CHAIN BRACKET</v>
          </cell>
          <cell r="C2856" t="str">
            <v>PCS</v>
          </cell>
          <cell r="D2856">
            <v>12</v>
          </cell>
          <cell r="E2856">
            <v>13000</v>
          </cell>
          <cell r="F2856">
            <v>156000</v>
          </cell>
        </row>
        <row r="2857">
          <cell r="A2857" t="str">
            <v>TT2-C16000P(2)</v>
          </cell>
          <cell r="B2857" t="str">
            <v>SHAFT</v>
          </cell>
          <cell r="C2857" t="str">
            <v>PCS</v>
          </cell>
          <cell r="D2857">
            <v>12</v>
          </cell>
          <cell r="E2857">
            <v>42650</v>
          </cell>
          <cell r="F2857">
            <v>511800</v>
          </cell>
        </row>
        <row r="2858">
          <cell r="A2858" t="str">
            <v>TT2-C18000P(2)</v>
          </cell>
          <cell r="B2858" t="str">
            <v>STOPPER PLATE</v>
          </cell>
          <cell r="C2858" t="str">
            <v>PCS</v>
          </cell>
          <cell r="D2858">
            <v>34</v>
          </cell>
          <cell r="E2858">
            <v>8650</v>
          </cell>
          <cell r="F2858">
            <v>294100</v>
          </cell>
        </row>
        <row r="2859">
          <cell r="A2859" t="str">
            <v>TT2-C1E000P(2)</v>
          </cell>
          <cell r="B2859" t="str">
            <v>BRACKET</v>
          </cell>
          <cell r="C2859" t="str">
            <v>PCS</v>
          </cell>
          <cell r="D2859">
            <v>12</v>
          </cell>
          <cell r="E2859">
            <v>43000</v>
          </cell>
          <cell r="F2859">
            <v>516000</v>
          </cell>
        </row>
        <row r="2860">
          <cell r="A2860" t="str">
            <v>TT2-C200000</v>
          </cell>
          <cell r="B2860" t="str">
            <v>PIPE</v>
          </cell>
          <cell r="C2860" t="str">
            <v>PC</v>
          </cell>
          <cell r="D2860">
            <v>1</v>
          </cell>
          <cell r="E2860">
            <v>50000</v>
          </cell>
          <cell r="F2860">
            <v>50000</v>
          </cell>
        </row>
        <row r="2861">
          <cell r="A2861" t="str">
            <v>TT2-F153000</v>
          </cell>
          <cell r="B2861" t="str">
            <v>Wood Spacer (TT2-F153000)</v>
          </cell>
          <cell r="C2861" t="str">
            <v>PC</v>
          </cell>
          <cell r="D2861">
            <v>0</v>
          </cell>
          <cell r="E2861">
            <v>1</v>
          </cell>
          <cell r="F2861">
            <v>0</v>
          </cell>
        </row>
        <row r="2862">
          <cell r="A2862" t="str">
            <v>TT2-F1F0000</v>
          </cell>
          <cell r="B2862" t="str">
            <v>KAMPER 70X70X1400</v>
          </cell>
          <cell r="C2862" t="str">
            <v>PC</v>
          </cell>
          <cell r="D2862">
            <v>24</v>
          </cell>
          <cell r="E2862">
            <v>25714</v>
          </cell>
          <cell r="F2862">
            <v>617136</v>
          </cell>
        </row>
        <row r="2863">
          <cell r="A2863" t="str">
            <v>TT2-F1F1000</v>
          </cell>
          <cell r="B2863" t="str">
            <v>KAMPER 70X70X1900</v>
          </cell>
          <cell r="C2863" t="str">
            <v>PC</v>
          </cell>
          <cell r="D2863">
            <v>0</v>
          </cell>
          <cell r="E2863">
            <v>30000</v>
          </cell>
          <cell r="F2863">
            <v>0</v>
          </cell>
        </row>
        <row r="2864">
          <cell r="A2864" t="str">
            <v>TT2-F1K5000</v>
          </cell>
          <cell r="B2864" t="str">
            <v>BRACKET</v>
          </cell>
          <cell r="C2864" t="str">
            <v>PC</v>
          </cell>
          <cell r="D2864">
            <v>0</v>
          </cell>
          <cell r="E2864">
            <v>94650</v>
          </cell>
          <cell r="F2864">
            <v>0</v>
          </cell>
        </row>
        <row r="2865">
          <cell r="A2865" t="str">
            <v>TT2-F1Q0001</v>
          </cell>
          <cell r="B2865" t="str">
            <v>HANDLE CONTROL</v>
          </cell>
          <cell r="C2865" t="str">
            <v>PC</v>
          </cell>
          <cell r="D2865">
            <v>20</v>
          </cell>
          <cell r="E2865">
            <v>129701</v>
          </cell>
          <cell r="F2865">
            <v>2594029</v>
          </cell>
        </row>
        <row r="2866">
          <cell r="A2866" t="str">
            <v>TT2-F4D0002P</v>
          </cell>
          <cell r="B2866" t="str">
            <v>KAMPER 50X70X1900</v>
          </cell>
          <cell r="C2866" t="str">
            <v>PC</v>
          </cell>
          <cell r="D2866">
            <v>0</v>
          </cell>
          <cell r="E2866">
            <v>21600</v>
          </cell>
          <cell r="F2866">
            <v>0</v>
          </cell>
        </row>
        <row r="2867">
          <cell r="A2867" t="str">
            <v>TT2-G500000</v>
          </cell>
          <cell r="B2867" t="str">
            <v>PENGUAT MUD GUARD FR</v>
          </cell>
          <cell r="C2867" t="str">
            <v>PC</v>
          </cell>
          <cell r="D2867">
            <v>48</v>
          </cell>
          <cell r="E2867">
            <v>4845</v>
          </cell>
          <cell r="F2867">
            <v>232560</v>
          </cell>
        </row>
        <row r="2868">
          <cell r="A2868" t="str">
            <v>TT2-G600000</v>
          </cell>
          <cell r="B2868" t="str">
            <v>PENGUAT MUD GUARD RR</v>
          </cell>
          <cell r="C2868" t="str">
            <v>PC</v>
          </cell>
          <cell r="D2868">
            <v>28</v>
          </cell>
          <cell r="E2868">
            <v>4275</v>
          </cell>
          <cell r="F2868">
            <v>119700</v>
          </cell>
        </row>
        <row r="2869">
          <cell r="A2869" t="str">
            <v>TT2-M134000</v>
          </cell>
          <cell r="B2869" t="str">
            <v xml:space="preserve"> OVER CHASIS-LH</v>
          </cell>
          <cell r="C2869" t="str">
            <v>PC</v>
          </cell>
          <cell r="D2869">
            <v>0</v>
          </cell>
          <cell r="E2869">
            <v>37704</v>
          </cell>
          <cell r="F2869">
            <v>0</v>
          </cell>
        </row>
        <row r="2870">
          <cell r="A2870" t="str">
            <v>TT2-M13400P</v>
          </cell>
          <cell r="B2870" t="str">
            <v>COVER CHASIS LH</v>
          </cell>
          <cell r="C2870" t="str">
            <v>PC</v>
          </cell>
          <cell r="D2870">
            <v>23</v>
          </cell>
          <cell r="E2870">
            <v>25100</v>
          </cell>
          <cell r="F2870">
            <v>577300</v>
          </cell>
        </row>
        <row r="2871">
          <cell r="A2871" t="str">
            <v>TT2-M135000</v>
          </cell>
          <cell r="B2871" t="str">
            <v>COVER CHASIS-RH</v>
          </cell>
          <cell r="C2871" t="str">
            <v>PC</v>
          </cell>
          <cell r="D2871">
            <v>0</v>
          </cell>
          <cell r="E2871">
            <v>37704</v>
          </cell>
          <cell r="F2871">
            <v>0</v>
          </cell>
        </row>
        <row r="2872">
          <cell r="A2872" t="str">
            <v>TT2-M13500P</v>
          </cell>
          <cell r="B2872" t="str">
            <v>COVER CHASIS RH</v>
          </cell>
          <cell r="C2872" t="str">
            <v>PC</v>
          </cell>
          <cell r="D2872">
            <v>21</v>
          </cell>
          <cell r="E2872">
            <v>25100</v>
          </cell>
          <cell r="F2872">
            <v>527100</v>
          </cell>
        </row>
        <row r="2873">
          <cell r="A2873" t="str">
            <v>TT2-M420000</v>
          </cell>
          <cell r="B2873" t="str">
            <v>MOUNTING BRACKET</v>
          </cell>
          <cell r="C2873" t="str">
            <v>PC</v>
          </cell>
          <cell r="D2873">
            <v>85</v>
          </cell>
          <cell r="E2873">
            <v>21200</v>
          </cell>
          <cell r="F2873">
            <v>1802000</v>
          </cell>
        </row>
        <row r="2874">
          <cell r="A2874" t="str">
            <v>TT2-MA00000</v>
          </cell>
          <cell r="B2874" t="str">
            <v>HOSE HANGER</v>
          </cell>
          <cell r="C2874" t="str">
            <v>PC</v>
          </cell>
          <cell r="D2874">
            <v>0</v>
          </cell>
          <cell r="E2874">
            <v>0</v>
          </cell>
          <cell r="F2874">
            <v>0</v>
          </cell>
        </row>
        <row r="2875">
          <cell r="A2875" t="str">
            <v>TT2-MA0000P</v>
          </cell>
          <cell r="B2875" t="str">
            <v>HOSE HANGER</v>
          </cell>
          <cell r="C2875" t="str">
            <v>PC</v>
          </cell>
          <cell r="D2875">
            <v>0</v>
          </cell>
          <cell r="E2875">
            <v>4698</v>
          </cell>
          <cell r="F2875">
            <v>0</v>
          </cell>
        </row>
        <row r="2876">
          <cell r="A2876" t="str">
            <v>TT3-3B1300P</v>
          </cell>
          <cell r="B2876" t="str">
            <v>FRONT WALL</v>
          </cell>
          <cell r="C2876" t="str">
            <v>PC</v>
          </cell>
          <cell r="D2876">
            <v>5</v>
          </cell>
          <cell r="E2876">
            <v>1500000</v>
          </cell>
          <cell r="F2876">
            <v>7500000</v>
          </cell>
        </row>
        <row r="2877">
          <cell r="A2877" t="str">
            <v>TT3-3L9000P</v>
          </cell>
          <cell r="B2877" t="str">
            <v xml:space="preserve"> PLATE ASSY</v>
          </cell>
          <cell r="C2877" t="str">
            <v>PC</v>
          </cell>
          <cell r="D2877">
            <v>0</v>
          </cell>
          <cell r="E2877">
            <v>10550</v>
          </cell>
          <cell r="F2877">
            <v>0</v>
          </cell>
        </row>
        <row r="2878">
          <cell r="A2878" t="str">
            <v>TT3-3LL300P</v>
          </cell>
          <cell r="B2878" t="str">
            <v xml:space="preserve"> PLATE</v>
          </cell>
          <cell r="C2878" t="str">
            <v>PC</v>
          </cell>
          <cell r="D2878">
            <v>40</v>
          </cell>
          <cell r="E2878">
            <v>3200</v>
          </cell>
          <cell r="F2878">
            <v>128000</v>
          </cell>
        </row>
        <row r="2879">
          <cell r="A2879" t="str">
            <v>TW1/2120</v>
          </cell>
          <cell r="B2879" t="str">
            <v>TUBE WELD 21 JIC</v>
          </cell>
          <cell r="C2879" t="str">
            <v>PC</v>
          </cell>
          <cell r="D2879">
            <v>5</v>
          </cell>
          <cell r="E2879">
            <v>32986</v>
          </cell>
          <cell r="F2879">
            <v>164929</v>
          </cell>
        </row>
        <row r="2880">
          <cell r="A2880" t="str">
            <v>TW4/1616</v>
          </cell>
          <cell r="B2880" t="str">
            <v>TUBEWELD SOCKET 1" TW4/1616</v>
          </cell>
          <cell r="C2880" t="str">
            <v>PC</v>
          </cell>
          <cell r="D2880">
            <v>0</v>
          </cell>
          <cell r="E2880">
            <v>36699</v>
          </cell>
          <cell r="F2880">
            <v>0</v>
          </cell>
        </row>
        <row r="2881">
          <cell r="A2881" t="str">
            <v>TWE-40/40/40-BS</v>
          </cell>
          <cell r="B2881" t="str">
            <v xml:space="preserve"> TEE WELD 4" BS </v>
          </cell>
          <cell r="C2881" t="str">
            <v>PC</v>
          </cell>
          <cell r="D2881">
            <v>0</v>
          </cell>
          <cell r="E2881">
            <v>65000</v>
          </cell>
          <cell r="F2881">
            <v>0</v>
          </cell>
        </row>
        <row r="2882">
          <cell r="A2882" t="str">
            <v>TWE-4-BS</v>
          </cell>
          <cell r="B2882" t="str">
            <v xml:space="preserve"> TEE 4" SGP BS</v>
          </cell>
          <cell r="C2882" t="str">
            <v>PC</v>
          </cell>
          <cell r="D2882">
            <v>0</v>
          </cell>
          <cell r="E2882">
            <v>65000</v>
          </cell>
          <cell r="F2882">
            <v>0</v>
          </cell>
        </row>
        <row r="2883">
          <cell r="A2883" t="str">
            <v>TY2-5F1000P</v>
          </cell>
          <cell r="B2883" t="str">
            <v>MAIN FRAME ASSY.</v>
          </cell>
          <cell r="C2883" t="str">
            <v>PC</v>
          </cell>
          <cell r="D2883">
            <v>0</v>
          </cell>
          <cell r="E2883">
            <v>7000000</v>
          </cell>
          <cell r="F2883">
            <v>0</v>
          </cell>
        </row>
        <row r="2884">
          <cell r="A2884" t="str">
            <v>TY2-5F2000P</v>
          </cell>
          <cell r="B2884" t="str">
            <v>A-FRAME ASSY</v>
          </cell>
          <cell r="C2884" t="str">
            <v>PC</v>
          </cell>
          <cell r="D2884">
            <v>0</v>
          </cell>
          <cell r="E2884">
            <v>2800000</v>
          </cell>
          <cell r="F2884">
            <v>0</v>
          </cell>
        </row>
        <row r="2885">
          <cell r="A2885" t="str">
            <v>TY2-5F3000P</v>
          </cell>
          <cell r="B2885" t="str">
            <v>REAR CLAMP PLATE</v>
          </cell>
          <cell r="C2885" t="str">
            <v>PC</v>
          </cell>
          <cell r="D2885">
            <v>0</v>
          </cell>
          <cell r="E2885">
            <v>0</v>
          </cell>
          <cell r="F2885">
            <v>0</v>
          </cell>
        </row>
        <row r="2886">
          <cell r="A2886" t="str">
            <v>TY2-5F4000P</v>
          </cell>
          <cell r="B2886" t="str">
            <v>MUD FLAP SUPPORT</v>
          </cell>
          <cell r="C2886" t="str">
            <v>PC</v>
          </cell>
          <cell r="D2886">
            <v>2</v>
          </cell>
          <cell r="E2886">
            <v>37000</v>
          </cell>
          <cell r="F2886">
            <v>74000</v>
          </cell>
        </row>
        <row r="2887">
          <cell r="A2887" t="str">
            <v>TY2-5F5000P</v>
          </cell>
          <cell r="B2887" t="str">
            <v>PLATE</v>
          </cell>
          <cell r="C2887" t="str">
            <v>PC</v>
          </cell>
          <cell r="D2887">
            <v>0</v>
          </cell>
          <cell r="E2887">
            <v>0</v>
          </cell>
          <cell r="F2887">
            <v>0</v>
          </cell>
        </row>
        <row r="2888">
          <cell r="A2888" t="str">
            <v>TY2-5F8000P</v>
          </cell>
          <cell r="B2888" t="str">
            <v>GREASING SYSTEM</v>
          </cell>
          <cell r="C2888" t="str">
            <v>PC</v>
          </cell>
          <cell r="D2888">
            <v>0</v>
          </cell>
          <cell r="E2888">
            <v>0</v>
          </cell>
          <cell r="F2888">
            <v>0</v>
          </cell>
        </row>
        <row r="2889">
          <cell r="A2889" t="str">
            <v>TY2-5F8100P</v>
          </cell>
          <cell r="B2889" t="str">
            <v>FEEDER</v>
          </cell>
          <cell r="C2889" t="str">
            <v>PC</v>
          </cell>
          <cell r="D2889">
            <v>5</v>
          </cell>
          <cell r="E2889">
            <v>30000</v>
          </cell>
          <cell r="F2889">
            <v>150000</v>
          </cell>
        </row>
        <row r="2890">
          <cell r="A2890" t="str">
            <v>TY2-5F8210P</v>
          </cell>
          <cell r="B2890" t="str">
            <v>UPPER CLAMP</v>
          </cell>
          <cell r="C2890" t="str">
            <v>PC</v>
          </cell>
          <cell r="D2890">
            <v>0</v>
          </cell>
          <cell r="E2890">
            <v>0</v>
          </cell>
          <cell r="F2890">
            <v>0</v>
          </cell>
        </row>
        <row r="2891">
          <cell r="A2891" t="str">
            <v>TY2-5F8220P</v>
          </cell>
          <cell r="B2891" t="str">
            <v>LOWER CLAMP</v>
          </cell>
          <cell r="C2891" t="str">
            <v>PC</v>
          </cell>
          <cell r="D2891">
            <v>0</v>
          </cell>
          <cell r="E2891">
            <v>0</v>
          </cell>
          <cell r="F2891">
            <v>0</v>
          </cell>
        </row>
        <row r="2892">
          <cell r="A2892" t="str">
            <v>TY3-5F2000P</v>
          </cell>
          <cell r="B2892" t="str">
            <v xml:space="preserve"> A-FRAME ASSY</v>
          </cell>
          <cell r="C2892" t="str">
            <v>PC</v>
          </cell>
          <cell r="D2892">
            <v>0</v>
          </cell>
          <cell r="E2892">
            <v>2800000</v>
          </cell>
          <cell r="F2892">
            <v>0</v>
          </cell>
        </row>
        <row r="2893">
          <cell r="A2893" t="str">
            <v>TY3-Y1A000P</v>
          </cell>
          <cell r="B2893" t="str">
            <v>FEEDER</v>
          </cell>
          <cell r="C2893" t="str">
            <v>PC</v>
          </cell>
          <cell r="D2893">
            <v>5</v>
          </cell>
          <cell r="E2893">
            <v>57500</v>
          </cell>
          <cell r="F2893">
            <v>287500</v>
          </cell>
        </row>
        <row r="2894">
          <cell r="A2894" t="str">
            <v>TY4-F11230P</v>
          </cell>
          <cell r="B2894" t="str">
            <v>5TH WHEEL STOPPER</v>
          </cell>
          <cell r="C2894" t="str">
            <v>PC</v>
          </cell>
          <cell r="D2894">
            <v>8</v>
          </cell>
          <cell r="E2894">
            <v>4350</v>
          </cell>
          <cell r="F2894">
            <v>34800</v>
          </cell>
        </row>
        <row r="2895">
          <cell r="A2895" t="str">
            <v>TY4-F20000P</v>
          </cell>
          <cell r="B2895" t="str">
            <v xml:space="preserve"> UPPER FRAME</v>
          </cell>
          <cell r="C2895" t="str">
            <v>PC</v>
          </cell>
          <cell r="D2895">
            <v>5</v>
          </cell>
          <cell r="E2895">
            <v>310000</v>
          </cell>
          <cell r="F2895">
            <v>1550000</v>
          </cell>
        </row>
        <row r="2896">
          <cell r="A2896" t="str">
            <v>TY4-F30000P</v>
          </cell>
          <cell r="B2896" t="str">
            <v xml:space="preserve"> LOWER FRAME</v>
          </cell>
          <cell r="C2896" t="str">
            <v>PC</v>
          </cell>
          <cell r="D2896">
            <v>0</v>
          </cell>
          <cell r="E2896">
            <v>320000</v>
          </cell>
          <cell r="F2896">
            <v>0</v>
          </cell>
        </row>
        <row r="2897">
          <cell r="A2897" t="str">
            <v>TY4-F50000P</v>
          </cell>
          <cell r="B2897" t="str">
            <v xml:space="preserve"> LOCK PIN</v>
          </cell>
          <cell r="C2897" t="str">
            <v>PC</v>
          </cell>
          <cell r="D2897">
            <v>0</v>
          </cell>
          <cell r="E2897">
            <v>58500</v>
          </cell>
          <cell r="F2897">
            <v>0</v>
          </cell>
        </row>
        <row r="2898">
          <cell r="A2898" t="str">
            <v>TY4-F60000P</v>
          </cell>
          <cell r="B2898" t="str">
            <v xml:space="preserve"> SYSTEM PANEL</v>
          </cell>
          <cell r="C2898" t="str">
            <v>PC</v>
          </cell>
          <cell r="D2898">
            <v>10</v>
          </cell>
          <cell r="E2898">
            <v>35000</v>
          </cell>
          <cell r="F2898">
            <v>350000</v>
          </cell>
        </row>
        <row r="2899">
          <cell r="A2899" t="str">
            <v>TY4-F71000P</v>
          </cell>
          <cell r="B2899" t="str">
            <v xml:space="preserve"> MOUNTING PLATE</v>
          </cell>
          <cell r="C2899" t="str">
            <v>PC</v>
          </cell>
          <cell r="D2899">
            <v>2</v>
          </cell>
          <cell r="E2899">
            <v>130000</v>
          </cell>
          <cell r="F2899">
            <v>260000</v>
          </cell>
        </row>
        <row r="2900">
          <cell r="A2900" t="str">
            <v>TY4-F72000P</v>
          </cell>
          <cell r="B2900" t="str">
            <v xml:space="preserve"> STOPPER BLOK A</v>
          </cell>
          <cell r="C2900" t="str">
            <v>PC</v>
          </cell>
          <cell r="D2900">
            <v>0</v>
          </cell>
          <cell r="E2900">
            <v>7400</v>
          </cell>
          <cell r="F2900">
            <v>0</v>
          </cell>
        </row>
        <row r="2901">
          <cell r="A2901" t="str">
            <v>TY4-F73000P</v>
          </cell>
          <cell r="B2901" t="str">
            <v xml:space="preserve"> STOPPER BLOK B</v>
          </cell>
          <cell r="C2901" t="str">
            <v>PC</v>
          </cell>
          <cell r="D2901">
            <v>0</v>
          </cell>
          <cell r="E2901">
            <v>4000</v>
          </cell>
          <cell r="F2901">
            <v>0</v>
          </cell>
        </row>
        <row r="2902">
          <cell r="A2902" t="str">
            <v>TY5-F11000P-M</v>
          </cell>
          <cell r="B2902" t="str">
            <v>FRAME ASSY DOLY 50</v>
          </cell>
          <cell r="C2902" t="str">
            <v>PC</v>
          </cell>
          <cell r="D2902">
            <v>0</v>
          </cell>
          <cell r="E2902">
            <v>11290000</v>
          </cell>
          <cell r="F2902">
            <v>0</v>
          </cell>
        </row>
        <row r="2903">
          <cell r="A2903" t="str">
            <v>TY5-F11B000</v>
          </cell>
          <cell r="B2903" t="str">
            <v>HYDRAULIC BRACKET</v>
          </cell>
          <cell r="C2903" t="str">
            <v>PC</v>
          </cell>
          <cell r="D2903">
            <v>0</v>
          </cell>
          <cell r="E2903">
            <v>0</v>
          </cell>
          <cell r="F2903">
            <v>0</v>
          </cell>
        </row>
        <row r="2904">
          <cell r="A2904" t="str">
            <v>TY5-F120000</v>
          </cell>
          <cell r="B2904" t="str">
            <v>DRAWBAR ASSY</v>
          </cell>
          <cell r="C2904" t="str">
            <v>PC</v>
          </cell>
          <cell r="D2904">
            <v>2</v>
          </cell>
          <cell r="E2904">
            <v>1800000</v>
          </cell>
          <cell r="F2904">
            <v>3600000</v>
          </cell>
        </row>
        <row r="2905">
          <cell r="A2905" t="str">
            <v>TY5-F120000-M</v>
          </cell>
          <cell r="B2905" t="str">
            <v>FRAME ASSY DOLY 50</v>
          </cell>
          <cell r="C2905" t="str">
            <v>PC</v>
          </cell>
          <cell r="D2905">
            <v>0</v>
          </cell>
          <cell r="E2905">
            <v>0</v>
          </cell>
          <cell r="F2905">
            <v>0</v>
          </cell>
        </row>
        <row r="2906">
          <cell r="A2906" t="str">
            <v>TY5-F33000P</v>
          </cell>
          <cell r="B2906" t="str">
            <v>RUBBER HOLDER</v>
          </cell>
          <cell r="C2906" t="str">
            <v>PC</v>
          </cell>
          <cell r="D2906">
            <v>0</v>
          </cell>
          <cell r="E2906">
            <v>0</v>
          </cell>
          <cell r="F2906">
            <v>0</v>
          </cell>
        </row>
        <row r="2907">
          <cell r="A2907" t="str">
            <v>TY5-F34000P</v>
          </cell>
          <cell r="B2907" t="str">
            <v>LOWER PLATE</v>
          </cell>
          <cell r="C2907" t="str">
            <v>PC</v>
          </cell>
          <cell r="D2907">
            <v>0</v>
          </cell>
          <cell r="E2907">
            <v>0</v>
          </cell>
          <cell r="F2907">
            <v>0</v>
          </cell>
        </row>
        <row r="2908">
          <cell r="A2908" t="str">
            <v>TY5-F36000P</v>
          </cell>
          <cell r="B2908" t="str">
            <v>PIPE ASSY</v>
          </cell>
          <cell r="C2908" t="str">
            <v>PC</v>
          </cell>
          <cell r="D2908">
            <v>0</v>
          </cell>
          <cell r="E2908">
            <v>0</v>
          </cell>
          <cell r="F2908">
            <v>0</v>
          </cell>
        </row>
        <row r="2909">
          <cell r="A2909" t="str">
            <v>TY5-Y1B000P</v>
          </cell>
          <cell r="B2909" t="str">
            <v>FEEDER 6</v>
          </cell>
          <cell r="C2909" t="str">
            <v>PC</v>
          </cell>
          <cell r="D2909">
            <v>6</v>
          </cell>
          <cell r="E2909">
            <v>33300</v>
          </cell>
          <cell r="F2909">
            <v>199800</v>
          </cell>
        </row>
        <row r="2910">
          <cell r="A2910" t="str">
            <v>TY6-F21000P</v>
          </cell>
          <cell r="B2910" t="str">
            <v>FRAME DOLLY 50 SBD</v>
          </cell>
          <cell r="C2910" t="str">
            <v>PC</v>
          </cell>
          <cell r="D2910">
            <v>0</v>
          </cell>
          <cell r="E2910">
            <v>8825000</v>
          </cell>
          <cell r="F2910">
            <v>0</v>
          </cell>
        </row>
        <row r="2911">
          <cell r="A2911" t="str">
            <v>TY6-F22000P</v>
          </cell>
          <cell r="B2911" t="str">
            <v>DRAW BAR ASSY DOLLY 50</v>
          </cell>
          <cell r="C2911" t="str">
            <v>PC</v>
          </cell>
          <cell r="D2911">
            <v>0</v>
          </cell>
          <cell r="E2911">
            <v>5743000</v>
          </cell>
          <cell r="F2911">
            <v>0</v>
          </cell>
        </row>
        <row r="2912">
          <cell r="A2912" t="str">
            <v>TZA-52FC00P</v>
          </cell>
          <cell r="B2912" t="str">
            <v>PROPELLER SHAFT</v>
          </cell>
          <cell r="C2912" t="str">
            <v>PC</v>
          </cell>
          <cell r="D2912">
            <v>0</v>
          </cell>
          <cell r="E2912">
            <v>225000</v>
          </cell>
          <cell r="F2912">
            <v>0</v>
          </cell>
        </row>
        <row r="2913">
          <cell r="A2913" t="str">
            <v>UC-CE-1323</v>
          </cell>
          <cell r="B2913" t="str">
            <v>SUCTION ELEMENT UC-SE-1323</v>
          </cell>
          <cell r="C2913" t="str">
            <v>PC</v>
          </cell>
          <cell r="D2913">
            <v>0</v>
          </cell>
          <cell r="E2913">
            <v>162018</v>
          </cell>
          <cell r="F2913">
            <v>0</v>
          </cell>
        </row>
        <row r="2914">
          <cell r="A2914" t="str">
            <v>UC-DC-28-PB-B</v>
          </cell>
          <cell r="B2914" t="str">
            <v>COUPLING</v>
          </cell>
          <cell r="C2914" t="str">
            <v>PC</v>
          </cell>
          <cell r="D2914">
            <v>0</v>
          </cell>
          <cell r="E2914">
            <v>374449</v>
          </cell>
          <cell r="F2914">
            <v>0</v>
          </cell>
        </row>
        <row r="2915">
          <cell r="A2915" t="str">
            <v>UC-DC-42-PB-PB</v>
          </cell>
          <cell r="B2915" t="str">
            <v xml:space="preserve"> COUPLING</v>
          </cell>
          <cell r="C2915" t="str">
            <v>PC</v>
          </cell>
          <cell r="D2915">
            <v>0</v>
          </cell>
          <cell r="E2915">
            <v>493360</v>
          </cell>
          <cell r="F2915">
            <v>0</v>
          </cell>
        </row>
        <row r="2916">
          <cell r="A2916" t="str">
            <v>UC-DC-55-PB-PB</v>
          </cell>
          <cell r="B2916" t="str">
            <v>COUPLING UCC (UC-DC-55-PB-PB)</v>
          </cell>
          <cell r="C2916" t="str">
            <v>PC</v>
          </cell>
          <cell r="D2916">
            <v>0</v>
          </cell>
          <cell r="E2916">
            <v>1098431</v>
          </cell>
          <cell r="F2916">
            <v>0</v>
          </cell>
        </row>
        <row r="2917">
          <cell r="A2917" t="str">
            <v>UC-FLT-221</v>
          </cell>
          <cell r="B2917" t="str">
            <v>TEMP. GAUGE</v>
          </cell>
          <cell r="C2917" t="str">
            <v>PC</v>
          </cell>
          <cell r="D2917">
            <v>0</v>
          </cell>
          <cell r="E2917">
            <v>147893</v>
          </cell>
          <cell r="F2917">
            <v>0</v>
          </cell>
        </row>
        <row r="2918">
          <cell r="A2918" t="str">
            <v>UC-MXA-9511-101</v>
          </cell>
          <cell r="B2918" t="str">
            <v>RETURN FILTER VICKERS UC-MXA 9511-101</v>
          </cell>
          <cell r="C2918" t="str">
            <v>PC</v>
          </cell>
          <cell r="D2918">
            <v>0</v>
          </cell>
          <cell r="E2918">
            <v>785544</v>
          </cell>
          <cell r="F2918">
            <v>0</v>
          </cell>
        </row>
        <row r="2919">
          <cell r="A2919" t="str">
            <v>UC-MXA-9511-424</v>
          </cell>
          <cell r="B2919" t="str">
            <v>RETURN FILTER</v>
          </cell>
          <cell r="C2919" t="str">
            <v>PC</v>
          </cell>
          <cell r="D2919">
            <v>2</v>
          </cell>
          <cell r="E2919">
            <v>836695</v>
          </cell>
          <cell r="F2919">
            <v>1673390</v>
          </cell>
        </row>
        <row r="2920">
          <cell r="A2920" t="str">
            <v>UC-PGB-0631-250</v>
          </cell>
          <cell r="B2920" t="str">
            <v>PREASURE GAUGE</v>
          </cell>
          <cell r="C2920" t="str">
            <v>PC</v>
          </cell>
          <cell r="D2920">
            <v>1</v>
          </cell>
          <cell r="E2920">
            <v>228190</v>
          </cell>
          <cell r="F2920">
            <v>228190</v>
          </cell>
        </row>
        <row r="2921">
          <cell r="A2921" t="str">
            <v>UC-PGB-400</v>
          </cell>
          <cell r="B2921" t="str">
            <v xml:space="preserve"> PRESSURE GAUGE 400BA</v>
          </cell>
          <cell r="C2921" t="str">
            <v>PC</v>
          </cell>
          <cell r="D2921">
            <v>0</v>
          </cell>
          <cell r="E2921">
            <v>297519</v>
          </cell>
          <cell r="F2921">
            <v>0</v>
          </cell>
        </row>
        <row r="2922">
          <cell r="A2922" t="str">
            <v>UC-SE-1219</v>
          </cell>
          <cell r="B2922" t="str">
            <v>.SECTION FILTER</v>
          </cell>
          <cell r="C2922" t="str">
            <v>PC</v>
          </cell>
          <cell r="D2922">
            <v>0</v>
          </cell>
          <cell r="E2922">
            <v>469768</v>
          </cell>
          <cell r="F2922">
            <v>0</v>
          </cell>
        </row>
        <row r="2923">
          <cell r="A2923" t="str">
            <v>UC-SE-1221</v>
          </cell>
          <cell r="B2923" t="str">
            <v xml:space="preserve"> SUCTION FILTER</v>
          </cell>
          <cell r="C2923" t="str">
            <v>PC</v>
          </cell>
          <cell r="D2923">
            <v>0</v>
          </cell>
          <cell r="E2923">
            <v>673334</v>
          </cell>
          <cell r="F2923">
            <v>0</v>
          </cell>
        </row>
        <row r="2924">
          <cell r="A2924" t="str">
            <v>UC-SE-1324</v>
          </cell>
          <cell r="B2924" t="str">
            <v>SUCTION FILTER</v>
          </cell>
          <cell r="C2924" t="str">
            <v>PC</v>
          </cell>
          <cell r="D2924">
            <v>0</v>
          </cell>
          <cell r="E2924">
            <v>202835</v>
          </cell>
          <cell r="F2924">
            <v>0</v>
          </cell>
        </row>
        <row r="2925">
          <cell r="A2925" t="str">
            <v>UH-530</v>
          </cell>
          <cell r="B2925" t="str">
            <v xml:space="preserve"> OIL SEAL UH S30</v>
          </cell>
          <cell r="C2925" t="str">
            <v>PC</v>
          </cell>
          <cell r="D2925">
            <v>0</v>
          </cell>
          <cell r="E2925">
            <v>21000</v>
          </cell>
          <cell r="F2925">
            <v>0</v>
          </cell>
        </row>
        <row r="2926">
          <cell r="A2926" t="str">
            <v>V71PN</v>
          </cell>
          <cell r="B2926" t="str">
            <v xml:space="preserve"> SUPER V PIN</v>
          </cell>
          <cell r="C2926" t="str">
            <v>PC</v>
          </cell>
          <cell r="D2926">
            <v>0</v>
          </cell>
          <cell r="E2926">
            <v>333555</v>
          </cell>
          <cell r="F2926">
            <v>0</v>
          </cell>
        </row>
        <row r="2927">
          <cell r="A2927" t="str">
            <v>V71SD</v>
          </cell>
          <cell r="B2927" t="str">
            <v xml:space="preserve"> SUPER V POINT</v>
          </cell>
          <cell r="C2927" t="str">
            <v>PC</v>
          </cell>
          <cell r="D2927">
            <v>0</v>
          </cell>
          <cell r="E2927">
            <v>1577625</v>
          </cell>
          <cell r="F2927">
            <v>0</v>
          </cell>
        </row>
        <row r="2928">
          <cell r="A2928" t="str">
            <v>VE001-00020</v>
          </cell>
          <cell r="B2928" t="str">
            <v>CABLE CONTROL 3X6,5M</v>
          </cell>
          <cell r="C2928" t="str">
            <v>PC</v>
          </cell>
          <cell r="D2928">
            <v>27</v>
          </cell>
          <cell r="E2928">
            <v>933706</v>
          </cell>
          <cell r="F2928">
            <v>25210075</v>
          </cell>
        </row>
        <row r="2929">
          <cell r="A2929" t="str">
            <v>VE001-00130</v>
          </cell>
          <cell r="B2929" t="str">
            <v>RESERVE LAMP BLUE</v>
          </cell>
          <cell r="C2929" t="str">
            <v>PC</v>
          </cell>
          <cell r="D2929">
            <v>2</v>
          </cell>
          <cell r="E2929">
            <v>15900</v>
          </cell>
          <cell r="F2929">
            <v>31800</v>
          </cell>
        </row>
        <row r="2930">
          <cell r="A2930" t="str">
            <v>VE001-00150</v>
          </cell>
          <cell r="B2930" t="str">
            <v>FUSE HOLDER 15A</v>
          </cell>
          <cell r="C2930" t="str">
            <v>PC</v>
          </cell>
          <cell r="D2930">
            <v>22</v>
          </cell>
          <cell r="E2930">
            <v>9717</v>
          </cell>
          <cell r="F2930">
            <v>213777</v>
          </cell>
        </row>
        <row r="2931">
          <cell r="A2931" t="str">
            <v>VE001-00180</v>
          </cell>
          <cell r="B2931" t="str">
            <v>BULP FOR RSV LAMP12V</v>
          </cell>
          <cell r="C2931" t="str">
            <v>PC</v>
          </cell>
          <cell r="D2931">
            <v>10</v>
          </cell>
          <cell r="E2931">
            <v>3900</v>
          </cell>
          <cell r="F2931">
            <v>39000</v>
          </cell>
        </row>
        <row r="2932">
          <cell r="A2932" t="str">
            <v>VE001-00190</v>
          </cell>
          <cell r="B2932" t="str">
            <v xml:space="preserve"> FUSE HOLDER 25A</v>
          </cell>
          <cell r="C2932" t="str">
            <v>PC</v>
          </cell>
          <cell r="D2932">
            <v>2</v>
          </cell>
          <cell r="E2932">
            <v>10000</v>
          </cell>
          <cell r="F2932">
            <v>20000</v>
          </cell>
        </row>
        <row r="2933">
          <cell r="A2933" t="str">
            <v>VE001-00230</v>
          </cell>
          <cell r="B2933" t="str">
            <v>LICENCE PLATE LAMP</v>
          </cell>
          <cell r="C2933" t="str">
            <v>PC</v>
          </cell>
          <cell r="D2933">
            <v>19</v>
          </cell>
          <cell r="E2933">
            <v>11400</v>
          </cell>
          <cell r="F2933">
            <v>216600</v>
          </cell>
        </row>
        <row r="2934">
          <cell r="A2934" t="str">
            <v>VE001-00240</v>
          </cell>
          <cell r="B2934" t="str">
            <v>BACK-UP LAMP NISSAN</v>
          </cell>
          <cell r="C2934" t="str">
            <v>PC</v>
          </cell>
          <cell r="D2934">
            <v>14</v>
          </cell>
          <cell r="E2934">
            <v>33300</v>
          </cell>
          <cell r="F2934">
            <v>466200</v>
          </cell>
        </row>
        <row r="2935">
          <cell r="A2935" t="str">
            <v>VE001-00290</v>
          </cell>
          <cell r="B2935" t="str">
            <v>FUSE 15A</v>
          </cell>
          <cell r="C2935" t="str">
            <v>PC</v>
          </cell>
          <cell r="D2935">
            <v>0</v>
          </cell>
          <cell r="E2935">
            <v>360</v>
          </cell>
          <cell r="F2935">
            <v>0</v>
          </cell>
        </row>
        <row r="2936">
          <cell r="A2936" t="str">
            <v>VE001-00400</v>
          </cell>
          <cell r="B2936" t="str">
            <v xml:space="preserve"> FUSE 25 A</v>
          </cell>
          <cell r="C2936" t="str">
            <v>PC</v>
          </cell>
          <cell r="D2936">
            <v>6</v>
          </cell>
          <cell r="E2936">
            <v>500</v>
          </cell>
          <cell r="F2936">
            <v>3000</v>
          </cell>
        </row>
        <row r="2937">
          <cell r="A2937" t="str">
            <v>VE001-00470</v>
          </cell>
          <cell r="B2937" t="str">
            <v>SILENCER  U-1/8</v>
          </cell>
          <cell r="C2937" t="str">
            <v>PC</v>
          </cell>
          <cell r="D2937">
            <v>13</v>
          </cell>
          <cell r="E2937">
            <v>27089</v>
          </cell>
          <cell r="F2937">
            <v>352157</v>
          </cell>
        </row>
        <row r="2938">
          <cell r="A2938" t="str">
            <v>VE001-00500</v>
          </cell>
          <cell r="B2938" t="str">
            <v>PLASTIC TUBING</v>
          </cell>
          <cell r="C2938" t="str">
            <v>PC</v>
          </cell>
          <cell r="D2938">
            <v>0</v>
          </cell>
          <cell r="E2938">
            <v>400</v>
          </cell>
          <cell r="F2938">
            <v>0</v>
          </cell>
        </row>
        <row r="2939">
          <cell r="A2939" t="str">
            <v>VE001-00510</v>
          </cell>
          <cell r="B2939" t="str">
            <v xml:space="preserve"> FUSE HOLDER 5AMP</v>
          </cell>
          <cell r="C2939" t="str">
            <v>PC</v>
          </cell>
          <cell r="D2939">
            <v>10</v>
          </cell>
          <cell r="E2939">
            <v>10000</v>
          </cell>
          <cell r="F2939">
            <v>100000</v>
          </cell>
        </row>
        <row r="2940">
          <cell r="A2940" t="str">
            <v>VE001-00561</v>
          </cell>
          <cell r="B2940" t="str">
            <v xml:space="preserve"> FUSE KACA 15 A</v>
          </cell>
          <cell r="C2940" t="str">
            <v>PC</v>
          </cell>
          <cell r="D2940">
            <v>12</v>
          </cell>
          <cell r="E2940">
            <v>400</v>
          </cell>
          <cell r="F2940">
            <v>4800</v>
          </cell>
        </row>
        <row r="2941">
          <cell r="A2941" t="str">
            <v>VE001-00570</v>
          </cell>
          <cell r="B2941" t="str">
            <v>ROTARY LAMP</v>
          </cell>
          <cell r="C2941" t="str">
            <v>PC</v>
          </cell>
          <cell r="D2941">
            <v>0</v>
          </cell>
          <cell r="E2941">
            <v>500000</v>
          </cell>
          <cell r="F2941">
            <v>0</v>
          </cell>
        </row>
        <row r="2942">
          <cell r="A2942" t="str">
            <v>VE001-00580</v>
          </cell>
          <cell r="B2942" t="str">
            <v>TGL.SWITCH ON-OFF-4K</v>
          </cell>
          <cell r="C2942" t="str">
            <v>PC</v>
          </cell>
          <cell r="D2942">
            <v>14</v>
          </cell>
          <cell r="E2942">
            <v>17657</v>
          </cell>
          <cell r="F2942">
            <v>247200</v>
          </cell>
        </row>
        <row r="2943">
          <cell r="A2943" t="str">
            <v>VE001-00581</v>
          </cell>
          <cell r="B2943" t="str">
            <v>TOGLE SWITCH ON-OFF-ON</v>
          </cell>
          <cell r="C2943" t="str">
            <v>PC</v>
          </cell>
          <cell r="D2943">
            <v>0</v>
          </cell>
          <cell r="E2943">
            <v>12000</v>
          </cell>
          <cell r="F2943">
            <v>0</v>
          </cell>
        </row>
        <row r="2944">
          <cell r="A2944" t="str">
            <v>VE001-00620</v>
          </cell>
          <cell r="B2944" t="str">
            <v>INSULATOR SKUN 1,5</v>
          </cell>
          <cell r="C2944" t="str">
            <v>PC</v>
          </cell>
          <cell r="D2944">
            <v>700</v>
          </cell>
          <cell r="E2944">
            <v>200</v>
          </cell>
          <cell r="F2944">
            <v>140000</v>
          </cell>
        </row>
        <row r="2945">
          <cell r="A2945" t="str">
            <v>VE001-00630</v>
          </cell>
          <cell r="B2945" t="str">
            <v>REVERSING LAMP</v>
          </cell>
          <cell r="C2945" t="str">
            <v>PC</v>
          </cell>
          <cell r="D2945">
            <v>4</v>
          </cell>
          <cell r="E2945">
            <v>26495</v>
          </cell>
          <cell r="F2945">
            <v>105980</v>
          </cell>
        </row>
        <row r="2946">
          <cell r="A2946" t="str">
            <v>VE001-00640</v>
          </cell>
          <cell r="B2946" t="str">
            <v>CLAMP CABLE SOCK 2MM</v>
          </cell>
          <cell r="C2946" t="str">
            <v>PC</v>
          </cell>
          <cell r="D2946">
            <v>2660</v>
          </cell>
          <cell r="E2946">
            <v>450</v>
          </cell>
          <cell r="F2946">
            <v>1197000</v>
          </cell>
        </row>
        <row r="2947">
          <cell r="A2947" t="str">
            <v>VE001-00760</v>
          </cell>
          <cell r="B2947" t="str">
            <v>TURN SIGNAL LAMP</v>
          </cell>
          <cell r="C2947" t="str">
            <v>PC</v>
          </cell>
          <cell r="D2947">
            <v>35</v>
          </cell>
          <cell r="E2947">
            <v>30000</v>
          </cell>
          <cell r="F2947">
            <v>1050000</v>
          </cell>
        </row>
        <row r="2948">
          <cell r="A2948" t="str">
            <v>VE001-00770</v>
          </cell>
          <cell r="B2948" t="str">
            <v>BRAKE LAMP</v>
          </cell>
          <cell r="C2948" t="str">
            <v>PC</v>
          </cell>
          <cell r="D2948">
            <v>31</v>
          </cell>
          <cell r="E2948">
            <v>30000</v>
          </cell>
          <cell r="F2948">
            <v>930000</v>
          </cell>
        </row>
        <row r="2949">
          <cell r="A2949" t="str">
            <v>VE001-00790</v>
          </cell>
          <cell r="B2949" t="str">
            <v>Cable NYYHY 7X1,5MM2</v>
          </cell>
          <cell r="C2949" t="str">
            <v>PC</v>
          </cell>
          <cell r="D2949">
            <v>184</v>
          </cell>
          <cell r="E2949">
            <v>10994</v>
          </cell>
          <cell r="F2949">
            <v>2022923</v>
          </cell>
        </row>
        <row r="2950">
          <cell r="A2950" t="str">
            <v>VE001-00810</v>
          </cell>
          <cell r="B2950" t="str">
            <v>ROUND REFLEKTOR</v>
          </cell>
          <cell r="C2950" t="str">
            <v>PC</v>
          </cell>
          <cell r="D2950">
            <v>60</v>
          </cell>
          <cell r="E2950">
            <v>8400</v>
          </cell>
          <cell r="F2950">
            <v>504000</v>
          </cell>
        </row>
        <row r="2951">
          <cell r="A2951" t="str">
            <v>VE001-00820</v>
          </cell>
          <cell r="B2951" t="str">
            <v>BULB ASSY-1 FILAMENT</v>
          </cell>
          <cell r="C2951" t="str">
            <v>PC</v>
          </cell>
          <cell r="D2951">
            <v>100</v>
          </cell>
          <cell r="E2951">
            <v>8100</v>
          </cell>
          <cell r="F2951">
            <v>810000</v>
          </cell>
        </row>
        <row r="2952">
          <cell r="A2952" t="str">
            <v>VE001-00830</v>
          </cell>
          <cell r="B2952" t="str">
            <v>BULB ASSY-2 FILAMENT</v>
          </cell>
          <cell r="C2952" t="str">
            <v>PC</v>
          </cell>
          <cell r="D2952">
            <v>100</v>
          </cell>
          <cell r="E2952">
            <v>8100</v>
          </cell>
          <cell r="F2952">
            <v>810000</v>
          </cell>
        </row>
        <row r="2953">
          <cell r="A2953" t="str">
            <v>VE001-00850</v>
          </cell>
          <cell r="B2953" t="str">
            <v>CABLE NYY-HY-2-1,5 (2 WARNA)</v>
          </cell>
          <cell r="C2953" t="str">
            <v>PC</v>
          </cell>
          <cell r="D2953">
            <v>20</v>
          </cell>
          <cell r="E2953">
            <v>1400</v>
          </cell>
          <cell r="F2953">
            <v>28000</v>
          </cell>
        </row>
        <row r="2954">
          <cell r="A2954" t="str">
            <v>VE001-00860</v>
          </cell>
          <cell r="B2954" t="str">
            <v>CABLE CON 3X7,5M ( 172-L-3-7.5M )</v>
          </cell>
          <cell r="C2954" t="str">
            <v>PC</v>
          </cell>
          <cell r="D2954">
            <v>4</v>
          </cell>
          <cell r="E2954">
            <v>659573</v>
          </cell>
          <cell r="F2954">
            <v>2638292</v>
          </cell>
        </row>
        <row r="2955">
          <cell r="A2955" t="str">
            <v>VE001-00870</v>
          </cell>
          <cell r="B2955" t="str">
            <v>CABLE CONDUIT 3/4"</v>
          </cell>
          <cell r="C2955" t="str">
            <v>PC</v>
          </cell>
          <cell r="D2955">
            <v>100</v>
          </cell>
          <cell r="E2955">
            <v>3000</v>
          </cell>
          <cell r="F2955">
            <v>300000</v>
          </cell>
        </row>
        <row r="2956">
          <cell r="A2956" t="str">
            <v>VE001-00871</v>
          </cell>
          <cell r="B2956" t="str">
            <v xml:space="preserve"> TOGGLE SWITCH 4KAKI</v>
          </cell>
          <cell r="C2956" t="str">
            <v>PC</v>
          </cell>
          <cell r="D2956">
            <v>0</v>
          </cell>
          <cell r="E2956">
            <v>18000</v>
          </cell>
          <cell r="F2956">
            <v>0</v>
          </cell>
        </row>
        <row r="2957">
          <cell r="A2957" t="str">
            <v>VE001-00880</v>
          </cell>
          <cell r="B2957" t="str">
            <v>CABLE CONTROL 3X3M ( 172-L-3-3M )</v>
          </cell>
          <cell r="C2957" t="str">
            <v>PC</v>
          </cell>
          <cell r="D2957">
            <v>9</v>
          </cell>
          <cell r="E2957">
            <v>961953</v>
          </cell>
          <cell r="F2957">
            <v>8657580</v>
          </cell>
        </row>
        <row r="2958">
          <cell r="A2958" t="str">
            <v>VE001-00890</v>
          </cell>
          <cell r="B2958" t="str">
            <v>CABLE CONTROL 3X8M ( 172-L-3-8M )</v>
          </cell>
          <cell r="C2958" t="str">
            <v>PC</v>
          </cell>
          <cell r="D2958">
            <v>8</v>
          </cell>
          <cell r="E2958">
            <v>632438</v>
          </cell>
          <cell r="F2958">
            <v>5059500</v>
          </cell>
        </row>
        <row r="2959">
          <cell r="A2959" t="str">
            <v>VE001-00900</v>
          </cell>
          <cell r="B2959" t="str">
            <v>CABLE NYYAF 7X1,5MM2 = REAR LAMP</v>
          </cell>
          <cell r="C2959" t="str">
            <v>PC</v>
          </cell>
          <cell r="D2959">
            <v>0</v>
          </cell>
          <cell r="E2959">
            <v>500</v>
          </cell>
          <cell r="F2959">
            <v>0</v>
          </cell>
        </row>
        <row r="2960">
          <cell r="A2960" t="str">
            <v>VE001-00901</v>
          </cell>
          <cell r="B2960" t="str">
            <v xml:space="preserve"> REAR LAMP H.DUTY</v>
          </cell>
          <cell r="C2960" t="str">
            <v>PC</v>
          </cell>
          <cell r="D2960">
            <v>0</v>
          </cell>
          <cell r="E2960">
            <v>572000</v>
          </cell>
          <cell r="F2960">
            <v>0</v>
          </cell>
        </row>
        <row r="2961">
          <cell r="A2961" t="str">
            <v>VE001-00910</v>
          </cell>
          <cell r="B2961" t="str">
            <v>CABLE NYYAF 1X6MM2</v>
          </cell>
          <cell r="C2961" t="str">
            <v>PC</v>
          </cell>
          <cell r="D2961">
            <v>15</v>
          </cell>
          <cell r="E2961">
            <v>2460</v>
          </cell>
          <cell r="F2961">
            <v>36900</v>
          </cell>
        </row>
        <row r="2962">
          <cell r="A2962" t="str">
            <v>VE001-00920</v>
          </cell>
          <cell r="B2962" t="str">
            <v>CABLE NYYHY 5X25MM2</v>
          </cell>
          <cell r="C2962" t="str">
            <v>PC</v>
          </cell>
          <cell r="D2962">
            <v>0</v>
          </cell>
          <cell r="E2962">
            <v>10650</v>
          </cell>
          <cell r="F2962">
            <v>0</v>
          </cell>
        </row>
        <row r="2963">
          <cell r="A2963" t="str">
            <v>VE001-00930</v>
          </cell>
          <cell r="B2963" t="str">
            <v>CABLE NYYHY 5X1,5MM2</v>
          </cell>
          <cell r="C2963" t="str">
            <v>PC</v>
          </cell>
          <cell r="D2963">
            <v>42</v>
          </cell>
          <cell r="E2963">
            <v>5940</v>
          </cell>
          <cell r="F2963">
            <v>249480</v>
          </cell>
        </row>
        <row r="2964">
          <cell r="A2964" t="str">
            <v>VE001-00940</v>
          </cell>
          <cell r="B2964" t="str">
            <v>PRESS RELIEF VALVE( DGMC-5-PT-GH-10 )</v>
          </cell>
          <cell r="C2964" t="str">
            <v>PC</v>
          </cell>
          <cell r="D2964">
            <v>1</v>
          </cell>
          <cell r="E2964">
            <v>1400868</v>
          </cell>
          <cell r="F2964">
            <v>1400868</v>
          </cell>
        </row>
        <row r="2965">
          <cell r="A2965" t="str">
            <v>VE001-00950</v>
          </cell>
          <cell r="B2965" t="str">
            <v>REAR LAMP NARVA-94406  = SAKLAR PIANO</v>
          </cell>
          <cell r="C2965" t="str">
            <v>PC</v>
          </cell>
          <cell r="D2965">
            <v>10</v>
          </cell>
          <cell r="E2965">
            <v>64324</v>
          </cell>
          <cell r="F2965">
            <v>643235</v>
          </cell>
        </row>
        <row r="2966">
          <cell r="A2966" t="str">
            <v>VE001-00951</v>
          </cell>
          <cell r="B2966" t="str">
            <v xml:space="preserve"> SAKLAR PIANO</v>
          </cell>
          <cell r="C2966" t="str">
            <v>PC</v>
          </cell>
          <cell r="D2966">
            <v>0</v>
          </cell>
          <cell r="E2966">
            <v>10000</v>
          </cell>
          <cell r="F2966">
            <v>0</v>
          </cell>
        </row>
        <row r="2967">
          <cell r="A2967" t="str">
            <v>VE001-00960</v>
          </cell>
          <cell r="B2967" t="str">
            <v>RELIEF VALVE VICKERS( CT-06-F )</v>
          </cell>
          <cell r="C2967" t="str">
            <v>PC</v>
          </cell>
          <cell r="D2967">
            <v>1</v>
          </cell>
          <cell r="E2967">
            <v>162320</v>
          </cell>
          <cell r="F2967">
            <v>162320</v>
          </cell>
        </row>
        <row r="2968">
          <cell r="A2968" t="str">
            <v>VE001-00970</v>
          </cell>
          <cell r="B2968" t="str">
            <v>SIDE LAMP ASSY( HELLA-2010 )</v>
          </cell>
          <cell r="C2968" t="str">
            <v>PC</v>
          </cell>
          <cell r="D2968">
            <v>4</v>
          </cell>
          <cell r="E2968">
            <v>32340</v>
          </cell>
          <cell r="F2968">
            <v>129360</v>
          </cell>
        </row>
        <row r="2969">
          <cell r="A2969" t="str">
            <v>VE001-00980</v>
          </cell>
          <cell r="B2969" t="str">
            <v>TAIL LAMP 24V-LED( NARVA-94412 )</v>
          </cell>
          <cell r="C2969" t="str">
            <v>PC</v>
          </cell>
          <cell r="D2969">
            <v>2</v>
          </cell>
          <cell r="E2969">
            <v>1025474</v>
          </cell>
          <cell r="F2969">
            <v>2050948</v>
          </cell>
        </row>
        <row r="2970">
          <cell r="A2970" t="str">
            <v>VE001-00990</v>
          </cell>
          <cell r="B2970" t="str">
            <v xml:space="preserve"> ROTARY LAMP GLX-24</v>
          </cell>
          <cell r="C2970" t="str">
            <v>PC</v>
          </cell>
          <cell r="D2970">
            <v>0</v>
          </cell>
          <cell r="E2970">
            <v>240000</v>
          </cell>
          <cell r="F2970">
            <v>0</v>
          </cell>
        </row>
        <row r="2971">
          <cell r="A2971" t="str">
            <v>VE001-01000</v>
          </cell>
          <cell r="B2971" t="str">
            <v>SPIRAL ELECTRIC CABLE</v>
          </cell>
          <cell r="C2971" t="str">
            <v>PC</v>
          </cell>
          <cell r="D2971">
            <v>0</v>
          </cell>
          <cell r="E2971">
            <v>160000</v>
          </cell>
          <cell r="F2971">
            <v>0</v>
          </cell>
        </row>
        <row r="2972">
          <cell r="A2972" t="str">
            <v>VE001-01030</v>
          </cell>
          <cell r="B2972" t="str">
            <v xml:space="preserve"> MARKER AMBER (86240)</v>
          </cell>
          <cell r="C2972" t="str">
            <v>PC</v>
          </cell>
          <cell r="D2972">
            <v>5</v>
          </cell>
          <cell r="E2972">
            <v>63121</v>
          </cell>
          <cell r="F2972">
            <v>315604</v>
          </cell>
        </row>
        <row r="2973">
          <cell r="A2973" t="str">
            <v>VE001-01040</v>
          </cell>
          <cell r="B2973" t="str">
            <v xml:space="preserve"> MARKER RED (86230)</v>
          </cell>
          <cell r="C2973" t="str">
            <v>PC</v>
          </cell>
          <cell r="D2973">
            <v>5</v>
          </cell>
          <cell r="E2973">
            <v>62912</v>
          </cell>
          <cell r="F2973">
            <v>314561</v>
          </cell>
        </row>
        <row r="2974">
          <cell r="A2974" t="str">
            <v>VE001-01050</v>
          </cell>
          <cell r="B2974" t="str">
            <v>CABLE GLAND</v>
          </cell>
          <cell r="C2974" t="str">
            <v>PC</v>
          </cell>
          <cell r="D2974">
            <v>179</v>
          </cell>
          <cell r="E2974">
            <v>12874</v>
          </cell>
          <cell r="F2974">
            <v>2304432</v>
          </cell>
        </row>
        <row r="2975">
          <cell r="A2975" t="str">
            <v>VE001-01060</v>
          </cell>
          <cell r="B2975" t="str">
            <v>GROUNDING CABLE 12MM L=3000</v>
          </cell>
          <cell r="C2975" t="str">
            <v>PC</v>
          </cell>
          <cell r="D2975">
            <v>0</v>
          </cell>
          <cell r="E2975">
            <v>280000</v>
          </cell>
          <cell r="F2975">
            <v>0</v>
          </cell>
        </row>
        <row r="2976">
          <cell r="A2976" t="str">
            <v>VE001-01080</v>
          </cell>
          <cell r="B2976" t="str">
            <v>REFLECTOR  FOR SBD</v>
          </cell>
          <cell r="C2976" t="str">
            <v>PC</v>
          </cell>
          <cell r="D2976">
            <v>0</v>
          </cell>
          <cell r="E2976">
            <v>1</v>
          </cell>
          <cell r="F2976">
            <v>0</v>
          </cell>
        </row>
        <row r="2977">
          <cell r="A2977" t="str">
            <v>VE001-01090</v>
          </cell>
          <cell r="B2977" t="str">
            <v>SCOEN CABLE 1.5  BOTOL</v>
          </cell>
          <cell r="C2977" t="str">
            <v>PC</v>
          </cell>
          <cell r="D2977">
            <v>0</v>
          </cell>
          <cell r="E2977">
            <v>150</v>
          </cell>
          <cell r="F2977">
            <v>0</v>
          </cell>
        </row>
        <row r="2978">
          <cell r="A2978" t="str">
            <v>VE001-01100</v>
          </cell>
          <cell r="B2978" t="str">
            <v>CABLE POWER DIA 35 MM</v>
          </cell>
          <cell r="C2978" t="str">
            <v>PC</v>
          </cell>
          <cell r="D2978">
            <v>12</v>
          </cell>
          <cell r="E2978">
            <v>8167</v>
          </cell>
          <cell r="F2978">
            <v>98000</v>
          </cell>
        </row>
        <row r="2979">
          <cell r="A2979" t="str">
            <v>VE003-00010</v>
          </cell>
          <cell r="B2979" t="str">
            <v>SOCKET 6T MALE (SCK-6TM)</v>
          </cell>
          <cell r="C2979" t="str">
            <v>PC</v>
          </cell>
          <cell r="D2979">
            <v>0</v>
          </cell>
          <cell r="E2979">
            <v>11000</v>
          </cell>
          <cell r="F2979">
            <v>0</v>
          </cell>
        </row>
        <row r="2980">
          <cell r="A2980" t="str">
            <v>VE003-00020</v>
          </cell>
          <cell r="B2980" t="str">
            <v>SOCKET 6T FEMALE (SCK-6TF)</v>
          </cell>
          <cell r="C2980" t="str">
            <v>PC</v>
          </cell>
          <cell r="D2980">
            <v>0</v>
          </cell>
          <cell r="E2980">
            <v>3500</v>
          </cell>
          <cell r="F2980">
            <v>0</v>
          </cell>
        </row>
        <row r="2981">
          <cell r="A2981" t="str">
            <v>VE005-00010</v>
          </cell>
          <cell r="B2981" t="str">
            <v>SCOEN CABLE 1.5(M)</v>
          </cell>
          <cell r="C2981" t="str">
            <v>PC</v>
          </cell>
          <cell r="D2981">
            <v>2233</v>
          </cell>
          <cell r="E2981">
            <v>265</v>
          </cell>
          <cell r="F2981">
            <v>590763</v>
          </cell>
        </row>
        <row r="2982">
          <cell r="A2982" t="str">
            <v>VE005-00020</v>
          </cell>
          <cell r="B2982" t="str">
            <v>SCOEN CABLE 1.5(F)</v>
          </cell>
          <cell r="C2982" t="str">
            <v>PC</v>
          </cell>
          <cell r="D2982">
            <v>1562</v>
          </cell>
          <cell r="E2982">
            <v>271</v>
          </cell>
          <cell r="F2982">
            <v>423265</v>
          </cell>
        </row>
        <row r="2983">
          <cell r="A2983" t="str">
            <v>VE013-00010</v>
          </cell>
          <cell r="B2983" t="str">
            <v>STOP LAMP 24V-DURBAN</v>
          </cell>
          <cell r="C2983" t="str">
            <v>PC</v>
          </cell>
          <cell r="D2983">
            <v>30</v>
          </cell>
          <cell r="E2983">
            <v>40000</v>
          </cell>
          <cell r="F2983">
            <v>1200000</v>
          </cell>
        </row>
        <row r="2984">
          <cell r="A2984" t="str">
            <v>VE013-00020</v>
          </cell>
          <cell r="B2984" t="str">
            <v>STOP LAMP 24V-DURBAN</v>
          </cell>
          <cell r="C2984" t="str">
            <v>PC</v>
          </cell>
          <cell r="D2984">
            <v>30</v>
          </cell>
          <cell r="E2984">
            <v>40000</v>
          </cell>
          <cell r="F2984">
            <v>1200000</v>
          </cell>
        </row>
        <row r="2985">
          <cell r="A2985" t="str">
            <v>VF3130-4G-02</v>
          </cell>
          <cell r="B2985" t="str">
            <v>SOLENOID PNEUMATIC SMC VF3130-4G-02</v>
          </cell>
          <cell r="C2985" t="str">
            <v>PC</v>
          </cell>
          <cell r="D2985">
            <v>3</v>
          </cell>
          <cell r="E2985">
            <v>667000</v>
          </cell>
          <cell r="F2985">
            <v>2001000</v>
          </cell>
        </row>
        <row r="2986">
          <cell r="A2986" t="str">
            <v>VH001-00150</v>
          </cell>
          <cell r="B2986" t="str">
            <v>VALVE 1" KH3S-R1/NW2</v>
          </cell>
          <cell r="C2986" t="str">
            <v>PC</v>
          </cell>
          <cell r="D2986">
            <v>0</v>
          </cell>
          <cell r="E2986">
            <v>3554692</v>
          </cell>
          <cell r="F2986">
            <v>0</v>
          </cell>
        </row>
        <row r="2987">
          <cell r="A2987" t="str">
            <v>VH001-00180</v>
          </cell>
          <cell r="B2987" t="str">
            <v>ELBOW DRAT 1"(P=2500 PSI)</v>
          </cell>
          <cell r="C2987" t="str">
            <v>PC</v>
          </cell>
          <cell r="D2987">
            <v>0</v>
          </cell>
          <cell r="E2987">
            <v>35000</v>
          </cell>
          <cell r="F2987">
            <v>0</v>
          </cell>
        </row>
        <row r="2988">
          <cell r="A2988" t="str">
            <v>VH001-00220</v>
          </cell>
          <cell r="B2988" t="str">
            <v>PRESSURE HOSE L2030</v>
          </cell>
          <cell r="C2988" t="str">
            <v>PC</v>
          </cell>
          <cell r="D2988">
            <v>0</v>
          </cell>
          <cell r="E2988">
            <v>297839</v>
          </cell>
          <cell r="F2988">
            <v>0</v>
          </cell>
        </row>
        <row r="2989">
          <cell r="A2989" t="str">
            <v>VH001-00230</v>
          </cell>
          <cell r="B2989" t="str">
            <v>SUCTION HOSE HINO</v>
          </cell>
          <cell r="C2989" t="str">
            <v>PC</v>
          </cell>
          <cell r="D2989">
            <v>6</v>
          </cell>
          <cell r="E2989">
            <v>393253</v>
          </cell>
          <cell r="F2989">
            <v>2359518</v>
          </cell>
        </row>
        <row r="2990">
          <cell r="A2990" t="str">
            <v>VH001-00250</v>
          </cell>
          <cell r="B2990" t="str">
            <v>CYL TELESCOPIC WALABY</v>
          </cell>
          <cell r="C2990" t="str">
            <v>PC</v>
          </cell>
          <cell r="D2990">
            <v>1</v>
          </cell>
          <cell r="E2990">
            <v>1</v>
          </cell>
          <cell r="F2990">
            <v>1</v>
          </cell>
        </row>
        <row r="2991">
          <cell r="A2991" t="str">
            <v>VH001-00730</v>
          </cell>
          <cell r="B2991" t="str">
            <v>REDUCER DOUBLE NIPPLE</v>
          </cell>
          <cell r="C2991" t="str">
            <v>PC</v>
          </cell>
          <cell r="D2991">
            <v>35</v>
          </cell>
          <cell r="E2991">
            <v>9930</v>
          </cell>
          <cell r="F2991">
            <v>347550</v>
          </cell>
        </row>
        <row r="2992">
          <cell r="A2992" t="str">
            <v>VH001-00760</v>
          </cell>
          <cell r="B2992" t="str">
            <v>D.NIPPLE 3/8 X 3/8 F</v>
          </cell>
          <cell r="C2992" t="str">
            <v>PC</v>
          </cell>
          <cell r="D2992">
            <v>196</v>
          </cell>
          <cell r="E2992">
            <v>2700</v>
          </cell>
          <cell r="F2992">
            <v>529200</v>
          </cell>
        </row>
        <row r="2993">
          <cell r="A2993" t="str">
            <v>VH001-00780</v>
          </cell>
          <cell r="B2993" t="str">
            <v>COUPLER 1"</v>
          </cell>
          <cell r="C2993" t="str">
            <v>PC</v>
          </cell>
          <cell r="D2993">
            <v>15</v>
          </cell>
          <cell r="E2993">
            <v>7500</v>
          </cell>
          <cell r="F2993">
            <v>112500</v>
          </cell>
        </row>
        <row r="2994">
          <cell r="A2994" t="str">
            <v>VH001-00790</v>
          </cell>
          <cell r="B2994" t="str">
            <v>COUPLER 3/4"</v>
          </cell>
          <cell r="C2994" t="str">
            <v>PC</v>
          </cell>
          <cell r="D2994">
            <v>6</v>
          </cell>
          <cell r="E2994">
            <v>5400</v>
          </cell>
          <cell r="F2994">
            <v>32400</v>
          </cell>
        </row>
        <row r="2995">
          <cell r="A2995" t="str">
            <v>VH001-00840</v>
          </cell>
          <cell r="B2995" t="str">
            <v>GATE VALVE JAPAN 4"</v>
          </cell>
          <cell r="C2995" t="str">
            <v>PC</v>
          </cell>
          <cell r="D2995">
            <v>1</v>
          </cell>
          <cell r="E2995">
            <v>489000</v>
          </cell>
          <cell r="F2995">
            <v>489000</v>
          </cell>
        </row>
        <row r="2996">
          <cell r="A2996" t="str">
            <v>VH001-00860</v>
          </cell>
          <cell r="B2996" t="str">
            <v>TREE WAY VALVE</v>
          </cell>
          <cell r="C2996" t="str">
            <v>PC</v>
          </cell>
          <cell r="D2996">
            <v>1</v>
          </cell>
          <cell r="E2996">
            <v>2659825</v>
          </cell>
          <cell r="F2996">
            <v>2659825</v>
          </cell>
        </row>
        <row r="2997">
          <cell r="A2997" t="str">
            <v>VH001-00870</v>
          </cell>
          <cell r="B2997" t="str">
            <v>PRESSURE HOSE L=1500</v>
          </cell>
          <cell r="C2997" t="str">
            <v>PC</v>
          </cell>
          <cell r="D2997">
            <v>3</v>
          </cell>
          <cell r="E2997">
            <v>372078</v>
          </cell>
          <cell r="F2997">
            <v>1116233</v>
          </cell>
        </row>
        <row r="2998">
          <cell r="A2998" t="str">
            <v>VH001-00880</v>
          </cell>
          <cell r="B2998" t="str">
            <v>SUCTION HOSE L=2100</v>
          </cell>
          <cell r="C2998" t="str">
            <v>PC</v>
          </cell>
          <cell r="D2998">
            <v>4</v>
          </cell>
          <cell r="E2998">
            <v>362719</v>
          </cell>
          <cell r="F2998">
            <v>1450876</v>
          </cell>
        </row>
        <row r="2999">
          <cell r="A2999" t="str">
            <v>VH001-00882</v>
          </cell>
          <cell r="B2999" t="str">
            <v xml:space="preserve"> SUCTION HOSE L=2500</v>
          </cell>
          <cell r="C2999" t="str">
            <v>PC</v>
          </cell>
          <cell r="D2999">
            <v>0</v>
          </cell>
          <cell r="E2999">
            <v>584910</v>
          </cell>
          <cell r="F2999">
            <v>0</v>
          </cell>
        </row>
        <row r="3000">
          <cell r="A3000" t="str">
            <v>VH001-00883</v>
          </cell>
          <cell r="B3000" t="str">
            <v xml:space="preserve"> SUCTION HOSE L=2700</v>
          </cell>
          <cell r="C3000" t="str">
            <v>PC</v>
          </cell>
          <cell r="D3000">
            <v>0</v>
          </cell>
          <cell r="E3000">
            <v>603222</v>
          </cell>
          <cell r="F3000">
            <v>0</v>
          </cell>
        </row>
        <row r="3001">
          <cell r="A3001" t="str">
            <v>VH001-00884</v>
          </cell>
          <cell r="B3001" t="str">
            <v>SUCTION HOSE L=2550</v>
          </cell>
          <cell r="C3001" t="str">
            <v>PC</v>
          </cell>
          <cell r="D3001">
            <v>0</v>
          </cell>
          <cell r="E3001">
            <v>543497</v>
          </cell>
          <cell r="F3001">
            <v>0</v>
          </cell>
        </row>
        <row r="3002">
          <cell r="A3002" t="str">
            <v>VH001-00920</v>
          </cell>
          <cell r="B3002" t="str">
            <v>Ball Valve 3/4 "</v>
          </cell>
          <cell r="C3002" t="str">
            <v>PC</v>
          </cell>
          <cell r="D3002">
            <v>1</v>
          </cell>
          <cell r="E3002">
            <v>87165</v>
          </cell>
          <cell r="F3002">
            <v>87165</v>
          </cell>
        </row>
        <row r="3003">
          <cell r="A3003" t="str">
            <v>VH001-00930</v>
          </cell>
          <cell r="B3003" t="str">
            <v>TEE 1"(M) BS</v>
          </cell>
          <cell r="C3003" t="str">
            <v>PC</v>
          </cell>
          <cell r="D3003">
            <v>1</v>
          </cell>
          <cell r="E3003">
            <v>2400</v>
          </cell>
          <cell r="F3003">
            <v>2400</v>
          </cell>
        </row>
        <row r="3004">
          <cell r="A3004" t="str">
            <v>VH001-01410</v>
          </cell>
          <cell r="B3004" t="str">
            <v xml:space="preserve"> ELBOW 1,5"F X 1.5"M </v>
          </cell>
          <cell r="C3004" t="str">
            <v>PC</v>
          </cell>
          <cell r="D3004">
            <v>0</v>
          </cell>
          <cell r="E3004">
            <v>13650</v>
          </cell>
          <cell r="F3004">
            <v>0</v>
          </cell>
        </row>
        <row r="3005">
          <cell r="A3005" t="str">
            <v>VH001-01610</v>
          </cell>
          <cell r="B3005" t="str">
            <v xml:space="preserve"> HOSE WT50</v>
          </cell>
          <cell r="C3005" t="str">
            <v>PC</v>
          </cell>
          <cell r="D3005">
            <v>0</v>
          </cell>
          <cell r="E3005">
            <v>724177</v>
          </cell>
          <cell r="F3005">
            <v>0</v>
          </cell>
        </row>
        <row r="3006">
          <cell r="A3006" t="str">
            <v>VH001-01620</v>
          </cell>
          <cell r="B3006" t="str">
            <v xml:space="preserve"> HOSE WT50</v>
          </cell>
          <cell r="C3006" t="str">
            <v>PC</v>
          </cell>
          <cell r="D3006">
            <v>0</v>
          </cell>
          <cell r="E3006">
            <v>892402</v>
          </cell>
          <cell r="F3006">
            <v>0</v>
          </cell>
        </row>
        <row r="3007">
          <cell r="A3007" t="str">
            <v>VH001-01680</v>
          </cell>
          <cell r="B3007" t="str">
            <v xml:space="preserve"> HOSE WT50</v>
          </cell>
          <cell r="C3007" t="str">
            <v>PC</v>
          </cell>
          <cell r="D3007">
            <v>0</v>
          </cell>
          <cell r="E3007">
            <v>1060445</v>
          </cell>
          <cell r="F3007">
            <v>0</v>
          </cell>
        </row>
        <row r="3008">
          <cell r="A3008" t="str">
            <v>VH001-01690</v>
          </cell>
          <cell r="B3008" t="str">
            <v xml:space="preserve"> HOSE WT50</v>
          </cell>
          <cell r="C3008" t="str">
            <v>PC</v>
          </cell>
          <cell r="D3008">
            <v>0</v>
          </cell>
          <cell r="E3008">
            <v>581364</v>
          </cell>
          <cell r="F3008">
            <v>0</v>
          </cell>
        </row>
        <row r="3009">
          <cell r="A3009" t="str">
            <v>VH001-01700</v>
          </cell>
          <cell r="B3009" t="str">
            <v xml:space="preserve"> HOSE WT50</v>
          </cell>
          <cell r="C3009" t="str">
            <v>PC</v>
          </cell>
          <cell r="D3009">
            <v>0</v>
          </cell>
          <cell r="E3009">
            <v>1734346</v>
          </cell>
          <cell r="F3009">
            <v>0</v>
          </cell>
        </row>
        <row r="3010">
          <cell r="A3010" t="str">
            <v>VH001-01860</v>
          </cell>
          <cell r="B3010" t="str">
            <v xml:space="preserve"> HOSE WT50</v>
          </cell>
          <cell r="C3010" t="str">
            <v>PC</v>
          </cell>
          <cell r="D3010">
            <v>0</v>
          </cell>
          <cell r="E3010">
            <v>148107</v>
          </cell>
          <cell r="F3010">
            <v>0</v>
          </cell>
        </row>
        <row r="3011">
          <cell r="A3011" t="str">
            <v>VH001-01870</v>
          </cell>
          <cell r="B3011" t="str">
            <v xml:space="preserve"> HOSE WT50</v>
          </cell>
          <cell r="C3011" t="str">
            <v>PC</v>
          </cell>
          <cell r="D3011">
            <v>0</v>
          </cell>
          <cell r="E3011">
            <v>72864</v>
          </cell>
          <cell r="F3011">
            <v>0</v>
          </cell>
        </row>
        <row r="3012">
          <cell r="A3012" t="str">
            <v>VH001-01890</v>
          </cell>
          <cell r="B3012" t="str">
            <v xml:space="preserve"> HOSE WT50</v>
          </cell>
          <cell r="C3012" t="str">
            <v>PC</v>
          </cell>
          <cell r="D3012">
            <v>0</v>
          </cell>
          <cell r="E3012">
            <v>249195</v>
          </cell>
          <cell r="F3012">
            <v>0</v>
          </cell>
        </row>
        <row r="3013">
          <cell r="A3013" t="str">
            <v>VH001-01910</v>
          </cell>
          <cell r="B3013" t="str">
            <v>FLOW METER TOKICHO  INLET 1.5"</v>
          </cell>
          <cell r="C3013" t="str">
            <v>PC</v>
          </cell>
          <cell r="D3013">
            <v>0</v>
          </cell>
          <cell r="E3013">
            <v>11000000</v>
          </cell>
          <cell r="F3013">
            <v>0</v>
          </cell>
        </row>
        <row r="3014">
          <cell r="A3014" t="str">
            <v>VH001-01920</v>
          </cell>
          <cell r="B3014" t="str">
            <v xml:space="preserve"> HOSE WT50</v>
          </cell>
          <cell r="C3014" t="str">
            <v>PC</v>
          </cell>
          <cell r="D3014">
            <v>0</v>
          </cell>
          <cell r="E3014">
            <v>563968</v>
          </cell>
          <cell r="F3014">
            <v>0</v>
          </cell>
        </row>
        <row r="3015">
          <cell r="A3015" t="str">
            <v>VH001-02060</v>
          </cell>
          <cell r="B3015" t="str">
            <v xml:space="preserve"> PIPE 30X3500-SDT60</v>
          </cell>
          <cell r="C3015" t="str">
            <v>PC</v>
          </cell>
          <cell r="D3015">
            <v>0</v>
          </cell>
          <cell r="E3015">
            <v>326590</v>
          </cell>
          <cell r="F3015">
            <v>0</v>
          </cell>
        </row>
        <row r="3016">
          <cell r="A3016" t="str">
            <v>VH001-02070</v>
          </cell>
          <cell r="B3016" t="str">
            <v xml:space="preserve"> PIPE 30X2500-SDT60</v>
          </cell>
          <cell r="C3016" t="str">
            <v>PC</v>
          </cell>
          <cell r="D3016">
            <v>0</v>
          </cell>
          <cell r="E3016">
            <v>249109</v>
          </cell>
          <cell r="F3016">
            <v>0</v>
          </cell>
        </row>
        <row r="3017">
          <cell r="A3017" t="str">
            <v>VH001-02080</v>
          </cell>
          <cell r="B3017" t="str">
            <v xml:space="preserve"> PIPE 30X3500-SDT60</v>
          </cell>
          <cell r="C3017" t="str">
            <v>PC</v>
          </cell>
          <cell r="D3017">
            <v>0</v>
          </cell>
          <cell r="E3017">
            <v>326590</v>
          </cell>
          <cell r="F3017">
            <v>0</v>
          </cell>
        </row>
        <row r="3018">
          <cell r="A3018" t="str">
            <v>VH001-02090</v>
          </cell>
          <cell r="B3018" t="str">
            <v xml:space="preserve"> PIPE 30X2500-SDT60</v>
          </cell>
          <cell r="C3018" t="str">
            <v>PC</v>
          </cell>
          <cell r="D3018">
            <v>0</v>
          </cell>
          <cell r="E3018">
            <v>249109</v>
          </cell>
          <cell r="F3018">
            <v>0</v>
          </cell>
        </row>
        <row r="3019">
          <cell r="A3019" t="str">
            <v>VH001-02100</v>
          </cell>
          <cell r="B3019" t="str">
            <v xml:space="preserve"> PIPE 30X6000-SDT60</v>
          </cell>
          <cell r="C3019" t="str">
            <v>PC</v>
          </cell>
          <cell r="D3019">
            <v>0</v>
          </cell>
          <cell r="E3019">
            <v>521800</v>
          </cell>
          <cell r="F3019">
            <v>0</v>
          </cell>
        </row>
        <row r="3020">
          <cell r="A3020" t="str">
            <v>VH001-02110</v>
          </cell>
          <cell r="B3020" t="str">
            <v xml:space="preserve"> PIPE 25X3500-SDT60</v>
          </cell>
          <cell r="C3020" t="str">
            <v>PC</v>
          </cell>
          <cell r="D3020">
            <v>0</v>
          </cell>
          <cell r="E3020">
            <v>202568</v>
          </cell>
          <cell r="F3020">
            <v>0</v>
          </cell>
        </row>
        <row r="3021">
          <cell r="A3021" t="str">
            <v>VH001-02120</v>
          </cell>
          <cell r="B3021" t="str">
            <v xml:space="preserve"> PIPE 25X2500-SDT60</v>
          </cell>
          <cell r="C3021" t="str">
            <v>PC</v>
          </cell>
          <cell r="D3021">
            <v>0</v>
          </cell>
          <cell r="E3021">
            <v>166221</v>
          </cell>
          <cell r="F3021">
            <v>0</v>
          </cell>
        </row>
        <row r="3022">
          <cell r="A3022" t="str">
            <v>VH001-02130</v>
          </cell>
          <cell r="B3022" t="str">
            <v xml:space="preserve"> PIPE 25X6000-SDT60</v>
          </cell>
          <cell r="C3022" t="str">
            <v>PC</v>
          </cell>
          <cell r="D3022">
            <v>0</v>
          </cell>
          <cell r="E3022">
            <v>315598</v>
          </cell>
          <cell r="F3022">
            <v>0</v>
          </cell>
        </row>
        <row r="3023">
          <cell r="A3023" t="str">
            <v>VH001-02140</v>
          </cell>
          <cell r="B3023" t="str">
            <v xml:space="preserve"> PIPE 25X3500-SDT60</v>
          </cell>
          <cell r="C3023" t="str">
            <v>PC</v>
          </cell>
          <cell r="D3023">
            <v>0</v>
          </cell>
          <cell r="E3023">
            <v>326590</v>
          </cell>
          <cell r="F3023">
            <v>0</v>
          </cell>
        </row>
        <row r="3024">
          <cell r="A3024" t="str">
            <v>VH001-02150</v>
          </cell>
          <cell r="B3024" t="str">
            <v xml:space="preserve"> PIPE 25X2500-SDT60</v>
          </cell>
          <cell r="C3024" t="str">
            <v>PC</v>
          </cell>
          <cell r="D3024">
            <v>0</v>
          </cell>
          <cell r="E3024">
            <v>240244</v>
          </cell>
          <cell r="F3024">
            <v>0</v>
          </cell>
        </row>
        <row r="3025">
          <cell r="A3025" t="str">
            <v>VH001-02160</v>
          </cell>
          <cell r="B3025" t="str">
            <v xml:space="preserve"> PIPE 25X6000-SDT60</v>
          </cell>
          <cell r="C3025" t="str">
            <v>PC</v>
          </cell>
          <cell r="D3025">
            <v>0</v>
          </cell>
          <cell r="E3025">
            <v>521800</v>
          </cell>
          <cell r="F3025">
            <v>0</v>
          </cell>
        </row>
        <row r="3026">
          <cell r="A3026" t="str">
            <v>VH001-02170</v>
          </cell>
          <cell r="B3026" t="str">
            <v xml:space="preserve"> PIPE 25X3500-SDT60</v>
          </cell>
          <cell r="C3026" t="str">
            <v>PC</v>
          </cell>
          <cell r="D3026">
            <v>0</v>
          </cell>
          <cell r="E3026">
            <v>202568</v>
          </cell>
          <cell r="F3026">
            <v>0</v>
          </cell>
        </row>
        <row r="3027">
          <cell r="A3027" t="str">
            <v>VH001-02180</v>
          </cell>
          <cell r="B3027" t="str">
            <v xml:space="preserve"> PIPE 25X2500-SDT60</v>
          </cell>
          <cell r="C3027" t="str">
            <v>PC</v>
          </cell>
          <cell r="D3027">
            <v>0</v>
          </cell>
          <cell r="E3027">
            <v>166221</v>
          </cell>
          <cell r="F3027">
            <v>0</v>
          </cell>
        </row>
        <row r="3028">
          <cell r="A3028" t="str">
            <v>VH001-02190</v>
          </cell>
          <cell r="B3028" t="str">
            <v xml:space="preserve"> PIPE 25X6000-SDT60</v>
          </cell>
          <cell r="C3028" t="str">
            <v>PC</v>
          </cell>
          <cell r="D3028">
            <v>0</v>
          </cell>
          <cell r="E3028">
            <v>315598</v>
          </cell>
          <cell r="F3028">
            <v>0</v>
          </cell>
        </row>
        <row r="3029">
          <cell r="A3029" t="str">
            <v>VH001-02200</v>
          </cell>
          <cell r="B3029" t="str">
            <v xml:space="preserve"> COUPLING P-GV30S</v>
          </cell>
          <cell r="C3029" t="str">
            <v>PC</v>
          </cell>
          <cell r="D3029">
            <v>0</v>
          </cell>
          <cell r="E3029">
            <v>148225</v>
          </cell>
          <cell r="F3029">
            <v>0</v>
          </cell>
        </row>
        <row r="3030">
          <cell r="A3030" t="str">
            <v>VH001-02210</v>
          </cell>
          <cell r="B3030" t="str">
            <v xml:space="preserve"> ELBOW 90 P-EWVD30S</v>
          </cell>
          <cell r="C3030" t="str">
            <v>PC</v>
          </cell>
          <cell r="D3030">
            <v>0</v>
          </cell>
          <cell r="E3030">
            <v>244234</v>
          </cell>
          <cell r="F3030">
            <v>0</v>
          </cell>
        </row>
        <row r="3031">
          <cell r="A3031" t="str">
            <v>VH001-02220</v>
          </cell>
          <cell r="B3031" t="str">
            <v xml:space="preserve"> TEE P-TV30S</v>
          </cell>
          <cell r="C3031" t="str">
            <v>PC</v>
          </cell>
          <cell r="D3031">
            <v>0</v>
          </cell>
          <cell r="E3031">
            <v>294587</v>
          </cell>
          <cell r="F3031">
            <v>0</v>
          </cell>
        </row>
        <row r="3032">
          <cell r="A3032" t="str">
            <v>VH001-02230</v>
          </cell>
          <cell r="B3032" t="str">
            <v xml:space="preserve"> COUPLING P-GV25S</v>
          </cell>
          <cell r="C3032" t="str">
            <v>PC</v>
          </cell>
          <cell r="D3032">
            <v>0</v>
          </cell>
          <cell r="E3032">
            <v>109129</v>
          </cell>
          <cell r="F3032">
            <v>0</v>
          </cell>
        </row>
        <row r="3033">
          <cell r="A3033" t="str">
            <v>VH001-02250</v>
          </cell>
          <cell r="B3033" t="str">
            <v>ELBOW 1,5 NPT</v>
          </cell>
          <cell r="C3033" t="str">
            <v>PC</v>
          </cell>
          <cell r="D3033">
            <v>4</v>
          </cell>
          <cell r="E3033">
            <v>6000</v>
          </cell>
          <cell r="F3033">
            <v>24000</v>
          </cell>
        </row>
        <row r="3034">
          <cell r="A3034" t="str">
            <v>VH001-02290</v>
          </cell>
          <cell r="B3034" t="str">
            <v>DRY BUSH</v>
          </cell>
          <cell r="C3034" t="str">
            <v>PC</v>
          </cell>
          <cell r="D3034">
            <v>0</v>
          </cell>
          <cell r="E3034">
            <v>85000</v>
          </cell>
          <cell r="F3034">
            <v>0</v>
          </cell>
        </row>
        <row r="3035">
          <cell r="A3035" t="str">
            <v>VH001-02300</v>
          </cell>
          <cell r="B3035" t="str">
            <v>UPPER HEAD, ROTATOR</v>
          </cell>
          <cell r="C3035" t="str">
            <v>PC</v>
          </cell>
          <cell r="D3035">
            <v>0</v>
          </cell>
          <cell r="E3035">
            <v>0</v>
          </cell>
          <cell r="F3035">
            <v>0</v>
          </cell>
        </row>
        <row r="3036">
          <cell r="A3036" t="str">
            <v>VH001-02330</v>
          </cell>
          <cell r="B3036" t="str">
            <v>ORING 218</v>
          </cell>
          <cell r="C3036" t="str">
            <v>PC</v>
          </cell>
          <cell r="D3036">
            <v>72</v>
          </cell>
          <cell r="E3036">
            <v>720</v>
          </cell>
          <cell r="F3036">
            <v>51840</v>
          </cell>
        </row>
        <row r="3037">
          <cell r="A3037" t="str">
            <v>VH001-02340</v>
          </cell>
          <cell r="B3037" t="str">
            <v>O RING JR 4X24</v>
          </cell>
          <cell r="C3037" t="str">
            <v>PC</v>
          </cell>
          <cell r="D3037">
            <v>61</v>
          </cell>
          <cell r="E3037">
            <v>1500</v>
          </cell>
          <cell r="F3037">
            <v>91500</v>
          </cell>
        </row>
        <row r="3038">
          <cell r="A3038" t="str">
            <v>VH001-02350</v>
          </cell>
          <cell r="B3038" t="str">
            <v>HOSE</v>
          </cell>
          <cell r="C3038" t="str">
            <v>PC</v>
          </cell>
          <cell r="D3038">
            <v>0</v>
          </cell>
          <cell r="E3038">
            <v>0</v>
          </cell>
          <cell r="F3038">
            <v>0</v>
          </cell>
        </row>
        <row r="3039">
          <cell r="A3039" t="str">
            <v>VH001-02360</v>
          </cell>
          <cell r="B3039" t="str">
            <v>HOSE</v>
          </cell>
          <cell r="C3039" t="str">
            <v>PC</v>
          </cell>
          <cell r="D3039">
            <v>0</v>
          </cell>
          <cell r="E3039">
            <v>0</v>
          </cell>
          <cell r="F3039">
            <v>0</v>
          </cell>
        </row>
        <row r="3040">
          <cell r="A3040" t="str">
            <v>VH001-02370</v>
          </cell>
          <cell r="B3040" t="str">
            <v>FLANGE SPLIT 3/4"</v>
          </cell>
          <cell r="C3040" t="str">
            <v>PC</v>
          </cell>
          <cell r="D3040">
            <v>52</v>
          </cell>
          <cell r="E3040">
            <v>21287</v>
          </cell>
          <cell r="F3040">
            <v>1106924</v>
          </cell>
        </row>
        <row r="3041">
          <cell r="A3041" t="str">
            <v>VH001-02490</v>
          </cell>
          <cell r="B3041" t="str">
            <v>7" HYDROULIC RAM( GDA-364 )</v>
          </cell>
          <cell r="C3041" t="str">
            <v>PC</v>
          </cell>
          <cell r="D3041">
            <v>1</v>
          </cell>
          <cell r="E3041">
            <v>8914290</v>
          </cell>
          <cell r="F3041">
            <v>8914290</v>
          </cell>
        </row>
        <row r="3042">
          <cell r="A3042" t="str">
            <v>VH001-02500</v>
          </cell>
          <cell r="B3042" t="str">
            <v>8 LEAF SPRING HUCTH( 752-01 )</v>
          </cell>
          <cell r="C3042" t="str">
            <v>PC</v>
          </cell>
          <cell r="D3042">
            <v>24</v>
          </cell>
          <cell r="E3042">
            <v>1</v>
          </cell>
          <cell r="F3042">
            <v>24</v>
          </cell>
        </row>
        <row r="3043">
          <cell r="A3043" t="str">
            <v>VH001-02510</v>
          </cell>
          <cell r="B3043" t="str">
            <v>ADAPTER 3/4" X 1"( 12MJX16UNO )</v>
          </cell>
          <cell r="C3043" t="str">
            <v>PC</v>
          </cell>
          <cell r="D3043">
            <v>1</v>
          </cell>
          <cell r="E3043">
            <v>10708</v>
          </cell>
          <cell r="F3043">
            <v>10708</v>
          </cell>
        </row>
        <row r="3044">
          <cell r="A3044" t="str">
            <v>VH001-02520</v>
          </cell>
          <cell r="B3044" t="str">
            <v>ADAPTER 3/4" X 3/4"( 12NJX12MT )</v>
          </cell>
          <cell r="C3044" t="str">
            <v>PC</v>
          </cell>
          <cell r="D3044">
            <v>1</v>
          </cell>
          <cell r="E3044">
            <v>13380</v>
          </cell>
          <cell r="F3044">
            <v>13380</v>
          </cell>
        </row>
        <row r="3045">
          <cell r="A3045" t="str">
            <v>VH001-02530</v>
          </cell>
          <cell r="B3045" t="str">
            <v>ADAPTER 3/4" X JICX2( 12MJX12MJ )</v>
          </cell>
          <cell r="C3045" t="str">
            <v>PC</v>
          </cell>
          <cell r="D3045">
            <v>3</v>
          </cell>
          <cell r="E3045">
            <v>8291</v>
          </cell>
          <cell r="F3045">
            <v>24873</v>
          </cell>
        </row>
        <row r="3046">
          <cell r="A3046" t="str">
            <v>VH001-02540</v>
          </cell>
          <cell r="B3046" t="str">
            <v>CHECK VALVE VICKERS( DT8PI-10 )</v>
          </cell>
          <cell r="C3046" t="str">
            <v>PC</v>
          </cell>
          <cell r="D3046">
            <v>1</v>
          </cell>
          <cell r="E3046">
            <v>709744</v>
          </cell>
          <cell r="F3046">
            <v>709744</v>
          </cell>
        </row>
        <row r="3047">
          <cell r="A3047" t="str">
            <v>VH001-02550</v>
          </cell>
          <cell r="B3047" t="str">
            <v>CHECK VALVE( DT8P1-10-65 )</v>
          </cell>
          <cell r="C3047" t="str">
            <v>PC</v>
          </cell>
          <cell r="D3047">
            <v>1</v>
          </cell>
          <cell r="E3047">
            <v>230915</v>
          </cell>
          <cell r="F3047">
            <v>230915</v>
          </cell>
        </row>
        <row r="3048">
          <cell r="A3048" t="str">
            <v>VH001-02560</v>
          </cell>
          <cell r="B3048" t="str">
            <v>CLAMP HOSE 3/4( SP428PP-DP-AS )</v>
          </cell>
          <cell r="C3048" t="str">
            <v>PC</v>
          </cell>
          <cell r="D3048">
            <v>15</v>
          </cell>
          <cell r="E3048">
            <v>21277</v>
          </cell>
          <cell r="F3048">
            <v>319155</v>
          </cell>
        </row>
        <row r="3049">
          <cell r="A3049" t="str">
            <v>VH001-02570</v>
          </cell>
          <cell r="B3049" t="str">
            <v>CLAMP HOSE MIKALOR 26~39 MM</v>
          </cell>
          <cell r="C3049" t="str">
            <v>PC</v>
          </cell>
          <cell r="D3049">
            <v>148</v>
          </cell>
          <cell r="E3049">
            <v>3000</v>
          </cell>
          <cell r="F3049">
            <v>444000</v>
          </cell>
        </row>
        <row r="3050">
          <cell r="A3050" t="str">
            <v>VH001-02580</v>
          </cell>
          <cell r="B3050" t="str">
            <v>CLAMP PIPE( SP109-5APP-DP-AS )</v>
          </cell>
          <cell r="C3050" t="str">
            <v>PC</v>
          </cell>
          <cell r="D3050">
            <v>0</v>
          </cell>
          <cell r="E3050">
            <v>13392</v>
          </cell>
          <cell r="F3050">
            <v>0</v>
          </cell>
        </row>
        <row r="3051">
          <cell r="A3051" t="str">
            <v>VH001-02590</v>
          </cell>
          <cell r="B3051" t="str">
            <v>CONDUIT TUBE 10 MM</v>
          </cell>
          <cell r="C3051" t="str">
            <v>PC</v>
          </cell>
          <cell r="D3051">
            <v>0</v>
          </cell>
          <cell r="E3051">
            <v>3150</v>
          </cell>
          <cell r="F3051">
            <v>0</v>
          </cell>
        </row>
        <row r="3052">
          <cell r="A3052" t="str">
            <v>VH001-02600</v>
          </cell>
          <cell r="B3052" t="str">
            <v>TB.CON (KQH-08-02)-08X1/4</v>
          </cell>
          <cell r="C3052" t="str">
            <v>PC</v>
          </cell>
          <cell r="D3052">
            <v>63</v>
          </cell>
          <cell r="E3052">
            <v>14801</v>
          </cell>
          <cell r="F3052">
            <v>932491</v>
          </cell>
        </row>
        <row r="3053">
          <cell r="A3053" t="str">
            <v>VH001-02610</v>
          </cell>
          <cell r="B3053" t="str">
            <v>CONECTOR 1/2" X 3/8"( KQL 08-03-K )</v>
          </cell>
          <cell r="C3053" t="str">
            <v>PC</v>
          </cell>
          <cell r="D3053">
            <v>37</v>
          </cell>
          <cell r="E3053">
            <v>45885</v>
          </cell>
          <cell r="F3053">
            <v>1697750</v>
          </cell>
        </row>
        <row r="3054">
          <cell r="A3054" t="str">
            <v>VH001-02620</v>
          </cell>
          <cell r="B3054" t="str">
            <v>CONECTOR 1/4"X3/8"( KQH 02-03-K )</v>
          </cell>
          <cell r="C3054" t="str">
            <v>PC</v>
          </cell>
          <cell r="D3054">
            <v>1</v>
          </cell>
          <cell r="E3054">
            <v>374452</v>
          </cell>
          <cell r="F3054">
            <v>374452</v>
          </cell>
        </row>
        <row r="3055">
          <cell r="A3055" t="str">
            <v>VH001-02630</v>
          </cell>
          <cell r="B3055" t="str">
            <v>CONTROL CABLE 2M( 172-L-3-2M )</v>
          </cell>
          <cell r="C3055" t="str">
            <v>PC</v>
          </cell>
          <cell r="D3055">
            <v>1</v>
          </cell>
          <cell r="E3055">
            <v>569700</v>
          </cell>
          <cell r="F3055">
            <v>569700</v>
          </cell>
        </row>
        <row r="3056">
          <cell r="A3056" t="str">
            <v>VH001-02640</v>
          </cell>
          <cell r="B3056" t="str">
            <v>COUNTER BALANCE VALV( CBV-60-11010 )</v>
          </cell>
          <cell r="C3056" t="str">
            <v>PC</v>
          </cell>
          <cell r="D3056">
            <v>3</v>
          </cell>
          <cell r="E3056">
            <v>725194</v>
          </cell>
          <cell r="F3056">
            <v>2175582</v>
          </cell>
        </row>
        <row r="3057">
          <cell r="A3057" t="str">
            <v>VH001-02650</v>
          </cell>
          <cell r="B3057" t="str">
            <v>DAIKIN DIRECT DRIVE( MF-22-522-45-DD3 )</v>
          </cell>
          <cell r="C3057" t="str">
            <v>PC</v>
          </cell>
          <cell r="D3057">
            <v>4</v>
          </cell>
          <cell r="E3057">
            <v>2630508</v>
          </cell>
          <cell r="F3057">
            <v>10522032</v>
          </cell>
        </row>
        <row r="3058">
          <cell r="A3058" t="str">
            <v>VH001-02660</v>
          </cell>
          <cell r="B3058" t="str">
            <v>DN 1" X 3/4"( D-141/2126 )</v>
          </cell>
          <cell r="C3058" t="str">
            <v>PC</v>
          </cell>
          <cell r="D3058">
            <v>5</v>
          </cell>
          <cell r="E3058">
            <v>33000</v>
          </cell>
          <cell r="F3058">
            <v>165000</v>
          </cell>
        </row>
        <row r="3059">
          <cell r="A3059" t="str">
            <v>VH001-02670</v>
          </cell>
          <cell r="B3059" t="str">
            <v>FLOW DEVIDER FD 1660( FD1660021 )</v>
          </cell>
          <cell r="C3059" t="str">
            <v>PC</v>
          </cell>
          <cell r="D3059">
            <v>7</v>
          </cell>
          <cell r="E3059">
            <v>4534582</v>
          </cell>
          <cell r="F3059">
            <v>31742073</v>
          </cell>
        </row>
        <row r="3060">
          <cell r="A3060" t="str">
            <v>VH001-02680</v>
          </cell>
          <cell r="B3060" t="str">
            <v>FLOW DEVIDER VALVE40( OM51039005150 )</v>
          </cell>
          <cell r="C3060" t="str">
            <v>PC</v>
          </cell>
          <cell r="D3060">
            <v>1</v>
          </cell>
          <cell r="E3060">
            <v>2306678</v>
          </cell>
          <cell r="F3060">
            <v>2306678</v>
          </cell>
        </row>
        <row r="3061">
          <cell r="A3061" t="str">
            <v>VH001-02690</v>
          </cell>
          <cell r="B3061" t="str">
            <v>GATE VALVE 2" 10SJ( BV-2-10SJ )</v>
          </cell>
          <cell r="C3061" t="str">
            <v>PC</v>
          </cell>
          <cell r="D3061">
            <v>1</v>
          </cell>
          <cell r="E3061">
            <v>409500</v>
          </cell>
          <cell r="F3061">
            <v>409500</v>
          </cell>
        </row>
        <row r="3062">
          <cell r="A3062" t="str">
            <v>VH001-02700</v>
          </cell>
          <cell r="B3062" t="str">
            <v>GEAR BOX BON FIG( GBB-562L1 )</v>
          </cell>
          <cell r="C3062" t="str">
            <v>PC</v>
          </cell>
          <cell r="D3062">
            <v>2</v>
          </cell>
          <cell r="E3062">
            <v>2511196</v>
          </cell>
          <cell r="F3062">
            <v>5022392</v>
          </cell>
        </row>
        <row r="3063">
          <cell r="A3063" t="str">
            <v>VH001-02710</v>
          </cell>
          <cell r="B3063" t="str">
            <v>GEAR BOX TYPE 560L4( GBB-560L4 )</v>
          </cell>
          <cell r="C3063" t="str">
            <v>PC</v>
          </cell>
          <cell r="D3063">
            <v>2</v>
          </cell>
          <cell r="E3063">
            <v>2120164</v>
          </cell>
          <cell r="F3063">
            <v>4240328</v>
          </cell>
        </row>
        <row r="3064">
          <cell r="A3064" t="str">
            <v>VH001-02720</v>
          </cell>
          <cell r="B3064" t="str">
            <v>GEAR BOX ZF( GB-ZF3301 )</v>
          </cell>
          <cell r="C3064" t="str">
            <v>PC</v>
          </cell>
          <cell r="D3064">
            <v>4</v>
          </cell>
          <cell r="E3064">
            <v>10159765</v>
          </cell>
          <cell r="F3064">
            <v>40639058</v>
          </cell>
        </row>
        <row r="3065">
          <cell r="A3065" t="str">
            <v>VH001-02730</v>
          </cell>
          <cell r="B3065" t="str">
            <v>GEAR BOX( MF22-522-45DD33 )</v>
          </cell>
          <cell r="C3065" t="str">
            <v>PC</v>
          </cell>
          <cell r="D3065">
            <v>4</v>
          </cell>
          <cell r="E3065">
            <v>2713080</v>
          </cell>
          <cell r="F3065">
            <v>10852320</v>
          </cell>
        </row>
        <row r="3066">
          <cell r="A3066" t="str">
            <v>VH001-02740</v>
          </cell>
          <cell r="B3066" t="str">
            <v>GLYSERIN PRESS GAUGE( GPG-250 )</v>
          </cell>
          <cell r="C3066" t="str">
            <v>PC</v>
          </cell>
          <cell r="D3066">
            <v>3</v>
          </cell>
          <cell r="E3066">
            <v>152251</v>
          </cell>
          <cell r="F3066">
            <v>456753</v>
          </cell>
        </row>
        <row r="3067">
          <cell r="A3067" t="str">
            <v>VH001-02750</v>
          </cell>
          <cell r="B3067" t="str">
            <v>HOSE 3/4"( D-2800/12 )</v>
          </cell>
          <cell r="C3067" t="str">
            <v>PC</v>
          </cell>
          <cell r="D3067">
            <v>110</v>
          </cell>
          <cell r="E3067">
            <v>1</v>
          </cell>
          <cell r="F3067">
            <v>110</v>
          </cell>
        </row>
        <row r="3068">
          <cell r="A3068" t="str">
            <v>VH001-02760</v>
          </cell>
          <cell r="B3068" t="str">
            <v>HOSE ASSY( 12X16NJ-R2-12-2000 )</v>
          </cell>
          <cell r="C3068" t="str">
            <v>PC</v>
          </cell>
          <cell r="D3068">
            <v>1</v>
          </cell>
          <cell r="E3068">
            <v>158029</v>
          </cell>
          <cell r="F3068">
            <v>158029</v>
          </cell>
        </row>
        <row r="3069">
          <cell r="A3069" t="str">
            <v>VH001-02770</v>
          </cell>
          <cell r="B3069" t="str">
            <v>HOSE COUPLER 1"( HC-1 )</v>
          </cell>
          <cell r="C3069" t="str">
            <v>PC</v>
          </cell>
          <cell r="D3069">
            <v>0</v>
          </cell>
          <cell r="E3069">
            <v>4050</v>
          </cell>
          <cell r="F3069">
            <v>0</v>
          </cell>
        </row>
        <row r="3070">
          <cell r="A3070" t="str">
            <v>VH001-02780</v>
          </cell>
          <cell r="B3070" t="str">
            <v>HOSE 1"( D-2800/16 )</v>
          </cell>
          <cell r="C3070" t="str">
            <v>PC</v>
          </cell>
          <cell r="D3070">
            <v>100</v>
          </cell>
          <cell r="E3070">
            <v>6556</v>
          </cell>
          <cell r="F3070">
            <v>655600</v>
          </cell>
        </row>
        <row r="3071">
          <cell r="A3071" t="str">
            <v>VH001-02790</v>
          </cell>
          <cell r="B3071" t="str">
            <v>NYLON HOSE 2"</v>
          </cell>
          <cell r="C3071" t="str">
            <v>PC</v>
          </cell>
          <cell r="D3071">
            <v>24</v>
          </cell>
          <cell r="E3071">
            <v>22500</v>
          </cell>
          <cell r="F3071">
            <v>540000</v>
          </cell>
        </row>
        <row r="3072">
          <cell r="A3072" t="str">
            <v>VH001-02800</v>
          </cell>
          <cell r="B3072" t="str">
            <v>NYLON HOSE 2.5"</v>
          </cell>
          <cell r="C3072" t="str">
            <v>PC</v>
          </cell>
          <cell r="D3072">
            <v>7</v>
          </cell>
          <cell r="E3072">
            <v>41250</v>
          </cell>
          <cell r="F3072">
            <v>288750</v>
          </cell>
        </row>
        <row r="3073">
          <cell r="A3073" t="str">
            <v>VH001-02810</v>
          </cell>
          <cell r="B3073" t="str">
            <v>NYLON HOSE 3" TETRON</v>
          </cell>
          <cell r="C3073" t="str">
            <v>PC</v>
          </cell>
          <cell r="D3073">
            <v>1</v>
          </cell>
          <cell r="E3073">
            <v>81857</v>
          </cell>
          <cell r="F3073">
            <v>81857</v>
          </cell>
        </row>
        <row r="3074">
          <cell r="A3074" t="str">
            <v>VH001-02820</v>
          </cell>
          <cell r="B3074" t="str">
            <v>NYLON HOSE 3/8"</v>
          </cell>
          <cell r="C3074" t="str">
            <v>PC</v>
          </cell>
          <cell r="D3074">
            <v>48</v>
          </cell>
          <cell r="E3074">
            <v>1845</v>
          </cell>
          <cell r="F3074">
            <v>88569</v>
          </cell>
        </row>
        <row r="3075">
          <cell r="A3075" t="str">
            <v>VH001-02830</v>
          </cell>
          <cell r="B3075" t="str">
            <v>NYLON TUBE-1/2"BLACK( POP-38413H )</v>
          </cell>
          <cell r="C3075" t="str">
            <v>PC</v>
          </cell>
          <cell r="D3075">
            <v>0</v>
          </cell>
          <cell r="E3075">
            <v>16708</v>
          </cell>
          <cell r="F3075">
            <v>0</v>
          </cell>
        </row>
        <row r="3076">
          <cell r="A3076" t="str">
            <v>VH001-02840</v>
          </cell>
          <cell r="B3076" t="str">
            <v>NYLON TUBING 6,5X10( NT-10-65-O )</v>
          </cell>
          <cell r="C3076" t="str">
            <v>PC</v>
          </cell>
          <cell r="D3076">
            <v>15</v>
          </cell>
          <cell r="E3076">
            <v>2550</v>
          </cell>
          <cell r="F3076">
            <v>38250</v>
          </cell>
        </row>
        <row r="3077">
          <cell r="A3077" t="str">
            <v>VH001-02850</v>
          </cell>
          <cell r="B3077" t="str">
            <v>OIL COOLER DYNACOL( 66/01/03359 )</v>
          </cell>
          <cell r="C3077" t="str">
            <v>PC</v>
          </cell>
          <cell r="D3077">
            <v>23</v>
          </cell>
          <cell r="E3077">
            <v>707743</v>
          </cell>
          <cell r="F3077">
            <v>16278089</v>
          </cell>
        </row>
        <row r="3078">
          <cell r="A3078" t="str">
            <v>VH001-02860</v>
          </cell>
          <cell r="B3078" t="str">
            <v>OIL FILTER HYD( MFP-160GG10A0 )</v>
          </cell>
          <cell r="C3078" t="str">
            <v>PC</v>
          </cell>
          <cell r="D3078">
            <v>49</v>
          </cell>
          <cell r="E3078">
            <v>1</v>
          </cell>
          <cell r="F3078">
            <v>49</v>
          </cell>
        </row>
        <row r="3079">
          <cell r="A3079" t="str">
            <v>VH001-02870</v>
          </cell>
          <cell r="B3079" t="str">
            <v xml:space="preserve"> OIL RUBBER HOSE 3/4( ORH-3/4 )</v>
          </cell>
          <cell r="C3079" t="str">
            <v>PC</v>
          </cell>
          <cell r="D3079">
            <v>0</v>
          </cell>
          <cell r="E3079">
            <v>43500</v>
          </cell>
          <cell r="F3079">
            <v>0</v>
          </cell>
        </row>
        <row r="3080">
          <cell r="A3080" t="str">
            <v>VH001-02880</v>
          </cell>
          <cell r="B3080" t="str">
            <v>ORING 3.5 OD 35</v>
          </cell>
          <cell r="C3080" t="str">
            <v>PC</v>
          </cell>
          <cell r="D3080">
            <v>39</v>
          </cell>
          <cell r="E3080">
            <v>3506</v>
          </cell>
          <cell r="F3080">
            <v>136734</v>
          </cell>
        </row>
        <row r="3081">
          <cell r="A3081" t="str">
            <v>VH001-02890</v>
          </cell>
          <cell r="B3081" t="str">
            <v>ORING 3.5 OD 42</v>
          </cell>
          <cell r="C3081" t="str">
            <v>PC</v>
          </cell>
          <cell r="D3081">
            <v>75</v>
          </cell>
          <cell r="E3081">
            <v>4508</v>
          </cell>
          <cell r="F3081">
            <v>338100</v>
          </cell>
        </row>
        <row r="3082">
          <cell r="A3082" t="str">
            <v>VH001-02900</v>
          </cell>
          <cell r="B3082" t="str">
            <v>ORING 3.5 OD 51</v>
          </cell>
          <cell r="C3082" t="str">
            <v>PC</v>
          </cell>
          <cell r="D3082">
            <v>42</v>
          </cell>
          <cell r="E3082">
            <v>5885</v>
          </cell>
          <cell r="F3082">
            <v>247170</v>
          </cell>
        </row>
        <row r="3083">
          <cell r="A3083" t="str">
            <v>VH001-02910</v>
          </cell>
          <cell r="B3083" t="str">
            <v>PIPE CLAMP 1 3/8"( SP538PP-DP-AS )</v>
          </cell>
          <cell r="C3083" t="str">
            <v>PC</v>
          </cell>
          <cell r="D3083">
            <v>1</v>
          </cell>
          <cell r="E3083">
            <v>28205</v>
          </cell>
          <cell r="F3083">
            <v>28205</v>
          </cell>
        </row>
        <row r="3084">
          <cell r="A3084" t="str">
            <v>VH001-02920</v>
          </cell>
          <cell r="B3084" t="str">
            <v>PIPE CLAMP 1.25"( SP648.3PP-DP-AS )</v>
          </cell>
          <cell r="C3084" t="str">
            <v>PC</v>
          </cell>
          <cell r="D3084">
            <v>0</v>
          </cell>
          <cell r="E3084">
            <v>55574</v>
          </cell>
          <cell r="F3084">
            <v>0</v>
          </cell>
        </row>
        <row r="3085">
          <cell r="A3085" t="str">
            <v>VH001-02930</v>
          </cell>
          <cell r="B3085" t="str">
            <v>PIPE CLAMP 25( SP325/25PP-GD-AS )</v>
          </cell>
          <cell r="C3085" t="str">
            <v>PC</v>
          </cell>
          <cell r="D3085">
            <v>0</v>
          </cell>
          <cell r="E3085">
            <v>16741</v>
          </cell>
          <cell r="F3085">
            <v>0</v>
          </cell>
        </row>
        <row r="3086">
          <cell r="A3086" t="str">
            <v>VH001-02940</v>
          </cell>
          <cell r="B3086" t="str">
            <v>CLAMP D=50.8(SP650.8PP-DP-AS)</v>
          </cell>
          <cell r="C3086" t="str">
            <v>PC</v>
          </cell>
          <cell r="D3086">
            <v>0</v>
          </cell>
          <cell r="E3086">
            <v>56059</v>
          </cell>
          <cell r="F3086">
            <v>0</v>
          </cell>
        </row>
        <row r="3087">
          <cell r="A3087" t="str">
            <v>VH001-02950</v>
          </cell>
          <cell r="B3087" t="str">
            <v>T-TUBING 1/4 NPT X 1( KQT 12-02 )</v>
          </cell>
          <cell r="C3087" t="str">
            <v>PC</v>
          </cell>
          <cell r="D3087">
            <v>36</v>
          </cell>
          <cell r="E3087">
            <v>11400</v>
          </cell>
          <cell r="F3087">
            <v>410400</v>
          </cell>
        </row>
        <row r="3088">
          <cell r="A3088" t="str">
            <v>VH001-02960</v>
          </cell>
          <cell r="B3088" t="str">
            <v>TUB CON 08-03( KQH 08-03-K )</v>
          </cell>
          <cell r="C3088" t="str">
            <v>PC</v>
          </cell>
          <cell r="D3088">
            <v>0</v>
          </cell>
          <cell r="E3088">
            <v>11325</v>
          </cell>
          <cell r="F3088">
            <v>0</v>
          </cell>
        </row>
        <row r="3089">
          <cell r="A3089" t="str">
            <v>VH001-02970</v>
          </cell>
          <cell r="B3089" t="str">
            <v>TUBE CONECTOR( KQH 12-02 )</v>
          </cell>
          <cell r="C3089" t="str">
            <v>PC</v>
          </cell>
          <cell r="D3089">
            <v>160</v>
          </cell>
          <cell r="E3089">
            <v>4290</v>
          </cell>
          <cell r="F3089">
            <v>686400</v>
          </cell>
        </row>
        <row r="3090">
          <cell r="A3090" t="str">
            <v>VH001-02980</v>
          </cell>
          <cell r="B3090" t="str">
            <v>TUBING CON 1/2"( KQH 12.7-00 )</v>
          </cell>
          <cell r="C3090" t="str">
            <v>PC</v>
          </cell>
          <cell r="D3090">
            <v>4</v>
          </cell>
          <cell r="E3090">
            <v>23868</v>
          </cell>
          <cell r="F3090">
            <v>95472</v>
          </cell>
        </row>
        <row r="3091">
          <cell r="A3091" t="str">
            <v>VH001-02990</v>
          </cell>
          <cell r="B3091" t="str">
            <v>TUBING CON 1/4"X10( KQH 10-02 )</v>
          </cell>
          <cell r="C3091" t="str">
            <v>PC</v>
          </cell>
          <cell r="D3091">
            <v>0</v>
          </cell>
          <cell r="E3091">
            <v>8580</v>
          </cell>
          <cell r="F3091">
            <v>0</v>
          </cell>
        </row>
        <row r="3092">
          <cell r="A3092" t="str">
            <v>VH001-03000</v>
          </cell>
          <cell r="B3092" t="str">
            <v>TB.CON. (KQH 06-02) 1/4 X6</v>
          </cell>
          <cell r="C3092" t="str">
            <v>PC</v>
          </cell>
          <cell r="D3092">
            <v>109</v>
          </cell>
          <cell r="E3092">
            <v>14482</v>
          </cell>
          <cell r="F3092">
            <v>1578572</v>
          </cell>
        </row>
        <row r="3093">
          <cell r="A3093" t="str">
            <v>VH001-03010</v>
          </cell>
          <cell r="B3093" t="str">
            <v>TUBING CON. 6X6X6( KQT 06-00 )</v>
          </cell>
          <cell r="C3093" t="str">
            <v>PC</v>
          </cell>
          <cell r="D3093">
            <v>12</v>
          </cell>
          <cell r="E3093">
            <v>12563</v>
          </cell>
          <cell r="F3093">
            <v>150756</v>
          </cell>
        </row>
        <row r="3094">
          <cell r="A3094" t="str">
            <v>VH001-03020</v>
          </cell>
          <cell r="B3094" t="str">
            <v>TUBING CON. 10MM( KQH 10-00 )</v>
          </cell>
          <cell r="C3094" t="str">
            <v>PC</v>
          </cell>
          <cell r="D3094">
            <v>8</v>
          </cell>
          <cell r="E3094">
            <v>18107</v>
          </cell>
          <cell r="F3094">
            <v>144857</v>
          </cell>
        </row>
        <row r="3095">
          <cell r="A3095" t="str">
            <v>VH001-03030</v>
          </cell>
          <cell r="B3095" t="str">
            <v>TUBING CON. 12MM( KQH 12-00 )</v>
          </cell>
          <cell r="C3095" t="str">
            <v>PC</v>
          </cell>
          <cell r="D3095">
            <v>12</v>
          </cell>
          <cell r="E3095">
            <v>36751</v>
          </cell>
          <cell r="F3095">
            <v>441014</v>
          </cell>
        </row>
        <row r="3096">
          <cell r="A3096" t="str">
            <v>VH001-03040</v>
          </cell>
          <cell r="B3096" t="str">
            <v>TUBING CON. 6MM( KQH 06-00 )</v>
          </cell>
          <cell r="C3096" t="str">
            <v>PC</v>
          </cell>
          <cell r="D3096">
            <v>29</v>
          </cell>
          <cell r="E3096">
            <v>16728</v>
          </cell>
          <cell r="F3096">
            <v>485119</v>
          </cell>
        </row>
        <row r="3097">
          <cell r="A3097" t="str">
            <v>VH001-03050</v>
          </cell>
          <cell r="B3097" t="str">
            <v>TUBING CON. 8MM( KQH 08-00 )</v>
          </cell>
          <cell r="C3097" t="str">
            <v>PC</v>
          </cell>
          <cell r="D3097">
            <v>2</v>
          </cell>
          <cell r="E3097">
            <v>13062</v>
          </cell>
          <cell r="F3097">
            <v>26124</v>
          </cell>
        </row>
        <row r="3098">
          <cell r="A3098" t="str">
            <v>VH001-03060</v>
          </cell>
          <cell r="B3098" t="str">
            <v>TUBING CON. 16MM( KQH-16-03 )</v>
          </cell>
          <cell r="C3098" t="str">
            <v>PC</v>
          </cell>
          <cell r="D3098">
            <v>16</v>
          </cell>
          <cell r="E3098">
            <v>30600</v>
          </cell>
          <cell r="F3098">
            <v>489600</v>
          </cell>
        </row>
        <row r="3099">
          <cell r="A3099" t="str">
            <v>VH001-03070</v>
          </cell>
          <cell r="B3099" t="str">
            <v>TUBING CON. 10MMX3/8"( KQH 10-03 )</v>
          </cell>
          <cell r="C3099" t="str">
            <v>PC</v>
          </cell>
          <cell r="D3099">
            <v>225</v>
          </cell>
          <cell r="E3099">
            <v>7388</v>
          </cell>
          <cell r="F3099">
            <v>1662322</v>
          </cell>
        </row>
        <row r="3100">
          <cell r="A3100" t="str">
            <v>VH001-03080</v>
          </cell>
          <cell r="B3100" t="str">
            <v>TUBING PUN 6 X 1</v>
          </cell>
          <cell r="C3100" t="str">
            <v>M</v>
          </cell>
          <cell r="D3100">
            <v>0</v>
          </cell>
          <cell r="E3100">
            <v>0</v>
          </cell>
          <cell r="F3100">
            <v>0</v>
          </cell>
        </row>
        <row r="3101">
          <cell r="A3101" t="str">
            <v>VH001-03090</v>
          </cell>
          <cell r="B3101" t="str">
            <v>TB CON (KQH 10-04)</v>
          </cell>
          <cell r="C3101" t="str">
            <v>PC</v>
          </cell>
          <cell r="D3101">
            <v>89</v>
          </cell>
          <cell r="E3101">
            <v>22467</v>
          </cell>
          <cell r="F3101">
            <v>1999567</v>
          </cell>
        </row>
        <row r="3102">
          <cell r="A3102" t="str">
            <v>VH001-03100</v>
          </cell>
          <cell r="B3102" t="str">
            <v>UNION CON. 3/8( KQH 03-00-K )</v>
          </cell>
          <cell r="C3102" t="str">
            <v>PC</v>
          </cell>
          <cell r="D3102">
            <v>0</v>
          </cell>
          <cell r="E3102">
            <v>10500</v>
          </cell>
          <cell r="F3102">
            <v>0</v>
          </cell>
        </row>
        <row r="3103">
          <cell r="A3103" t="str">
            <v>VH001-03110</v>
          </cell>
          <cell r="B3103" t="str">
            <v>STRAINER 6" KITZ 10K</v>
          </cell>
          <cell r="C3103" t="str">
            <v>PC</v>
          </cell>
          <cell r="D3103">
            <v>0</v>
          </cell>
          <cell r="E3103">
            <v>2400000</v>
          </cell>
          <cell r="F3103">
            <v>0</v>
          </cell>
        </row>
        <row r="3104">
          <cell r="A3104" t="str">
            <v>VH001-03910</v>
          </cell>
          <cell r="B3104" t="str">
            <v>MALE CON. M22X1,5-3/8" TUBE</v>
          </cell>
          <cell r="C3104" t="str">
            <v>PC</v>
          </cell>
          <cell r="D3104">
            <v>0</v>
          </cell>
          <cell r="E3104">
            <v>50000</v>
          </cell>
          <cell r="F3104">
            <v>0</v>
          </cell>
        </row>
        <row r="3105">
          <cell r="A3105" t="str">
            <v>VH001-03920</v>
          </cell>
          <cell r="B3105" t="str">
            <v>HOSE ASSY 1.25" L=1500</v>
          </cell>
          <cell r="C3105" t="str">
            <v>PC</v>
          </cell>
          <cell r="D3105">
            <v>0</v>
          </cell>
          <cell r="E3105">
            <v>571182</v>
          </cell>
          <cell r="F3105">
            <v>0</v>
          </cell>
        </row>
        <row r="3106">
          <cell r="A3106" t="str">
            <v>VH001-03930</v>
          </cell>
          <cell r="B3106" t="str">
            <v>HOSE ASSY 1.25" L=1850</v>
          </cell>
          <cell r="C3106" t="str">
            <v>PC</v>
          </cell>
          <cell r="D3106">
            <v>0</v>
          </cell>
          <cell r="E3106">
            <v>611632</v>
          </cell>
          <cell r="F3106">
            <v>0</v>
          </cell>
        </row>
        <row r="3107">
          <cell r="A3107" t="str">
            <v>VH001-03940</v>
          </cell>
          <cell r="B3107" t="str">
            <v>HOSE ASSY 3/8" L=2500</v>
          </cell>
          <cell r="C3107" t="str">
            <v>PC</v>
          </cell>
          <cell r="D3107">
            <v>0</v>
          </cell>
          <cell r="E3107">
            <v>91745</v>
          </cell>
          <cell r="F3107">
            <v>0</v>
          </cell>
        </row>
        <row r="3108">
          <cell r="A3108" t="str">
            <v>VH001-03950</v>
          </cell>
          <cell r="B3108" t="str">
            <v>HOSE ASSY 3/8" L=7000</v>
          </cell>
          <cell r="C3108" t="str">
            <v>PC</v>
          </cell>
          <cell r="D3108">
            <v>0</v>
          </cell>
          <cell r="E3108">
            <v>164465</v>
          </cell>
          <cell r="F3108">
            <v>0</v>
          </cell>
        </row>
        <row r="3109">
          <cell r="A3109" t="str">
            <v>VH001-04150</v>
          </cell>
          <cell r="B3109" t="str">
            <v xml:space="preserve"> ELBOW 1,5" FEMALE-FEMALE</v>
          </cell>
          <cell r="C3109" t="str">
            <v>PC</v>
          </cell>
          <cell r="D3109">
            <v>0</v>
          </cell>
          <cell r="E3109">
            <v>6000</v>
          </cell>
          <cell r="F3109">
            <v>0</v>
          </cell>
        </row>
        <row r="3110">
          <cell r="A3110" t="str">
            <v>VH001-04160</v>
          </cell>
          <cell r="B3110" t="str">
            <v>SUCTION SPIRAL HOSE ( WATER )</v>
          </cell>
          <cell r="C3110" t="str">
            <v>PC</v>
          </cell>
          <cell r="D3110">
            <v>0</v>
          </cell>
          <cell r="E3110">
            <v>29000</v>
          </cell>
          <cell r="F3110">
            <v>0</v>
          </cell>
        </row>
        <row r="3111">
          <cell r="A3111" t="str">
            <v>VH001-04170</v>
          </cell>
          <cell r="B3111" t="str">
            <v>SUB PLATE FOR WT 16 KL CWB 520 LDN</v>
          </cell>
          <cell r="C3111" t="str">
            <v>PC</v>
          </cell>
          <cell r="D3111">
            <v>0</v>
          </cell>
          <cell r="E3111">
            <v>294579</v>
          </cell>
          <cell r="F3111">
            <v>0</v>
          </cell>
        </row>
        <row r="3112">
          <cell r="A3112" t="str">
            <v>VH001-04180</v>
          </cell>
          <cell r="B3112" t="str">
            <v>WATER HOSE PRESS 2.5"  (140PSI)</v>
          </cell>
          <cell r="C3112" t="str">
            <v>PC</v>
          </cell>
          <cell r="D3112">
            <v>0</v>
          </cell>
          <cell r="E3112">
            <v>498482</v>
          </cell>
          <cell r="F3112">
            <v>0</v>
          </cell>
        </row>
        <row r="3113">
          <cell r="A3113" t="str">
            <v>VH001-04190</v>
          </cell>
          <cell r="B3113" t="str">
            <v>BUTTERFLY VALVE 2"</v>
          </cell>
          <cell r="C3113" t="str">
            <v>PC</v>
          </cell>
          <cell r="D3113">
            <v>0</v>
          </cell>
          <cell r="E3113">
            <v>260000</v>
          </cell>
          <cell r="F3113">
            <v>0</v>
          </cell>
        </row>
        <row r="3114">
          <cell r="A3114" t="str">
            <v>VH001-04200</v>
          </cell>
          <cell r="B3114" t="str">
            <v>STRAINER KITZZ 20K 3"</v>
          </cell>
          <cell r="C3114" t="str">
            <v>PC</v>
          </cell>
          <cell r="D3114">
            <v>0</v>
          </cell>
          <cell r="E3114">
            <v>940000</v>
          </cell>
          <cell r="F3114">
            <v>0</v>
          </cell>
        </row>
        <row r="3115">
          <cell r="A3115" t="str">
            <v>VH001-04210</v>
          </cell>
          <cell r="B3115" t="str">
            <v>HOSE CONNECTOR 1"NPTX1"HOSE</v>
          </cell>
          <cell r="C3115" t="str">
            <v>PC</v>
          </cell>
          <cell r="D3115">
            <v>0</v>
          </cell>
          <cell r="E3115">
            <v>0</v>
          </cell>
          <cell r="F3115">
            <v>0</v>
          </cell>
        </row>
        <row r="3116">
          <cell r="A3116" t="str">
            <v>VH001-04220</v>
          </cell>
          <cell r="B3116" t="str">
            <v>3-WAY BALL VALVE TYPE400 D3"</v>
          </cell>
          <cell r="C3116" t="str">
            <v>PC</v>
          </cell>
          <cell r="D3116">
            <v>1</v>
          </cell>
          <cell r="E3116">
            <v>1330000</v>
          </cell>
          <cell r="F3116">
            <v>1330000</v>
          </cell>
        </row>
        <row r="3117">
          <cell r="A3117" t="str">
            <v>VH001-04230</v>
          </cell>
          <cell r="B3117" t="str">
            <v>HOSE ASSY SBD 08JF 1/2"  L. 800</v>
          </cell>
          <cell r="C3117" t="str">
            <v>PC</v>
          </cell>
          <cell r="D3117">
            <v>0</v>
          </cell>
          <cell r="E3117">
            <v>47154</v>
          </cell>
          <cell r="F3117">
            <v>0</v>
          </cell>
        </row>
        <row r="3118">
          <cell r="A3118" t="str">
            <v>VH001-04240</v>
          </cell>
          <cell r="B3118" t="str">
            <v>HOSE ASSY SBD 08JF 1/2"  L. 750</v>
          </cell>
          <cell r="C3118" t="str">
            <v>PC</v>
          </cell>
          <cell r="D3118">
            <v>0</v>
          </cell>
          <cell r="E3118">
            <v>46004</v>
          </cell>
          <cell r="F3118">
            <v>0</v>
          </cell>
        </row>
        <row r="3119">
          <cell r="A3119" t="str">
            <v>VH001-04250</v>
          </cell>
          <cell r="B3119" t="str">
            <v>HOSE ASSY SBD 08JF 1/2"  L. 700</v>
          </cell>
          <cell r="C3119" t="str">
            <v>PC</v>
          </cell>
          <cell r="D3119">
            <v>0</v>
          </cell>
          <cell r="E3119">
            <v>44936</v>
          </cell>
          <cell r="F3119">
            <v>0</v>
          </cell>
        </row>
        <row r="3120">
          <cell r="A3120" t="str">
            <v>VH001-04260</v>
          </cell>
          <cell r="B3120" t="str">
            <v>HOSE ASSY SBD 1" NPT L. 4900</v>
          </cell>
          <cell r="C3120" t="str">
            <v>PC</v>
          </cell>
          <cell r="D3120">
            <v>2</v>
          </cell>
          <cell r="E3120">
            <v>350833</v>
          </cell>
          <cell r="F3120">
            <v>701666</v>
          </cell>
        </row>
        <row r="3121">
          <cell r="A3121" t="str">
            <v>VH001-04270</v>
          </cell>
          <cell r="B3121" t="str">
            <v>SOCKET 3/4"</v>
          </cell>
          <cell r="C3121" t="str">
            <v>PC</v>
          </cell>
          <cell r="D3121">
            <v>0</v>
          </cell>
          <cell r="E3121">
            <v>1</v>
          </cell>
          <cell r="F3121">
            <v>0</v>
          </cell>
        </row>
        <row r="3122">
          <cell r="A3122" t="str">
            <v>VH001-04280</v>
          </cell>
          <cell r="B3122" t="str">
            <v>HOSE  1 KAWAT  1 1/4"</v>
          </cell>
          <cell r="C3122" t="str">
            <v>PC</v>
          </cell>
          <cell r="D3122">
            <v>20</v>
          </cell>
          <cell r="E3122">
            <v>66250</v>
          </cell>
          <cell r="F3122">
            <v>1324992</v>
          </cell>
        </row>
        <row r="3123">
          <cell r="A3123" t="str">
            <v>VHBD8-01000</v>
          </cell>
          <cell r="B3123" t="str">
            <v>HYDROULIC  CYLINDER   FOR SBD</v>
          </cell>
          <cell r="C3123" t="str">
            <v>PC</v>
          </cell>
          <cell r="D3123">
            <v>8</v>
          </cell>
          <cell r="E3123">
            <v>2516266</v>
          </cell>
          <cell r="F3123">
            <v>20130125</v>
          </cell>
        </row>
        <row r="3124">
          <cell r="A3124" t="str">
            <v>VHR10-2L000</v>
          </cell>
          <cell r="B3124" t="str">
            <v>ROTATOR ASSY (IR12L)</v>
          </cell>
          <cell r="C3124" t="str">
            <v>PC</v>
          </cell>
          <cell r="D3124">
            <v>0</v>
          </cell>
          <cell r="E3124">
            <v>0</v>
          </cell>
          <cell r="F3124">
            <v>0</v>
          </cell>
        </row>
        <row r="3125">
          <cell r="A3125" t="str">
            <v>VHTV3-21000</v>
          </cell>
          <cell r="B3125" t="str">
            <v>HYVA Telescopic Cylinder</v>
          </cell>
          <cell r="C3125" t="str">
            <v>PC</v>
          </cell>
          <cell r="D3125">
            <v>0</v>
          </cell>
          <cell r="E3125">
            <v>0</v>
          </cell>
          <cell r="F3125">
            <v>0</v>
          </cell>
        </row>
        <row r="3126">
          <cell r="A3126" t="str">
            <v>VM001-00002</v>
          </cell>
          <cell r="B3126" t="str">
            <v>RING FEEDER(PINTLE HOOK)</v>
          </cell>
          <cell r="C3126" t="str">
            <v>PC</v>
          </cell>
          <cell r="D3126">
            <v>0</v>
          </cell>
          <cell r="E3126">
            <v>0</v>
          </cell>
          <cell r="F3126">
            <v>0</v>
          </cell>
        </row>
        <row r="3127">
          <cell r="A3127" t="str">
            <v>VM001-00010</v>
          </cell>
          <cell r="B3127" t="str">
            <v xml:space="preserve"> U Bolt</v>
          </cell>
          <cell r="C3127" t="str">
            <v>PC</v>
          </cell>
          <cell r="D3127">
            <v>12</v>
          </cell>
          <cell r="E3127">
            <v>690</v>
          </cell>
          <cell r="F3127">
            <v>8280</v>
          </cell>
        </row>
        <row r="3128">
          <cell r="A3128" t="str">
            <v>VM001-00020</v>
          </cell>
          <cell r="B3128" t="str">
            <v>HEX - BOLT</v>
          </cell>
          <cell r="C3128" t="str">
            <v>PC</v>
          </cell>
          <cell r="D3128">
            <v>0</v>
          </cell>
          <cell r="E3128">
            <v>1</v>
          </cell>
          <cell r="F3128">
            <v>0</v>
          </cell>
        </row>
        <row r="3129">
          <cell r="A3129" t="str">
            <v>VM001-00030</v>
          </cell>
          <cell r="B3129" t="str">
            <v>CHAIN ALLOY 5/8"  X9 MTR</v>
          </cell>
          <cell r="C3129" t="str">
            <v>PC</v>
          </cell>
          <cell r="D3129">
            <v>6</v>
          </cell>
          <cell r="E3129">
            <v>1485000</v>
          </cell>
          <cell r="F3129">
            <v>8910000</v>
          </cell>
        </row>
        <row r="3130">
          <cell r="A3130" t="str">
            <v>VM001-00040</v>
          </cell>
          <cell r="B3130" t="str">
            <v>HAMMER LOCK 5/8" CROSBY</v>
          </cell>
          <cell r="C3130" t="str">
            <v>PC</v>
          </cell>
          <cell r="D3130">
            <v>4</v>
          </cell>
          <cell r="E3130">
            <v>262200</v>
          </cell>
          <cell r="F3130">
            <v>1048800</v>
          </cell>
        </row>
        <row r="3131">
          <cell r="A3131" t="str">
            <v>VM001-00050</v>
          </cell>
          <cell r="B3131" t="str">
            <v>MASTER LINK 3/4" CROSBY</v>
          </cell>
          <cell r="C3131" t="str">
            <v>PC</v>
          </cell>
          <cell r="D3131">
            <v>2</v>
          </cell>
          <cell r="E3131">
            <v>112500</v>
          </cell>
          <cell r="F3131">
            <v>225000</v>
          </cell>
        </row>
        <row r="3132">
          <cell r="A3132" t="str">
            <v>VM001-00060</v>
          </cell>
          <cell r="B3132" t="str">
            <v>SHACKLE 7/8" CROSBY  DELTA</v>
          </cell>
          <cell r="C3132" t="str">
            <v>PC</v>
          </cell>
          <cell r="D3132">
            <v>10</v>
          </cell>
          <cell r="E3132">
            <v>212500</v>
          </cell>
          <cell r="F3132">
            <v>2125000</v>
          </cell>
        </row>
        <row r="3133">
          <cell r="A3133" t="str">
            <v>VM001-00070</v>
          </cell>
          <cell r="B3133" t="str">
            <v>WDZ WASHER M.8</v>
          </cell>
          <cell r="C3133" t="str">
            <v>PC</v>
          </cell>
          <cell r="D3133">
            <v>300</v>
          </cell>
          <cell r="E3133">
            <v>255</v>
          </cell>
          <cell r="F3133">
            <v>76500</v>
          </cell>
        </row>
        <row r="3134">
          <cell r="A3134" t="str">
            <v>VM001-00080</v>
          </cell>
          <cell r="B3134" t="str">
            <v>HEX. BOLT M.8X10</v>
          </cell>
          <cell r="C3134" t="str">
            <v>PC</v>
          </cell>
          <cell r="D3134">
            <v>288</v>
          </cell>
          <cell r="E3134">
            <v>510</v>
          </cell>
          <cell r="F3134">
            <v>146880</v>
          </cell>
        </row>
        <row r="3135">
          <cell r="A3135" t="str">
            <v>VM001-00100</v>
          </cell>
          <cell r="B3135" t="str">
            <v xml:space="preserve"> ENGSEL 3"</v>
          </cell>
          <cell r="C3135" t="str">
            <v>PC</v>
          </cell>
          <cell r="D3135">
            <v>0</v>
          </cell>
          <cell r="E3135">
            <v>30000</v>
          </cell>
          <cell r="F3135">
            <v>0</v>
          </cell>
        </row>
        <row r="3136">
          <cell r="A3136" t="str">
            <v>VM001-00110</v>
          </cell>
          <cell r="B3136" t="str">
            <v>BOLT TANAM M.10X25</v>
          </cell>
          <cell r="C3136" t="str">
            <v>PC</v>
          </cell>
          <cell r="D3136">
            <v>106</v>
          </cell>
          <cell r="E3136">
            <v>879</v>
          </cell>
          <cell r="F3136">
            <v>93174</v>
          </cell>
        </row>
        <row r="3137">
          <cell r="A3137" t="str">
            <v>VM001-00130</v>
          </cell>
          <cell r="B3137" t="str">
            <v>ADAPTOR</v>
          </cell>
          <cell r="C3137" t="str">
            <v>PC</v>
          </cell>
          <cell r="D3137">
            <v>0</v>
          </cell>
          <cell r="E3137">
            <v>0</v>
          </cell>
          <cell r="F3137">
            <v>0</v>
          </cell>
        </row>
        <row r="3138">
          <cell r="A3138" t="str">
            <v>VM001-00140</v>
          </cell>
          <cell r="B3138" t="str">
            <v>TOOTH</v>
          </cell>
          <cell r="C3138" t="str">
            <v>PC</v>
          </cell>
          <cell r="D3138">
            <v>0</v>
          </cell>
          <cell r="E3138">
            <v>0</v>
          </cell>
          <cell r="F3138">
            <v>0</v>
          </cell>
        </row>
        <row r="3139">
          <cell r="A3139" t="str">
            <v>VM001-00150</v>
          </cell>
          <cell r="B3139" t="str">
            <v>PIN ASSY</v>
          </cell>
          <cell r="C3139" t="str">
            <v>PC</v>
          </cell>
          <cell r="D3139">
            <v>0</v>
          </cell>
          <cell r="E3139">
            <v>0</v>
          </cell>
          <cell r="F3139">
            <v>0</v>
          </cell>
        </row>
        <row r="3140">
          <cell r="A3140" t="str">
            <v>VM001-00160</v>
          </cell>
          <cell r="B3140" t="str">
            <v>SHOE BOLT PC200 (M.24X75)</v>
          </cell>
          <cell r="C3140" t="str">
            <v>PC</v>
          </cell>
          <cell r="D3140">
            <v>80</v>
          </cell>
          <cell r="E3140">
            <v>16800</v>
          </cell>
          <cell r="F3140">
            <v>1344000</v>
          </cell>
        </row>
        <row r="3141">
          <cell r="A3141" t="str">
            <v>VM001-00170</v>
          </cell>
          <cell r="B3141" t="str">
            <v>NUT   (M24)</v>
          </cell>
          <cell r="C3141" t="str">
            <v>PC</v>
          </cell>
          <cell r="D3141">
            <v>0</v>
          </cell>
          <cell r="E3141">
            <v>0</v>
          </cell>
          <cell r="F3141">
            <v>0</v>
          </cell>
        </row>
        <row r="3142">
          <cell r="A3142" t="str">
            <v>VM001-003951</v>
          </cell>
          <cell r="B3142" t="str">
            <v>TERA MEKANIK</v>
          </cell>
          <cell r="C3142" t="str">
            <v>PC</v>
          </cell>
          <cell r="D3142">
            <v>0</v>
          </cell>
          <cell r="E3142">
            <v>75000</v>
          </cell>
          <cell r="F3142">
            <v>0</v>
          </cell>
        </row>
        <row r="3143">
          <cell r="A3143" t="str">
            <v>VM001-00420</v>
          </cell>
          <cell r="B3143" t="str">
            <v>U BOLT 3/4"</v>
          </cell>
          <cell r="C3143" t="str">
            <v>PC</v>
          </cell>
          <cell r="D3143">
            <v>38</v>
          </cell>
          <cell r="E3143">
            <v>722</v>
          </cell>
          <cell r="F3143">
            <v>27429</v>
          </cell>
        </row>
        <row r="3144">
          <cell r="A3144" t="str">
            <v>VM001-00430</v>
          </cell>
          <cell r="B3144" t="str">
            <v>U BOLT 1"</v>
          </cell>
          <cell r="C3144" t="str">
            <v>PC</v>
          </cell>
          <cell r="D3144">
            <v>72</v>
          </cell>
          <cell r="E3144">
            <v>749</v>
          </cell>
          <cell r="F3144">
            <v>53946</v>
          </cell>
        </row>
        <row r="3145">
          <cell r="A3145" t="str">
            <v>VM001-00460</v>
          </cell>
          <cell r="B3145" t="str">
            <v>U Bolt 1/2"</v>
          </cell>
          <cell r="C3145" t="str">
            <v>PC</v>
          </cell>
          <cell r="D3145">
            <v>0</v>
          </cell>
          <cell r="E3145">
            <v>850</v>
          </cell>
          <cell r="F3145">
            <v>0</v>
          </cell>
        </row>
        <row r="3146">
          <cell r="A3146" t="str">
            <v>VM001-00470</v>
          </cell>
          <cell r="B3146" t="str">
            <v>U BOLT 2"</v>
          </cell>
          <cell r="C3146" t="str">
            <v>PC</v>
          </cell>
          <cell r="D3146">
            <v>276</v>
          </cell>
          <cell r="E3146">
            <v>420</v>
          </cell>
          <cell r="F3146">
            <v>115920</v>
          </cell>
        </row>
        <row r="3147">
          <cell r="A3147" t="str">
            <v>VM001-00530</v>
          </cell>
          <cell r="B3147" t="str">
            <v>RETENTION PLATE</v>
          </cell>
          <cell r="C3147" t="str">
            <v>PC</v>
          </cell>
          <cell r="D3147">
            <v>0</v>
          </cell>
          <cell r="E3147">
            <v>746170</v>
          </cell>
          <cell r="F3147">
            <v>0</v>
          </cell>
        </row>
        <row r="3148">
          <cell r="A3148" t="str">
            <v>VM001-00610</v>
          </cell>
          <cell r="B3148" t="str">
            <v>KUKU MACAN</v>
          </cell>
          <cell r="C3148" t="str">
            <v>PC</v>
          </cell>
          <cell r="D3148">
            <v>2</v>
          </cell>
          <cell r="E3148">
            <v>79200</v>
          </cell>
          <cell r="F3148">
            <v>158400</v>
          </cell>
        </row>
        <row r="3149">
          <cell r="A3149" t="str">
            <v>VM001-00620</v>
          </cell>
          <cell r="B3149" t="str">
            <v>KOREAN THREE AXLE  CAP. 20 T</v>
          </cell>
          <cell r="C3149" t="str">
            <v>PC</v>
          </cell>
          <cell r="D3149">
            <v>0</v>
          </cell>
          <cell r="E3149">
            <v>1</v>
          </cell>
          <cell r="F3149">
            <v>0</v>
          </cell>
        </row>
        <row r="3150">
          <cell r="A3150" t="str">
            <v>VM001-00620(1)</v>
          </cell>
          <cell r="B3150" t="str">
            <v>KOREAN THREE AXLE  CAP. 20 T   W/O AXLE</v>
          </cell>
          <cell r="C3150" t="str">
            <v>PC</v>
          </cell>
          <cell r="D3150">
            <v>0</v>
          </cell>
          <cell r="E3150">
            <v>1</v>
          </cell>
          <cell r="F3150">
            <v>0</v>
          </cell>
        </row>
        <row r="3151">
          <cell r="A3151" t="str">
            <v>VM001-00621</v>
          </cell>
          <cell r="B3151" t="str">
            <v>KOREAN TANDEM AXLE  CAP. 20 T</v>
          </cell>
          <cell r="C3151" t="str">
            <v>PC</v>
          </cell>
          <cell r="D3151">
            <v>0</v>
          </cell>
          <cell r="E3151">
            <v>1</v>
          </cell>
          <cell r="F3151">
            <v>0</v>
          </cell>
        </row>
        <row r="3152">
          <cell r="A3152" t="str">
            <v>VM001-00640</v>
          </cell>
          <cell r="B3152" t="str">
            <v>PAKU RIVET 3 MM</v>
          </cell>
          <cell r="C3152" t="str">
            <v>PC</v>
          </cell>
          <cell r="D3152">
            <v>4</v>
          </cell>
          <cell r="E3152">
            <v>29360</v>
          </cell>
          <cell r="F3152">
            <v>117440</v>
          </cell>
        </row>
        <row r="3153">
          <cell r="A3153" t="str">
            <v>VM001-00660</v>
          </cell>
          <cell r="B3153" t="str">
            <v>SWING CHECK VLV. 2" (KITZ)</v>
          </cell>
          <cell r="C3153" t="str">
            <v>PC</v>
          </cell>
          <cell r="D3153">
            <v>0</v>
          </cell>
          <cell r="E3153">
            <v>759000</v>
          </cell>
          <cell r="F3153">
            <v>0</v>
          </cell>
        </row>
        <row r="3154">
          <cell r="A3154" t="str">
            <v>VM001-00670</v>
          </cell>
          <cell r="B3154" t="str">
            <v>SWING CHECK VLV. 2,5" (KITZ)</v>
          </cell>
          <cell r="C3154" t="str">
            <v>PC</v>
          </cell>
          <cell r="D3154">
            <v>0</v>
          </cell>
          <cell r="E3154">
            <v>957000</v>
          </cell>
          <cell r="F3154">
            <v>0</v>
          </cell>
        </row>
        <row r="3155">
          <cell r="A3155" t="str">
            <v>VM001-00700</v>
          </cell>
          <cell r="B3155" t="str">
            <v>TOURQUE ROD BOLT</v>
          </cell>
          <cell r="C3155" t="str">
            <v>PC</v>
          </cell>
          <cell r="D3155">
            <v>0</v>
          </cell>
          <cell r="E3155">
            <v>39749</v>
          </cell>
          <cell r="F3155">
            <v>0</v>
          </cell>
        </row>
        <row r="3156">
          <cell r="A3156" t="str">
            <v>VM001-00710</v>
          </cell>
          <cell r="B3156" t="str">
            <v>TORQUE ROD BOLT</v>
          </cell>
          <cell r="C3156" t="str">
            <v>PC</v>
          </cell>
          <cell r="D3156">
            <v>32</v>
          </cell>
          <cell r="E3156">
            <v>41222</v>
          </cell>
          <cell r="F3156">
            <v>1319099</v>
          </cell>
        </row>
        <row r="3157">
          <cell r="A3157" t="str">
            <v>VM001-00720</v>
          </cell>
          <cell r="B3157" t="str">
            <v xml:space="preserve"> MUDFLAP</v>
          </cell>
          <cell r="C3157" t="str">
            <v>PC</v>
          </cell>
          <cell r="D3157">
            <v>0</v>
          </cell>
          <cell r="E3157">
            <v>0</v>
          </cell>
          <cell r="F3157">
            <v>0</v>
          </cell>
        </row>
        <row r="3158">
          <cell r="A3158" t="str">
            <v>VM001-00730</v>
          </cell>
          <cell r="B3158" t="str">
            <v>REFLECTOR</v>
          </cell>
          <cell r="C3158" t="str">
            <v>PC</v>
          </cell>
          <cell r="D3158">
            <v>18</v>
          </cell>
          <cell r="E3158">
            <v>207831</v>
          </cell>
          <cell r="F3158">
            <v>3740965</v>
          </cell>
        </row>
        <row r="3159">
          <cell r="A3159" t="str">
            <v>VM001-00750</v>
          </cell>
          <cell r="B3159" t="str">
            <v>U BOLT FOR AXLE &amp; SPRING</v>
          </cell>
          <cell r="C3159" t="str">
            <v>PC</v>
          </cell>
          <cell r="D3159">
            <v>0</v>
          </cell>
          <cell r="E3159">
            <v>141962</v>
          </cell>
          <cell r="F3159">
            <v>0</v>
          </cell>
        </row>
        <row r="3160">
          <cell r="A3160" t="str">
            <v>VM001-00800</v>
          </cell>
          <cell r="B3160" t="str">
            <v xml:space="preserve"> TEE</v>
          </cell>
          <cell r="C3160" t="str">
            <v>PC</v>
          </cell>
          <cell r="D3160">
            <v>0</v>
          </cell>
          <cell r="E3160">
            <v>0</v>
          </cell>
          <cell r="F3160">
            <v>0</v>
          </cell>
        </row>
        <row r="3161">
          <cell r="A3161" t="str">
            <v>VM001-00810</v>
          </cell>
          <cell r="B3161" t="str">
            <v>BALL VALVE 3"</v>
          </cell>
          <cell r="C3161" t="str">
            <v>PC</v>
          </cell>
          <cell r="D3161">
            <v>0</v>
          </cell>
          <cell r="E3161">
            <v>0</v>
          </cell>
          <cell r="F3161">
            <v>0</v>
          </cell>
        </row>
        <row r="3162">
          <cell r="A3162" t="str">
            <v>VM001-00860</v>
          </cell>
          <cell r="B3162" t="str">
            <v>PER TEKAN 1,5X17X480</v>
          </cell>
          <cell r="C3162" t="str">
            <v>PC</v>
          </cell>
          <cell r="D3162">
            <v>128</v>
          </cell>
          <cell r="E3162">
            <v>1200</v>
          </cell>
          <cell r="F3162">
            <v>153600</v>
          </cell>
        </row>
        <row r="3163">
          <cell r="A3163" t="str">
            <v>VM001-00890</v>
          </cell>
          <cell r="B3163" t="str">
            <v>BUSHING TORQUE ROD</v>
          </cell>
          <cell r="C3163" t="str">
            <v>PC</v>
          </cell>
          <cell r="D3163">
            <v>0</v>
          </cell>
          <cell r="E3163">
            <v>0</v>
          </cell>
          <cell r="F3163">
            <v>0</v>
          </cell>
        </row>
        <row r="3164">
          <cell r="A3164" t="str">
            <v>VM001-01030</v>
          </cell>
          <cell r="B3164" t="str">
            <v>DRAWBAR EYE 76,2MM/3</v>
          </cell>
          <cell r="C3164" t="str">
            <v>PC</v>
          </cell>
          <cell r="D3164">
            <v>10</v>
          </cell>
          <cell r="E3164">
            <v>866260</v>
          </cell>
          <cell r="F3164">
            <v>8662600</v>
          </cell>
        </row>
        <row r="3165">
          <cell r="A3165" t="str">
            <v>VM001-01040</v>
          </cell>
          <cell r="B3165" t="str">
            <v>STICKER LIFT HERE</v>
          </cell>
          <cell r="C3165" t="str">
            <v>PC</v>
          </cell>
          <cell r="D3165">
            <v>118</v>
          </cell>
          <cell r="E3165">
            <v>1365</v>
          </cell>
          <cell r="F3165">
            <v>161070</v>
          </cell>
        </row>
        <row r="3166">
          <cell r="A3166" t="str">
            <v>VM001-01070</v>
          </cell>
          <cell r="B3166" t="str">
            <v>PLATE NOMINAL  I  5000 LT</v>
          </cell>
          <cell r="C3166" t="str">
            <v>PC</v>
          </cell>
          <cell r="D3166">
            <v>19</v>
          </cell>
          <cell r="E3166">
            <v>75000</v>
          </cell>
          <cell r="F3166">
            <v>1425000</v>
          </cell>
        </row>
        <row r="3167">
          <cell r="A3167" t="str">
            <v>VM001-01071</v>
          </cell>
          <cell r="B3167" t="str">
            <v>PLATE NOMINAL  II  5000 LT</v>
          </cell>
          <cell r="C3167" t="str">
            <v>PC</v>
          </cell>
          <cell r="D3167">
            <v>19</v>
          </cell>
          <cell r="E3167">
            <v>75000</v>
          </cell>
          <cell r="F3167">
            <v>1425000</v>
          </cell>
        </row>
        <row r="3168">
          <cell r="A3168" t="str">
            <v>VM001-01080</v>
          </cell>
          <cell r="B3168" t="str">
            <v>PLATE NOMINAL  I  8000 LT</v>
          </cell>
          <cell r="C3168" t="str">
            <v>PC</v>
          </cell>
          <cell r="D3168">
            <v>36</v>
          </cell>
          <cell r="E3168">
            <v>48160</v>
          </cell>
          <cell r="F3168">
            <v>1733760</v>
          </cell>
        </row>
        <row r="3169">
          <cell r="A3169" t="str">
            <v>VM001-01081</v>
          </cell>
          <cell r="B3169" t="str">
            <v>PLATE NOMINAL  II  8000 LT</v>
          </cell>
          <cell r="C3169" t="str">
            <v>PC</v>
          </cell>
          <cell r="D3169">
            <v>37</v>
          </cell>
          <cell r="E3169">
            <v>48160</v>
          </cell>
          <cell r="F3169">
            <v>1781920</v>
          </cell>
        </row>
        <row r="3170">
          <cell r="A3170" t="str">
            <v>VM001-01082</v>
          </cell>
          <cell r="B3170" t="str">
            <v>PLATE NOMINAL  III  8000 LT</v>
          </cell>
          <cell r="C3170" t="str">
            <v>PC</v>
          </cell>
          <cell r="D3170">
            <v>1</v>
          </cell>
          <cell r="E3170">
            <v>62200</v>
          </cell>
          <cell r="F3170">
            <v>62200</v>
          </cell>
        </row>
        <row r="3171">
          <cell r="A3171" t="str">
            <v>VM001-01090</v>
          </cell>
          <cell r="B3171" t="str">
            <v>PLATE TANGKI UKUR MOBIL</v>
          </cell>
          <cell r="C3171" t="str">
            <v>PC</v>
          </cell>
          <cell r="D3171">
            <v>30</v>
          </cell>
          <cell r="E3171">
            <v>33341</v>
          </cell>
          <cell r="F3171">
            <v>1000235</v>
          </cell>
        </row>
        <row r="3172">
          <cell r="A3172" t="str">
            <v>VM001-01200</v>
          </cell>
          <cell r="B3172" t="str">
            <v>SHACKLE 1/2 ( OMEGA TYPE )</v>
          </cell>
          <cell r="C3172" t="str">
            <v>PC</v>
          </cell>
          <cell r="D3172">
            <v>0</v>
          </cell>
          <cell r="E3172">
            <v>180000</v>
          </cell>
          <cell r="F3172">
            <v>0</v>
          </cell>
        </row>
        <row r="3173">
          <cell r="A3173" t="str">
            <v>VM001-01240</v>
          </cell>
          <cell r="B3173" t="str">
            <v>KARET MUD FLAP 5X670X700</v>
          </cell>
          <cell r="C3173" t="str">
            <v>PC</v>
          </cell>
          <cell r="D3173">
            <v>18</v>
          </cell>
          <cell r="E3173">
            <v>97500</v>
          </cell>
          <cell r="F3173">
            <v>1755000</v>
          </cell>
        </row>
        <row r="3174">
          <cell r="A3174" t="str">
            <v>VM001-01260</v>
          </cell>
          <cell r="B3174" t="str">
            <v>TURN TABLE DK90/30</v>
          </cell>
          <cell r="C3174" t="str">
            <v>PC</v>
          </cell>
          <cell r="D3174">
            <v>0</v>
          </cell>
          <cell r="E3174">
            <v>6587106</v>
          </cell>
          <cell r="F3174">
            <v>0</v>
          </cell>
        </row>
        <row r="3175">
          <cell r="A3175" t="str">
            <v>VM001-01290</v>
          </cell>
          <cell r="B3175" t="str">
            <v>SPARE TYRE BRACKET</v>
          </cell>
          <cell r="C3175" t="str">
            <v>PC</v>
          </cell>
          <cell r="D3175">
            <v>0</v>
          </cell>
          <cell r="E3175">
            <v>200000</v>
          </cell>
          <cell r="F3175">
            <v>0</v>
          </cell>
        </row>
        <row r="3176">
          <cell r="A3176" t="str">
            <v>VM001-01310</v>
          </cell>
          <cell r="B3176" t="str">
            <v>Ball Valve 3"</v>
          </cell>
          <cell r="C3176" t="str">
            <v>PC</v>
          </cell>
          <cell r="D3176">
            <v>0</v>
          </cell>
          <cell r="E3176">
            <v>121000</v>
          </cell>
          <cell r="F3176">
            <v>0</v>
          </cell>
        </row>
        <row r="3177">
          <cell r="A3177" t="str">
            <v>VM001-01311</v>
          </cell>
          <cell r="B3177" t="str">
            <v xml:space="preserve"> GATE VALVE 3" KITZ  Type drat</v>
          </cell>
          <cell r="C3177" t="str">
            <v>PC</v>
          </cell>
          <cell r="D3177">
            <v>3</v>
          </cell>
          <cell r="E3177">
            <v>440000</v>
          </cell>
          <cell r="F3177">
            <v>1320000</v>
          </cell>
        </row>
        <row r="3178">
          <cell r="A3178" t="str">
            <v>VM001-01530</v>
          </cell>
          <cell r="B3178" t="str">
            <v>STERILIZER DOOR OD2700</v>
          </cell>
          <cell r="C3178" t="str">
            <v>PC</v>
          </cell>
          <cell r="D3178">
            <v>0</v>
          </cell>
          <cell r="E3178">
            <v>0</v>
          </cell>
          <cell r="F3178">
            <v>0</v>
          </cell>
        </row>
        <row r="3179">
          <cell r="A3179" t="str">
            <v>VM001-01630</v>
          </cell>
          <cell r="B3179" t="str">
            <v>SLING ASSY 7/8 X 490</v>
          </cell>
          <cell r="C3179" t="str">
            <v>PC</v>
          </cell>
          <cell r="D3179">
            <v>59</v>
          </cell>
          <cell r="E3179">
            <v>174000</v>
          </cell>
          <cell r="F3179">
            <v>10266000</v>
          </cell>
        </row>
        <row r="3180">
          <cell r="A3180" t="str">
            <v>VM001-01760</v>
          </cell>
          <cell r="B3180" t="str">
            <v>U BOTL 3/4X120X620</v>
          </cell>
          <cell r="C3180" t="str">
            <v>PC</v>
          </cell>
          <cell r="D3180">
            <v>25</v>
          </cell>
          <cell r="E3180">
            <v>25800</v>
          </cell>
          <cell r="F3180">
            <v>645000</v>
          </cell>
        </row>
        <row r="3181">
          <cell r="A3181" t="str">
            <v>VM001-01780</v>
          </cell>
          <cell r="B3181" t="str">
            <v>U BOLT M3/4X120X680</v>
          </cell>
          <cell r="C3181" t="str">
            <v>PC</v>
          </cell>
          <cell r="D3181">
            <v>163</v>
          </cell>
          <cell r="E3181">
            <v>37800</v>
          </cell>
          <cell r="F3181">
            <v>6161400</v>
          </cell>
        </row>
        <row r="3182">
          <cell r="A3182" t="str">
            <v>VM001-01890</v>
          </cell>
          <cell r="B3182" t="str">
            <v>SLING 7/8X6X37X4750</v>
          </cell>
          <cell r="C3182" t="str">
            <v>PC</v>
          </cell>
          <cell r="D3182">
            <v>8</v>
          </cell>
          <cell r="E3182">
            <v>171000</v>
          </cell>
          <cell r="F3182">
            <v>1368000</v>
          </cell>
        </row>
        <row r="3183">
          <cell r="A3183" t="str">
            <v>VM001-02040</v>
          </cell>
          <cell r="B3183" t="str">
            <v>STIKER ARTAMIX BESAR</v>
          </cell>
          <cell r="C3183" t="str">
            <v>PC</v>
          </cell>
          <cell r="D3183">
            <v>2</v>
          </cell>
          <cell r="E3183">
            <v>34080</v>
          </cell>
          <cell r="F3183">
            <v>68160</v>
          </cell>
        </row>
        <row r="3184">
          <cell r="A3184" t="str">
            <v>VM001-02050</v>
          </cell>
          <cell r="B3184" t="str">
            <v>STIKER ARTAMIX KECIL</v>
          </cell>
          <cell r="C3184" t="str">
            <v>PC</v>
          </cell>
          <cell r="D3184">
            <v>3</v>
          </cell>
          <cell r="E3184">
            <v>21000</v>
          </cell>
          <cell r="F3184">
            <v>63000</v>
          </cell>
        </row>
        <row r="3185">
          <cell r="A3185" t="str">
            <v>VM001-02070</v>
          </cell>
          <cell r="B3185" t="str">
            <v>STIKER NOTICE / STAN</v>
          </cell>
          <cell r="C3185" t="str">
            <v>PC</v>
          </cell>
          <cell r="D3185">
            <v>370</v>
          </cell>
          <cell r="E3185">
            <v>1800</v>
          </cell>
          <cell r="F3185">
            <v>666000</v>
          </cell>
        </row>
        <row r="3186">
          <cell r="A3186" t="str">
            <v>VM001-02080</v>
          </cell>
          <cell r="B3186" t="str">
            <v>STIKER NOTICE / USE</v>
          </cell>
          <cell r="C3186" t="str">
            <v>PC</v>
          </cell>
          <cell r="D3186">
            <v>403</v>
          </cell>
          <cell r="E3186">
            <v>1800</v>
          </cell>
          <cell r="F3186">
            <v>725400</v>
          </cell>
        </row>
        <row r="3187">
          <cell r="A3187" t="str">
            <v>VM001-02110</v>
          </cell>
          <cell r="B3187" t="str">
            <v>STIKER / PEMBERSIHAN</v>
          </cell>
          <cell r="C3187" t="str">
            <v>PC</v>
          </cell>
          <cell r="D3187">
            <v>296</v>
          </cell>
          <cell r="E3187">
            <v>1800</v>
          </cell>
          <cell r="F3187">
            <v>532800</v>
          </cell>
        </row>
        <row r="3188">
          <cell r="A3188" t="str">
            <v>VM001-02120</v>
          </cell>
          <cell r="B3188" t="str">
            <v>STIKER PATRIA / HITA</v>
          </cell>
          <cell r="C3188" t="str">
            <v>PC</v>
          </cell>
          <cell r="D3188">
            <v>6</v>
          </cell>
          <cell r="E3188">
            <v>10800</v>
          </cell>
          <cell r="F3188">
            <v>64800</v>
          </cell>
        </row>
        <row r="3189">
          <cell r="A3189" t="str">
            <v>VM001-02150</v>
          </cell>
          <cell r="B3189" t="str">
            <v>STIKER BTS</v>
          </cell>
          <cell r="C3189" t="str">
            <v>PC</v>
          </cell>
          <cell r="D3189">
            <v>8</v>
          </cell>
          <cell r="E3189">
            <v>1080</v>
          </cell>
          <cell r="F3189">
            <v>8640</v>
          </cell>
        </row>
        <row r="3190">
          <cell r="A3190" t="str">
            <v>VM001-02210</v>
          </cell>
          <cell r="B3190" t="str">
            <v>GUN EBW 1"USA</v>
          </cell>
          <cell r="C3190" t="str">
            <v>PC</v>
          </cell>
          <cell r="D3190">
            <v>2</v>
          </cell>
          <cell r="E3190">
            <v>402000</v>
          </cell>
          <cell r="F3190">
            <v>804000</v>
          </cell>
        </row>
        <row r="3191">
          <cell r="A3191" t="str">
            <v>VM001-02240</v>
          </cell>
          <cell r="B3191" t="str">
            <v>RANTAI D 5/8" X 4,5M</v>
          </cell>
          <cell r="C3191" t="str">
            <v>PC</v>
          </cell>
          <cell r="D3191">
            <v>11</v>
          </cell>
          <cell r="E3191">
            <v>237000</v>
          </cell>
          <cell r="F3191">
            <v>2607000</v>
          </cell>
        </row>
        <row r="3192">
          <cell r="A3192" t="str">
            <v>VM001-02290</v>
          </cell>
          <cell r="B3192" t="str">
            <v>AIR VENT 1"</v>
          </cell>
          <cell r="C3192" t="str">
            <v>PC</v>
          </cell>
          <cell r="D3192">
            <v>0</v>
          </cell>
          <cell r="E3192">
            <v>545000</v>
          </cell>
          <cell r="F3192">
            <v>0</v>
          </cell>
        </row>
        <row r="3193">
          <cell r="A3193" t="str">
            <v>VM001-02300</v>
          </cell>
          <cell r="B3193" t="str">
            <v>SAFETY VALVE 1"</v>
          </cell>
          <cell r="C3193" t="str">
            <v>PC</v>
          </cell>
          <cell r="D3193">
            <v>0</v>
          </cell>
          <cell r="E3193">
            <v>225000</v>
          </cell>
          <cell r="F3193">
            <v>0</v>
          </cell>
        </row>
        <row r="3194">
          <cell r="A3194" t="str">
            <v>VM001-02340</v>
          </cell>
          <cell r="B3194" t="str">
            <v>STUD BOLT M12X1,75</v>
          </cell>
          <cell r="C3194" t="str">
            <v>PC</v>
          </cell>
          <cell r="D3194">
            <v>0</v>
          </cell>
          <cell r="E3194">
            <v>5500</v>
          </cell>
          <cell r="F3194">
            <v>0</v>
          </cell>
        </row>
        <row r="3195">
          <cell r="A3195" t="str">
            <v>VM001-02360</v>
          </cell>
          <cell r="B3195" t="str">
            <v>ELBOW WELDED 2"-90</v>
          </cell>
          <cell r="C3195" t="str">
            <v>PC</v>
          </cell>
          <cell r="D3195">
            <v>0</v>
          </cell>
          <cell r="E3195">
            <v>14300</v>
          </cell>
          <cell r="F3195">
            <v>0</v>
          </cell>
        </row>
        <row r="3196">
          <cell r="A3196" t="str">
            <v>VM001-02380</v>
          </cell>
          <cell r="B3196" t="str">
            <v>REDUCER 2"X1"</v>
          </cell>
          <cell r="C3196" t="str">
            <v>PC</v>
          </cell>
          <cell r="D3196">
            <v>1</v>
          </cell>
          <cell r="E3196">
            <v>5400</v>
          </cell>
          <cell r="F3196">
            <v>5400</v>
          </cell>
        </row>
        <row r="3197">
          <cell r="A3197" t="str">
            <v>VM001-02410</v>
          </cell>
          <cell r="B3197" t="str">
            <v>Wire Rope assy 7/8x6x37 , L = 4000 mm</v>
          </cell>
          <cell r="C3197" t="str">
            <v>PC</v>
          </cell>
          <cell r="D3197">
            <v>20</v>
          </cell>
          <cell r="E3197">
            <v>275000</v>
          </cell>
          <cell r="F3197">
            <v>5500000</v>
          </cell>
        </row>
        <row r="3198">
          <cell r="A3198" t="str">
            <v>VM001-02420</v>
          </cell>
          <cell r="B3198" t="str">
            <v>REDUCER 2X1 1/2(GAL)</v>
          </cell>
          <cell r="C3198" t="str">
            <v>PC</v>
          </cell>
          <cell r="D3198">
            <v>2</v>
          </cell>
          <cell r="E3198">
            <v>3900</v>
          </cell>
          <cell r="F3198">
            <v>7800</v>
          </cell>
        </row>
        <row r="3199">
          <cell r="A3199" t="str">
            <v>VM001-02430</v>
          </cell>
          <cell r="B3199" t="str">
            <v>BALL VALVE 2" KITZ</v>
          </cell>
          <cell r="C3199" t="str">
            <v>PC</v>
          </cell>
          <cell r="D3199">
            <v>0</v>
          </cell>
          <cell r="E3199">
            <v>334000</v>
          </cell>
          <cell r="F3199">
            <v>0</v>
          </cell>
        </row>
        <row r="3200">
          <cell r="A3200" t="str">
            <v>VM001-02440</v>
          </cell>
          <cell r="B3200" t="str">
            <v>MANUALLY WATER CANON C/W BALL VALVE 3"</v>
          </cell>
          <cell r="C3200" t="str">
            <v>PC</v>
          </cell>
          <cell r="D3200">
            <v>0</v>
          </cell>
          <cell r="E3200">
            <v>8550000</v>
          </cell>
          <cell r="F3200">
            <v>0</v>
          </cell>
        </row>
        <row r="3201">
          <cell r="A3201" t="str">
            <v>VM00102450</v>
          </cell>
          <cell r="B3201" t="str">
            <v>Ball Valve 4"</v>
          </cell>
          <cell r="C3201" t="str">
            <v>PC</v>
          </cell>
          <cell r="D3201">
            <v>0</v>
          </cell>
          <cell r="E3201">
            <v>1</v>
          </cell>
          <cell r="F3201">
            <v>0</v>
          </cell>
        </row>
        <row r="3202">
          <cell r="A3202" t="str">
            <v>VM001-02450</v>
          </cell>
          <cell r="B3202" t="str">
            <v>BALL VALVE 4"</v>
          </cell>
          <cell r="C3202" t="str">
            <v>PC</v>
          </cell>
          <cell r="D3202">
            <v>0</v>
          </cell>
          <cell r="E3202">
            <v>1581000</v>
          </cell>
          <cell r="F3202">
            <v>0</v>
          </cell>
        </row>
        <row r="3203">
          <cell r="A3203" t="str">
            <v>VM001-02480</v>
          </cell>
          <cell r="B3203" t="str">
            <v>LEVEL SWITCH ST STEEL DIA. 48  L90</v>
          </cell>
          <cell r="C3203" t="str">
            <v>PC</v>
          </cell>
          <cell r="D3203">
            <v>0</v>
          </cell>
          <cell r="E3203">
            <v>1600000</v>
          </cell>
          <cell r="F3203">
            <v>0</v>
          </cell>
        </row>
        <row r="3204">
          <cell r="A3204" t="str">
            <v>VM001-02490</v>
          </cell>
          <cell r="B3204" t="str">
            <v>NOZZLE GUN BRONZE 2"</v>
          </cell>
          <cell r="C3204" t="str">
            <v>PC</v>
          </cell>
          <cell r="D3204">
            <v>4</v>
          </cell>
          <cell r="E3204">
            <v>27000</v>
          </cell>
          <cell r="F3204">
            <v>108000</v>
          </cell>
        </row>
        <row r="3205">
          <cell r="A3205" t="str">
            <v>VM001-02510</v>
          </cell>
          <cell r="B3205" t="str">
            <v>SHACKLE 1" CROSBY (D TYPE)</v>
          </cell>
          <cell r="C3205" t="str">
            <v>PC</v>
          </cell>
          <cell r="D3205">
            <v>10</v>
          </cell>
          <cell r="E3205">
            <v>230238</v>
          </cell>
          <cell r="F3205">
            <v>2302381</v>
          </cell>
        </row>
        <row r="3206">
          <cell r="A3206" t="str">
            <v>VM001-02540</v>
          </cell>
          <cell r="B3206" t="str">
            <v>DRAW BAR EYE 50 MM</v>
          </cell>
          <cell r="C3206" t="str">
            <v>PC</v>
          </cell>
          <cell r="D3206">
            <v>5</v>
          </cell>
          <cell r="E3206">
            <v>891140</v>
          </cell>
          <cell r="F3206">
            <v>4455702</v>
          </cell>
        </row>
        <row r="3207">
          <cell r="A3207" t="str">
            <v>VM001-02550</v>
          </cell>
          <cell r="B3207" t="str">
            <v>RING FEEDER COUP 92C</v>
          </cell>
          <cell r="C3207" t="str">
            <v>PC</v>
          </cell>
          <cell r="D3207">
            <v>3</v>
          </cell>
          <cell r="E3207">
            <v>5158852</v>
          </cell>
          <cell r="F3207">
            <v>15476557</v>
          </cell>
        </row>
        <row r="3208">
          <cell r="A3208" t="str">
            <v>VM001-02590</v>
          </cell>
          <cell r="B3208" t="str">
            <v>BEARING GE90ES-2R5</v>
          </cell>
          <cell r="C3208" t="str">
            <v>PC</v>
          </cell>
          <cell r="D3208">
            <v>11</v>
          </cell>
          <cell r="E3208">
            <v>742215</v>
          </cell>
          <cell r="F3208">
            <v>8164365</v>
          </cell>
        </row>
        <row r="3209">
          <cell r="A3209" t="str">
            <v>VM001-02640</v>
          </cell>
          <cell r="B3209" t="str">
            <v xml:space="preserve"> TEE 3/4" WELDED </v>
          </cell>
          <cell r="C3209" t="str">
            <v>PC</v>
          </cell>
          <cell r="D3209">
            <v>10</v>
          </cell>
          <cell r="E3209">
            <v>10500</v>
          </cell>
          <cell r="F3209">
            <v>105000</v>
          </cell>
        </row>
        <row r="3210">
          <cell r="A3210" t="str">
            <v>VM001-02650</v>
          </cell>
          <cell r="B3210" t="str">
            <v>PER TEKAN 5MM</v>
          </cell>
          <cell r="C3210" t="str">
            <v>PC</v>
          </cell>
          <cell r="D3210">
            <v>15</v>
          </cell>
          <cell r="E3210">
            <v>4050</v>
          </cell>
          <cell r="F3210">
            <v>60750</v>
          </cell>
        </row>
        <row r="3211">
          <cell r="A3211" t="str">
            <v>VM001-02770</v>
          </cell>
          <cell r="B3211" t="str">
            <v>Elbow 45 4"</v>
          </cell>
          <cell r="C3211" t="str">
            <v>PC</v>
          </cell>
          <cell r="D3211">
            <v>0</v>
          </cell>
          <cell r="E3211">
            <v>1</v>
          </cell>
          <cell r="F3211">
            <v>0</v>
          </cell>
        </row>
        <row r="3212">
          <cell r="A3212" t="str">
            <v>VM001-02780</v>
          </cell>
          <cell r="B3212" t="str">
            <v xml:space="preserve"> TREAD BAR M30X1MTR</v>
          </cell>
          <cell r="C3212" t="str">
            <v>PC</v>
          </cell>
          <cell r="D3212">
            <v>0</v>
          </cell>
          <cell r="E3212">
            <v>35000</v>
          </cell>
          <cell r="F3212">
            <v>0</v>
          </cell>
        </row>
        <row r="3213">
          <cell r="A3213" t="str">
            <v>VM001-02810</v>
          </cell>
          <cell r="B3213" t="str">
            <v>SAFETY VALVE 2" KITZ</v>
          </cell>
          <cell r="C3213" t="str">
            <v>PC</v>
          </cell>
          <cell r="D3213">
            <v>0</v>
          </cell>
          <cell r="E3213">
            <v>825000</v>
          </cell>
          <cell r="F3213">
            <v>0</v>
          </cell>
        </row>
        <row r="3214">
          <cell r="A3214" t="str">
            <v>VM001-02820</v>
          </cell>
          <cell r="B3214" t="str">
            <v>CLAMP HOSE</v>
          </cell>
          <cell r="C3214" t="str">
            <v>PC</v>
          </cell>
          <cell r="D3214">
            <v>0</v>
          </cell>
          <cell r="E3214">
            <v>0</v>
          </cell>
          <cell r="F3214">
            <v>0</v>
          </cell>
        </row>
        <row r="3215">
          <cell r="A3215" t="str">
            <v>VM001-02830</v>
          </cell>
          <cell r="B3215" t="str">
            <v>STRAINER 1 1/4"</v>
          </cell>
          <cell r="C3215" t="str">
            <v>PC</v>
          </cell>
          <cell r="D3215">
            <v>1</v>
          </cell>
          <cell r="E3215">
            <v>315000</v>
          </cell>
          <cell r="F3215">
            <v>315000</v>
          </cell>
        </row>
        <row r="3216">
          <cell r="A3216" t="str">
            <v>VM001-02840</v>
          </cell>
          <cell r="B3216" t="str">
            <v>TEE 2"</v>
          </cell>
          <cell r="C3216" t="str">
            <v>PC</v>
          </cell>
          <cell r="D3216">
            <v>0</v>
          </cell>
          <cell r="E3216">
            <v>1</v>
          </cell>
          <cell r="F3216">
            <v>0</v>
          </cell>
        </row>
        <row r="3217">
          <cell r="A3217" t="str">
            <v>VM001-02850</v>
          </cell>
          <cell r="B3217" t="str">
            <v>STAINER 2"</v>
          </cell>
          <cell r="C3217" t="str">
            <v>PC</v>
          </cell>
          <cell r="D3217">
            <v>0</v>
          </cell>
          <cell r="E3217">
            <v>290000</v>
          </cell>
          <cell r="F3217">
            <v>0</v>
          </cell>
        </row>
        <row r="3218">
          <cell r="A3218" t="str">
            <v>VM001-02880</v>
          </cell>
          <cell r="B3218" t="str">
            <v>TEE REDUCER 2"X2"X1"</v>
          </cell>
          <cell r="C3218" t="str">
            <v>PC</v>
          </cell>
          <cell r="D3218">
            <v>1</v>
          </cell>
          <cell r="E3218">
            <v>27300</v>
          </cell>
          <cell r="F3218">
            <v>27300</v>
          </cell>
        </row>
        <row r="3219">
          <cell r="A3219" t="str">
            <v>VM001-02890</v>
          </cell>
          <cell r="B3219" t="str">
            <v>Ball Valve 2"-ONDA</v>
          </cell>
          <cell r="C3219" t="str">
            <v>PC</v>
          </cell>
          <cell r="D3219">
            <v>0</v>
          </cell>
          <cell r="E3219">
            <v>135000</v>
          </cell>
          <cell r="F3219">
            <v>0</v>
          </cell>
        </row>
        <row r="3220">
          <cell r="A3220" t="str">
            <v>VM001-02910</v>
          </cell>
          <cell r="B3220" t="str">
            <v>Elbow 6"</v>
          </cell>
          <cell r="C3220" t="str">
            <v>PC</v>
          </cell>
          <cell r="D3220">
            <v>0</v>
          </cell>
          <cell r="E3220">
            <v>78000</v>
          </cell>
          <cell r="F3220">
            <v>0</v>
          </cell>
        </row>
        <row r="3221">
          <cell r="A3221" t="str">
            <v>VM001-02920</v>
          </cell>
          <cell r="B3221" t="str">
            <v>SOCKET 4" 90 DEG</v>
          </cell>
          <cell r="C3221" t="str">
            <v>PC</v>
          </cell>
          <cell r="D3221">
            <v>0</v>
          </cell>
          <cell r="E3221">
            <v>287500</v>
          </cell>
          <cell r="F3221">
            <v>0</v>
          </cell>
        </row>
        <row r="3222">
          <cell r="A3222" t="str">
            <v>VM001-02930</v>
          </cell>
          <cell r="B3222" t="str">
            <v>PLUG 4"</v>
          </cell>
          <cell r="C3222" t="str">
            <v>PC</v>
          </cell>
          <cell r="D3222">
            <v>0</v>
          </cell>
          <cell r="E3222">
            <v>35000</v>
          </cell>
          <cell r="F3222">
            <v>0</v>
          </cell>
        </row>
        <row r="3223">
          <cell r="A3223" t="str">
            <v>VM001-02940</v>
          </cell>
          <cell r="B3223" t="str">
            <v>TEE REDUCING</v>
          </cell>
          <cell r="C3223" t="str">
            <v>PC</v>
          </cell>
          <cell r="D3223">
            <v>0</v>
          </cell>
          <cell r="E3223">
            <v>36000</v>
          </cell>
          <cell r="F3223">
            <v>0</v>
          </cell>
        </row>
        <row r="3224">
          <cell r="A3224" t="str">
            <v>VM001-02950</v>
          </cell>
          <cell r="B3224" t="str">
            <v>BUTTERFLY VALVE 4"</v>
          </cell>
          <cell r="C3224" t="str">
            <v>PC</v>
          </cell>
          <cell r="D3224">
            <v>0</v>
          </cell>
          <cell r="E3224">
            <v>675000</v>
          </cell>
          <cell r="F3224">
            <v>0</v>
          </cell>
        </row>
        <row r="3225">
          <cell r="A3225" t="str">
            <v>VM001-02960</v>
          </cell>
          <cell r="B3225" t="str">
            <v>FLEXIBLE JOINT 4"</v>
          </cell>
          <cell r="C3225" t="str">
            <v>PC</v>
          </cell>
          <cell r="D3225">
            <v>0</v>
          </cell>
          <cell r="E3225">
            <v>600000</v>
          </cell>
          <cell r="F3225">
            <v>0</v>
          </cell>
        </row>
        <row r="3226">
          <cell r="A3226" t="str">
            <v>VM001-02970</v>
          </cell>
          <cell r="B3226" t="str">
            <v>FLEXIBLE JOINT 3"</v>
          </cell>
          <cell r="C3226" t="str">
            <v>PC</v>
          </cell>
          <cell r="D3226">
            <v>0</v>
          </cell>
          <cell r="E3226">
            <v>440000</v>
          </cell>
          <cell r="F3226">
            <v>0</v>
          </cell>
        </row>
        <row r="3227">
          <cell r="A3227" t="str">
            <v>VM001-02980</v>
          </cell>
          <cell r="B3227" t="str">
            <v>RUBBER FLEX JOINT 6"</v>
          </cell>
          <cell r="C3227" t="str">
            <v>PC</v>
          </cell>
          <cell r="D3227">
            <v>1</v>
          </cell>
          <cell r="E3227">
            <v>1777500</v>
          </cell>
          <cell r="F3227">
            <v>1777500</v>
          </cell>
        </row>
        <row r="3228">
          <cell r="A3228" t="str">
            <v>VM001-03030</v>
          </cell>
          <cell r="B3228" t="str">
            <v>TUBING KQH 12-00</v>
          </cell>
          <cell r="C3228" t="str">
            <v>PC</v>
          </cell>
          <cell r="D3228">
            <v>13</v>
          </cell>
          <cell r="E3228">
            <v>65000</v>
          </cell>
          <cell r="F3228">
            <v>845000</v>
          </cell>
        </row>
        <row r="3229">
          <cell r="A3229" t="str">
            <v>VM001-03040</v>
          </cell>
          <cell r="B3229" t="str">
            <v>Elbow 90 5"</v>
          </cell>
          <cell r="C3229" t="str">
            <v>PC</v>
          </cell>
          <cell r="D3229">
            <v>0</v>
          </cell>
          <cell r="E3229">
            <v>1</v>
          </cell>
          <cell r="F3229">
            <v>0</v>
          </cell>
        </row>
        <row r="3230">
          <cell r="A3230" t="str">
            <v>VM001-03050</v>
          </cell>
          <cell r="B3230" t="str">
            <v>ELBOW 3/8" (SGP)</v>
          </cell>
          <cell r="C3230" t="str">
            <v>PC</v>
          </cell>
          <cell r="D3230">
            <v>40</v>
          </cell>
          <cell r="E3230">
            <v>253900</v>
          </cell>
          <cell r="F3230">
            <v>10156000</v>
          </cell>
        </row>
        <row r="3231">
          <cell r="A3231" t="str">
            <v>VM001-03060</v>
          </cell>
          <cell r="B3231" t="str">
            <v xml:space="preserve"> CONECTING LINK 5/8" </v>
          </cell>
          <cell r="C3231" t="str">
            <v>PC</v>
          </cell>
          <cell r="D3231">
            <v>0</v>
          </cell>
          <cell r="E3231">
            <v>423500</v>
          </cell>
          <cell r="F3231">
            <v>0</v>
          </cell>
        </row>
        <row r="3232">
          <cell r="A3232" t="str">
            <v>VM001-03070</v>
          </cell>
          <cell r="B3232" t="str">
            <v xml:space="preserve"> CHAIN 5/8" BLACK GMY </v>
          </cell>
          <cell r="C3232" t="str">
            <v>PC</v>
          </cell>
          <cell r="D3232">
            <v>0</v>
          </cell>
          <cell r="E3232">
            <v>195000</v>
          </cell>
          <cell r="F3232">
            <v>0</v>
          </cell>
        </row>
        <row r="3233">
          <cell r="A3233" t="str">
            <v>VM001-03110</v>
          </cell>
          <cell r="B3233" t="str">
            <v>RUBBER FLEX JOINT 5"</v>
          </cell>
          <cell r="C3233" t="str">
            <v>PC</v>
          </cell>
          <cell r="D3233">
            <v>0</v>
          </cell>
          <cell r="E3233">
            <v>845000</v>
          </cell>
          <cell r="F3233">
            <v>0</v>
          </cell>
        </row>
        <row r="3234">
          <cell r="A3234" t="str">
            <v>VM001-03140</v>
          </cell>
          <cell r="B3234" t="str">
            <v>TEE REDUCER 4"X4"X3"</v>
          </cell>
          <cell r="C3234" t="str">
            <v>PC</v>
          </cell>
          <cell r="D3234">
            <v>9</v>
          </cell>
          <cell r="E3234">
            <v>68136</v>
          </cell>
          <cell r="F3234">
            <v>613227</v>
          </cell>
        </row>
        <row r="3235">
          <cell r="A3235" t="str">
            <v>VM001-03150</v>
          </cell>
          <cell r="B3235" t="str">
            <v>TEE 4" SUS304</v>
          </cell>
          <cell r="C3235" t="str">
            <v>PC</v>
          </cell>
          <cell r="D3235">
            <v>2</v>
          </cell>
          <cell r="E3235">
            <v>487500</v>
          </cell>
          <cell r="F3235">
            <v>975000</v>
          </cell>
        </row>
        <row r="3236">
          <cell r="A3236" t="str">
            <v>VM001-03170</v>
          </cell>
          <cell r="B3236" t="str">
            <v>ELBOW 3" SUS304</v>
          </cell>
          <cell r="C3236" t="str">
            <v>PC</v>
          </cell>
          <cell r="D3236">
            <v>1</v>
          </cell>
          <cell r="E3236">
            <v>140400</v>
          </cell>
          <cell r="F3236">
            <v>140400</v>
          </cell>
        </row>
        <row r="3237">
          <cell r="A3237" t="str">
            <v>VM001-03190</v>
          </cell>
          <cell r="B3237" t="str">
            <v>SOCKET 2,5"</v>
          </cell>
          <cell r="C3237" t="str">
            <v>PC</v>
          </cell>
          <cell r="D3237">
            <v>0</v>
          </cell>
          <cell r="E3237">
            <v>70000</v>
          </cell>
          <cell r="F3237">
            <v>0</v>
          </cell>
        </row>
        <row r="3238">
          <cell r="A3238" t="str">
            <v>VM001-03200</v>
          </cell>
          <cell r="B3238" t="str">
            <v>ELBOW 2" SUS304</v>
          </cell>
          <cell r="C3238" t="str">
            <v>PC</v>
          </cell>
          <cell r="D3238">
            <v>2</v>
          </cell>
          <cell r="E3238">
            <v>43200</v>
          </cell>
          <cell r="F3238">
            <v>86400</v>
          </cell>
        </row>
        <row r="3239">
          <cell r="A3239" t="str">
            <v>VM001-03270</v>
          </cell>
          <cell r="B3239" t="str">
            <v>DRY BUSH RLG55HD</v>
          </cell>
          <cell r="C3239" t="str">
            <v>PC</v>
          </cell>
          <cell r="D3239">
            <v>16</v>
          </cell>
          <cell r="E3239">
            <v>60000</v>
          </cell>
          <cell r="F3239">
            <v>960000</v>
          </cell>
        </row>
        <row r="3240">
          <cell r="A3240" t="str">
            <v>VM001-03320</v>
          </cell>
          <cell r="B3240" t="str">
            <v>DRY BUSH (PAP-8580-P10)</v>
          </cell>
          <cell r="C3240" t="str">
            <v>PC</v>
          </cell>
          <cell r="D3240">
            <v>0</v>
          </cell>
          <cell r="E3240">
            <v>0</v>
          </cell>
          <cell r="F3240">
            <v>0</v>
          </cell>
        </row>
        <row r="3241">
          <cell r="A3241" t="str">
            <v>VM001-03330</v>
          </cell>
          <cell r="B3241" t="str">
            <v>RIMS 8.5X20-10ST-ISO</v>
          </cell>
          <cell r="C3241" t="str">
            <v>PC</v>
          </cell>
          <cell r="D3241">
            <v>194</v>
          </cell>
          <cell r="E3241">
            <v>520377</v>
          </cell>
          <cell r="F3241">
            <v>100953206</v>
          </cell>
        </row>
        <row r="3242">
          <cell r="A3242" t="str">
            <v>VM001-03340</v>
          </cell>
          <cell r="B3242" t="str">
            <v>PEDAL ASS'Y</v>
          </cell>
          <cell r="C3242" t="str">
            <v>PC</v>
          </cell>
          <cell r="D3242">
            <v>13</v>
          </cell>
          <cell r="E3242">
            <v>1865808</v>
          </cell>
          <cell r="F3242">
            <v>24255504</v>
          </cell>
        </row>
        <row r="3243">
          <cell r="A3243" t="str">
            <v>VM001-03370</v>
          </cell>
          <cell r="B3243" t="str">
            <v xml:space="preserve"> PROP. SHAFT LT18</v>
          </cell>
          <cell r="C3243" t="str">
            <v>PC</v>
          </cell>
          <cell r="D3243">
            <v>0</v>
          </cell>
          <cell r="E3243">
            <v>127700</v>
          </cell>
          <cell r="F3243">
            <v>0</v>
          </cell>
        </row>
        <row r="3244">
          <cell r="A3244" t="str">
            <v>VM001-03400</v>
          </cell>
          <cell r="B3244" t="str">
            <v>TEETH (HENSLEY 435)</v>
          </cell>
          <cell r="C3244" t="str">
            <v>PC</v>
          </cell>
          <cell r="D3244">
            <v>0</v>
          </cell>
          <cell r="E3244">
            <v>0</v>
          </cell>
          <cell r="F3244">
            <v>0</v>
          </cell>
        </row>
        <row r="3245">
          <cell r="A3245" t="str">
            <v>VM001-03410</v>
          </cell>
          <cell r="B3245" t="str">
            <v>PIN (HENSLEY P435)</v>
          </cell>
          <cell r="C3245" t="str">
            <v>PC</v>
          </cell>
          <cell r="D3245">
            <v>0</v>
          </cell>
          <cell r="E3245">
            <v>0</v>
          </cell>
          <cell r="F3245">
            <v>0</v>
          </cell>
        </row>
        <row r="3246">
          <cell r="A3246" t="str">
            <v>VM001-03420</v>
          </cell>
          <cell r="B3246" t="str">
            <v>ADAPTER (HENSLEY 940x435)</v>
          </cell>
          <cell r="C3246" t="str">
            <v>PC</v>
          </cell>
          <cell r="D3246">
            <v>0</v>
          </cell>
          <cell r="E3246">
            <v>0</v>
          </cell>
          <cell r="F3246">
            <v>0</v>
          </cell>
        </row>
        <row r="3247">
          <cell r="A3247" t="str">
            <v>VM001-03430</v>
          </cell>
          <cell r="B3247" t="str">
            <v>BEARING UCUP-208( UCUP-208D1 )</v>
          </cell>
          <cell r="C3247" t="str">
            <v>PC</v>
          </cell>
          <cell r="D3247">
            <v>2</v>
          </cell>
          <cell r="E3247">
            <v>105000</v>
          </cell>
          <cell r="F3247">
            <v>210000</v>
          </cell>
        </row>
        <row r="3248">
          <cell r="A3248" t="str">
            <v>VM001-03440</v>
          </cell>
          <cell r="B3248" t="str">
            <v>BOLT OPTIK SENSOR</v>
          </cell>
          <cell r="C3248" t="str">
            <v>PC</v>
          </cell>
          <cell r="D3248">
            <v>195</v>
          </cell>
          <cell r="E3248">
            <v>10003</v>
          </cell>
          <cell r="F3248">
            <v>1950642</v>
          </cell>
        </row>
        <row r="3249">
          <cell r="A3249" t="str">
            <v>VM001-03450</v>
          </cell>
          <cell r="B3249" t="str">
            <v>CHAIN 3/8" CROSBY (SPECTRUM 8)</v>
          </cell>
          <cell r="C3249" t="str">
            <v>PC</v>
          </cell>
          <cell r="D3249">
            <v>86</v>
          </cell>
          <cell r="E3249">
            <v>90000</v>
          </cell>
          <cell r="F3249">
            <v>7740000</v>
          </cell>
        </row>
        <row r="3250">
          <cell r="A3250" t="str">
            <v>VM001-03460</v>
          </cell>
          <cell r="B3250" t="str">
            <v>CHAIN 1/2" CROSBY (SPECTRUM 4)</v>
          </cell>
          <cell r="C3250" t="str">
            <v>PC</v>
          </cell>
          <cell r="D3250">
            <v>52</v>
          </cell>
          <cell r="E3250">
            <v>39000</v>
          </cell>
          <cell r="F3250">
            <v>2028000</v>
          </cell>
        </row>
        <row r="3251">
          <cell r="A3251" t="str">
            <v>VM001-03470</v>
          </cell>
          <cell r="B3251" t="str">
            <v>CHAIN 3/4" CROSBY (SPECTRUM 3)</v>
          </cell>
          <cell r="C3251" t="str">
            <v>PC</v>
          </cell>
          <cell r="D3251">
            <v>24</v>
          </cell>
          <cell r="E3251">
            <v>87750</v>
          </cell>
          <cell r="F3251">
            <v>2106000</v>
          </cell>
        </row>
        <row r="3252">
          <cell r="A3252" t="str">
            <v>VM001-03480</v>
          </cell>
          <cell r="B3252" t="str">
            <v xml:space="preserve"> COUPL BOWEX 80 KTR</v>
          </cell>
          <cell r="C3252" t="str">
            <v>PC</v>
          </cell>
          <cell r="D3252">
            <v>1</v>
          </cell>
          <cell r="E3252">
            <v>3600000</v>
          </cell>
          <cell r="F3252">
            <v>3600000</v>
          </cell>
        </row>
        <row r="3253">
          <cell r="A3253" t="str">
            <v>VM001-03490</v>
          </cell>
          <cell r="B3253" t="str">
            <v>COUPLING  ( UC-DC-55-PB-PB )</v>
          </cell>
          <cell r="C3253" t="str">
            <v>PC</v>
          </cell>
          <cell r="D3253">
            <v>2</v>
          </cell>
          <cell r="E3253">
            <v>943397</v>
          </cell>
          <cell r="F3253">
            <v>1886793</v>
          </cell>
        </row>
        <row r="3254">
          <cell r="A3254" t="str">
            <v>VM001-03500</v>
          </cell>
          <cell r="B3254" t="str">
            <v>ROPE CLP G450, 1 1/8</v>
          </cell>
          <cell r="C3254" t="str">
            <v>PC</v>
          </cell>
          <cell r="D3254">
            <v>10</v>
          </cell>
          <cell r="E3254">
            <v>66000</v>
          </cell>
          <cell r="F3254">
            <v>660000</v>
          </cell>
        </row>
        <row r="3255">
          <cell r="A3255" t="str">
            <v>VM001-03501</v>
          </cell>
          <cell r="B3255" t="str">
            <v xml:space="preserve"> SACKLE 7/8" CROSBY </v>
          </cell>
          <cell r="C3255" t="str">
            <v>PC</v>
          </cell>
          <cell r="D3255">
            <v>0</v>
          </cell>
          <cell r="E3255">
            <v>110000</v>
          </cell>
          <cell r="F3255">
            <v>0</v>
          </cell>
        </row>
        <row r="3256">
          <cell r="A3256" t="str">
            <v>VM001-03510</v>
          </cell>
          <cell r="B3256" t="str">
            <v>NIPPLE 3/8"X3/8"</v>
          </cell>
          <cell r="C3256" t="str">
            <v>PC</v>
          </cell>
          <cell r="D3256">
            <v>0</v>
          </cell>
          <cell r="E3256">
            <v>0</v>
          </cell>
          <cell r="F3256">
            <v>0</v>
          </cell>
        </row>
        <row r="3257">
          <cell r="A3257" t="str">
            <v>VM001-03520</v>
          </cell>
          <cell r="B3257" t="str">
            <v>DRY BUSH PAP-4540-P10</v>
          </cell>
          <cell r="C3257" t="str">
            <v>PC</v>
          </cell>
          <cell r="D3257">
            <v>1</v>
          </cell>
          <cell r="E3257">
            <v>31500</v>
          </cell>
          <cell r="F3257">
            <v>31500</v>
          </cell>
        </row>
        <row r="3258">
          <cell r="A3258" t="str">
            <v>VM001-03530</v>
          </cell>
          <cell r="B3258" t="str">
            <v>DRY BUSH PAP-7050-P20</v>
          </cell>
          <cell r="C3258" t="str">
            <v>PC</v>
          </cell>
          <cell r="D3258">
            <v>15</v>
          </cell>
          <cell r="E3258">
            <v>72000</v>
          </cell>
          <cell r="F3258">
            <v>1080000</v>
          </cell>
        </row>
        <row r="3259">
          <cell r="A3259" t="str">
            <v>VM001-03540</v>
          </cell>
          <cell r="B3259" t="str">
            <v>DYNA BOLT 20 X 190</v>
          </cell>
          <cell r="C3259" t="str">
            <v>PC</v>
          </cell>
          <cell r="D3259">
            <v>8</v>
          </cell>
          <cell r="E3259">
            <v>2400</v>
          </cell>
          <cell r="F3259">
            <v>19200</v>
          </cell>
        </row>
        <row r="3260">
          <cell r="A3260" t="str">
            <v>VM001-03550</v>
          </cell>
          <cell r="B3260" t="str">
            <v>L-TUBING CON.1/4" X 10MM</v>
          </cell>
          <cell r="C3260" t="str">
            <v>PC</v>
          </cell>
          <cell r="D3260">
            <v>58</v>
          </cell>
          <cell r="E3260">
            <v>59349</v>
          </cell>
          <cell r="F3260">
            <v>3442251</v>
          </cell>
        </row>
        <row r="3261">
          <cell r="A3261" t="str">
            <v>VM001-03560</v>
          </cell>
          <cell r="B3261" t="str">
            <v>ELBOW TUBING CON. 1/8-6 SMC</v>
          </cell>
          <cell r="C3261" t="str">
            <v>PC</v>
          </cell>
          <cell r="D3261">
            <v>0</v>
          </cell>
          <cell r="E3261">
            <v>8775</v>
          </cell>
          <cell r="F3261">
            <v>0</v>
          </cell>
        </row>
        <row r="3262">
          <cell r="A3262" t="str">
            <v>VM001-03570</v>
          </cell>
          <cell r="B3262" t="str">
            <v>ELBOW 2" SGP STEEL</v>
          </cell>
          <cell r="C3262" t="str">
            <v>PC</v>
          </cell>
          <cell r="D3262">
            <v>10</v>
          </cell>
          <cell r="E3262">
            <v>14300</v>
          </cell>
          <cell r="F3262">
            <v>143000</v>
          </cell>
        </row>
        <row r="3263">
          <cell r="A3263" t="str">
            <v>VM001-03580</v>
          </cell>
          <cell r="B3263" t="str">
            <v>ELBOW CON. 1/4"X8 MM ( KQL 08-02 )</v>
          </cell>
          <cell r="C3263" t="str">
            <v>PC</v>
          </cell>
          <cell r="D3263">
            <v>2</v>
          </cell>
          <cell r="E3263">
            <v>12780</v>
          </cell>
          <cell r="F3263">
            <v>25560</v>
          </cell>
        </row>
        <row r="3264">
          <cell r="A3264" t="str">
            <v>VM001-03590</v>
          </cell>
          <cell r="B3264" t="str">
            <v>L .CON. (KQL 02-06)-1/4"X6</v>
          </cell>
          <cell r="C3264" t="str">
            <v>PC</v>
          </cell>
          <cell r="D3264">
            <v>175</v>
          </cell>
          <cell r="E3264">
            <v>18017</v>
          </cell>
          <cell r="F3264">
            <v>3152921</v>
          </cell>
        </row>
        <row r="3265">
          <cell r="A3265" t="str">
            <v>VM001-03595</v>
          </cell>
          <cell r="B3265" t="str">
            <v>L CON. (KQL 08-01)-1/8"-6</v>
          </cell>
          <cell r="C3265" t="str">
            <v>PC</v>
          </cell>
          <cell r="D3265">
            <v>32</v>
          </cell>
          <cell r="E3265">
            <v>17465</v>
          </cell>
          <cell r="F3265">
            <v>558882</v>
          </cell>
        </row>
        <row r="3266">
          <cell r="A3266" t="str">
            <v>VM001-03600</v>
          </cell>
          <cell r="B3266" t="str">
            <v>ELBOW CON. 1/2"X10 MM ( KQL-10-04 )</v>
          </cell>
          <cell r="C3266" t="str">
            <v>PC</v>
          </cell>
          <cell r="D3266">
            <v>17</v>
          </cell>
          <cell r="E3266">
            <v>32296</v>
          </cell>
          <cell r="F3266">
            <v>549036</v>
          </cell>
        </row>
        <row r="3267">
          <cell r="A3267" t="str">
            <v>VM001-03610</v>
          </cell>
          <cell r="B3267" t="str">
            <v>ELBOW CON ( KQL-06-02 )</v>
          </cell>
          <cell r="C3267" t="str">
            <v>PC</v>
          </cell>
          <cell r="D3267">
            <v>0</v>
          </cell>
          <cell r="E3267">
            <v>18900</v>
          </cell>
          <cell r="F3267">
            <v>0</v>
          </cell>
        </row>
        <row r="3268">
          <cell r="A3268" t="str">
            <v>VM001-03620</v>
          </cell>
          <cell r="B3268" t="str">
            <v>ELBOW DRAT 3/8X3/8</v>
          </cell>
          <cell r="C3268" t="str">
            <v>PC</v>
          </cell>
          <cell r="D3268">
            <v>10</v>
          </cell>
          <cell r="E3268">
            <v>2100</v>
          </cell>
          <cell r="F3268">
            <v>21000</v>
          </cell>
        </row>
        <row r="3269">
          <cell r="A3269" t="str">
            <v>VM001-03630</v>
          </cell>
          <cell r="B3269" t="str">
            <v>ELBOW WELD 1"</v>
          </cell>
          <cell r="C3269" t="str">
            <v>PC</v>
          </cell>
          <cell r="D3269">
            <v>0</v>
          </cell>
          <cell r="E3269">
            <v>5400</v>
          </cell>
          <cell r="F3269">
            <v>0</v>
          </cell>
        </row>
        <row r="3270">
          <cell r="A3270" t="str">
            <v>VM001-03640</v>
          </cell>
          <cell r="B3270" t="str">
            <v>ELBOW WELD 4"X45 DEG</v>
          </cell>
          <cell r="C3270" t="str">
            <v>PC</v>
          </cell>
          <cell r="D3270">
            <v>4</v>
          </cell>
          <cell r="E3270">
            <v>22485</v>
          </cell>
          <cell r="F3270">
            <v>89940</v>
          </cell>
        </row>
        <row r="3271">
          <cell r="A3271" t="str">
            <v>VM001-03650</v>
          </cell>
          <cell r="B3271" t="str">
            <v>FIFTH WHEEL 3,5" ( GFSK-HD90-3 )</v>
          </cell>
          <cell r="C3271" t="str">
            <v>PC</v>
          </cell>
          <cell r="D3271">
            <v>3</v>
          </cell>
          <cell r="E3271">
            <v>1</v>
          </cell>
          <cell r="F3271">
            <v>3</v>
          </cell>
        </row>
        <row r="3272">
          <cell r="A3272" t="str">
            <v>VM001-03660</v>
          </cell>
          <cell r="B3272" t="str">
            <v>COIL SPRING 35-125</v>
          </cell>
          <cell r="C3272" t="str">
            <v>PC</v>
          </cell>
          <cell r="D3272">
            <v>20</v>
          </cell>
          <cell r="E3272">
            <v>20455</v>
          </cell>
          <cell r="F3272">
            <v>409100</v>
          </cell>
        </row>
        <row r="3273">
          <cell r="A3273" t="str">
            <v>VM001-03661</v>
          </cell>
          <cell r="B3273" t="str">
            <v xml:space="preserve"> FIFTH WHEEL 3,5" ( GFSK-S3622-3 ) </v>
          </cell>
          <cell r="C3273" t="str">
            <v>PC</v>
          </cell>
          <cell r="D3273">
            <v>2</v>
          </cell>
          <cell r="E3273">
            <v>3100</v>
          </cell>
          <cell r="F3273">
            <v>6200</v>
          </cell>
        </row>
        <row r="3274">
          <cell r="A3274" t="str">
            <v>VM001-03670</v>
          </cell>
          <cell r="B3274" t="str">
            <v>FIFTH WHEEL JOST ( JSK-37-CY185Z )</v>
          </cell>
          <cell r="C3274" t="str">
            <v>PC</v>
          </cell>
          <cell r="D3274">
            <v>1</v>
          </cell>
          <cell r="E3274">
            <v>1</v>
          </cell>
          <cell r="F3274">
            <v>1</v>
          </cell>
        </row>
        <row r="3275">
          <cell r="A3275" t="str">
            <v>VM001-03680</v>
          </cell>
          <cell r="B3275" t="str">
            <v xml:space="preserve"> FIFTH WHEEL JOST ( JSK38G-1 )</v>
          </cell>
          <cell r="C3275" t="str">
            <v>PC</v>
          </cell>
          <cell r="D3275">
            <v>0</v>
          </cell>
          <cell r="E3275">
            <v>21804784</v>
          </cell>
          <cell r="F3275">
            <v>0</v>
          </cell>
        </row>
        <row r="3276">
          <cell r="A3276" t="str">
            <v>VM001-03690</v>
          </cell>
          <cell r="B3276" t="str">
            <v>HOOK 1/2" CROSBY( S320AN-1/2 )</v>
          </cell>
          <cell r="C3276" t="str">
            <v>PC</v>
          </cell>
          <cell r="D3276">
            <v>3</v>
          </cell>
          <cell r="E3276">
            <v>165000</v>
          </cell>
          <cell r="F3276">
            <v>495000</v>
          </cell>
        </row>
        <row r="3277">
          <cell r="A3277" t="str">
            <v>VM001-03700</v>
          </cell>
          <cell r="B3277" t="str">
            <v xml:space="preserve">JOST KING PIN 3.5"( KZ-1016-01 C/W RET	     2.154.771_x000D_
		CIK	VM001-03710		                1	PC	          180.000	IDR	KARET SINTETIS 1X4X5	       180.000_x000D_
		CIK	VM001-03720		               80	PC	        2.400.000	IDR	EXTENTION SPRING	        30.000_x000D_
		CIK	</v>
          </cell>
          <cell r="C3277" t="str">
            <v>PC</v>
          </cell>
          <cell r="D3277">
            <v>15</v>
          </cell>
          <cell r="E3277">
            <v>21000</v>
          </cell>
          <cell r="F3277">
            <v>32321561</v>
          </cell>
        </row>
        <row r="3278">
          <cell r="A3278" t="str">
            <v>VM001-03740</v>
          </cell>
          <cell r="B3278" t="str">
            <v>ELBOW  CON. 3/8"-12MM( KQL 03-12 )</v>
          </cell>
          <cell r="C3278" t="str">
            <v>PC</v>
          </cell>
          <cell r="D3278">
            <v>3</v>
          </cell>
          <cell r="E3278">
            <v>36922</v>
          </cell>
          <cell r="F3278">
            <v>110765</v>
          </cell>
        </row>
        <row r="3279">
          <cell r="A3279" t="str">
            <v>VM001-03750</v>
          </cell>
          <cell r="B3279" t="str">
            <v>PLASTIC STRIP( HDPE-10X200X2000 )</v>
          </cell>
          <cell r="C3279" t="str">
            <v>PC</v>
          </cell>
          <cell r="D3279">
            <v>41</v>
          </cell>
          <cell r="E3279">
            <v>111000</v>
          </cell>
          <cell r="F3279">
            <v>4551000</v>
          </cell>
        </row>
        <row r="3280">
          <cell r="A3280" t="str">
            <v>VM001-03760</v>
          </cell>
          <cell r="B3280" t="str">
            <v>PLUG HEXAGON M.30</v>
          </cell>
          <cell r="C3280" t="str">
            <v>PC</v>
          </cell>
          <cell r="D3280">
            <v>13</v>
          </cell>
          <cell r="E3280">
            <v>6000</v>
          </cell>
          <cell r="F3280">
            <v>78000</v>
          </cell>
        </row>
        <row r="3281">
          <cell r="A3281" t="str">
            <v>VM001-03770</v>
          </cell>
          <cell r="B3281" t="str">
            <v>KARET MUD FLAP 5X670X500</v>
          </cell>
          <cell r="C3281" t="str">
            <v>PC</v>
          </cell>
          <cell r="D3281">
            <v>0</v>
          </cell>
          <cell r="E3281">
            <v>66045</v>
          </cell>
          <cell r="F3281">
            <v>0</v>
          </cell>
        </row>
        <row r="3282">
          <cell r="A3282" t="str">
            <v>VM001-03771</v>
          </cell>
          <cell r="B3282" t="str">
            <v xml:space="preserve"> PULLY-8" KONDO </v>
          </cell>
          <cell r="C3282" t="str">
            <v>PC</v>
          </cell>
          <cell r="D3282">
            <v>4</v>
          </cell>
          <cell r="E3282">
            <v>65000</v>
          </cell>
          <cell r="F3282">
            <v>260000</v>
          </cell>
        </row>
        <row r="3283">
          <cell r="A3283" t="str">
            <v>VM001-03780</v>
          </cell>
          <cell r="B3283" t="str">
            <v>RADIUS ROD PIN( 901012 )</v>
          </cell>
          <cell r="C3283" t="str">
            <v>PC</v>
          </cell>
          <cell r="D3283">
            <v>11</v>
          </cell>
          <cell r="E3283">
            <v>177429</v>
          </cell>
          <cell r="F3283">
            <v>1951717</v>
          </cell>
        </row>
        <row r="3284">
          <cell r="A3284" t="str">
            <v>VM001-03790</v>
          </cell>
          <cell r="B3284" t="str">
            <v>RANTAI 3/8"</v>
          </cell>
          <cell r="C3284" t="str">
            <v>PC</v>
          </cell>
          <cell r="D3284">
            <v>100</v>
          </cell>
          <cell r="E3284">
            <v>11100</v>
          </cell>
          <cell r="F3284">
            <v>1110000</v>
          </cell>
        </row>
        <row r="3285">
          <cell r="A3285" t="str">
            <v>VM001-03800</v>
          </cell>
          <cell r="B3285" t="str">
            <v>REDUCER 12 X 10MM( KQR 10-12 )</v>
          </cell>
          <cell r="C3285" t="str">
            <v>PC</v>
          </cell>
          <cell r="D3285">
            <v>127</v>
          </cell>
          <cell r="E3285">
            <v>2535</v>
          </cell>
          <cell r="F3285">
            <v>321945</v>
          </cell>
        </row>
        <row r="3286">
          <cell r="A3286" t="str">
            <v>VM001-03810</v>
          </cell>
          <cell r="B3286" t="str">
            <v>REDUCER 3 - 1.5"( RED 3-1.5 )</v>
          </cell>
          <cell r="C3286" t="str">
            <v>PC</v>
          </cell>
          <cell r="D3286">
            <v>2</v>
          </cell>
          <cell r="E3286">
            <v>13500</v>
          </cell>
          <cell r="F3286">
            <v>27000</v>
          </cell>
        </row>
        <row r="3287">
          <cell r="A3287" t="str">
            <v>VM001-03820</v>
          </cell>
          <cell r="B3287" t="str">
            <v>REDUCER CON. 10X1/2"( KQR-08-10 )</v>
          </cell>
          <cell r="C3287" t="str">
            <v>PC</v>
          </cell>
          <cell r="D3287">
            <v>19</v>
          </cell>
          <cell r="E3287">
            <v>26326</v>
          </cell>
          <cell r="F3287">
            <v>500194</v>
          </cell>
        </row>
        <row r="3288">
          <cell r="A3288" t="str">
            <v>VM001-03830</v>
          </cell>
          <cell r="B3288" t="str">
            <v>RING FEDER COUPLING( RF-86G/150 )</v>
          </cell>
          <cell r="C3288" t="str">
            <v>PC</v>
          </cell>
          <cell r="D3288">
            <v>22</v>
          </cell>
          <cell r="E3288">
            <v>1416379</v>
          </cell>
          <cell r="F3288">
            <v>31160344</v>
          </cell>
        </row>
        <row r="3289">
          <cell r="A3289" t="str">
            <v>VM001-03840</v>
          </cell>
          <cell r="B3289" t="str">
            <v>RUBBER BUSHING( 901020 )</v>
          </cell>
          <cell r="C3289" t="str">
            <v>PC</v>
          </cell>
          <cell r="D3289">
            <v>28</v>
          </cell>
          <cell r="E3289">
            <v>63222</v>
          </cell>
          <cell r="F3289">
            <v>1770222</v>
          </cell>
        </row>
        <row r="3290">
          <cell r="A3290" t="str">
            <v>VM001-03850</v>
          </cell>
          <cell r="B3290" t="str">
            <v>SACKLE 3/4"</v>
          </cell>
          <cell r="C3290" t="str">
            <v>PC</v>
          </cell>
          <cell r="D3290">
            <v>14</v>
          </cell>
          <cell r="E3290">
            <v>94800</v>
          </cell>
          <cell r="F3290">
            <v>1327200</v>
          </cell>
        </row>
        <row r="3291">
          <cell r="A3291" t="str">
            <v>VM001-03860</v>
          </cell>
          <cell r="B3291" t="str">
            <v>SCOON CABLE 3TM( SCK-3TM )</v>
          </cell>
          <cell r="C3291" t="str">
            <v>PC</v>
          </cell>
          <cell r="D3291">
            <v>542</v>
          </cell>
          <cell r="E3291">
            <v>1343</v>
          </cell>
          <cell r="F3291">
            <v>727800</v>
          </cell>
        </row>
        <row r="3292">
          <cell r="A3292" t="str">
            <v>VM001-03870</v>
          </cell>
          <cell r="B3292" t="str">
            <v>SHACKLE 12 TON</v>
          </cell>
          <cell r="C3292" t="str">
            <v>PC</v>
          </cell>
          <cell r="D3292">
            <v>4</v>
          </cell>
          <cell r="E3292">
            <v>193500</v>
          </cell>
          <cell r="F3292">
            <v>774000</v>
          </cell>
        </row>
        <row r="3293">
          <cell r="A3293" t="str">
            <v>VM001-03880</v>
          </cell>
          <cell r="B3293" t="str">
            <v>SHACKLE 3/8" CROSBY( S210-06 )</v>
          </cell>
          <cell r="C3293" t="str">
            <v>PC</v>
          </cell>
          <cell r="D3293">
            <v>50</v>
          </cell>
          <cell r="E3293">
            <v>45000</v>
          </cell>
          <cell r="F3293">
            <v>2250000</v>
          </cell>
        </row>
        <row r="3294">
          <cell r="A3294" t="str">
            <v>VM001-03890</v>
          </cell>
          <cell r="B3294" t="str">
            <v xml:space="preserve"> LOCK</v>
          </cell>
          <cell r="C3294" t="str">
            <v>PC</v>
          </cell>
          <cell r="D3294">
            <v>0</v>
          </cell>
          <cell r="E3294">
            <v>0</v>
          </cell>
          <cell r="F3294">
            <v>0</v>
          </cell>
        </row>
        <row r="3295">
          <cell r="A3295" t="str">
            <v>VM001-03900</v>
          </cell>
          <cell r="B3295" t="str">
            <v>SHOE BOLT PC300( BN-207-32-11234 )</v>
          </cell>
          <cell r="C3295" t="str">
            <v>PC</v>
          </cell>
          <cell r="D3295">
            <v>15</v>
          </cell>
          <cell r="E3295">
            <v>23100</v>
          </cell>
          <cell r="F3295">
            <v>346500</v>
          </cell>
        </row>
        <row r="3296">
          <cell r="A3296" t="str">
            <v>VM001-03910</v>
          </cell>
          <cell r="B3296" t="str">
            <v>SLENCER 1/8( PISCO-SR01 )</v>
          </cell>
          <cell r="C3296" t="str">
            <v>PC</v>
          </cell>
          <cell r="D3296">
            <v>0</v>
          </cell>
          <cell r="E3296">
            <v>17903</v>
          </cell>
          <cell r="F3296">
            <v>0</v>
          </cell>
        </row>
        <row r="3297">
          <cell r="A3297" t="str">
            <v>VM001-03920</v>
          </cell>
          <cell r="B3297" t="str">
            <v>SLING 1 1/8"X5MTR (CAP 20T)</v>
          </cell>
          <cell r="C3297" t="str">
            <v>PC</v>
          </cell>
          <cell r="D3297">
            <v>4</v>
          </cell>
          <cell r="E3297">
            <v>206400</v>
          </cell>
          <cell r="F3297">
            <v>825600</v>
          </cell>
        </row>
        <row r="3298">
          <cell r="A3298" t="str">
            <v>VM001-03940</v>
          </cell>
          <cell r="B3298" t="str">
            <v>SLING ASSY 5/8 X 30M</v>
          </cell>
          <cell r="C3298" t="str">
            <v>PC</v>
          </cell>
          <cell r="D3298">
            <v>7</v>
          </cell>
          <cell r="E3298">
            <v>165000</v>
          </cell>
          <cell r="F3298">
            <v>1155000</v>
          </cell>
        </row>
        <row r="3299">
          <cell r="A3299" t="str">
            <v>VM001-03950</v>
          </cell>
          <cell r="B3299" t="str">
            <v>TERA MEKANIK</v>
          </cell>
          <cell r="C3299" t="str">
            <v>PC</v>
          </cell>
          <cell r="D3299">
            <v>4</v>
          </cell>
          <cell r="E3299">
            <v>34750</v>
          </cell>
          <cell r="F3299">
            <v>139001</v>
          </cell>
        </row>
        <row r="3300">
          <cell r="A3300" t="str">
            <v>VM001-03951</v>
          </cell>
          <cell r="B3300" t="str">
            <v>TERA MEKANIK</v>
          </cell>
          <cell r="C3300" t="str">
            <v>PC</v>
          </cell>
          <cell r="D3300">
            <v>42</v>
          </cell>
          <cell r="E3300">
            <v>75000</v>
          </cell>
          <cell r="F3300">
            <v>3150000</v>
          </cell>
        </row>
        <row r="3301">
          <cell r="A3301" t="str">
            <v>VM001-03960</v>
          </cell>
          <cell r="B3301" t="str">
            <v>SOCKET TERMINAL 2"( SCK-2TM )</v>
          </cell>
          <cell r="C3301" t="str">
            <v>PC</v>
          </cell>
          <cell r="D3301">
            <v>28</v>
          </cell>
          <cell r="E3301">
            <v>992</v>
          </cell>
          <cell r="F3301">
            <v>27781</v>
          </cell>
        </row>
        <row r="3302">
          <cell r="A3302" t="str">
            <v>VM001-03970</v>
          </cell>
          <cell r="B3302" t="str">
            <v>SOCKET TERMINAL 1,5"( SCK-1.5 )</v>
          </cell>
          <cell r="C3302" t="str">
            <v>PC</v>
          </cell>
          <cell r="D3302">
            <v>1</v>
          </cell>
          <cell r="E3302">
            <v>13500</v>
          </cell>
          <cell r="F3302">
            <v>13500</v>
          </cell>
        </row>
        <row r="3303">
          <cell r="A3303" t="str">
            <v>VM001-03980</v>
          </cell>
          <cell r="B3303" t="str">
            <v>SOCKET 3/4" (STEEL)</v>
          </cell>
          <cell r="C3303" t="str">
            <v>PC</v>
          </cell>
          <cell r="D3303">
            <v>0</v>
          </cell>
          <cell r="E3303">
            <v>1320</v>
          </cell>
          <cell r="F3303">
            <v>0</v>
          </cell>
        </row>
        <row r="3304">
          <cell r="A3304" t="str">
            <v>VM001-03990</v>
          </cell>
          <cell r="B3304" t="str">
            <v>SOCKET DRAT 1" (SGP)</v>
          </cell>
          <cell r="C3304" t="str">
            <v>PC</v>
          </cell>
          <cell r="D3304">
            <v>3</v>
          </cell>
          <cell r="E3304">
            <v>8505</v>
          </cell>
          <cell r="F3304">
            <v>25515</v>
          </cell>
        </row>
        <row r="3305">
          <cell r="A3305" t="str">
            <v>VM001-03A00</v>
          </cell>
          <cell r="B3305" t="str">
            <v>TANDEM BRAKE KIT (For LPT)</v>
          </cell>
          <cell r="C3305" t="str">
            <v>PC</v>
          </cell>
          <cell r="D3305">
            <v>17</v>
          </cell>
          <cell r="E3305">
            <v>1580517</v>
          </cell>
          <cell r="F3305">
            <v>26868791</v>
          </cell>
        </row>
        <row r="3306">
          <cell r="A3306" t="str">
            <v>VM001-04000</v>
          </cell>
          <cell r="B3306" t="str">
            <v>SOCKET DRAT 1/2" (GALVANIS)</v>
          </cell>
          <cell r="C3306" t="str">
            <v>PC</v>
          </cell>
          <cell r="D3306">
            <v>14</v>
          </cell>
          <cell r="E3306">
            <v>600</v>
          </cell>
          <cell r="F3306">
            <v>8400</v>
          </cell>
        </row>
        <row r="3307">
          <cell r="A3307" t="str">
            <v>VM001-04010</v>
          </cell>
          <cell r="B3307" t="str">
            <v>SOCKET  2.5" (SUS304)</v>
          </cell>
          <cell r="C3307" t="str">
            <v>PC</v>
          </cell>
          <cell r="D3307">
            <v>1</v>
          </cell>
          <cell r="E3307">
            <v>70200</v>
          </cell>
          <cell r="F3307">
            <v>70200</v>
          </cell>
        </row>
        <row r="3308">
          <cell r="A3308" t="str">
            <v>VM001-04020</v>
          </cell>
          <cell r="B3308" t="str">
            <v>SPIRAL GUARD 3/4"</v>
          </cell>
          <cell r="C3308" t="str">
            <v>PC</v>
          </cell>
          <cell r="D3308">
            <v>505</v>
          </cell>
          <cell r="E3308">
            <v>13076</v>
          </cell>
          <cell r="F3308">
            <v>6603242</v>
          </cell>
        </row>
        <row r="3309">
          <cell r="A3309" t="str">
            <v>VM001-04030</v>
          </cell>
          <cell r="B3309" t="str">
            <v>SPLIT FLANGE( D206/16 )</v>
          </cell>
          <cell r="C3309" t="str">
            <v>PC</v>
          </cell>
          <cell r="D3309">
            <v>171</v>
          </cell>
          <cell r="E3309">
            <v>15546</v>
          </cell>
          <cell r="F3309">
            <v>2658366</v>
          </cell>
        </row>
        <row r="3310">
          <cell r="A3310" t="str">
            <v>VM001-04040</v>
          </cell>
          <cell r="B3310" t="str">
            <v>SQUARE WASHER M.14X65X65</v>
          </cell>
          <cell r="C3310" t="str">
            <v>PC</v>
          </cell>
          <cell r="D3310">
            <v>840</v>
          </cell>
          <cell r="E3310">
            <v>1621</v>
          </cell>
          <cell r="F3310">
            <v>1361640</v>
          </cell>
        </row>
        <row r="3311">
          <cell r="A3311" t="str">
            <v>VM001-04050</v>
          </cell>
          <cell r="B3311" t="str">
            <v>SQUARE WASHER M12X50X50</v>
          </cell>
          <cell r="C3311" t="str">
            <v>PC</v>
          </cell>
          <cell r="D3311">
            <v>158</v>
          </cell>
          <cell r="E3311">
            <v>906</v>
          </cell>
          <cell r="F3311">
            <v>143148</v>
          </cell>
        </row>
        <row r="3312">
          <cell r="A3312" t="str">
            <v>VM001-04060</v>
          </cell>
          <cell r="B3312" t="str">
            <v>SQUENCE VALVE VICKER( RCT-06 )</v>
          </cell>
          <cell r="C3312" t="str">
            <v>PC</v>
          </cell>
          <cell r="D3312">
            <v>3</v>
          </cell>
          <cell r="E3312">
            <v>1376730</v>
          </cell>
          <cell r="F3312">
            <v>4130190</v>
          </cell>
        </row>
        <row r="3313">
          <cell r="A3313" t="str">
            <v>VM001-04070</v>
          </cell>
          <cell r="B3313" t="str">
            <v>SUB.PLATE + BOLT KIT( DGSM-06 )</v>
          </cell>
          <cell r="C3313" t="str">
            <v>PC</v>
          </cell>
          <cell r="D3313">
            <v>1</v>
          </cell>
          <cell r="E3313">
            <v>701714</v>
          </cell>
          <cell r="F3313">
            <v>701714</v>
          </cell>
        </row>
        <row r="3314">
          <cell r="A3314" t="str">
            <v>VM001-04080</v>
          </cell>
          <cell r="B3314" t="str">
            <v>SUCTION FLANGE SQPB( SQPB80-FLS )</v>
          </cell>
          <cell r="C3314" t="str">
            <v>PC</v>
          </cell>
          <cell r="D3314">
            <v>1</v>
          </cell>
          <cell r="E3314">
            <v>180000</v>
          </cell>
          <cell r="F3314">
            <v>180000</v>
          </cell>
        </row>
        <row r="3315">
          <cell r="A3315" t="str">
            <v>VM001-04090</v>
          </cell>
          <cell r="B3315" t="str">
            <v>SUPER V ADAPTER( 2878-V61 )</v>
          </cell>
          <cell r="C3315" t="str">
            <v>PC</v>
          </cell>
          <cell r="D3315">
            <v>7</v>
          </cell>
          <cell r="E3315">
            <v>4039868</v>
          </cell>
          <cell r="F3315">
            <v>28279076</v>
          </cell>
        </row>
        <row r="3316">
          <cell r="A3316" t="str">
            <v>VM001-04100</v>
          </cell>
          <cell r="B3316" t="str">
            <v>SUPER V PIN (V61PNA)</v>
          </cell>
          <cell r="C3316" t="str">
            <v>PC</v>
          </cell>
          <cell r="D3316">
            <v>7</v>
          </cell>
          <cell r="E3316">
            <v>315229</v>
          </cell>
          <cell r="F3316">
            <v>2206601</v>
          </cell>
        </row>
        <row r="3317">
          <cell r="A3317" t="str">
            <v>VM001-04110</v>
          </cell>
          <cell r="B3317" t="str">
            <v>SUPER V POINT (V59VY)</v>
          </cell>
          <cell r="C3317" t="str">
            <v>PC</v>
          </cell>
          <cell r="D3317">
            <v>5</v>
          </cell>
          <cell r="E3317">
            <v>990204</v>
          </cell>
          <cell r="F3317">
            <v>4951020</v>
          </cell>
        </row>
        <row r="3318">
          <cell r="A3318" t="str">
            <v>VM001-04120</v>
          </cell>
          <cell r="B3318" t="str">
            <v>SUPER V POINT (V61SD)</v>
          </cell>
          <cell r="C3318" t="str">
            <v>PC</v>
          </cell>
          <cell r="D3318">
            <v>7</v>
          </cell>
          <cell r="E3318">
            <v>1369154</v>
          </cell>
          <cell r="F3318">
            <v>9584079</v>
          </cell>
        </row>
        <row r="3319">
          <cell r="A3319" t="str">
            <v>VM001-04130</v>
          </cell>
          <cell r="B3319" t="str">
            <v xml:space="preserve"> TANDEM BRAKE KIT( 900215-00X00 )</v>
          </cell>
          <cell r="C3319" t="str">
            <v>PC</v>
          </cell>
          <cell r="D3319">
            <v>0</v>
          </cell>
          <cell r="E3319">
            <v>4420493</v>
          </cell>
          <cell r="F3319">
            <v>0</v>
          </cell>
        </row>
        <row r="3320">
          <cell r="A3320" t="str">
            <v>VM001-04140</v>
          </cell>
          <cell r="B3320" t="str">
            <v>TEE 1/2" (STEEL)</v>
          </cell>
          <cell r="C3320" t="str">
            <v>PC</v>
          </cell>
          <cell r="D3320">
            <v>14</v>
          </cell>
          <cell r="E3320">
            <v>1567</v>
          </cell>
          <cell r="F3320">
            <v>21940</v>
          </cell>
        </row>
        <row r="3321">
          <cell r="A3321" t="str">
            <v>VM001-04150</v>
          </cell>
          <cell r="B3321" t="str">
            <v>TEE 1"X1/2"X1" (STEEL)</v>
          </cell>
          <cell r="C3321" t="str">
            <v>PC</v>
          </cell>
          <cell r="D3321">
            <v>2</v>
          </cell>
          <cell r="E3321">
            <v>1</v>
          </cell>
          <cell r="F3321">
            <v>2</v>
          </cell>
        </row>
        <row r="3322">
          <cell r="A3322" t="str">
            <v>VM001-04160</v>
          </cell>
          <cell r="B3322" t="str">
            <v>TEE 5/8"( KQT 05-00-K )</v>
          </cell>
          <cell r="C3322" t="str">
            <v>PC</v>
          </cell>
          <cell r="D3322">
            <v>11</v>
          </cell>
          <cell r="E3322">
            <v>31500</v>
          </cell>
          <cell r="F3322">
            <v>346500</v>
          </cell>
        </row>
        <row r="3323">
          <cell r="A3323" t="str">
            <v>VM001-04170</v>
          </cell>
          <cell r="B3323" t="str">
            <v>TEE  3"( SGP-WELDED )</v>
          </cell>
          <cell r="C3323" t="str">
            <v>PC</v>
          </cell>
          <cell r="D3323">
            <v>2</v>
          </cell>
          <cell r="E3323">
            <v>40833</v>
          </cell>
          <cell r="F3323">
            <v>81667</v>
          </cell>
        </row>
        <row r="3324">
          <cell r="A3324" t="str">
            <v>VM001-04180</v>
          </cell>
          <cell r="B3324" t="str">
            <v>TURN TABLE VLU( VLU-200944/080 )</v>
          </cell>
          <cell r="C3324" t="str">
            <v>PC</v>
          </cell>
          <cell r="D3324">
            <v>4</v>
          </cell>
          <cell r="E3324">
            <v>791640</v>
          </cell>
          <cell r="F3324">
            <v>3166560</v>
          </cell>
        </row>
        <row r="3325">
          <cell r="A3325" t="str">
            <v>VM001-04190</v>
          </cell>
          <cell r="B3325" t="str">
            <v>TURN TABLE( DK80/10 )</v>
          </cell>
          <cell r="C3325" t="str">
            <v>PC</v>
          </cell>
          <cell r="D3325">
            <v>7</v>
          </cell>
          <cell r="E3325">
            <v>2326401</v>
          </cell>
          <cell r="F3325">
            <v>16284807</v>
          </cell>
        </row>
        <row r="3326">
          <cell r="A3326" t="str">
            <v>VM001-04210</v>
          </cell>
          <cell r="B3326" t="str">
            <v>WELD ON HOOK 10 TON</v>
          </cell>
          <cell r="C3326" t="str">
            <v>PC</v>
          </cell>
          <cell r="D3326">
            <v>10</v>
          </cell>
          <cell r="E3326">
            <v>1106366</v>
          </cell>
          <cell r="F3326">
            <v>11063658</v>
          </cell>
        </row>
        <row r="3327">
          <cell r="A3327" t="str">
            <v>VM001-04310</v>
          </cell>
          <cell r="B3327" t="str">
            <v>ADAPTER (HENSLEY 303X485)</v>
          </cell>
          <cell r="C3327" t="str">
            <v>PC</v>
          </cell>
          <cell r="D3327">
            <v>0</v>
          </cell>
          <cell r="E3327">
            <v>1</v>
          </cell>
          <cell r="F3327">
            <v>0</v>
          </cell>
        </row>
        <row r="3328">
          <cell r="A3328" t="str">
            <v>VM001-04330</v>
          </cell>
          <cell r="B3328" t="str">
            <v>TEETH (HENSLEY 485)</v>
          </cell>
          <cell r="C3328" t="str">
            <v>PC</v>
          </cell>
          <cell r="D3328">
            <v>0</v>
          </cell>
          <cell r="E3328">
            <v>1</v>
          </cell>
          <cell r="F3328">
            <v>0</v>
          </cell>
        </row>
        <row r="3329">
          <cell r="A3329" t="str">
            <v>VM001-04340</v>
          </cell>
          <cell r="B3329" t="str">
            <v>PINLOCK HENSLEY P485</v>
          </cell>
          <cell r="C3329" t="str">
            <v>PC</v>
          </cell>
          <cell r="D3329">
            <v>0</v>
          </cell>
          <cell r="E3329">
            <v>1</v>
          </cell>
          <cell r="F3329">
            <v>0</v>
          </cell>
        </row>
        <row r="3330">
          <cell r="A3330" t="str">
            <v>VM001-04350</v>
          </cell>
          <cell r="B3330" t="str">
            <v>TOPLOK HENSLEY 10-WS-HX</v>
          </cell>
          <cell r="C3330" t="str">
            <v>PC</v>
          </cell>
          <cell r="D3330">
            <v>0</v>
          </cell>
          <cell r="E3330">
            <v>1</v>
          </cell>
          <cell r="F3330">
            <v>0</v>
          </cell>
        </row>
        <row r="3331">
          <cell r="A3331" t="str">
            <v>VM001-04370</v>
          </cell>
          <cell r="B3331" t="str">
            <v>WELDMENTS HENSLEY VSM175MW</v>
          </cell>
          <cell r="C3331" t="str">
            <v>PC</v>
          </cell>
          <cell r="D3331">
            <v>0</v>
          </cell>
          <cell r="E3331">
            <v>1</v>
          </cell>
          <cell r="F3331">
            <v>0</v>
          </cell>
        </row>
        <row r="3332">
          <cell r="A3332" t="str">
            <v>VM001-04380</v>
          </cell>
          <cell r="B3332" t="str">
            <v>PIN HENSLEY VSP3</v>
          </cell>
          <cell r="C3332" t="str">
            <v>PC</v>
          </cell>
          <cell r="D3332">
            <v>0</v>
          </cell>
          <cell r="E3332">
            <v>1</v>
          </cell>
          <cell r="F3332">
            <v>0</v>
          </cell>
        </row>
        <row r="3333">
          <cell r="A3333" t="str">
            <v>VM001-04390</v>
          </cell>
          <cell r="B3333" t="str">
            <v>LOCK  (HENSLEY VSR3)</v>
          </cell>
          <cell r="C3333" t="str">
            <v>PC</v>
          </cell>
          <cell r="D3333">
            <v>0</v>
          </cell>
          <cell r="E3333">
            <v>1</v>
          </cell>
          <cell r="F3333">
            <v>0</v>
          </cell>
        </row>
        <row r="3334">
          <cell r="A3334" t="str">
            <v>VM001-04470</v>
          </cell>
          <cell r="B3334" t="str">
            <v>ADAPTOR HENSLEY 287X550</v>
          </cell>
          <cell r="C3334" t="str">
            <v>PC</v>
          </cell>
          <cell r="D3334">
            <v>0</v>
          </cell>
          <cell r="E3334">
            <v>1</v>
          </cell>
          <cell r="F3334">
            <v>0</v>
          </cell>
        </row>
        <row r="3335">
          <cell r="A3335" t="str">
            <v>VM001-04480</v>
          </cell>
          <cell r="B3335" t="str">
            <v>TEETH HENSLEY 550RC</v>
          </cell>
          <cell r="C3335" t="str">
            <v>PC</v>
          </cell>
          <cell r="D3335">
            <v>0</v>
          </cell>
          <cell r="E3335">
            <v>1</v>
          </cell>
          <cell r="F3335">
            <v>0</v>
          </cell>
        </row>
        <row r="3336">
          <cell r="A3336" t="str">
            <v>VM001-04490</v>
          </cell>
          <cell r="B3336" t="str">
            <v>PIN LOCK HENSLEY</v>
          </cell>
          <cell r="C3336" t="str">
            <v>PC</v>
          </cell>
          <cell r="D3336">
            <v>0</v>
          </cell>
          <cell r="E3336">
            <v>1</v>
          </cell>
          <cell r="F3336">
            <v>0</v>
          </cell>
        </row>
        <row r="3337">
          <cell r="A3337" t="str">
            <v>VM001-04550</v>
          </cell>
          <cell r="B3337" t="str">
            <v>TOPLOK</v>
          </cell>
          <cell r="C3337" t="str">
            <v>PC</v>
          </cell>
          <cell r="D3337">
            <v>0</v>
          </cell>
          <cell r="E3337">
            <v>1</v>
          </cell>
          <cell r="F3337">
            <v>0</v>
          </cell>
        </row>
        <row r="3338">
          <cell r="A3338" t="str">
            <v>VM001-04570</v>
          </cell>
          <cell r="B3338" t="str">
            <v>GROMET RUBBER FOR MUFFLER</v>
          </cell>
          <cell r="C3338" t="str">
            <v>PC</v>
          </cell>
          <cell r="D3338">
            <v>0</v>
          </cell>
          <cell r="E3338">
            <v>32750</v>
          </cell>
          <cell r="F3338">
            <v>0</v>
          </cell>
        </row>
        <row r="3339">
          <cell r="A3339" t="str">
            <v>VM001-04580</v>
          </cell>
          <cell r="B3339" t="str">
            <v>SARINGAN MUFLER FOR UNIT FT</v>
          </cell>
          <cell r="C3339" t="str">
            <v>PC</v>
          </cell>
          <cell r="D3339">
            <v>22</v>
          </cell>
          <cell r="E3339">
            <v>150000</v>
          </cell>
          <cell r="F3339">
            <v>3300000</v>
          </cell>
        </row>
        <row r="3340">
          <cell r="A3340" t="str">
            <v>VM001-04590</v>
          </cell>
          <cell r="B3340" t="str">
            <v>HANGER MUFLER NISAN</v>
          </cell>
          <cell r="C3340" t="str">
            <v>PC</v>
          </cell>
          <cell r="D3340">
            <v>6</v>
          </cell>
          <cell r="E3340">
            <v>35000</v>
          </cell>
          <cell r="F3340">
            <v>210000</v>
          </cell>
        </row>
        <row r="3341">
          <cell r="A3341" t="str">
            <v>VM001-04730</v>
          </cell>
          <cell r="B3341" t="str">
            <v xml:space="preserve"> WEBBING WINCH</v>
          </cell>
          <cell r="C3341" t="str">
            <v>PC</v>
          </cell>
          <cell r="D3341">
            <v>0</v>
          </cell>
          <cell r="E3341">
            <v>254035</v>
          </cell>
          <cell r="F3341">
            <v>0</v>
          </cell>
        </row>
        <row r="3342">
          <cell r="A3342" t="str">
            <v>VM001-04740</v>
          </cell>
          <cell r="B3342" t="str">
            <v>DRAW LATCHESS</v>
          </cell>
          <cell r="C3342" t="str">
            <v>PC</v>
          </cell>
          <cell r="D3342">
            <v>184</v>
          </cell>
          <cell r="E3342">
            <v>22793</v>
          </cell>
          <cell r="F3342">
            <v>4193966</v>
          </cell>
        </row>
        <row r="3343">
          <cell r="A3343" t="str">
            <v>VM001-04750</v>
          </cell>
          <cell r="B3343" t="str">
            <v>ENGSEL</v>
          </cell>
          <cell r="C3343" t="str">
            <v>PC</v>
          </cell>
          <cell r="D3343">
            <v>57</v>
          </cell>
          <cell r="E3343">
            <v>15000</v>
          </cell>
          <cell r="F3343">
            <v>855000</v>
          </cell>
        </row>
        <row r="3344">
          <cell r="A3344" t="str">
            <v>VM001-04760</v>
          </cell>
          <cell r="B3344" t="str">
            <v>PAD LOCK 6"</v>
          </cell>
          <cell r="C3344" t="str">
            <v>PC</v>
          </cell>
          <cell r="D3344">
            <v>0</v>
          </cell>
          <cell r="E3344">
            <v>10000</v>
          </cell>
          <cell r="F3344">
            <v>0</v>
          </cell>
        </row>
        <row r="3345">
          <cell r="A3345" t="str">
            <v>VM001-04820</v>
          </cell>
          <cell r="B3345" t="str">
            <v>ELBOW 3"</v>
          </cell>
          <cell r="C3345" t="str">
            <v>PC</v>
          </cell>
          <cell r="D3345">
            <v>0</v>
          </cell>
          <cell r="E3345">
            <v>1</v>
          </cell>
          <cell r="F3345">
            <v>0</v>
          </cell>
        </row>
        <row r="3346">
          <cell r="A3346" t="str">
            <v>VM001-04830</v>
          </cell>
          <cell r="B3346" t="str">
            <v>Ball Valve 2.5"</v>
          </cell>
          <cell r="C3346" t="str">
            <v>PC</v>
          </cell>
          <cell r="D3346">
            <v>0</v>
          </cell>
          <cell r="E3346">
            <v>1</v>
          </cell>
          <cell r="F3346">
            <v>0</v>
          </cell>
        </row>
        <row r="3347">
          <cell r="A3347" t="str">
            <v>VM001-04850</v>
          </cell>
          <cell r="B3347" t="str">
            <v>RUBBER RING D=50MM,T=8</v>
          </cell>
          <cell r="C3347" t="str">
            <v>PC</v>
          </cell>
          <cell r="D3347">
            <v>0</v>
          </cell>
          <cell r="E3347">
            <v>7000</v>
          </cell>
          <cell r="F3347">
            <v>0</v>
          </cell>
        </row>
        <row r="3348">
          <cell r="A3348" t="str">
            <v>VM001-04860</v>
          </cell>
          <cell r="B3348" t="str">
            <v>RUBBER RING D=30MM,T=8</v>
          </cell>
          <cell r="C3348" t="str">
            <v>PC</v>
          </cell>
          <cell r="D3348">
            <v>21</v>
          </cell>
          <cell r="E3348">
            <v>3500</v>
          </cell>
          <cell r="F3348">
            <v>73500</v>
          </cell>
        </row>
        <row r="3349">
          <cell r="A3349" t="str">
            <v>VM001-04880</v>
          </cell>
          <cell r="B3349" t="str">
            <v>Gate Valve 2.5"</v>
          </cell>
          <cell r="C3349" t="str">
            <v>PC</v>
          </cell>
          <cell r="D3349">
            <v>0</v>
          </cell>
          <cell r="E3349">
            <v>1</v>
          </cell>
          <cell r="F3349">
            <v>0</v>
          </cell>
        </row>
        <row r="3350">
          <cell r="A3350" t="str">
            <v>VM001-04900</v>
          </cell>
          <cell r="B3350" t="str">
            <v>Water Monitor</v>
          </cell>
          <cell r="C3350" t="str">
            <v>PC</v>
          </cell>
          <cell r="D3350">
            <v>0</v>
          </cell>
          <cell r="E3350">
            <v>1</v>
          </cell>
          <cell r="F3350">
            <v>0</v>
          </cell>
        </row>
        <row r="3351">
          <cell r="A3351" t="str">
            <v>VM001-04920</v>
          </cell>
          <cell r="B3351" t="str">
            <v>Reducers3"-2"</v>
          </cell>
          <cell r="C3351" t="str">
            <v>PC</v>
          </cell>
          <cell r="D3351">
            <v>2</v>
          </cell>
          <cell r="E3351">
            <v>20750</v>
          </cell>
          <cell r="F3351">
            <v>41500</v>
          </cell>
        </row>
        <row r="3352">
          <cell r="A3352" t="str">
            <v>VM001-04940</v>
          </cell>
          <cell r="B3352" t="str">
            <v>Butterfly Valve 3"</v>
          </cell>
          <cell r="C3352" t="str">
            <v>PC</v>
          </cell>
          <cell r="D3352">
            <v>1</v>
          </cell>
          <cell r="E3352">
            <v>305500</v>
          </cell>
          <cell r="F3352">
            <v>305500</v>
          </cell>
        </row>
        <row r="3353">
          <cell r="A3353" t="str">
            <v>VM001-04950</v>
          </cell>
          <cell r="B3353" t="str">
            <v>U  -  BOLT 4"</v>
          </cell>
          <cell r="C3353" t="str">
            <v>PC</v>
          </cell>
          <cell r="D3353">
            <v>58</v>
          </cell>
          <cell r="E3353">
            <v>2405</v>
          </cell>
          <cell r="F3353">
            <v>139463</v>
          </cell>
        </row>
        <row r="3354">
          <cell r="A3354" t="str">
            <v>VM001-04960</v>
          </cell>
          <cell r="B3354" t="str">
            <v>10 LEAF SPRING T. 15X100 INARA ( F/ SBD)</v>
          </cell>
          <cell r="C3354" t="str">
            <v>PC</v>
          </cell>
          <cell r="D3354">
            <v>16</v>
          </cell>
          <cell r="E3354">
            <v>998450</v>
          </cell>
          <cell r="F3354">
            <v>15975200</v>
          </cell>
        </row>
        <row r="3355">
          <cell r="A3355" t="str">
            <v>VM001-04970</v>
          </cell>
          <cell r="B3355" t="str">
            <v>PIN LOCK UPPER HENSLEY</v>
          </cell>
          <cell r="C3355" t="str">
            <v>PC</v>
          </cell>
          <cell r="D3355">
            <v>0</v>
          </cell>
          <cell r="E3355">
            <v>1</v>
          </cell>
          <cell r="F3355">
            <v>0</v>
          </cell>
        </row>
        <row r="3356">
          <cell r="A3356" t="str">
            <v>VM001-04980</v>
          </cell>
          <cell r="B3356" t="str">
            <v>WELDMENT HENSLEY</v>
          </cell>
          <cell r="C3356" t="str">
            <v>PC</v>
          </cell>
          <cell r="D3356">
            <v>0</v>
          </cell>
          <cell r="E3356">
            <v>1</v>
          </cell>
          <cell r="F3356">
            <v>0</v>
          </cell>
        </row>
        <row r="3357">
          <cell r="A3357" t="str">
            <v>VM001-04990</v>
          </cell>
          <cell r="B3357" t="str">
            <v>PIN LOCK LOWER HENSLEY</v>
          </cell>
          <cell r="C3357" t="str">
            <v>PC</v>
          </cell>
          <cell r="D3357">
            <v>0</v>
          </cell>
          <cell r="E3357">
            <v>1</v>
          </cell>
          <cell r="F3357">
            <v>0</v>
          </cell>
        </row>
        <row r="3358">
          <cell r="A3358" t="str">
            <v>VM001-05000</v>
          </cell>
          <cell r="B3358" t="str">
            <v>Sticker Bahan bakar cair mudah terbakar</v>
          </cell>
          <cell r="C3358" t="str">
            <v>PCS</v>
          </cell>
          <cell r="D3358">
            <v>0</v>
          </cell>
          <cell r="E3358">
            <v>15794</v>
          </cell>
          <cell r="F3358">
            <v>0</v>
          </cell>
        </row>
        <row r="3359">
          <cell r="A3359" t="str">
            <v>VM001-05010</v>
          </cell>
          <cell r="B3359" t="str">
            <v>Sticker Dilarang Merokok</v>
          </cell>
          <cell r="C3359" t="str">
            <v>PCS</v>
          </cell>
          <cell r="D3359">
            <v>0</v>
          </cell>
          <cell r="E3359">
            <v>11700</v>
          </cell>
          <cell r="F3359">
            <v>0</v>
          </cell>
        </row>
        <row r="3360">
          <cell r="A3360" t="str">
            <v>VM001-05020</v>
          </cell>
          <cell r="B3360" t="str">
            <v>Sticker SPBU</v>
          </cell>
          <cell r="C3360" t="str">
            <v>PCS</v>
          </cell>
          <cell r="D3360">
            <v>0</v>
          </cell>
          <cell r="E3360">
            <v>10967</v>
          </cell>
          <cell r="F3360">
            <v>0</v>
          </cell>
        </row>
        <row r="3361">
          <cell r="A3361" t="str">
            <v>VM001-05030</v>
          </cell>
          <cell r="B3361" t="str">
            <v>Sticker Premium</v>
          </cell>
          <cell r="C3361" t="str">
            <v>PCS</v>
          </cell>
          <cell r="D3361">
            <v>0</v>
          </cell>
          <cell r="E3361">
            <v>11383</v>
          </cell>
          <cell r="F3361">
            <v>0</v>
          </cell>
        </row>
        <row r="3362">
          <cell r="A3362" t="str">
            <v>VM001-05040</v>
          </cell>
          <cell r="B3362" t="str">
            <v>Sticker Solar</v>
          </cell>
          <cell r="C3362" t="str">
            <v>PCS</v>
          </cell>
          <cell r="D3362">
            <v>0</v>
          </cell>
          <cell r="E3362">
            <v>11000</v>
          </cell>
          <cell r="F3362">
            <v>0</v>
          </cell>
        </row>
        <row r="3363">
          <cell r="A3363" t="str">
            <v>VM001-05050</v>
          </cell>
          <cell r="B3363" t="str">
            <v>U BOLT CM</v>
          </cell>
          <cell r="C3363" t="str">
            <v>PC</v>
          </cell>
          <cell r="D3363">
            <v>100</v>
          </cell>
          <cell r="E3363">
            <v>35000</v>
          </cell>
          <cell r="F3363">
            <v>3500000</v>
          </cell>
        </row>
        <row r="3364">
          <cell r="A3364" t="str">
            <v>VM001-05060</v>
          </cell>
          <cell r="B3364" t="str">
            <v>R PIN  4 MM</v>
          </cell>
          <cell r="C3364" t="str">
            <v>PC</v>
          </cell>
          <cell r="D3364">
            <v>50</v>
          </cell>
          <cell r="E3364">
            <v>2500</v>
          </cell>
          <cell r="F3364">
            <v>125000</v>
          </cell>
        </row>
        <row r="3365">
          <cell r="A3365" t="str">
            <v>VM001-05070</v>
          </cell>
          <cell r="B3365" t="str">
            <v>STUD BOLT STAINLESS  M 12 X 1000</v>
          </cell>
          <cell r="C3365" t="str">
            <v>PC</v>
          </cell>
          <cell r="D3365">
            <v>1</v>
          </cell>
          <cell r="E3365">
            <v>54600</v>
          </cell>
          <cell r="F3365">
            <v>54600</v>
          </cell>
        </row>
        <row r="3366">
          <cell r="A3366" t="str">
            <v>VM001-05080</v>
          </cell>
          <cell r="B3366" t="str">
            <v>STUD BOLT STAINLESS  M 16 X 1000</v>
          </cell>
          <cell r="C3366" t="str">
            <v>PC</v>
          </cell>
          <cell r="D3366">
            <v>2</v>
          </cell>
          <cell r="E3366">
            <v>99000</v>
          </cell>
          <cell r="F3366">
            <v>198000</v>
          </cell>
        </row>
        <row r="3367">
          <cell r="A3367" t="str">
            <v>VM001-05090</v>
          </cell>
          <cell r="B3367" t="str">
            <v>STUD BOLT  M 20 X 1000</v>
          </cell>
          <cell r="C3367" t="str">
            <v>PC</v>
          </cell>
          <cell r="D3367">
            <v>2</v>
          </cell>
          <cell r="E3367">
            <v>30000</v>
          </cell>
          <cell r="F3367">
            <v>60000</v>
          </cell>
        </row>
        <row r="3368">
          <cell r="A3368" t="str">
            <v>VM001-05100</v>
          </cell>
          <cell r="B3368" t="str">
            <v>STUD BOLT STAINLESS  M 8 X 1000</v>
          </cell>
          <cell r="C3368" t="str">
            <v>PC</v>
          </cell>
          <cell r="D3368">
            <v>2</v>
          </cell>
          <cell r="E3368">
            <v>26000</v>
          </cell>
          <cell r="F3368">
            <v>52000</v>
          </cell>
        </row>
        <row r="3369">
          <cell r="A3369" t="str">
            <v>VM001-0660</v>
          </cell>
          <cell r="B3369" t="str">
            <v>SWING CHECK VALVE 2"</v>
          </cell>
          <cell r="C3369" t="str">
            <v>PC</v>
          </cell>
          <cell r="D3369">
            <v>0</v>
          </cell>
          <cell r="E3369">
            <v>759000</v>
          </cell>
          <cell r="F3369">
            <v>0</v>
          </cell>
        </row>
        <row r="3370">
          <cell r="A3370" t="str">
            <v>VM001-T0000</v>
          </cell>
          <cell r="B3370" t="str">
            <v>LOGO PATRIA</v>
          </cell>
          <cell r="C3370" t="str">
            <v>PC</v>
          </cell>
          <cell r="D3370">
            <v>0</v>
          </cell>
          <cell r="E3370">
            <v>1</v>
          </cell>
          <cell r="F3370">
            <v>0</v>
          </cell>
        </row>
        <row r="3371">
          <cell r="A3371" t="str">
            <v>VM001-T0010</v>
          </cell>
          <cell r="B3371" t="str">
            <v>HURUF " P "</v>
          </cell>
          <cell r="C3371" t="str">
            <v>PC</v>
          </cell>
          <cell r="D3371">
            <v>32</v>
          </cell>
          <cell r="E3371">
            <v>2100</v>
          </cell>
          <cell r="F3371">
            <v>67200</v>
          </cell>
        </row>
        <row r="3372">
          <cell r="A3372" t="str">
            <v>VM001-T0020</v>
          </cell>
          <cell r="B3372" t="str">
            <v>LOGO PATRIA</v>
          </cell>
          <cell r="C3372" t="str">
            <v>PC</v>
          </cell>
          <cell r="D3372">
            <v>68</v>
          </cell>
          <cell r="E3372">
            <v>5733</v>
          </cell>
          <cell r="F3372">
            <v>389834</v>
          </cell>
        </row>
        <row r="3373">
          <cell r="A3373" t="str">
            <v>VM001-T0030</v>
          </cell>
          <cell r="B3373" t="str">
            <v>HUFUF " T "</v>
          </cell>
          <cell r="C3373" t="str">
            <v>PC</v>
          </cell>
          <cell r="D3373">
            <v>15</v>
          </cell>
          <cell r="E3373">
            <v>1755</v>
          </cell>
          <cell r="F3373">
            <v>26325</v>
          </cell>
        </row>
        <row r="3374">
          <cell r="A3374" t="str">
            <v>VM001-T0030-A</v>
          </cell>
          <cell r="B3374" t="str">
            <v>HURUF A</v>
          </cell>
          <cell r="C3374" t="str">
            <v>PC</v>
          </cell>
          <cell r="D3374">
            <v>6</v>
          </cell>
          <cell r="E3374">
            <v>3000</v>
          </cell>
          <cell r="F3374">
            <v>18000</v>
          </cell>
        </row>
        <row r="3375">
          <cell r="A3375" t="str">
            <v>VM001-T0030-I</v>
          </cell>
          <cell r="B3375" t="str">
            <v>HURUF I</v>
          </cell>
          <cell r="C3375" t="str">
            <v>PC</v>
          </cell>
          <cell r="D3375">
            <v>2</v>
          </cell>
          <cell r="E3375">
            <v>1050</v>
          </cell>
          <cell r="F3375">
            <v>2100</v>
          </cell>
        </row>
        <row r="3376">
          <cell r="A3376" t="str">
            <v>VM001-T0030-O</v>
          </cell>
          <cell r="B3376" t="str">
            <v>HURUF  "TITIK"</v>
          </cell>
          <cell r="C3376" t="str">
            <v>PC</v>
          </cell>
          <cell r="D3376">
            <v>2</v>
          </cell>
          <cell r="E3376">
            <v>450</v>
          </cell>
          <cell r="F3376">
            <v>900</v>
          </cell>
        </row>
        <row r="3377">
          <cell r="A3377" t="str">
            <v>VM001-T0030-P</v>
          </cell>
          <cell r="B3377" t="str">
            <v>HURUF P</v>
          </cell>
          <cell r="C3377" t="str">
            <v>PC</v>
          </cell>
          <cell r="D3377">
            <v>3</v>
          </cell>
          <cell r="E3377">
            <v>3000</v>
          </cell>
          <cell r="F3377">
            <v>9000</v>
          </cell>
        </row>
        <row r="3378">
          <cell r="A3378" t="str">
            <v>VM001-T0030-R</v>
          </cell>
          <cell r="B3378" t="str">
            <v>HURUF R</v>
          </cell>
          <cell r="C3378" t="str">
            <v>PC</v>
          </cell>
          <cell r="D3378">
            <v>2</v>
          </cell>
          <cell r="E3378">
            <v>3000</v>
          </cell>
          <cell r="F3378">
            <v>6000</v>
          </cell>
        </row>
        <row r="3379">
          <cell r="A3379" t="str">
            <v>VM001-T0030-T</v>
          </cell>
          <cell r="B3379" t="str">
            <v>HURUF T</v>
          </cell>
          <cell r="C3379" t="str">
            <v>PC</v>
          </cell>
          <cell r="D3379">
            <v>3</v>
          </cell>
          <cell r="E3379">
            <v>2700</v>
          </cell>
          <cell r="F3379">
            <v>8100</v>
          </cell>
        </row>
        <row r="3380">
          <cell r="A3380" t="str">
            <v>VM001-T0040</v>
          </cell>
          <cell r="B3380" t="str">
            <v>HURUF " R "</v>
          </cell>
          <cell r="C3380" t="str">
            <v>PC</v>
          </cell>
          <cell r="D3380">
            <v>25</v>
          </cell>
          <cell r="E3380">
            <v>2295</v>
          </cell>
          <cell r="F3380">
            <v>57375</v>
          </cell>
        </row>
        <row r="3381">
          <cell r="A3381" t="str">
            <v>VM001-T0050</v>
          </cell>
          <cell r="B3381" t="str">
            <v>HURUF " I "</v>
          </cell>
          <cell r="C3381" t="str">
            <v>PC</v>
          </cell>
          <cell r="D3381">
            <v>24</v>
          </cell>
          <cell r="E3381">
            <v>1260</v>
          </cell>
          <cell r="F3381">
            <v>30240</v>
          </cell>
        </row>
        <row r="3382">
          <cell r="A3382" t="str">
            <v>VM001-T0060</v>
          </cell>
          <cell r="B3382" t="str">
            <v>HURUF  "TITIK"</v>
          </cell>
          <cell r="C3382" t="str">
            <v>PC</v>
          </cell>
          <cell r="D3382">
            <v>16</v>
          </cell>
          <cell r="E3382">
            <v>780</v>
          </cell>
          <cell r="F3382">
            <v>12480</v>
          </cell>
        </row>
        <row r="3383">
          <cell r="A3383" t="str">
            <v>VM020-50830</v>
          </cell>
          <cell r="B3383" t="str">
            <v>BOLT TANAM M.8X30</v>
          </cell>
          <cell r="C3383" t="str">
            <v>PC</v>
          </cell>
          <cell r="D3383">
            <v>16</v>
          </cell>
          <cell r="E3383">
            <v>630</v>
          </cell>
          <cell r="F3383">
            <v>10080</v>
          </cell>
        </row>
        <row r="3384">
          <cell r="A3384" t="str">
            <v>VM030-50830</v>
          </cell>
          <cell r="B3384" t="str">
            <v>BOLT CARTAGEN M.8X30</v>
          </cell>
          <cell r="C3384" t="str">
            <v>PC</v>
          </cell>
          <cell r="D3384">
            <v>1000</v>
          </cell>
          <cell r="E3384">
            <v>1168</v>
          </cell>
          <cell r="F3384">
            <v>1168000</v>
          </cell>
        </row>
        <row r="3385">
          <cell r="A3385" t="str">
            <v>VM040-00415</v>
          </cell>
          <cell r="B3385" t="str">
            <v>BOLT SCREW M 4X15</v>
          </cell>
          <cell r="C3385" t="str">
            <v>PC</v>
          </cell>
          <cell r="D3385">
            <v>890</v>
          </cell>
          <cell r="E3385">
            <v>14</v>
          </cell>
          <cell r="F3385">
            <v>12460</v>
          </cell>
        </row>
        <row r="3386">
          <cell r="A3386" t="str">
            <v>VM040-00450</v>
          </cell>
          <cell r="B3386" t="str">
            <v>BOLT SCREW JF M4X50</v>
          </cell>
          <cell r="C3386" t="str">
            <v>PC</v>
          </cell>
          <cell r="D3386">
            <v>1000</v>
          </cell>
          <cell r="E3386">
            <v>35</v>
          </cell>
          <cell r="F3386">
            <v>35000</v>
          </cell>
        </row>
        <row r="3387">
          <cell r="A3387" t="str">
            <v>VM040-00530</v>
          </cell>
          <cell r="B3387" t="str">
            <v>BOLT SCREW M 5X30</v>
          </cell>
          <cell r="C3387" t="str">
            <v>PC</v>
          </cell>
          <cell r="D3387">
            <v>815</v>
          </cell>
          <cell r="E3387">
            <v>31</v>
          </cell>
          <cell r="F3387">
            <v>25265</v>
          </cell>
        </row>
        <row r="3388">
          <cell r="A3388" t="str">
            <v>VMBS0-11208</v>
          </cell>
          <cell r="B3388" t="str">
            <v xml:space="preserve"> TYRE 11X20X18PRVL-BS</v>
          </cell>
          <cell r="C3388" t="str">
            <v>PC</v>
          </cell>
          <cell r="D3388">
            <v>0</v>
          </cell>
          <cell r="E3388">
            <v>2175000</v>
          </cell>
          <cell r="F3388">
            <v>0</v>
          </cell>
        </row>
        <row r="3389">
          <cell r="A3389" t="str">
            <v>VMBS0-12208</v>
          </cell>
          <cell r="B3389" t="str">
            <v>TYRE ASSY 12.00xR20 18PR - B.STONE</v>
          </cell>
          <cell r="C3389" t="str">
            <v>PC</v>
          </cell>
          <cell r="D3389">
            <v>0</v>
          </cell>
          <cell r="E3389">
            <v>0</v>
          </cell>
          <cell r="F3389">
            <v>0</v>
          </cell>
        </row>
        <row r="3390">
          <cell r="A3390" t="str">
            <v>VMBS0-1220A</v>
          </cell>
          <cell r="B3390" t="str">
            <v xml:space="preserve"> TYRE 12X20-L317TS-BS</v>
          </cell>
          <cell r="C3390" t="str">
            <v>PC</v>
          </cell>
          <cell r="D3390">
            <v>0</v>
          </cell>
          <cell r="E3390">
            <v>4371840</v>
          </cell>
          <cell r="F3390">
            <v>0</v>
          </cell>
        </row>
        <row r="3391">
          <cell r="A3391" t="str">
            <v>VMBS0-12248</v>
          </cell>
          <cell r="B3391" t="str">
            <v xml:space="preserve"> TYRE 12X24-18-VLGN</v>
          </cell>
          <cell r="C3391" t="str">
            <v>PC</v>
          </cell>
          <cell r="D3391">
            <v>0</v>
          </cell>
          <cell r="E3391">
            <v>2071500</v>
          </cell>
          <cell r="F3391">
            <v>0</v>
          </cell>
        </row>
        <row r="3392">
          <cell r="A3392" t="str">
            <v>VMBS0-1224T</v>
          </cell>
          <cell r="B3392" t="str">
            <v xml:space="preserve"> TUBE 12.00X24 B.STON</v>
          </cell>
          <cell r="C3392" t="str">
            <v>PC</v>
          </cell>
          <cell r="D3392">
            <v>4</v>
          </cell>
          <cell r="E3392">
            <v>3869667</v>
          </cell>
          <cell r="F3392">
            <v>15478666</v>
          </cell>
        </row>
        <row r="3393">
          <cell r="A3393" t="str">
            <v>VMBS0-20180</v>
          </cell>
          <cell r="B3393" t="str">
            <v xml:space="preserve"> TYR 12.00X20-L301 BS</v>
          </cell>
          <cell r="C3393" t="str">
            <v>PC</v>
          </cell>
          <cell r="D3393">
            <v>0</v>
          </cell>
          <cell r="E3393">
            <v>3369960</v>
          </cell>
          <cell r="F3393">
            <v>0</v>
          </cell>
        </row>
        <row r="3394">
          <cell r="A3394" t="str">
            <v>VMBS0-24180</v>
          </cell>
          <cell r="B3394" t="str">
            <v xml:space="preserve"> TYRE ASSY 12.00X24-18PR (B.STONE)</v>
          </cell>
          <cell r="C3394" t="str">
            <v>PC</v>
          </cell>
          <cell r="D3394">
            <v>8</v>
          </cell>
          <cell r="E3394">
            <v>3982000</v>
          </cell>
          <cell r="F3394">
            <v>31856000</v>
          </cell>
        </row>
        <row r="3395">
          <cell r="A3395" t="str">
            <v>VMFW0-40000</v>
          </cell>
          <cell r="B3395" t="str">
            <v>HOLLAND FIFTH WHEEL 3.5"0) DOUBLE OSC</v>
          </cell>
          <cell r="C3395" t="str">
            <v>PC</v>
          </cell>
          <cell r="D3395">
            <v>1</v>
          </cell>
          <cell r="E3395">
            <v>27742134</v>
          </cell>
          <cell r="F3395">
            <v>27742134</v>
          </cell>
        </row>
        <row r="3396">
          <cell r="A3396" t="str">
            <v>VMGT0-102016</v>
          </cell>
          <cell r="B3396" t="str">
            <v xml:space="preserve"> TYRE ASSY BRIDGE STN</v>
          </cell>
          <cell r="C3396" t="str">
            <v>PC</v>
          </cell>
          <cell r="D3396">
            <v>0</v>
          </cell>
          <cell r="E3396">
            <v>1415000</v>
          </cell>
          <cell r="F3396">
            <v>0</v>
          </cell>
        </row>
        <row r="3397">
          <cell r="A3397" t="str">
            <v>VMGT0-10204</v>
          </cell>
          <cell r="B3397" t="str">
            <v>TYRE ASSY 10.00X20-14PR G.TUNGGAL</v>
          </cell>
          <cell r="C3397" t="str">
            <v>PC</v>
          </cell>
          <cell r="D3397">
            <v>1</v>
          </cell>
          <cell r="E3397">
            <v>632100</v>
          </cell>
          <cell r="F3397">
            <v>632100</v>
          </cell>
        </row>
        <row r="3398">
          <cell r="A3398" t="str">
            <v>VMGT0-11204</v>
          </cell>
          <cell r="B3398" t="str">
            <v>TYRE ASSY 11.00X20-14PR G.TUNGGAL</v>
          </cell>
          <cell r="C3398" t="str">
            <v>PC</v>
          </cell>
          <cell r="D3398">
            <v>1</v>
          </cell>
          <cell r="E3398">
            <v>628620</v>
          </cell>
          <cell r="F3398">
            <v>628620</v>
          </cell>
        </row>
        <row r="3399">
          <cell r="A3399" t="str">
            <v>VMGT0-11206</v>
          </cell>
          <cell r="B3399" t="str">
            <v xml:space="preserve"> TIRE ASSY G.T</v>
          </cell>
          <cell r="C3399" t="str">
            <v>PC</v>
          </cell>
          <cell r="D3399">
            <v>0</v>
          </cell>
          <cell r="E3399">
            <v>1105100</v>
          </cell>
          <cell r="F3399">
            <v>0</v>
          </cell>
        </row>
        <row r="3400">
          <cell r="A3400" t="str">
            <v>VMGT0-12208</v>
          </cell>
          <cell r="B3400" t="str">
            <v xml:space="preserve"> TYRE ASSY 12.00X20-18PR G.TUNGGAL</v>
          </cell>
          <cell r="C3400" t="str">
            <v>PC</v>
          </cell>
          <cell r="D3400">
            <v>0</v>
          </cell>
          <cell r="E3400">
            <v>1351900</v>
          </cell>
          <cell r="F3400">
            <v>0</v>
          </cell>
        </row>
        <row r="3401">
          <cell r="A3401" t="str">
            <v>VMGT0-20140</v>
          </cell>
          <cell r="B3401" t="str">
            <v>TYRE ASSY 10.00X20-14PR (G.TUNGGAL)</v>
          </cell>
          <cell r="C3401" t="str">
            <v>PC</v>
          </cell>
          <cell r="D3401">
            <v>4</v>
          </cell>
          <cell r="E3401">
            <v>207900</v>
          </cell>
          <cell r="F3401">
            <v>831600</v>
          </cell>
        </row>
        <row r="3402">
          <cell r="A3402" t="str">
            <v>VMGY0-30100</v>
          </cell>
          <cell r="B3402" t="str">
            <v>TYRE ASSY 18.4 X 30 - 10 PR TYPE TSG-GY</v>
          </cell>
          <cell r="C3402" t="str">
            <v>PC</v>
          </cell>
          <cell r="D3402">
            <v>8</v>
          </cell>
          <cell r="E3402">
            <v>2775000</v>
          </cell>
          <cell r="F3402">
            <v>22200000</v>
          </cell>
        </row>
        <row r="3403">
          <cell r="A3403" t="str">
            <v>VMMC0-14240</v>
          </cell>
          <cell r="B3403" t="str">
            <v>TYRE ASSY 14.00X24-XGC170E (MICHELLIN)</v>
          </cell>
          <cell r="C3403" t="str">
            <v>PC</v>
          </cell>
          <cell r="D3403">
            <v>9</v>
          </cell>
          <cell r="E3403">
            <v>3826656</v>
          </cell>
          <cell r="F3403">
            <v>34439904</v>
          </cell>
        </row>
        <row r="3404">
          <cell r="A3404" t="str">
            <v>VMSW0-00000</v>
          </cell>
          <cell r="B3404" t="str">
            <v xml:space="preserve"> 5-WHEEL BOOMERANG (BE190)</v>
          </cell>
          <cell r="C3404" t="str">
            <v>PC</v>
          </cell>
          <cell r="D3404">
            <v>1</v>
          </cell>
          <cell r="E3404">
            <v>22330155</v>
          </cell>
          <cell r="F3404">
            <v>22330155</v>
          </cell>
        </row>
        <row r="3405">
          <cell r="A3405" t="str">
            <v>VMSW0-00001</v>
          </cell>
          <cell r="B3405" t="str">
            <v xml:space="preserve"> 5-WHEEL BE190 D.OSIL</v>
          </cell>
          <cell r="C3405" t="str">
            <v>PC</v>
          </cell>
          <cell r="D3405">
            <v>0</v>
          </cell>
          <cell r="E3405">
            <v>34824683</v>
          </cell>
          <cell r="F3405">
            <v>0</v>
          </cell>
        </row>
        <row r="3406">
          <cell r="A3406" t="str">
            <v>VMTG0-18240</v>
          </cell>
          <cell r="B3406" t="str">
            <v>TYRE ASSY 12.00X24-18 PR (G.TUNGGAL)</v>
          </cell>
          <cell r="C3406" t="str">
            <v>PC</v>
          </cell>
          <cell r="D3406">
            <v>10</v>
          </cell>
          <cell r="E3406">
            <v>831660</v>
          </cell>
          <cell r="F3406">
            <v>8316600</v>
          </cell>
        </row>
        <row r="3407">
          <cell r="A3407" t="str">
            <v>VMTG0-20160</v>
          </cell>
          <cell r="B3407" t="str">
            <v>TYRE (SUPER GRIP) 11.00X20-16PR - G.TUNG</v>
          </cell>
          <cell r="C3407" t="str">
            <v>PC</v>
          </cell>
          <cell r="D3407">
            <v>0</v>
          </cell>
          <cell r="E3407">
            <v>1105100</v>
          </cell>
          <cell r="F3407">
            <v>0</v>
          </cell>
        </row>
        <row r="3408">
          <cell r="A3408" t="str">
            <v>VMWR1-08200</v>
          </cell>
          <cell r="B3408" t="str">
            <v>WHEEL RIMS 7,5X20-8-ISO</v>
          </cell>
          <cell r="C3408" t="str">
            <v>PC</v>
          </cell>
          <cell r="D3408">
            <v>123</v>
          </cell>
          <cell r="E3408">
            <v>218313</v>
          </cell>
          <cell r="F3408">
            <v>26852499</v>
          </cell>
        </row>
        <row r="3409">
          <cell r="A3409" t="str">
            <v>VMWR1-10240</v>
          </cell>
          <cell r="B3409" t="str">
            <v>WHEEL RIMS 8,5X24-10-ISO</v>
          </cell>
          <cell r="C3409" t="str">
            <v>PC</v>
          </cell>
          <cell r="D3409">
            <v>317</v>
          </cell>
          <cell r="E3409">
            <v>886624</v>
          </cell>
          <cell r="F3409">
            <v>281059920</v>
          </cell>
        </row>
        <row r="3410">
          <cell r="A3410" t="str">
            <v>VMWR1-18300</v>
          </cell>
          <cell r="B3410" t="str">
            <v>WHEEL RIMS 18.4 X 30</v>
          </cell>
          <cell r="C3410" t="str">
            <v>PC</v>
          </cell>
          <cell r="D3410">
            <v>8</v>
          </cell>
          <cell r="E3410">
            <v>3900000</v>
          </cell>
          <cell r="F3410">
            <v>31200000</v>
          </cell>
        </row>
        <row r="3411">
          <cell r="A3411" t="str">
            <v>VMX12-S4000</v>
          </cell>
          <cell r="B3411" t="str">
            <v>YTE 75 TANDEM SUSPENSION OVER SLUNG</v>
          </cell>
          <cell r="C3411" t="str">
            <v>PC</v>
          </cell>
          <cell r="D3411">
            <v>0</v>
          </cell>
          <cell r="E3411">
            <v>4911859</v>
          </cell>
          <cell r="F3411">
            <v>0</v>
          </cell>
        </row>
        <row r="3412">
          <cell r="A3412" t="str">
            <v>VMX12-S5000</v>
          </cell>
          <cell r="B3412" t="str">
            <v>YTE 75 3 AXLE SUSPENSION OVER SLUNG</v>
          </cell>
          <cell r="C3412" t="str">
            <v>PC</v>
          </cell>
          <cell r="D3412">
            <v>0</v>
          </cell>
          <cell r="E3412">
            <v>6168125</v>
          </cell>
          <cell r="F3412">
            <v>0</v>
          </cell>
        </row>
        <row r="3413">
          <cell r="A3413" t="str">
            <v>VMX12-X4000</v>
          </cell>
          <cell r="B3413" t="str">
            <v xml:space="preserve"> AXLE YORK 2021 - 12 T , WTC 1850</v>
          </cell>
          <cell r="C3413" t="str">
            <v>PC</v>
          </cell>
          <cell r="D3413">
            <v>0</v>
          </cell>
          <cell r="E3413">
            <v>6673685</v>
          </cell>
          <cell r="F3413">
            <v>0</v>
          </cell>
        </row>
        <row r="3414">
          <cell r="A3414" t="str">
            <v>VMX13-S00A0</v>
          </cell>
          <cell r="B3414" t="str">
            <v>WASHER RADIUS ROD</v>
          </cell>
          <cell r="C3414" t="str">
            <v>PC</v>
          </cell>
          <cell r="D3414">
            <v>24</v>
          </cell>
          <cell r="E3414">
            <v>12351</v>
          </cell>
          <cell r="F3414">
            <v>296424</v>
          </cell>
        </row>
        <row r="3415">
          <cell r="A3415" t="str">
            <v>VMX13-S00C0</v>
          </cell>
          <cell r="B3415" t="str">
            <v>PIN Radius</v>
          </cell>
          <cell r="C3415" t="str">
            <v>PC</v>
          </cell>
          <cell r="D3415">
            <v>24</v>
          </cell>
          <cell r="E3415">
            <v>80464</v>
          </cell>
          <cell r="F3415">
            <v>1931143</v>
          </cell>
        </row>
        <row r="3416">
          <cell r="A3416" t="str">
            <v>VMX20-0S400</v>
          </cell>
          <cell r="B3416" t="str">
            <v>FIXED RADIUS ROD,FR</v>
          </cell>
          <cell r="C3416" t="str">
            <v>PC</v>
          </cell>
          <cell r="D3416">
            <v>1</v>
          </cell>
          <cell r="E3416">
            <v>204930</v>
          </cell>
          <cell r="F3416">
            <v>204930</v>
          </cell>
        </row>
        <row r="3417">
          <cell r="A3417" t="str">
            <v>VMX20-0S710</v>
          </cell>
          <cell r="B3417" t="str">
            <v>BUSHING</v>
          </cell>
          <cell r="C3417" t="str">
            <v>PC</v>
          </cell>
          <cell r="D3417">
            <v>32</v>
          </cell>
          <cell r="E3417">
            <v>65422</v>
          </cell>
          <cell r="F3417">
            <v>2093509</v>
          </cell>
        </row>
        <row r="3418">
          <cell r="A3418" t="str">
            <v>VMX20-S0710</v>
          </cell>
          <cell r="B3418" t="str">
            <v>POLY BUSH</v>
          </cell>
          <cell r="C3418" t="str">
            <v>PC</v>
          </cell>
          <cell r="D3418">
            <v>0</v>
          </cell>
          <cell r="E3418">
            <v>0</v>
          </cell>
          <cell r="F3418">
            <v>0</v>
          </cell>
        </row>
        <row r="3419">
          <cell r="A3419" t="str">
            <v>VMX22-10000</v>
          </cell>
          <cell r="B3419" t="str">
            <v>TWIN AXLE BOGIE BPW</v>
          </cell>
          <cell r="C3419" t="str">
            <v>PC</v>
          </cell>
          <cell r="D3419">
            <v>0</v>
          </cell>
          <cell r="E3419">
            <v>59336044</v>
          </cell>
          <cell r="F3419">
            <v>0</v>
          </cell>
        </row>
        <row r="3420">
          <cell r="A3420" t="str">
            <v>VMX36-10000</v>
          </cell>
          <cell r="B3420" t="str">
            <v>TWIN AXLE BOGIE BPW</v>
          </cell>
          <cell r="C3420" t="str">
            <v>PC</v>
          </cell>
          <cell r="D3420">
            <v>2</v>
          </cell>
          <cell r="E3420">
            <v>52960620</v>
          </cell>
          <cell r="F3420">
            <v>105921240</v>
          </cell>
        </row>
        <row r="3421">
          <cell r="A3421" t="str">
            <v>VMX50-10220</v>
          </cell>
          <cell r="B3421" t="str">
            <v>WHEEL NUT( 502917 )</v>
          </cell>
          <cell r="C3421" t="str">
            <v>PC</v>
          </cell>
          <cell r="D3421">
            <v>6</v>
          </cell>
          <cell r="E3421">
            <v>3930</v>
          </cell>
          <cell r="F3421">
            <v>23580</v>
          </cell>
        </row>
        <row r="3422">
          <cell r="A3422" t="str">
            <v>VMX53-10000</v>
          </cell>
          <cell r="B3422" t="str">
            <v>AXLE YORK TYPE 8003</v>
          </cell>
          <cell r="C3422" t="str">
            <v>PC</v>
          </cell>
          <cell r="D3422">
            <v>11</v>
          </cell>
          <cell r="E3422">
            <v>2207088</v>
          </cell>
          <cell r="F3422">
            <v>24277968</v>
          </cell>
        </row>
        <row r="3423">
          <cell r="A3423" t="str">
            <v>VP001-00070</v>
          </cell>
          <cell r="B3423" t="str">
            <v xml:space="preserve"> HOSE IVG 2" </v>
          </cell>
          <cell r="C3423" t="str">
            <v>PC</v>
          </cell>
          <cell r="D3423">
            <v>0</v>
          </cell>
          <cell r="E3423">
            <v>232000</v>
          </cell>
          <cell r="F3423">
            <v>0</v>
          </cell>
        </row>
        <row r="3424">
          <cell r="A3424" t="str">
            <v>VP001-00080</v>
          </cell>
          <cell r="B3424" t="str">
            <v xml:space="preserve"> PRES. GAUGE 0.3KG</v>
          </cell>
          <cell r="C3424" t="str">
            <v>PC</v>
          </cell>
          <cell r="D3424">
            <v>0</v>
          </cell>
          <cell r="E3424">
            <v>195000</v>
          </cell>
          <cell r="F3424">
            <v>0</v>
          </cell>
        </row>
        <row r="3425">
          <cell r="A3425" t="str">
            <v>VP001-00100</v>
          </cell>
          <cell r="B3425" t="str">
            <v>CHECK VALVE 1" KITZ</v>
          </cell>
          <cell r="C3425" t="str">
            <v>PC</v>
          </cell>
          <cell r="D3425">
            <v>2</v>
          </cell>
          <cell r="E3425">
            <v>175500</v>
          </cell>
          <cell r="F3425">
            <v>351000</v>
          </cell>
        </row>
        <row r="3426">
          <cell r="A3426" t="str">
            <v>VP001-00140</v>
          </cell>
          <cell r="B3426" t="str">
            <v xml:space="preserve"> BALL VALVE 1 1/2" </v>
          </cell>
          <cell r="C3426" t="str">
            <v>PC</v>
          </cell>
          <cell r="D3426">
            <v>2</v>
          </cell>
          <cell r="E3426">
            <v>219500</v>
          </cell>
          <cell r="F3426">
            <v>439000</v>
          </cell>
        </row>
        <row r="3427">
          <cell r="A3427" t="str">
            <v>VP001-00150</v>
          </cell>
          <cell r="B3427" t="str">
            <v xml:space="preserve"> IVG HOSE 1 1/2" </v>
          </cell>
          <cell r="C3427" t="str">
            <v>PC</v>
          </cell>
          <cell r="D3427">
            <v>0</v>
          </cell>
          <cell r="E3427">
            <v>195000</v>
          </cell>
          <cell r="F3427">
            <v>0</v>
          </cell>
        </row>
        <row r="3428">
          <cell r="A3428" t="str">
            <v>VP001-00170</v>
          </cell>
          <cell r="B3428" t="str">
            <v xml:space="preserve"> HOSE CLAMP 1 1/2" </v>
          </cell>
          <cell r="C3428" t="str">
            <v>PC</v>
          </cell>
          <cell r="D3428">
            <v>0</v>
          </cell>
          <cell r="E3428">
            <v>7100</v>
          </cell>
          <cell r="F3428">
            <v>0</v>
          </cell>
        </row>
        <row r="3429">
          <cell r="A3429" t="str">
            <v>VP001-00370</v>
          </cell>
          <cell r="B3429" t="str">
            <v>BALL VALVE 3" (KITZ)</v>
          </cell>
          <cell r="C3429" t="str">
            <v>PC</v>
          </cell>
          <cell r="D3429">
            <v>0</v>
          </cell>
          <cell r="E3429">
            <v>1067000</v>
          </cell>
          <cell r="F3429">
            <v>0</v>
          </cell>
        </row>
        <row r="3430">
          <cell r="A3430" t="str">
            <v>VP001-00590</v>
          </cell>
          <cell r="B3430" t="str">
            <v>CAP 4"</v>
          </cell>
          <cell r="C3430" t="str">
            <v>PC</v>
          </cell>
          <cell r="D3430">
            <v>0</v>
          </cell>
          <cell r="E3430">
            <v>0</v>
          </cell>
          <cell r="F3430">
            <v>0</v>
          </cell>
        </row>
        <row r="3431">
          <cell r="A3431" t="str">
            <v>VP001-00600</v>
          </cell>
          <cell r="B3431" t="str">
            <v>CLAMP</v>
          </cell>
          <cell r="C3431" t="str">
            <v>PC</v>
          </cell>
          <cell r="D3431">
            <v>0</v>
          </cell>
          <cell r="E3431">
            <v>0</v>
          </cell>
          <cell r="F3431">
            <v>0</v>
          </cell>
        </row>
        <row r="3432">
          <cell r="A3432" t="str">
            <v>VP001-00670</v>
          </cell>
          <cell r="B3432" t="str">
            <v>AIR RUBBER HOSE 3/8"</v>
          </cell>
          <cell r="C3432" t="str">
            <v>PC</v>
          </cell>
          <cell r="D3432">
            <v>170</v>
          </cell>
          <cell r="E3432">
            <v>8400</v>
          </cell>
          <cell r="F3432">
            <v>1428000</v>
          </cell>
        </row>
        <row r="3433">
          <cell r="A3433" t="str">
            <v>VP001-00680</v>
          </cell>
          <cell r="B3433" t="str">
            <v>Rubber Hose 1/2"</v>
          </cell>
          <cell r="C3433" t="str">
            <v>PC</v>
          </cell>
          <cell r="D3433">
            <v>0</v>
          </cell>
          <cell r="E3433">
            <v>17090</v>
          </cell>
          <cell r="F3433">
            <v>0</v>
          </cell>
        </row>
        <row r="3434">
          <cell r="A3434" t="str">
            <v>VP001-01130</v>
          </cell>
          <cell r="B3434" t="str">
            <v>DOUBLE NIPPLE 1"X1"</v>
          </cell>
          <cell r="C3434" t="str">
            <v>PC</v>
          </cell>
          <cell r="D3434">
            <v>31</v>
          </cell>
          <cell r="E3434">
            <v>5400</v>
          </cell>
          <cell r="F3434">
            <v>167400</v>
          </cell>
        </row>
        <row r="3435">
          <cell r="A3435" t="str">
            <v>VP001-01290</v>
          </cell>
          <cell r="B3435" t="str">
            <v>DOUBLE NIPPLE 1"X1 1/2"</v>
          </cell>
          <cell r="C3435" t="str">
            <v>PC</v>
          </cell>
          <cell r="D3435">
            <v>30</v>
          </cell>
          <cell r="E3435">
            <v>6000</v>
          </cell>
          <cell r="F3435">
            <v>180000</v>
          </cell>
        </row>
        <row r="3436">
          <cell r="A3436" t="str">
            <v>VP001-01370</v>
          </cell>
          <cell r="B3436" t="str">
            <v>DOUBLE NIPPLE 3/8"X1</v>
          </cell>
          <cell r="C3436" t="str">
            <v>PC</v>
          </cell>
          <cell r="D3436">
            <v>89</v>
          </cell>
          <cell r="E3436">
            <v>1200</v>
          </cell>
          <cell r="F3436">
            <v>106800</v>
          </cell>
        </row>
        <row r="3437">
          <cell r="A3437" t="str">
            <v>VP001-01390</v>
          </cell>
          <cell r="B3437" t="str">
            <v>ELBOW LAS 1 1/2"X90</v>
          </cell>
          <cell r="C3437" t="str">
            <v>PC</v>
          </cell>
          <cell r="D3437">
            <v>9</v>
          </cell>
          <cell r="E3437">
            <v>2100</v>
          </cell>
          <cell r="F3437">
            <v>18900</v>
          </cell>
        </row>
        <row r="3438">
          <cell r="A3438" t="str">
            <v>VP001-01950</v>
          </cell>
          <cell r="B3438" t="str">
            <v>CLAMP PIPA 3"</v>
          </cell>
          <cell r="C3438" t="str">
            <v>PC</v>
          </cell>
          <cell r="D3438">
            <v>12</v>
          </cell>
          <cell r="E3438">
            <v>42600</v>
          </cell>
          <cell r="F3438">
            <v>511200</v>
          </cell>
        </row>
        <row r="3439">
          <cell r="A3439" t="str">
            <v>VP001-02190</v>
          </cell>
          <cell r="B3439" t="str">
            <v>ELBOW LAS 1"X90</v>
          </cell>
          <cell r="C3439" t="str">
            <v>PC</v>
          </cell>
          <cell r="D3439">
            <v>45</v>
          </cell>
          <cell r="E3439">
            <v>4025</v>
          </cell>
          <cell r="F3439">
            <v>181114</v>
          </cell>
        </row>
        <row r="3440">
          <cell r="A3440" t="str">
            <v>VP001-02510</v>
          </cell>
          <cell r="B3440" t="str">
            <v>REDUCER 1 1/4"X1"</v>
          </cell>
          <cell r="C3440" t="str">
            <v>PC</v>
          </cell>
          <cell r="D3440">
            <v>17</v>
          </cell>
          <cell r="E3440">
            <v>5400</v>
          </cell>
          <cell r="F3440">
            <v>91800</v>
          </cell>
        </row>
        <row r="3441">
          <cell r="A3441" t="str">
            <v>VP001-02520</v>
          </cell>
          <cell r="B3441" t="str">
            <v>REDUCER 1/2"X3/8"</v>
          </cell>
          <cell r="C3441" t="str">
            <v>PC</v>
          </cell>
          <cell r="D3441">
            <v>33</v>
          </cell>
          <cell r="E3441">
            <v>7650</v>
          </cell>
          <cell r="F3441">
            <v>252450</v>
          </cell>
        </row>
        <row r="3442">
          <cell r="A3442" t="str">
            <v>VP001-02550</v>
          </cell>
          <cell r="B3442" t="str">
            <v>ELBOW 1/2"X1/2" (WELDED)</v>
          </cell>
          <cell r="C3442" t="str">
            <v>PC</v>
          </cell>
          <cell r="D3442">
            <v>12</v>
          </cell>
          <cell r="E3442">
            <v>1050</v>
          </cell>
          <cell r="F3442">
            <v>12600</v>
          </cell>
        </row>
        <row r="3443">
          <cell r="A3443" t="str">
            <v>VP001-02560</v>
          </cell>
          <cell r="B3443" t="str">
            <v>ELBOW  1" (STEEL)</v>
          </cell>
          <cell r="C3443" t="str">
            <v>PC</v>
          </cell>
          <cell r="D3443">
            <v>12</v>
          </cell>
          <cell r="E3443">
            <v>5002</v>
          </cell>
          <cell r="F3443">
            <v>60026</v>
          </cell>
        </row>
        <row r="3444">
          <cell r="A3444" t="str">
            <v>VP001-02580</v>
          </cell>
          <cell r="B3444" t="str">
            <v>ELBOW 1/2" (STEEL)</v>
          </cell>
          <cell r="C3444" t="str">
            <v>PC</v>
          </cell>
          <cell r="D3444">
            <v>42</v>
          </cell>
          <cell r="E3444">
            <v>1890</v>
          </cell>
          <cell r="F3444">
            <v>79380</v>
          </cell>
        </row>
        <row r="3445">
          <cell r="A3445" t="str">
            <v>VP001-02610</v>
          </cell>
          <cell r="B3445" t="str">
            <v>SOCKET DRAT 2"</v>
          </cell>
          <cell r="C3445" t="str">
            <v>PC</v>
          </cell>
          <cell r="D3445">
            <v>5</v>
          </cell>
          <cell r="E3445">
            <v>5040</v>
          </cell>
          <cell r="F3445">
            <v>25200</v>
          </cell>
        </row>
        <row r="3446">
          <cell r="A3446" t="str">
            <v>VP001-02620</v>
          </cell>
          <cell r="B3446" t="str">
            <v>SOCKET DRAT 3"</v>
          </cell>
          <cell r="C3446" t="str">
            <v>PC</v>
          </cell>
          <cell r="D3446">
            <v>1</v>
          </cell>
          <cell r="E3446">
            <v>2940</v>
          </cell>
          <cell r="F3446">
            <v>2940</v>
          </cell>
        </row>
        <row r="3447">
          <cell r="A3447" t="str">
            <v>VP001-02630</v>
          </cell>
          <cell r="B3447" t="str">
            <v>TEE 1"</v>
          </cell>
          <cell r="C3447" t="str">
            <v>PC</v>
          </cell>
          <cell r="D3447">
            <v>7</v>
          </cell>
          <cell r="E3447">
            <v>1200</v>
          </cell>
          <cell r="F3447">
            <v>8400</v>
          </cell>
        </row>
        <row r="3448">
          <cell r="A3448" t="str">
            <v>VP001-02640</v>
          </cell>
          <cell r="B3448" t="str">
            <v>TEE 1"X3/4"</v>
          </cell>
          <cell r="C3448" t="str">
            <v>PC</v>
          </cell>
          <cell r="D3448">
            <v>3</v>
          </cell>
          <cell r="E3448">
            <v>960</v>
          </cell>
          <cell r="F3448">
            <v>2880</v>
          </cell>
        </row>
        <row r="3449">
          <cell r="A3449" t="str">
            <v>VP001-02650</v>
          </cell>
          <cell r="B3449" t="str">
            <v>TEE 3/4"</v>
          </cell>
          <cell r="C3449" t="str">
            <v>PC</v>
          </cell>
          <cell r="D3449">
            <v>16</v>
          </cell>
          <cell r="E3449">
            <v>3552</v>
          </cell>
          <cell r="F3449">
            <v>56828</v>
          </cell>
        </row>
        <row r="3450">
          <cell r="A3450" t="str">
            <v>VP001-02670</v>
          </cell>
          <cell r="B3450" t="str">
            <v>TEE 2"</v>
          </cell>
          <cell r="C3450" t="str">
            <v>PC</v>
          </cell>
          <cell r="D3450">
            <v>1</v>
          </cell>
          <cell r="E3450">
            <v>3900</v>
          </cell>
          <cell r="F3450">
            <v>3900</v>
          </cell>
        </row>
        <row r="3451">
          <cell r="A3451" t="str">
            <v>VP001-02680</v>
          </cell>
          <cell r="B3451" t="str">
            <v>TEE 2" (WELDED)</v>
          </cell>
          <cell r="C3451" t="str">
            <v>PC</v>
          </cell>
          <cell r="D3451">
            <v>2</v>
          </cell>
          <cell r="E3451">
            <v>3900</v>
          </cell>
          <cell r="F3451">
            <v>7800</v>
          </cell>
        </row>
        <row r="3452">
          <cell r="A3452" t="str">
            <v>VP001-02700</v>
          </cell>
          <cell r="B3452" t="str">
            <v>DOUBLE NIPPLE 1/2"X3</v>
          </cell>
          <cell r="C3452" t="str">
            <v>PC</v>
          </cell>
          <cell r="D3452">
            <v>41</v>
          </cell>
          <cell r="E3452">
            <v>2310</v>
          </cell>
          <cell r="F3452">
            <v>94710</v>
          </cell>
        </row>
        <row r="3453">
          <cell r="A3453" t="str">
            <v>VP001-02750</v>
          </cell>
          <cell r="B3453" t="str">
            <v>AIR REGULATOR 3/8"</v>
          </cell>
          <cell r="C3453" t="str">
            <v>PC</v>
          </cell>
          <cell r="D3453">
            <v>23</v>
          </cell>
          <cell r="E3453">
            <v>245309</v>
          </cell>
          <cell r="F3453">
            <v>5642097</v>
          </cell>
        </row>
        <row r="3454">
          <cell r="A3454" t="str">
            <v>VP001-02950</v>
          </cell>
          <cell r="B3454" t="str">
            <v>BUTERFLY VALVE 4"</v>
          </cell>
          <cell r="C3454" t="str">
            <v>PC</v>
          </cell>
          <cell r="D3454">
            <v>3</v>
          </cell>
          <cell r="E3454">
            <v>312000</v>
          </cell>
          <cell r="F3454">
            <v>936000</v>
          </cell>
        </row>
        <row r="3455">
          <cell r="A3455" t="str">
            <v>VP001-02970</v>
          </cell>
          <cell r="B3455" t="str">
            <v xml:space="preserve"> BUTERFLY VALVE 6" </v>
          </cell>
          <cell r="C3455" t="str">
            <v>PC</v>
          </cell>
          <cell r="D3455">
            <v>1</v>
          </cell>
          <cell r="E3455">
            <v>1125000</v>
          </cell>
          <cell r="F3455">
            <v>1125000</v>
          </cell>
        </row>
        <row r="3456">
          <cell r="A3456" t="str">
            <v>VP001-03100</v>
          </cell>
          <cell r="B3456" t="str">
            <v xml:space="preserve"> BUTERFLY VALVE 5"</v>
          </cell>
          <cell r="C3456" t="str">
            <v>PC</v>
          </cell>
          <cell r="D3456">
            <v>3</v>
          </cell>
          <cell r="E3456">
            <v>725000</v>
          </cell>
          <cell r="F3456">
            <v>2175000</v>
          </cell>
        </row>
        <row r="3457">
          <cell r="A3457" t="str">
            <v>VP001-03170</v>
          </cell>
          <cell r="B3457" t="str">
            <v>3 Way Connector</v>
          </cell>
          <cell r="C3457" t="str">
            <v>PC</v>
          </cell>
          <cell r="D3457">
            <v>9</v>
          </cell>
          <cell r="E3457">
            <v>8250</v>
          </cell>
          <cell r="F3457">
            <v>74250</v>
          </cell>
        </row>
        <row r="3458">
          <cell r="A3458" t="str">
            <v>VP001-03210</v>
          </cell>
          <cell r="B3458" t="str">
            <v>L CONNECTOR 1/2X1/2</v>
          </cell>
          <cell r="C3458" t="str">
            <v>PC</v>
          </cell>
          <cell r="D3458">
            <v>3</v>
          </cell>
          <cell r="E3458">
            <v>47500</v>
          </cell>
          <cell r="F3458">
            <v>142500</v>
          </cell>
        </row>
        <row r="3459">
          <cell r="A3459" t="str">
            <v>VP001-03220</v>
          </cell>
          <cell r="B3459" t="str">
            <v>MALE CONNECTOR</v>
          </cell>
          <cell r="C3459" t="str">
            <v>PC</v>
          </cell>
          <cell r="D3459">
            <v>0</v>
          </cell>
          <cell r="E3459">
            <v>16500</v>
          </cell>
          <cell r="F3459">
            <v>0</v>
          </cell>
        </row>
        <row r="3460">
          <cell r="A3460" t="str">
            <v>VP001-03230</v>
          </cell>
          <cell r="B3460" t="str">
            <v>SPAYER</v>
          </cell>
          <cell r="C3460" t="str">
            <v>PC</v>
          </cell>
          <cell r="D3460">
            <v>20</v>
          </cell>
          <cell r="E3460">
            <v>22000</v>
          </cell>
          <cell r="F3460">
            <v>440000</v>
          </cell>
        </row>
        <row r="3461">
          <cell r="A3461" t="str">
            <v>VP001-03240</v>
          </cell>
          <cell r="B3461" t="str">
            <v xml:space="preserve"> BALL V 1/2" KIT </v>
          </cell>
          <cell r="C3461" t="str">
            <v>PC</v>
          </cell>
          <cell r="D3461">
            <v>0</v>
          </cell>
          <cell r="E3461">
            <v>70200</v>
          </cell>
          <cell r="F3461">
            <v>0</v>
          </cell>
        </row>
        <row r="3462">
          <cell r="A3462" t="str">
            <v>VP001-03250</v>
          </cell>
          <cell r="B3462" t="str">
            <v>Socket Scoen 6T (Female)</v>
          </cell>
          <cell r="C3462" t="str">
            <v>PC</v>
          </cell>
          <cell r="D3462">
            <v>1692</v>
          </cell>
          <cell r="E3462">
            <v>900</v>
          </cell>
          <cell r="F3462">
            <v>1522800</v>
          </cell>
        </row>
        <row r="3463">
          <cell r="A3463" t="str">
            <v>VP001-03260</v>
          </cell>
          <cell r="B3463" t="str">
            <v>Socket Scoen 6T (Male)</v>
          </cell>
          <cell r="C3463" t="str">
            <v>PC</v>
          </cell>
          <cell r="D3463">
            <v>1548</v>
          </cell>
          <cell r="E3463">
            <v>900</v>
          </cell>
          <cell r="F3463">
            <v>1393200</v>
          </cell>
        </row>
        <row r="3464">
          <cell r="A3464" t="str">
            <v>VP001-03270</v>
          </cell>
          <cell r="B3464" t="str">
            <v>Tubing Con. 10 x 1/4 ELBOW</v>
          </cell>
          <cell r="C3464" t="str">
            <v>PC</v>
          </cell>
          <cell r="D3464">
            <v>0</v>
          </cell>
          <cell r="E3464">
            <v>0</v>
          </cell>
          <cell r="F3464">
            <v>0</v>
          </cell>
        </row>
        <row r="3465">
          <cell r="A3465" t="str">
            <v>VP001-03280</v>
          </cell>
          <cell r="B3465" t="str">
            <v>CHECK VALVE 1/2"</v>
          </cell>
          <cell r="C3465" t="str">
            <v>PC</v>
          </cell>
          <cell r="D3465">
            <v>7</v>
          </cell>
          <cell r="E3465">
            <v>19815</v>
          </cell>
          <cell r="F3465">
            <v>138705</v>
          </cell>
        </row>
        <row r="3466">
          <cell r="A3466" t="str">
            <v>VP001-03281</v>
          </cell>
          <cell r="B3466" t="str">
            <v xml:space="preserve"> Clamp Pipe 25 x 25 (1 Hole)</v>
          </cell>
          <cell r="C3466" t="str">
            <v>PC</v>
          </cell>
          <cell r="D3466">
            <v>0</v>
          </cell>
          <cell r="E3466">
            <v>33500</v>
          </cell>
          <cell r="F3466">
            <v>0</v>
          </cell>
        </row>
        <row r="3467">
          <cell r="A3467" t="str">
            <v>VP001-03290</v>
          </cell>
          <cell r="B3467" t="str">
            <v>Clamp Pipe 25 x 25 (2 Hole)</v>
          </cell>
          <cell r="C3467" t="str">
            <v>PC</v>
          </cell>
          <cell r="D3467">
            <v>0</v>
          </cell>
          <cell r="E3467">
            <v>29259</v>
          </cell>
          <cell r="F3467">
            <v>0</v>
          </cell>
        </row>
        <row r="3468">
          <cell r="A3468" t="str">
            <v>VP001-03300</v>
          </cell>
          <cell r="B3468" t="str">
            <v>COUPLER 1/2"(M)(PH)</v>
          </cell>
          <cell r="C3468" t="str">
            <v>PC</v>
          </cell>
          <cell r="D3468">
            <v>6</v>
          </cell>
          <cell r="E3468">
            <v>4564</v>
          </cell>
          <cell r="F3468">
            <v>27382</v>
          </cell>
        </row>
        <row r="3469">
          <cell r="A3469" t="str">
            <v>VP001-03310</v>
          </cell>
          <cell r="B3469" t="str">
            <v>COUPLER 1/2"(F)(SH)</v>
          </cell>
          <cell r="C3469" t="str">
            <v>PC</v>
          </cell>
          <cell r="D3469">
            <v>16</v>
          </cell>
          <cell r="E3469">
            <v>8050</v>
          </cell>
          <cell r="F3469">
            <v>128792</v>
          </cell>
        </row>
        <row r="3470">
          <cell r="A3470" t="str">
            <v>VP001-03490</v>
          </cell>
          <cell r="B3470" t="str">
            <v>CONECTOR 1/2X1/2"</v>
          </cell>
          <cell r="C3470" t="str">
            <v>PC</v>
          </cell>
          <cell r="D3470">
            <v>0</v>
          </cell>
          <cell r="E3470">
            <v>11160</v>
          </cell>
          <cell r="F3470">
            <v>0</v>
          </cell>
        </row>
        <row r="3471">
          <cell r="A3471" t="str">
            <v>VP001-03560</v>
          </cell>
          <cell r="B3471" t="str">
            <v>ELBOW 1 1/2" (SGP-90-WELDED)</v>
          </cell>
          <cell r="C3471" t="str">
            <v>PC</v>
          </cell>
          <cell r="D3471">
            <v>1</v>
          </cell>
          <cell r="E3471">
            <v>2700</v>
          </cell>
          <cell r="F3471">
            <v>2700</v>
          </cell>
        </row>
        <row r="3472">
          <cell r="A3472" t="str">
            <v>VP001-03570</v>
          </cell>
          <cell r="B3472" t="str">
            <v>ELBOW 1/2" (SGP-90-WELDED)</v>
          </cell>
          <cell r="C3472" t="str">
            <v>PC</v>
          </cell>
          <cell r="D3472">
            <v>11</v>
          </cell>
          <cell r="E3472">
            <v>1800</v>
          </cell>
          <cell r="F3472">
            <v>19800</v>
          </cell>
        </row>
        <row r="3473">
          <cell r="A3473" t="str">
            <v>VP001-03580</v>
          </cell>
          <cell r="B3473" t="str">
            <v>TEE  1/2" (SGP-WELDED)</v>
          </cell>
          <cell r="C3473" t="str">
            <v>PC</v>
          </cell>
          <cell r="D3473">
            <v>4</v>
          </cell>
          <cell r="E3473">
            <v>4200</v>
          </cell>
          <cell r="F3473">
            <v>16800</v>
          </cell>
        </row>
        <row r="3474">
          <cell r="A3474" t="str">
            <v>VP001-03710</v>
          </cell>
          <cell r="B3474" t="str">
            <v>L CON 3/4"NPTX1"(M)</v>
          </cell>
          <cell r="C3474" t="str">
            <v>PC</v>
          </cell>
          <cell r="D3474">
            <v>0</v>
          </cell>
          <cell r="E3474">
            <v>162500</v>
          </cell>
          <cell r="F3474">
            <v>0</v>
          </cell>
        </row>
        <row r="3475">
          <cell r="A3475" t="str">
            <v>VP001-03730</v>
          </cell>
          <cell r="B3475" t="str">
            <v xml:space="preserve"> 3" LONG ELBOW </v>
          </cell>
          <cell r="C3475" t="str">
            <v>PC</v>
          </cell>
          <cell r="D3475">
            <v>0</v>
          </cell>
          <cell r="E3475">
            <v>0</v>
          </cell>
          <cell r="F3475">
            <v>0</v>
          </cell>
        </row>
        <row r="3476">
          <cell r="A3476" t="str">
            <v>VP001-03740</v>
          </cell>
          <cell r="B3476" t="str">
            <v xml:space="preserve"> 4" LONG ELBOW </v>
          </cell>
          <cell r="C3476" t="str">
            <v>PC</v>
          </cell>
          <cell r="D3476">
            <v>0</v>
          </cell>
          <cell r="E3476">
            <v>0</v>
          </cell>
          <cell r="F3476">
            <v>0</v>
          </cell>
        </row>
        <row r="3477">
          <cell r="A3477" t="str">
            <v>VP001-03780</v>
          </cell>
          <cell r="B3477" t="str">
            <v>3 WAY CONNECTOR</v>
          </cell>
          <cell r="C3477" t="str">
            <v>PC</v>
          </cell>
          <cell r="D3477">
            <v>13</v>
          </cell>
          <cell r="E3477">
            <v>68465</v>
          </cell>
          <cell r="F3477">
            <v>890048</v>
          </cell>
        </row>
        <row r="3478">
          <cell r="A3478" t="str">
            <v>VP001-03790</v>
          </cell>
          <cell r="B3478" t="str">
            <v>Double Nipple 3/8 M (NPT) x 3/8 M (NPT)</v>
          </cell>
          <cell r="C3478" t="str">
            <v>PC</v>
          </cell>
          <cell r="D3478">
            <v>27</v>
          </cell>
          <cell r="E3478">
            <v>6993</v>
          </cell>
          <cell r="F3478">
            <v>188815</v>
          </cell>
        </row>
        <row r="3479">
          <cell r="A3479" t="str">
            <v>VP001-03830</v>
          </cell>
          <cell r="B3479" t="str">
            <v>KRAN AIR 3/4"</v>
          </cell>
          <cell r="C3479" t="str">
            <v>PC</v>
          </cell>
          <cell r="D3479">
            <v>5</v>
          </cell>
          <cell r="E3479">
            <v>9067</v>
          </cell>
          <cell r="F3479">
            <v>45333</v>
          </cell>
        </row>
        <row r="3480">
          <cell r="A3480" t="str">
            <v>VP001-03840</v>
          </cell>
          <cell r="B3480" t="str">
            <v>WATER SPRAYER</v>
          </cell>
          <cell r="C3480" t="str">
            <v>PC</v>
          </cell>
          <cell r="D3480">
            <v>0</v>
          </cell>
          <cell r="E3480">
            <v>0</v>
          </cell>
          <cell r="F3480">
            <v>0</v>
          </cell>
        </row>
        <row r="3481">
          <cell r="A3481" t="str">
            <v>VP001-03880</v>
          </cell>
          <cell r="B3481" t="str">
            <v>SOCKET 3/8" DRAT SGP</v>
          </cell>
          <cell r="C3481" t="str">
            <v>PC</v>
          </cell>
          <cell r="D3481">
            <v>1</v>
          </cell>
          <cell r="E3481">
            <v>3000</v>
          </cell>
          <cell r="F3481">
            <v>3000</v>
          </cell>
        </row>
        <row r="3482">
          <cell r="A3482" t="str">
            <v>VP001-03900</v>
          </cell>
          <cell r="B3482" t="str">
            <v>JOINT PIPE WELDED 3"</v>
          </cell>
          <cell r="C3482" t="str">
            <v>PC</v>
          </cell>
          <cell r="D3482">
            <v>1</v>
          </cell>
          <cell r="E3482">
            <v>42000</v>
          </cell>
          <cell r="F3482">
            <v>42000</v>
          </cell>
        </row>
        <row r="3483">
          <cell r="A3483" t="str">
            <v>VP001-03910</v>
          </cell>
          <cell r="B3483" t="str">
            <v xml:space="preserve"> SAFETY VALVE 2" 317 </v>
          </cell>
          <cell r="C3483" t="str">
            <v>PC</v>
          </cell>
          <cell r="D3483">
            <v>0</v>
          </cell>
          <cell r="E3483">
            <v>985000</v>
          </cell>
          <cell r="F3483">
            <v>0</v>
          </cell>
        </row>
        <row r="3484">
          <cell r="A3484" t="str">
            <v>VP001-03940</v>
          </cell>
          <cell r="B3484" t="str">
            <v>MAXI BRAKE 30 CARLISLE</v>
          </cell>
          <cell r="C3484" t="str">
            <v>PC</v>
          </cell>
          <cell r="D3484">
            <v>2</v>
          </cell>
          <cell r="E3484">
            <v>435000</v>
          </cell>
          <cell r="F3484">
            <v>870000</v>
          </cell>
        </row>
        <row r="3485">
          <cell r="A3485" t="str">
            <v>VP001-03950</v>
          </cell>
          <cell r="B3485" t="str">
            <v>CANNON GUN MM65</v>
          </cell>
          <cell r="C3485" t="str">
            <v>PC</v>
          </cell>
          <cell r="D3485">
            <v>1</v>
          </cell>
          <cell r="E3485">
            <v>19091679</v>
          </cell>
          <cell r="F3485">
            <v>19091679</v>
          </cell>
        </row>
        <row r="3486">
          <cell r="A3486" t="str">
            <v>VP001-04220</v>
          </cell>
          <cell r="B3486" t="str">
            <v>TUBE CONNECTOR</v>
          </cell>
          <cell r="C3486" t="str">
            <v>PC</v>
          </cell>
          <cell r="D3486">
            <v>2</v>
          </cell>
          <cell r="E3486">
            <v>9000</v>
          </cell>
          <cell r="F3486">
            <v>18000</v>
          </cell>
        </row>
        <row r="3487">
          <cell r="A3487" t="str">
            <v>VP001-04370</v>
          </cell>
          <cell r="B3487" t="str">
            <v xml:space="preserve"> 4" API ADAPTER </v>
          </cell>
          <cell r="C3487" t="str">
            <v>PC</v>
          </cell>
          <cell r="D3487">
            <v>0</v>
          </cell>
          <cell r="E3487">
            <v>0</v>
          </cell>
          <cell r="F3487">
            <v>0</v>
          </cell>
        </row>
        <row r="3488">
          <cell r="A3488" t="str">
            <v>VP001-04380</v>
          </cell>
          <cell r="B3488" t="str">
            <v xml:space="preserve"> EMERGENCY VALVE</v>
          </cell>
          <cell r="C3488" t="str">
            <v>PC</v>
          </cell>
          <cell r="D3488">
            <v>0</v>
          </cell>
          <cell r="E3488">
            <v>0</v>
          </cell>
          <cell r="F3488">
            <v>0</v>
          </cell>
        </row>
        <row r="3489">
          <cell r="A3489" t="str">
            <v>VP001-04400</v>
          </cell>
          <cell r="B3489" t="str">
            <v xml:space="preserve"> V.R ADAPTER</v>
          </cell>
          <cell r="C3489" t="str">
            <v>PC</v>
          </cell>
          <cell r="D3489">
            <v>0</v>
          </cell>
          <cell r="E3489">
            <v>0</v>
          </cell>
          <cell r="F3489">
            <v>0</v>
          </cell>
        </row>
        <row r="3490">
          <cell r="A3490" t="str">
            <v>VP001-04410</v>
          </cell>
          <cell r="B3490" t="str">
            <v xml:space="preserve"> V.R COUPLER</v>
          </cell>
          <cell r="C3490" t="str">
            <v>PC</v>
          </cell>
          <cell r="D3490">
            <v>0</v>
          </cell>
          <cell r="E3490">
            <v>0</v>
          </cell>
          <cell r="F3490">
            <v>0</v>
          </cell>
        </row>
        <row r="3491">
          <cell r="A3491" t="str">
            <v>VP001-04420</v>
          </cell>
          <cell r="B3491" t="str">
            <v xml:space="preserve"> REDUCER</v>
          </cell>
          <cell r="C3491" t="str">
            <v>PC</v>
          </cell>
          <cell r="D3491">
            <v>0</v>
          </cell>
          <cell r="E3491">
            <v>0</v>
          </cell>
          <cell r="F3491">
            <v>0</v>
          </cell>
        </row>
        <row r="3492">
          <cell r="A3492" t="str">
            <v>VP001-04430</v>
          </cell>
          <cell r="B3492" t="str">
            <v xml:space="preserve"> HOSE IVG D=100X90</v>
          </cell>
          <cell r="C3492" t="str">
            <v>PC</v>
          </cell>
          <cell r="D3492">
            <v>0</v>
          </cell>
          <cell r="E3492">
            <v>0</v>
          </cell>
          <cell r="F3492">
            <v>0</v>
          </cell>
        </row>
        <row r="3493">
          <cell r="A3493" t="str">
            <v>VP001-04440</v>
          </cell>
          <cell r="B3493" t="str">
            <v>NYLON HOSE 1"</v>
          </cell>
          <cell r="C3493" t="str">
            <v>PC</v>
          </cell>
          <cell r="D3493">
            <v>21</v>
          </cell>
          <cell r="E3493">
            <v>4743</v>
          </cell>
          <cell r="F3493">
            <v>99600</v>
          </cell>
        </row>
        <row r="3494">
          <cell r="A3494" t="str">
            <v>VP001-04450</v>
          </cell>
          <cell r="B3494" t="str">
            <v>NYLON TUBING 6,5X10</v>
          </cell>
          <cell r="C3494" t="str">
            <v>PC</v>
          </cell>
          <cell r="D3494">
            <v>80</v>
          </cell>
          <cell r="E3494">
            <v>2550</v>
          </cell>
          <cell r="F3494">
            <v>204000</v>
          </cell>
        </row>
        <row r="3495">
          <cell r="A3495" t="str">
            <v>VP001-04460</v>
          </cell>
          <cell r="B3495" t="str">
            <v>Tubing Con. 12 x 1/2 "</v>
          </cell>
          <cell r="C3495" t="str">
            <v>PC</v>
          </cell>
          <cell r="D3495">
            <v>10</v>
          </cell>
          <cell r="E3495">
            <v>14340</v>
          </cell>
          <cell r="F3495">
            <v>143400</v>
          </cell>
        </row>
        <row r="3496">
          <cell r="A3496" t="str">
            <v>VP001-04470</v>
          </cell>
          <cell r="B3496" t="str">
            <v>Tubing Con. 12 x 3/8 "</v>
          </cell>
          <cell r="C3496" t="str">
            <v>PC</v>
          </cell>
          <cell r="D3496">
            <v>5</v>
          </cell>
          <cell r="E3496">
            <v>25675</v>
          </cell>
          <cell r="F3496">
            <v>128376</v>
          </cell>
        </row>
        <row r="3497">
          <cell r="A3497" t="str">
            <v>VP001-04480</v>
          </cell>
          <cell r="B3497" t="str">
            <v>Air Regulator (AR2500) + pressure gauge</v>
          </cell>
          <cell r="C3497" t="str">
            <v>PC</v>
          </cell>
          <cell r="D3497">
            <v>9</v>
          </cell>
          <cell r="E3497">
            <v>74607</v>
          </cell>
          <cell r="F3497">
            <v>671463</v>
          </cell>
        </row>
        <row r="3498">
          <cell r="A3498" t="str">
            <v>VP001-04520</v>
          </cell>
          <cell r="B3498" t="str">
            <v xml:space="preserve"> VALVE NVM230-NO2-8</v>
          </cell>
          <cell r="C3498" t="str">
            <v>PC</v>
          </cell>
          <cell r="D3498">
            <v>77</v>
          </cell>
          <cell r="E3498">
            <v>413172</v>
          </cell>
          <cell r="F3498">
            <v>31814271</v>
          </cell>
        </row>
        <row r="3499">
          <cell r="A3499" t="str">
            <v>VP001-04650</v>
          </cell>
          <cell r="B3499" t="str">
            <v>AIR FILTER REG.1/4( PISCO-FRF30002-MD )</v>
          </cell>
          <cell r="C3499" t="str">
            <v>PC</v>
          </cell>
          <cell r="D3499">
            <v>0</v>
          </cell>
          <cell r="E3499">
            <v>444860</v>
          </cell>
          <cell r="F3499">
            <v>0</v>
          </cell>
        </row>
        <row r="3500">
          <cell r="A3500" t="str">
            <v>VP001-04660</v>
          </cell>
          <cell r="B3500" t="str">
            <v>AIR HOSE 1" BS JPN( ARH-1 )</v>
          </cell>
          <cell r="C3500" t="str">
            <v>PC</v>
          </cell>
          <cell r="D3500">
            <v>0</v>
          </cell>
          <cell r="E3500">
            <v>38000</v>
          </cell>
          <cell r="F3500">
            <v>0</v>
          </cell>
        </row>
        <row r="3501">
          <cell r="A3501" t="str">
            <v>VP001-04670</v>
          </cell>
          <cell r="B3501" t="str">
            <v>AIR HOSE FESTO PUN-6( DUO/152823 )</v>
          </cell>
          <cell r="C3501" t="str">
            <v>PC</v>
          </cell>
          <cell r="D3501">
            <v>100</v>
          </cell>
          <cell r="E3501">
            <v>11280</v>
          </cell>
          <cell r="F3501">
            <v>1128000</v>
          </cell>
        </row>
        <row r="3502">
          <cell r="A3502" t="str">
            <v>VP001-04680</v>
          </cell>
          <cell r="B3502" t="str">
            <v>AIR TANK JUMBO 13"( 5013.810-C51282 )</v>
          </cell>
          <cell r="C3502" t="str">
            <v>PC</v>
          </cell>
          <cell r="D3502">
            <v>8</v>
          </cell>
          <cell r="E3502">
            <v>240497</v>
          </cell>
          <cell r="F3502">
            <v>1923976</v>
          </cell>
        </row>
        <row r="3503">
          <cell r="A3503" t="str">
            <v>VP001-04690</v>
          </cell>
          <cell r="B3503" t="str">
            <v>BRAKE CHAMBER 30( TCC-591 )</v>
          </cell>
          <cell r="C3503" t="str">
            <v>PC</v>
          </cell>
          <cell r="D3503">
            <v>60</v>
          </cell>
          <cell r="E3503">
            <v>223874</v>
          </cell>
          <cell r="F3503">
            <v>13432440</v>
          </cell>
        </row>
        <row r="3504">
          <cell r="A3504" t="str">
            <v>VP001-04700</v>
          </cell>
          <cell r="B3504" t="str">
            <v xml:space="preserve"> BRAKE CHAMBER 36( 01140037 )</v>
          </cell>
          <cell r="C3504" t="str">
            <v>PC</v>
          </cell>
          <cell r="D3504">
            <v>0</v>
          </cell>
          <cell r="E3504">
            <v>47</v>
          </cell>
          <cell r="F3504">
            <v>0</v>
          </cell>
        </row>
        <row r="3505">
          <cell r="A3505" t="str">
            <v>VP001-04710</v>
          </cell>
          <cell r="B3505" t="str">
            <v xml:space="preserve"> BREATHER FILLER( ELF3-10-1-0 )</v>
          </cell>
          <cell r="C3505" t="str">
            <v>PC</v>
          </cell>
          <cell r="D3505">
            <v>5</v>
          </cell>
          <cell r="E3505">
            <v>234722</v>
          </cell>
          <cell r="F3505">
            <v>1173612</v>
          </cell>
        </row>
        <row r="3506">
          <cell r="A3506" t="str">
            <v>VP001-04720</v>
          </cell>
          <cell r="B3506" t="str">
            <v>BREATHER FILLER( UC-AB-1163 )</v>
          </cell>
          <cell r="C3506" t="str">
            <v>PC</v>
          </cell>
          <cell r="D3506">
            <v>0</v>
          </cell>
          <cell r="E3506">
            <v>114000</v>
          </cell>
          <cell r="F3506">
            <v>0</v>
          </cell>
        </row>
        <row r="3507">
          <cell r="A3507" t="str">
            <v>VP001-04730</v>
          </cell>
          <cell r="B3507" t="str">
            <v>X - FITTING (PISCO-PZA6M)</v>
          </cell>
          <cell r="C3507" t="str">
            <v>PC</v>
          </cell>
          <cell r="D3507">
            <v>0</v>
          </cell>
          <cell r="E3507">
            <v>26946</v>
          </cell>
          <cell r="F3507">
            <v>0</v>
          </cell>
        </row>
        <row r="3508">
          <cell r="A3508" t="str">
            <v>VP001-04740</v>
          </cell>
          <cell r="B3508" t="str">
            <v>INSERT TUBE 3/8( IT-3/8 )</v>
          </cell>
          <cell r="C3508" t="str">
            <v>PC</v>
          </cell>
          <cell r="D3508">
            <v>100</v>
          </cell>
          <cell r="E3508">
            <v>3000</v>
          </cell>
          <cell r="F3508">
            <v>300000</v>
          </cell>
        </row>
        <row r="3509">
          <cell r="A3509" t="str">
            <v>VP001-04750</v>
          </cell>
          <cell r="B3509" t="str">
            <v>INSERT TUBE( IT-5/8 )</v>
          </cell>
          <cell r="C3509" t="str">
            <v>PC</v>
          </cell>
          <cell r="D3509">
            <v>69</v>
          </cell>
          <cell r="E3509">
            <v>2700</v>
          </cell>
          <cell r="F3509">
            <v>186300</v>
          </cell>
        </row>
        <row r="3510">
          <cell r="A3510" t="str">
            <v>VP001-04760</v>
          </cell>
          <cell r="B3510" t="str">
            <v>LEVEL GATE 80C &amp; 180( SNA-2 )</v>
          </cell>
          <cell r="C3510" t="str">
            <v>PC</v>
          </cell>
          <cell r="D3510">
            <v>0</v>
          </cell>
          <cell r="E3510">
            <v>118127</v>
          </cell>
          <cell r="F3510">
            <v>0</v>
          </cell>
        </row>
        <row r="3511">
          <cell r="A3511" t="str">
            <v>VP001-04770</v>
          </cell>
          <cell r="B3511" t="str">
            <v>LEVEL GAUGE( UC-FLT-221 )</v>
          </cell>
          <cell r="C3511" t="str">
            <v>PC</v>
          </cell>
          <cell r="D3511">
            <v>1</v>
          </cell>
          <cell r="E3511">
            <v>145636</v>
          </cell>
          <cell r="F3511">
            <v>145636</v>
          </cell>
        </row>
        <row r="3512">
          <cell r="A3512" t="str">
            <v>VP001-04780</v>
          </cell>
          <cell r="B3512" t="str">
            <v>LOCK NUT</v>
          </cell>
          <cell r="C3512" t="str">
            <v>PC</v>
          </cell>
          <cell r="D3512">
            <v>11</v>
          </cell>
          <cell r="E3512">
            <v>5580</v>
          </cell>
          <cell r="F3512">
            <v>61380</v>
          </cell>
        </row>
        <row r="3513">
          <cell r="A3513" t="str">
            <v>VP001-04790</v>
          </cell>
          <cell r="B3513" t="str">
            <v>PRESSURE GAUGE( 753410 )</v>
          </cell>
          <cell r="C3513" t="str">
            <v>PC</v>
          </cell>
          <cell r="D3513">
            <v>56</v>
          </cell>
          <cell r="E3513">
            <v>1</v>
          </cell>
          <cell r="F3513">
            <v>56</v>
          </cell>
        </row>
        <row r="3514">
          <cell r="A3514" t="str">
            <v>VP001-04800</v>
          </cell>
          <cell r="B3514" t="str">
            <v>PU TUBING 6X8 BLACK( NT-08-06-B )</v>
          </cell>
          <cell r="C3514" t="str">
            <v>PC</v>
          </cell>
          <cell r="D3514">
            <v>0</v>
          </cell>
          <cell r="E3514">
            <v>13700</v>
          </cell>
          <cell r="F3514">
            <v>0</v>
          </cell>
        </row>
        <row r="3515">
          <cell r="A3515" t="str">
            <v>VP001-04810</v>
          </cell>
          <cell r="B3515" t="str">
            <v>SELENOID PILOT VALVE( DG5SH8-8C )</v>
          </cell>
          <cell r="C3515" t="str">
            <v>PC</v>
          </cell>
          <cell r="D3515">
            <v>1</v>
          </cell>
          <cell r="E3515">
            <v>3947040</v>
          </cell>
          <cell r="F3515">
            <v>3947040</v>
          </cell>
        </row>
        <row r="3516">
          <cell r="A3516" t="str">
            <v>VP001-04820</v>
          </cell>
          <cell r="B3516" t="str">
            <v>SELENOID VALVE( DG4V5-22A-MUH7-60 )</v>
          </cell>
          <cell r="C3516" t="str">
            <v>PC</v>
          </cell>
          <cell r="D3516">
            <v>2</v>
          </cell>
          <cell r="E3516">
            <v>964350</v>
          </cell>
          <cell r="F3516">
            <v>1928700</v>
          </cell>
        </row>
        <row r="3517">
          <cell r="A3517" t="str">
            <v>VP001-04830</v>
          </cell>
          <cell r="B3517" t="str">
            <v>SELENOID VALVE 2 WAY( DC24V-SV3-16 )</v>
          </cell>
          <cell r="C3517" t="str">
            <v>PC</v>
          </cell>
          <cell r="D3517">
            <v>1</v>
          </cell>
          <cell r="E3517">
            <v>738525</v>
          </cell>
          <cell r="F3517">
            <v>738525</v>
          </cell>
        </row>
        <row r="3518">
          <cell r="A3518" t="str">
            <v>VP001-04840</v>
          </cell>
          <cell r="B3518" t="str">
            <v>SOLENOID CONTROLLED( DG-5SH8-2A-E )</v>
          </cell>
          <cell r="C3518" t="str">
            <v>PC</v>
          </cell>
          <cell r="D3518">
            <v>1</v>
          </cell>
          <cell r="E3518">
            <v>3859169</v>
          </cell>
          <cell r="F3518">
            <v>3859169</v>
          </cell>
        </row>
        <row r="3519">
          <cell r="A3519" t="str">
            <v>VP001-04850</v>
          </cell>
          <cell r="B3519" t="str">
            <v>SOLENOID VALVE 1/8( PISCO-SVB18MSBD24 )</v>
          </cell>
          <cell r="C3519" t="str">
            <v>PC</v>
          </cell>
          <cell r="D3519">
            <v>1</v>
          </cell>
          <cell r="E3519">
            <v>424052</v>
          </cell>
          <cell r="F3519">
            <v>424052</v>
          </cell>
        </row>
        <row r="3520">
          <cell r="A3520" t="str">
            <v>VP001-04860</v>
          </cell>
          <cell r="B3520" t="str">
            <v>SOLENOID VALVE( DG4V5-2A-MUH7-20 )</v>
          </cell>
          <cell r="C3520" t="str">
            <v>PC</v>
          </cell>
          <cell r="D3520">
            <v>1</v>
          </cell>
          <cell r="E3520">
            <v>1191424</v>
          </cell>
          <cell r="F3520">
            <v>1191424</v>
          </cell>
        </row>
        <row r="3521">
          <cell r="A3521" t="str">
            <v>VP001-04870</v>
          </cell>
          <cell r="B3521" t="str">
            <v>SB VALVE</v>
          </cell>
          <cell r="C3521" t="str">
            <v>PC</v>
          </cell>
          <cell r="D3521">
            <v>0</v>
          </cell>
          <cell r="E3521">
            <v>344000</v>
          </cell>
          <cell r="F3521">
            <v>0</v>
          </cell>
        </row>
        <row r="3522">
          <cell r="A3522" t="str">
            <v>VP001-05100</v>
          </cell>
          <cell r="B3522" t="str">
            <v xml:space="preserve"> SUSI COIL MERAH</v>
          </cell>
          <cell r="C3522" t="str">
            <v>PC</v>
          </cell>
          <cell r="D3522">
            <v>0</v>
          </cell>
          <cell r="E3522">
            <v>120000</v>
          </cell>
          <cell r="F3522">
            <v>0</v>
          </cell>
        </row>
        <row r="3523">
          <cell r="A3523" t="str">
            <v>VP001-05110</v>
          </cell>
          <cell r="B3523" t="str">
            <v>SPIRAL TUBING DUO  06 MM</v>
          </cell>
          <cell r="C3523" t="str">
            <v>PC</v>
          </cell>
          <cell r="D3523">
            <v>2</v>
          </cell>
          <cell r="E3523">
            <v>372000</v>
          </cell>
          <cell r="F3523">
            <v>744000</v>
          </cell>
        </row>
        <row r="3524">
          <cell r="A3524" t="str">
            <v>VP001-05200</v>
          </cell>
          <cell r="B3524" t="str">
            <v xml:space="preserve"> SUSI COIL KUNING</v>
          </cell>
          <cell r="C3524" t="str">
            <v>PC</v>
          </cell>
          <cell r="D3524">
            <v>0</v>
          </cell>
          <cell r="E3524">
            <v>120000</v>
          </cell>
          <cell r="F3524">
            <v>0</v>
          </cell>
        </row>
        <row r="3525">
          <cell r="A3525" t="str">
            <v>VP001-WRH035</v>
          </cell>
          <cell r="B3525" t="str">
            <v xml:space="preserve"> WTR RUBBER HOSE 3.5"</v>
          </cell>
          <cell r="C3525" t="str">
            <v>PC</v>
          </cell>
          <cell r="D3525">
            <v>0</v>
          </cell>
          <cell r="E3525">
            <v>235000</v>
          </cell>
          <cell r="F3525">
            <v>0</v>
          </cell>
        </row>
        <row r="3526">
          <cell r="A3526" t="str">
            <v>VP001-XXXXX</v>
          </cell>
          <cell r="B3526" t="str">
            <v xml:space="preserve"> SEAL MANHOLE D=18MM</v>
          </cell>
          <cell r="C3526" t="str">
            <v>PC</v>
          </cell>
          <cell r="D3526">
            <v>0</v>
          </cell>
          <cell r="E3526">
            <v>52500</v>
          </cell>
          <cell r="F3526">
            <v>0</v>
          </cell>
        </row>
        <row r="3527">
          <cell r="A3527" t="str">
            <v>VP009-3002</v>
          </cell>
          <cell r="B3527" t="str">
            <v>SOCKET 1/2" STEEL</v>
          </cell>
          <cell r="C3527" t="str">
            <v>PC</v>
          </cell>
          <cell r="D3527">
            <v>186</v>
          </cell>
          <cell r="E3527">
            <v>6291</v>
          </cell>
          <cell r="F3527">
            <v>1170163</v>
          </cell>
        </row>
        <row r="3528">
          <cell r="A3528" t="str">
            <v>VS272P</v>
          </cell>
          <cell r="B3528" t="str">
            <v>PIN LOWER</v>
          </cell>
          <cell r="C3528" t="str">
            <v>PC</v>
          </cell>
          <cell r="D3528">
            <v>0</v>
          </cell>
          <cell r="E3528">
            <v>61613</v>
          </cell>
          <cell r="F3528">
            <v>0</v>
          </cell>
        </row>
        <row r="3529">
          <cell r="A3529" t="str">
            <v>VS500</v>
          </cell>
          <cell r="B3529" t="str">
            <v>SHROUD</v>
          </cell>
          <cell r="C3529" t="str">
            <v>PC</v>
          </cell>
          <cell r="D3529">
            <v>0</v>
          </cell>
          <cell r="E3529">
            <v>1514928</v>
          </cell>
          <cell r="F3529">
            <v>0</v>
          </cell>
        </row>
        <row r="3530">
          <cell r="A3530" t="str">
            <v>VS550</v>
          </cell>
          <cell r="B3530" t="str">
            <v>SHROUD</v>
          </cell>
          <cell r="C3530" t="str">
            <v>PC</v>
          </cell>
          <cell r="D3530">
            <v>0</v>
          </cell>
          <cell r="E3530">
            <v>1971600</v>
          </cell>
          <cell r="F3530">
            <v>0</v>
          </cell>
        </row>
        <row r="3531">
          <cell r="A3531" t="str">
            <v>VSM150WN</v>
          </cell>
          <cell r="B3531" t="str">
            <v>WELDMENT</v>
          </cell>
          <cell r="C3531" t="str">
            <v>PC</v>
          </cell>
          <cell r="D3531">
            <v>0</v>
          </cell>
          <cell r="E3531">
            <v>311066</v>
          </cell>
          <cell r="F3531">
            <v>0</v>
          </cell>
        </row>
        <row r="3532">
          <cell r="A3532" t="str">
            <v>VSM200WN</v>
          </cell>
          <cell r="B3532" t="str">
            <v>SHROUD</v>
          </cell>
          <cell r="C3532" t="str">
            <v>PC</v>
          </cell>
          <cell r="D3532">
            <v>0</v>
          </cell>
          <cell r="E3532">
            <v>323671</v>
          </cell>
          <cell r="F3532">
            <v>0</v>
          </cell>
        </row>
        <row r="3533">
          <cell r="A3533" t="str">
            <v>VSN150WN</v>
          </cell>
          <cell r="B3533" t="str">
            <v>WELDMENT</v>
          </cell>
          <cell r="C3533" t="str">
            <v>PC</v>
          </cell>
          <cell r="D3533">
            <v>0</v>
          </cell>
          <cell r="E3533">
            <v>317000</v>
          </cell>
          <cell r="F3533">
            <v>0</v>
          </cell>
        </row>
        <row r="3534">
          <cell r="A3534" t="str">
            <v>VSP3</v>
          </cell>
          <cell r="B3534" t="str">
            <v>PIN UPPER</v>
          </cell>
          <cell r="C3534" t="str">
            <v>PC</v>
          </cell>
          <cell r="D3534">
            <v>0</v>
          </cell>
          <cell r="E3534">
            <v>158549</v>
          </cell>
          <cell r="F3534">
            <v>0</v>
          </cell>
        </row>
        <row r="3535">
          <cell r="A3535" t="str">
            <v>VSR3</v>
          </cell>
          <cell r="B3535" t="str">
            <v>RUBBER PLUG</v>
          </cell>
          <cell r="C3535" t="str">
            <v>PC</v>
          </cell>
          <cell r="D3535">
            <v>0</v>
          </cell>
          <cell r="E3535">
            <v>65720</v>
          </cell>
          <cell r="F3535">
            <v>0</v>
          </cell>
        </row>
        <row r="3536">
          <cell r="A3536" t="str">
            <v>W2Z-100/08R</v>
          </cell>
          <cell r="B3536" t="str">
            <v>TWIN AXLE BOGGIE WES</v>
          </cell>
          <cell r="C3536" t="str">
            <v>PC</v>
          </cell>
          <cell r="D3536">
            <v>1</v>
          </cell>
          <cell r="E3536">
            <v>1</v>
          </cell>
          <cell r="F3536">
            <v>1</v>
          </cell>
        </row>
        <row r="3537">
          <cell r="A3537" t="str">
            <v>WD2-7B1700P</v>
          </cell>
          <cell r="B3537" t="str">
            <v xml:space="preserve"> BAFFLE 1</v>
          </cell>
          <cell r="C3537" t="str">
            <v>PC</v>
          </cell>
          <cell r="D3537">
            <v>1</v>
          </cell>
          <cell r="E3537">
            <v>1720000</v>
          </cell>
          <cell r="F3537">
            <v>1720000</v>
          </cell>
        </row>
        <row r="3538">
          <cell r="A3538" t="str">
            <v>WD2-7B1800P</v>
          </cell>
          <cell r="B3538" t="str">
            <v xml:space="preserve"> BAFFLE 2</v>
          </cell>
          <cell r="C3538" t="str">
            <v>PC</v>
          </cell>
          <cell r="D3538">
            <v>1</v>
          </cell>
          <cell r="E3538">
            <v>1720000</v>
          </cell>
          <cell r="F3538">
            <v>1720000</v>
          </cell>
        </row>
        <row r="3539">
          <cell r="A3539" t="str">
            <v>WD2-7B1900P</v>
          </cell>
          <cell r="B3539" t="str">
            <v xml:space="preserve"> BAFFLE 3</v>
          </cell>
          <cell r="C3539" t="str">
            <v>PC</v>
          </cell>
          <cell r="D3539">
            <v>1</v>
          </cell>
          <cell r="E3539">
            <v>980000</v>
          </cell>
          <cell r="F3539">
            <v>980000</v>
          </cell>
        </row>
        <row r="3540">
          <cell r="A3540" t="str">
            <v>WD2-7B1A00P</v>
          </cell>
          <cell r="B3540" t="str">
            <v xml:space="preserve"> BAFFLE 4</v>
          </cell>
          <cell r="C3540" t="str">
            <v>PC</v>
          </cell>
          <cell r="D3540">
            <v>1</v>
          </cell>
          <cell r="E3540">
            <v>1020000</v>
          </cell>
          <cell r="F3540">
            <v>1020000</v>
          </cell>
        </row>
        <row r="3541">
          <cell r="A3541" t="str">
            <v>WD2-7B1B00P</v>
          </cell>
          <cell r="B3541" t="str">
            <v xml:space="preserve"> BAFFLE 5</v>
          </cell>
          <cell r="C3541" t="str">
            <v>PC</v>
          </cell>
          <cell r="D3541">
            <v>1</v>
          </cell>
          <cell r="E3541">
            <v>988000</v>
          </cell>
          <cell r="F3541">
            <v>988000</v>
          </cell>
        </row>
        <row r="3542">
          <cell r="A3542" t="str">
            <v>WD2-7L0000P</v>
          </cell>
          <cell r="B3542" t="str">
            <v>ELECTRICAL WASHDOWN</v>
          </cell>
          <cell r="C3542" t="str">
            <v>PC</v>
          </cell>
          <cell r="D3542">
            <v>0</v>
          </cell>
          <cell r="E3542">
            <v>814400</v>
          </cell>
          <cell r="F3542">
            <v>0</v>
          </cell>
        </row>
        <row r="3543">
          <cell r="A3543" t="str">
            <v>WD2-7PPQ00P</v>
          </cell>
          <cell r="B3543" t="str">
            <v>HOSE PRESS 2.5"X6M  (140PSI)</v>
          </cell>
          <cell r="C3543" t="str">
            <v>PC</v>
          </cell>
          <cell r="D3543">
            <v>0</v>
          </cell>
          <cell r="E3543">
            <v>3204335</v>
          </cell>
          <cell r="F3543">
            <v>0</v>
          </cell>
        </row>
        <row r="3544">
          <cell r="A3544" t="str">
            <v>WFT-1000001</v>
          </cell>
          <cell r="B3544" t="str">
            <v xml:space="preserve"> TEST PLATE</v>
          </cell>
          <cell r="C3544" t="str">
            <v>PC</v>
          </cell>
          <cell r="D3544">
            <v>20</v>
          </cell>
          <cell r="E3544">
            <v>26950</v>
          </cell>
          <cell r="F3544">
            <v>539000</v>
          </cell>
        </row>
        <row r="3545">
          <cell r="A3545" t="str">
            <v>WK-520HTN</v>
          </cell>
          <cell r="B3545" t="str">
            <v xml:space="preserve"> WETKIT+PTO CWB520HTN</v>
          </cell>
          <cell r="C3545" t="str">
            <v>PC</v>
          </cell>
          <cell r="D3545">
            <v>0</v>
          </cell>
          <cell r="E3545">
            <v>20700025</v>
          </cell>
          <cell r="F3545">
            <v>0</v>
          </cell>
        </row>
        <row r="3546">
          <cell r="A3546" t="str">
            <v>WK-CXZ</v>
          </cell>
          <cell r="B3546" t="str">
            <v xml:space="preserve"> WETKIT ISUZU CXZ52</v>
          </cell>
          <cell r="C3546" t="str">
            <v>PC</v>
          </cell>
          <cell r="D3546">
            <v>0</v>
          </cell>
          <cell r="E3546">
            <v>18828340</v>
          </cell>
          <cell r="F3546">
            <v>0</v>
          </cell>
        </row>
        <row r="3547">
          <cell r="A3547" t="str">
            <v>WP-24-180B13</v>
          </cell>
          <cell r="B3547" t="str">
            <v>WATER PUMP</v>
          </cell>
          <cell r="C3547" t="str">
            <v>PC</v>
          </cell>
          <cell r="D3547">
            <v>28</v>
          </cell>
          <cell r="E3547">
            <v>209590</v>
          </cell>
          <cell r="F3547">
            <v>5868520</v>
          </cell>
        </row>
        <row r="3548">
          <cell r="A3548" t="str">
            <v>WRH-3.5</v>
          </cell>
          <cell r="B3548" t="str">
            <v xml:space="preserve"> WTR RUBBER HOSE 3.5" </v>
          </cell>
          <cell r="C3548" t="str">
            <v>PC</v>
          </cell>
          <cell r="D3548">
            <v>0</v>
          </cell>
          <cell r="E3548">
            <v>235000</v>
          </cell>
          <cell r="F3548">
            <v>0</v>
          </cell>
        </row>
        <row r="3549">
          <cell r="A3549" t="str">
            <v>WT1-6M3000P</v>
          </cell>
          <cell r="B3549" t="str">
            <v xml:space="preserve"> EXT. CHASIS</v>
          </cell>
          <cell r="C3549" t="str">
            <v>PC</v>
          </cell>
          <cell r="D3549">
            <v>0</v>
          </cell>
          <cell r="E3549">
            <v>85500</v>
          </cell>
          <cell r="F3549">
            <v>0</v>
          </cell>
        </row>
        <row r="3550">
          <cell r="A3550" t="str">
            <v>WT1-6M4000P</v>
          </cell>
          <cell r="B3550" t="str">
            <v xml:space="preserve"> REINFORCE PLATE</v>
          </cell>
          <cell r="C3550" t="str">
            <v>PC</v>
          </cell>
          <cell r="D3550">
            <v>0</v>
          </cell>
          <cell r="E3550">
            <v>18000</v>
          </cell>
          <cell r="F3550">
            <v>0</v>
          </cell>
        </row>
        <row r="3551">
          <cell r="A3551" t="str">
            <v>WT1-6M5000P</v>
          </cell>
          <cell r="B3551" t="str">
            <v xml:space="preserve"> PLATE</v>
          </cell>
          <cell r="C3551" t="str">
            <v>PC</v>
          </cell>
          <cell r="D3551">
            <v>0</v>
          </cell>
          <cell r="E3551">
            <v>38600</v>
          </cell>
          <cell r="F3551">
            <v>0</v>
          </cell>
        </row>
        <row r="3552">
          <cell r="A3552" t="str">
            <v>WT-20</v>
          </cell>
          <cell r="B3552" t="str">
            <v>Pulley + Belt (2)</v>
          </cell>
          <cell r="C3552" t="str">
            <v>PC</v>
          </cell>
          <cell r="D3552">
            <v>0</v>
          </cell>
          <cell r="E3552">
            <v>0</v>
          </cell>
          <cell r="F3552">
            <v>0</v>
          </cell>
        </row>
        <row r="3553">
          <cell r="A3553" t="str">
            <v>WT-20MOD</v>
          </cell>
          <cell r="B3553" t="str">
            <v>Pulley + Belt (2)</v>
          </cell>
          <cell r="C3553" t="str">
            <v>PC</v>
          </cell>
          <cell r="D3553">
            <v>0</v>
          </cell>
          <cell r="E3553">
            <v>300000</v>
          </cell>
          <cell r="F3553">
            <v>0</v>
          </cell>
        </row>
        <row r="3554">
          <cell r="A3554" t="str">
            <v>WT28-CHP</v>
          </cell>
          <cell r="B3554" t="str">
            <v>KOMPONENT WT 28 KENWORTH</v>
          </cell>
          <cell r="C3554" t="str">
            <v>PC</v>
          </cell>
          <cell r="D3554">
            <v>0</v>
          </cell>
          <cell r="E3554">
            <v>2938836</v>
          </cell>
          <cell r="F3554">
            <v>0</v>
          </cell>
        </row>
        <row r="3555">
          <cell r="A3555" t="str">
            <v>WT80-CHP</v>
          </cell>
          <cell r="B3555" t="str">
            <v>KOMPONENT WT 80.000 KL</v>
          </cell>
          <cell r="C3555" t="str">
            <v>PC</v>
          </cell>
          <cell r="D3555">
            <v>0</v>
          </cell>
          <cell r="E3555">
            <v>0</v>
          </cell>
          <cell r="F3555">
            <v>0</v>
          </cell>
        </row>
        <row r="3556">
          <cell r="A3556" t="str">
            <v>X06NM06</v>
          </cell>
          <cell r="B3556" t="str">
            <v>Fitting</v>
          </cell>
          <cell r="C3556" t="str">
            <v>PC</v>
          </cell>
          <cell r="D3556">
            <v>0</v>
          </cell>
          <cell r="E3556">
            <v>0</v>
          </cell>
          <cell r="F3556">
            <v>0</v>
          </cell>
        </row>
        <row r="3557">
          <cell r="A3557" t="str">
            <v>X08BMT08</v>
          </cell>
          <cell r="B3557" t="str">
            <v>Fitting</v>
          </cell>
          <cell r="C3557" t="str">
            <v>PC</v>
          </cell>
          <cell r="D3557">
            <v>0</v>
          </cell>
          <cell r="E3557">
            <v>0</v>
          </cell>
          <cell r="F3557">
            <v>0</v>
          </cell>
        </row>
        <row r="3558">
          <cell r="A3558" t="str">
            <v>X09JMF06</v>
          </cell>
          <cell r="B3558" t="str">
            <v>Fitting</v>
          </cell>
          <cell r="C3558" t="str">
            <v>PC</v>
          </cell>
          <cell r="D3558">
            <v>0</v>
          </cell>
          <cell r="E3558">
            <v>0</v>
          </cell>
          <cell r="F3558">
            <v>0</v>
          </cell>
        </row>
        <row r="3559">
          <cell r="A3559" t="str">
            <v>X12JMF08</v>
          </cell>
          <cell r="B3559" t="str">
            <v>Fitting</v>
          </cell>
          <cell r="C3559" t="str">
            <v>PC</v>
          </cell>
          <cell r="D3559">
            <v>0</v>
          </cell>
          <cell r="E3559">
            <v>0</v>
          </cell>
          <cell r="F3559">
            <v>0</v>
          </cell>
        </row>
        <row r="3560">
          <cell r="A3560" t="str">
            <v>X12JMF08+XTC-08</v>
          </cell>
          <cell r="B3560" t="str">
            <v>HOSE FITTING</v>
          </cell>
          <cell r="C3560" t="str">
            <v>PC</v>
          </cell>
          <cell r="D3560">
            <v>0</v>
          </cell>
          <cell r="E3560">
            <v>8729</v>
          </cell>
          <cell r="F3560">
            <v>0</v>
          </cell>
        </row>
        <row r="3561">
          <cell r="A3561" t="str">
            <v>X12JMF90S06</v>
          </cell>
          <cell r="B3561" t="str">
            <v>Fitting</v>
          </cell>
          <cell r="C3561" t="str">
            <v>PC</v>
          </cell>
          <cell r="D3561">
            <v>0</v>
          </cell>
          <cell r="E3561">
            <v>0</v>
          </cell>
          <cell r="F3561">
            <v>0</v>
          </cell>
        </row>
        <row r="3562">
          <cell r="A3562" t="str">
            <v>X12NM12</v>
          </cell>
          <cell r="B3562" t="str">
            <v>Fitting</v>
          </cell>
          <cell r="C3562" t="str">
            <v>PC</v>
          </cell>
          <cell r="D3562">
            <v>0</v>
          </cell>
          <cell r="E3562">
            <v>0</v>
          </cell>
          <cell r="F3562">
            <v>0</v>
          </cell>
        </row>
        <row r="3563">
          <cell r="A3563" t="str">
            <v>X14JMF08</v>
          </cell>
          <cell r="B3563" t="str">
            <v>Fitting</v>
          </cell>
          <cell r="C3563" t="str">
            <v>PC</v>
          </cell>
          <cell r="D3563">
            <v>0</v>
          </cell>
          <cell r="E3563">
            <v>0</v>
          </cell>
          <cell r="F3563">
            <v>0</v>
          </cell>
        </row>
        <row r="3564">
          <cell r="A3564" t="str">
            <v>X16NM16</v>
          </cell>
          <cell r="B3564" t="str">
            <v>Fitting</v>
          </cell>
          <cell r="C3564" t="str">
            <v>PC</v>
          </cell>
          <cell r="D3564">
            <v>0</v>
          </cell>
          <cell r="E3564">
            <v>0</v>
          </cell>
          <cell r="F3564">
            <v>0</v>
          </cell>
        </row>
        <row r="3565">
          <cell r="A3565" t="str">
            <v>X16SFH90S-3-16</v>
          </cell>
          <cell r="B3565" t="str">
            <v>Fitting</v>
          </cell>
          <cell r="C3565" t="str">
            <v>PC</v>
          </cell>
          <cell r="D3565">
            <v>0</v>
          </cell>
          <cell r="E3565">
            <v>0</v>
          </cell>
          <cell r="F3565">
            <v>0</v>
          </cell>
        </row>
        <row r="3566">
          <cell r="A3566" t="str">
            <v>X16SFHSL-3-16</v>
          </cell>
          <cell r="B3566" t="str">
            <v>Fitting</v>
          </cell>
          <cell r="C3566" t="str">
            <v>PC</v>
          </cell>
          <cell r="D3566">
            <v>0</v>
          </cell>
          <cell r="E3566">
            <v>0</v>
          </cell>
          <cell r="F3566">
            <v>0</v>
          </cell>
        </row>
        <row r="3567">
          <cell r="A3567" t="str">
            <v>X17JMF12</v>
          </cell>
          <cell r="B3567" t="str">
            <v>Fitting</v>
          </cell>
          <cell r="C3567" t="str">
            <v>PC</v>
          </cell>
          <cell r="D3567">
            <v>0</v>
          </cell>
          <cell r="E3567">
            <v>0</v>
          </cell>
          <cell r="F3567">
            <v>0</v>
          </cell>
        </row>
        <row r="3568">
          <cell r="A3568" t="str">
            <v>X17SFH90S12</v>
          </cell>
          <cell r="B3568" t="str">
            <v>Fitting</v>
          </cell>
          <cell r="C3568" t="str">
            <v>PC</v>
          </cell>
          <cell r="D3568">
            <v>0</v>
          </cell>
          <cell r="E3568">
            <v>0</v>
          </cell>
          <cell r="F3568">
            <v>0</v>
          </cell>
        </row>
        <row r="3569">
          <cell r="A3569" t="str">
            <v>X20SFHSL-3-20</v>
          </cell>
          <cell r="B3569" t="str">
            <v>Fitting</v>
          </cell>
          <cell r="C3569" t="str">
            <v>PC</v>
          </cell>
          <cell r="D3569">
            <v>0</v>
          </cell>
          <cell r="E3569">
            <v>0</v>
          </cell>
          <cell r="F3569">
            <v>0</v>
          </cell>
        </row>
        <row r="3570">
          <cell r="A3570" t="str">
            <v>X21JMF16</v>
          </cell>
          <cell r="B3570" t="str">
            <v>Fitting</v>
          </cell>
          <cell r="C3570" t="str">
            <v>PC</v>
          </cell>
          <cell r="D3570">
            <v>0</v>
          </cell>
          <cell r="E3570">
            <v>0</v>
          </cell>
          <cell r="F3570">
            <v>0</v>
          </cell>
        </row>
        <row r="3571">
          <cell r="A3571" t="str">
            <v>X21JMF45S16</v>
          </cell>
          <cell r="B3571" t="str">
            <v>Fitting</v>
          </cell>
          <cell r="C3571" t="str">
            <v>PC</v>
          </cell>
          <cell r="D3571">
            <v>0</v>
          </cell>
          <cell r="E3571">
            <v>0</v>
          </cell>
          <cell r="F3571">
            <v>0</v>
          </cell>
        </row>
        <row r="3572">
          <cell r="A3572" t="str">
            <v>X21JMF90S12</v>
          </cell>
          <cell r="B3572" t="str">
            <v>Fitting</v>
          </cell>
          <cell r="C3572" t="str">
            <v>PC</v>
          </cell>
          <cell r="D3572">
            <v>0</v>
          </cell>
          <cell r="E3572">
            <v>0</v>
          </cell>
          <cell r="F3572">
            <v>0</v>
          </cell>
        </row>
        <row r="3573">
          <cell r="A3573" t="str">
            <v>X21JMF90S16</v>
          </cell>
          <cell r="B3573" t="str">
            <v>Fitting</v>
          </cell>
          <cell r="C3573" t="str">
            <v>PC</v>
          </cell>
          <cell r="D3573">
            <v>0</v>
          </cell>
          <cell r="E3573">
            <v>0</v>
          </cell>
          <cell r="F3573">
            <v>0</v>
          </cell>
        </row>
        <row r="3574">
          <cell r="A3574" t="str">
            <v>X22LMSOF15-08</v>
          </cell>
          <cell r="B3574" t="str">
            <v>HOSE FITTING (X22LMSOF15-08+XTC-08)</v>
          </cell>
          <cell r="C3574" t="str">
            <v>PC</v>
          </cell>
          <cell r="D3574">
            <v>0</v>
          </cell>
          <cell r="E3574">
            <v>12270</v>
          </cell>
          <cell r="F3574">
            <v>0</v>
          </cell>
        </row>
        <row r="3575">
          <cell r="A3575" t="str">
            <v>X24SFH45S-3-24</v>
          </cell>
          <cell r="B3575" t="str">
            <v>Fitting</v>
          </cell>
          <cell r="C3575" t="str">
            <v>PC</v>
          </cell>
          <cell r="D3575">
            <v>0</v>
          </cell>
          <cell r="E3575">
            <v>0</v>
          </cell>
          <cell r="F3575">
            <v>0</v>
          </cell>
        </row>
        <row r="3576">
          <cell r="A3576" t="str">
            <v>X24SFH90S12</v>
          </cell>
          <cell r="B3576" t="str">
            <v>Fitting</v>
          </cell>
          <cell r="C3576" t="str">
            <v>PC</v>
          </cell>
          <cell r="D3576">
            <v>0</v>
          </cell>
          <cell r="E3576">
            <v>0</v>
          </cell>
          <cell r="F3576">
            <v>0</v>
          </cell>
        </row>
        <row r="3577">
          <cell r="A3577" t="str">
            <v>X24SFH90S-3-24</v>
          </cell>
          <cell r="B3577" t="str">
            <v>Fitting</v>
          </cell>
          <cell r="C3577" t="str">
            <v>PC</v>
          </cell>
          <cell r="D3577">
            <v>0</v>
          </cell>
          <cell r="E3577">
            <v>0</v>
          </cell>
          <cell r="F3577">
            <v>0</v>
          </cell>
        </row>
        <row r="3578">
          <cell r="A3578" t="str">
            <v>X24SFHSL-3-24</v>
          </cell>
          <cell r="B3578" t="str">
            <v>Fitting</v>
          </cell>
          <cell r="C3578" t="str">
            <v>PC</v>
          </cell>
          <cell r="D3578">
            <v>0</v>
          </cell>
          <cell r="E3578">
            <v>0</v>
          </cell>
          <cell r="F3578">
            <v>0</v>
          </cell>
        </row>
        <row r="3579">
          <cell r="A3579" t="str">
            <v>X26JMF20</v>
          </cell>
          <cell r="B3579" t="str">
            <v>Fitting</v>
          </cell>
          <cell r="C3579" t="str">
            <v>PC</v>
          </cell>
          <cell r="D3579">
            <v>0</v>
          </cell>
          <cell r="E3579">
            <v>0</v>
          </cell>
          <cell r="F3579">
            <v>0</v>
          </cell>
        </row>
        <row r="3580">
          <cell r="A3580" t="str">
            <v>X26JMF90S20</v>
          </cell>
          <cell r="B3580" t="str">
            <v>FERRULE</v>
          </cell>
          <cell r="C3580" t="str">
            <v>PC</v>
          </cell>
          <cell r="D3580">
            <v>0</v>
          </cell>
          <cell r="E3580">
            <v>0</v>
          </cell>
          <cell r="F3580">
            <v>0</v>
          </cell>
        </row>
        <row r="3581">
          <cell r="A3581" t="str">
            <v>X26JMF9S020</v>
          </cell>
          <cell r="B3581" t="str">
            <v>FERRULE</v>
          </cell>
          <cell r="C3581" t="str">
            <v>PC</v>
          </cell>
          <cell r="D3581">
            <v>0</v>
          </cell>
          <cell r="E3581">
            <v>0</v>
          </cell>
          <cell r="F3581">
            <v>0</v>
          </cell>
        </row>
        <row r="3582">
          <cell r="A3582" t="str">
            <v>X30JMF90S24</v>
          </cell>
          <cell r="B3582" t="str">
            <v>Fitting</v>
          </cell>
          <cell r="C3582" t="str">
            <v>PC</v>
          </cell>
          <cell r="D3582">
            <v>0</v>
          </cell>
          <cell r="E3582">
            <v>0</v>
          </cell>
          <cell r="F3582">
            <v>0</v>
          </cell>
        </row>
        <row r="3583">
          <cell r="A3583" t="str">
            <v>X30MOSES200</v>
          </cell>
          <cell r="B3583" t="str">
            <v>HOSE END</v>
          </cell>
          <cell r="C3583" t="str">
            <v>PC</v>
          </cell>
          <cell r="D3583">
            <v>0</v>
          </cell>
          <cell r="E3583">
            <v>122150</v>
          </cell>
          <cell r="F3583">
            <v>0</v>
          </cell>
        </row>
        <row r="3584">
          <cell r="A3584" t="str">
            <v>X32SFH45S</v>
          </cell>
          <cell r="B3584" t="str">
            <v>ELBOW 45 SAE FLANGE 2"</v>
          </cell>
          <cell r="C3584" t="str">
            <v>PC</v>
          </cell>
          <cell r="D3584">
            <v>0</v>
          </cell>
          <cell r="E3584">
            <v>295859</v>
          </cell>
          <cell r="F3584">
            <v>0</v>
          </cell>
        </row>
        <row r="3585">
          <cell r="A3585" t="str">
            <v>X42LMS0F30-20</v>
          </cell>
          <cell r="B3585" t="str">
            <v>Hose end1-1/4"</v>
          </cell>
          <cell r="C3585" t="str">
            <v>PC</v>
          </cell>
          <cell r="D3585">
            <v>0</v>
          </cell>
          <cell r="E3585">
            <v>163135</v>
          </cell>
          <cell r="F3585">
            <v>0</v>
          </cell>
        </row>
        <row r="3586">
          <cell r="A3586" t="str">
            <v>X52LMSOF42-24</v>
          </cell>
          <cell r="B3586" t="str">
            <v>FEMALE STRAIGHT</v>
          </cell>
          <cell r="C3586" t="str">
            <v>PC</v>
          </cell>
          <cell r="D3586">
            <v>2</v>
          </cell>
          <cell r="E3586">
            <v>170257</v>
          </cell>
          <cell r="F3586">
            <v>340513</v>
          </cell>
        </row>
        <row r="3587">
          <cell r="A3587" t="str">
            <v>X550RC</v>
          </cell>
          <cell r="B3587" t="str">
            <v>TOOTH</v>
          </cell>
          <cell r="C3587" t="str">
            <v>PC</v>
          </cell>
          <cell r="D3587">
            <v>0</v>
          </cell>
          <cell r="E3587">
            <v>1353011</v>
          </cell>
          <cell r="F3587">
            <v>0</v>
          </cell>
        </row>
        <row r="3588">
          <cell r="A3588" t="str">
            <v>XS09JMF90S06</v>
          </cell>
          <cell r="B3588" t="str">
            <v>Fitting</v>
          </cell>
          <cell r="C3588" t="str">
            <v>PC</v>
          </cell>
          <cell r="D3588">
            <v>0</v>
          </cell>
          <cell r="E3588">
            <v>0</v>
          </cell>
          <cell r="F3588">
            <v>0</v>
          </cell>
        </row>
        <row r="3589">
          <cell r="A3589" t="str">
            <v>XTC-06</v>
          </cell>
          <cell r="B3589" t="str">
            <v>FERRULE</v>
          </cell>
          <cell r="C3589" t="str">
            <v>PC</v>
          </cell>
          <cell r="D3589">
            <v>0</v>
          </cell>
          <cell r="E3589">
            <v>0</v>
          </cell>
          <cell r="F3589">
            <v>0</v>
          </cell>
        </row>
        <row r="3590">
          <cell r="A3590" t="str">
            <v>XTC-08</v>
          </cell>
          <cell r="B3590" t="str">
            <v>FERRULE</v>
          </cell>
          <cell r="C3590" t="str">
            <v>PC</v>
          </cell>
          <cell r="D3590">
            <v>0</v>
          </cell>
          <cell r="E3590">
            <v>0</v>
          </cell>
          <cell r="F3590">
            <v>0</v>
          </cell>
        </row>
        <row r="3591">
          <cell r="A3591" t="str">
            <v>XTC-12</v>
          </cell>
          <cell r="B3591" t="str">
            <v>FERRULE</v>
          </cell>
          <cell r="C3591" t="str">
            <v>PC</v>
          </cell>
          <cell r="D3591">
            <v>0</v>
          </cell>
          <cell r="E3591">
            <v>0</v>
          </cell>
          <cell r="F3591">
            <v>0</v>
          </cell>
        </row>
        <row r="3592">
          <cell r="A3592" t="str">
            <v>XTC1-24</v>
          </cell>
          <cell r="B3592" t="str">
            <v>FERRULE</v>
          </cell>
          <cell r="C3592" t="str">
            <v>PC</v>
          </cell>
          <cell r="D3592">
            <v>2</v>
          </cell>
          <cell r="E3592">
            <v>60938</v>
          </cell>
          <cell r="F3592">
            <v>121876</v>
          </cell>
        </row>
        <row r="3593">
          <cell r="A3593" t="str">
            <v>XTC-16</v>
          </cell>
          <cell r="B3593" t="str">
            <v>FERRULE</v>
          </cell>
          <cell r="C3593" t="str">
            <v>PC</v>
          </cell>
          <cell r="D3593">
            <v>0</v>
          </cell>
          <cell r="E3593">
            <v>0</v>
          </cell>
          <cell r="F3593">
            <v>0</v>
          </cell>
        </row>
        <row r="3594">
          <cell r="A3594" t="str">
            <v>XTC2-20</v>
          </cell>
          <cell r="B3594" t="str">
            <v>FERRULE</v>
          </cell>
          <cell r="C3594" t="str">
            <v>PC</v>
          </cell>
          <cell r="D3594">
            <v>0</v>
          </cell>
          <cell r="E3594">
            <v>0</v>
          </cell>
          <cell r="F3594">
            <v>0</v>
          </cell>
        </row>
        <row r="3595">
          <cell r="A3595" t="str">
            <v>XTR-20</v>
          </cell>
          <cell r="B3595" t="str">
            <v>FITTING</v>
          </cell>
          <cell r="C3595" t="str">
            <v>PC</v>
          </cell>
          <cell r="D3595">
            <v>0</v>
          </cell>
          <cell r="E3595">
            <v>0</v>
          </cell>
          <cell r="F3595">
            <v>0</v>
          </cell>
        </row>
        <row r="3596">
          <cell r="A3596" t="str">
            <v>Y01-600-1011</v>
          </cell>
          <cell r="B3596" t="str">
            <v>SWIVEL JOINT</v>
          </cell>
          <cell r="C3596" t="str">
            <v>PC</v>
          </cell>
          <cell r="D3596">
            <v>4</v>
          </cell>
          <cell r="E3596">
            <v>417600</v>
          </cell>
          <cell r="F3596">
            <v>1670400</v>
          </cell>
        </row>
        <row r="3597">
          <cell r="A3597" t="str">
            <v>Y01-600-4011</v>
          </cell>
          <cell r="B3597" t="str">
            <v>HYD CYLINDER LF470</v>
          </cell>
          <cell r="C3597" t="str">
            <v>PC</v>
          </cell>
          <cell r="D3597">
            <v>1</v>
          </cell>
          <cell r="E3597">
            <v>2302350</v>
          </cell>
          <cell r="F3597">
            <v>2302350</v>
          </cell>
        </row>
        <row r="3598">
          <cell r="A3598" t="str">
            <v>Y01-600-5010</v>
          </cell>
          <cell r="B3598" t="str">
            <v>HYD CYL WA 500</v>
          </cell>
          <cell r="C3598" t="str">
            <v>PC</v>
          </cell>
          <cell r="D3598">
            <v>0</v>
          </cell>
          <cell r="E3598">
            <v>5300000</v>
          </cell>
          <cell r="F3598">
            <v>0</v>
          </cell>
        </row>
        <row r="3599">
          <cell r="A3599" t="str">
            <v>Y01-600-5110</v>
          </cell>
          <cell r="B3599" t="str">
            <v>HYD CYLINDER RLG</v>
          </cell>
          <cell r="C3599" t="str">
            <v>PC</v>
          </cell>
          <cell r="D3599">
            <v>1</v>
          </cell>
          <cell r="E3599">
            <v>2988000</v>
          </cell>
          <cell r="F3599">
            <v>2988000</v>
          </cell>
        </row>
        <row r="3600">
          <cell r="A3600" t="str">
            <v>Y01-600-6000</v>
          </cell>
          <cell r="B3600" t="str">
            <v>HYDRAULIC CYL.</v>
          </cell>
          <cell r="C3600" t="str">
            <v>PC</v>
          </cell>
          <cell r="D3600">
            <v>0</v>
          </cell>
          <cell r="E3600">
            <v>0</v>
          </cell>
          <cell r="F3600">
            <v>0</v>
          </cell>
        </row>
        <row r="3601">
          <cell r="A3601" t="str">
            <v>YDS-61B-2180-00</v>
          </cell>
          <cell r="B3601" t="str">
            <v>DRIVE SHAFT KIT</v>
          </cell>
          <cell r="C3601" t="str">
            <v>PC</v>
          </cell>
          <cell r="D3601">
            <v>7</v>
          </cell>
          <cell r="E3601">
            <v>728700</v>
          </cell>
          <cell r="F3601">
            <v>5100900</v>
          </cell>
        </row>
        <row r="3602">
          <cell r="A3602" t="str">
            <v>YF1-610-2033</v>
          </cell>
          <cell r="B3602" t="str">
            <v>Flange assy inlet</v>
          </cell>
          <cell r="C3602" t="str">
            <v>PC</v>
          </cell>
          <cell r="D3602">
            <v>0</v>
          </cell>
          <cell r="E3602">
            <v>1</v>
          </cell>
          <cell r="F3602">
            <v>0</v>
          </cell>
        </row>
        <row r="3603">
          <cell r="A3603" t="str">
            <v>YFL-610-2033</v>
          </cell>
          <cell r="B3603" t="str">
            <v>FLANGE ASSY INLET</v>
          </cell>
          <cell r="C3603" t="str">
            <v>PC</v>
          </cell>
          <cell r="D3603">
            <v>0</v>
          </cell>
          <cell r="E3603">
            <v>176625</v>
          </cell>
          <cell r="F3603">
            <v>0</v>
          </cell>
        </row>
        <row r="3604">
          <cell r="A3604" t="str">
            <v>YFL-610-2042</v>
          </cell>
          <cell r="B3604" t="str">
            <v>FLANGE ASSY PRESSURE</v>
          </cell>
          <cell r="C3604" t="str">
            <v>PC</v>
          </cell>
          <cell r="D3604">
            <v>0</v>
          </cell>
          <cell r="E3604">
            <v>277625</v>
          </cell>
          <cell r="F3604">
            <v>0</v>
          </cell>
        </row>
        <row r="3605">
          <cell r="A3605" t="str">
            <v>YFL-610-2054</v>
          </cell>
          <cell r="B3605" t="str">
            <v>Pipe assy return</v>
          </cell>
          <cell r="C3605" t="str">
            <v>PC</v>
          </cell>
          <cell r="D3605">
            <v>0</v>
          </cell>
          <cell r="E3605">
            <v>1</v>
          </cell>
          <cell r="F3605">
            <v>0</v>
          </cell>
        </row>
        <row r="3606">
          <cell r="A3606" t="str">
            <v>YGP-7B-13660-00</v>
          </cell>
          <cell r="B3606" t="str">
            <v>Pump KIT GPG136</v>
          </cell>
          <cell r="C3606" t="str">
            <v>PC</v>
          </cell>
          <cell r="D3606">
            <v>0</v>
          </cell>
          <cell r="E3606">
            <v>4610000</v>
          </cell>
          <cell r="F3606">
            <v>0</v>
          </cell>
        </row>
        <row r="3607">
          <cell r="A3607" t="str">
            <v>YH001-000300</v>
          </cell>
          <cell r="B3607" t="str">
            <v>ADAFTER</v>
          </cell>
          <cell r="C3607" t="str">
            <v>PC</v>
          </cell>
          <cell r="D3607">
            <v>32</v>
          </cell>
          <cell r="E3607">
            <v>3564</v>
          </cell>
          <cell r="F3607">
            <v>114048</v>
          </cell>
        </row>
        <row r="3608">
          <cell r="A3608" t="str">
            <v>YH001-000320</v>
          </cell>
          <cell r="B3608" t="str">
            <v>ADAPTOR PTO T.22</v>
          </cell>
          <cell r="C3608" t="str">
            <v>PC</v>
          </cell>
          <cell r="D3608">
            <v>12</v>
          </cell>
          <cell r="E3608">
            <v>13200</v>
          </cell>
          <cell r="F3608">
            <v>158400</v>
          </cell>
        </row>
        <row r="3609">
          <cell r="A3609" t="str">
            <v>YH001-000330</v>
          </cell>
          <cell r="B3609" t="str">
            <v>ADAPTOR T.32</v>
          </cell>
          <cell r="C3609" t="str">
            <v>PC</v>
          </cell>
          <cell r="D3609">
            <v>37</v>
          </cell>
          <cell r="E3609">
            <v>19200</v>
          </cell>
          <cell r="F3609">
            <v>710400</v>
          </cell>
        </row>
        <row r="3610">
          <cell r="A3610" t="str">
            <v>YHS-18R-1300</v>
          </cell>
          <cell r="B3610" t="str">
            <v>HOSE RETURN</v>
          </cell>
          <cell r="C3610" t="str">
            <v>PC</v>
          </cell>
          <cell r="D3610">
            <v>0</v>
          </cell>
          <cell r="E3610">
            <v>0</v>
          </cell>
          <cell r="F3610">
            <v>0</v>
          </cell>
        </row>
        <row r="3611">
          <cell r="A3611" t="str">
            <v>YOKE</v>
          </cell>
          <cell r="B3611" t="str">
            <v>YOKE MGM</v>
          </cell>
          <cell r="C3611" t="str">
            <v>PC</v>
          </cell>
          <cell r="D3611">
            <v>76</v>
          </cell>
          <cell r="E3611">
            <v>16500</v>
          </cell>
          <cell r="F3611">
            <v>1254000</v>
          </cell>
        </row>
        <row r="3612">
          <cell r="A3612" t="str">
            <v>YPL-610-2042</v>
          </cell>
          <cell r="B3612" t="str">
            <v>Flange assy pressure</v>
          </cell>
          <cell r="C3612" t="str">
            <v>PC</v>
          </cell>
          <cell r="D3612">
            <v>0</v>
          </cell>
          <cell r="E3612">
            <v>1</v>
          </cell>
          <cell r="F3612">
            <v>0</v>
          </cell>
        </row>
        <row r="3613">
          <cell r="A3613" t="str">
            <v>YPP-610-2021</v>
          </cell>
          <cell r="B3613" t="str">
            <v>PIPE ASSY</v>
          </cell>
          <cell r="C3613" t="str">
            <v>PC</v>
          </cell>
          <cell r="D3613">
            <v>0</v>
          </cell>
          <cell r="E3613">
            <v>275650</v>
          </cell>
          <cell r="F3613">
            <v>0</v>
          </cell>
        </row>
        <row r="3614">
          <cell r="A3614" t="str">
            <v>YPP-610-2054</v>
          </cell>
          <cell r="B3614" t="str">
            <v>PIPE ASSY RETURN</v>
          </cell>
          <cell r="C3614" t="str">
            <v>PC</v>
          </cell>
          <cell r="D3614">
            <v>0</v>
          </cell>
          <cell r="E3614">
            <v>217850</v>
          </cell>
          <cell r="F3614">
            <v>0</v>
          </cell>
        </row>
        <row r="3615">
          <cell r="A3615" t="str">
            <v>YPP-82D-0000-01</v>
          </cell>
          <cell r="B3615" t="str">
            <v>PIPE KIT</v>
          </cell>
          <cell r="C3615" t="str">
            <v>PC</v>
          </cell>
          <cell r="D3615">
            <v>0</v>
          </cell>
          <cell r="E3615">
            <v>0</v>
          </cell>
          <cell r="F3615">
            <v>0</v>
          </cell>
        </row>
        <row r="3616">
          <cell r="A3616" t="str">
            <v>YTJ-600-5010</v>
          </cell>
          <cell r="B3616" t="str">
            <v>HYD TIMBER JACK</v>
          </cell>
          <cell r="C3616" t="str">
            <v>PC</v>
          </cell>
          <cell r="D3616">
            <v>2</v>
          </cell>
          <cell r="E3616">
            <v>1350000</v>
          </cell>
          <cell r="F3616">
            <v>2700000</v>
          </cell>
        </row>
        <row r="3617">
          <cell r="A3617" t="str">
            <v>YTK-82B-0000-00</v>
          </cell>
          <cell r="B3617" t="str">
            <v>OIL TANK KIT</v>
          </cell>
          <cell r="C3617" t="str">
            <v>PC</v>
          </cell>
          <cell r="D3617">
            <v>0</v>
          </cell>
          <cell r="E3617">
            <v>0</v>
          </cell>
          <cell r="F3617">
            <v>0</v>
          </cell>
        </row>
        <row r="3618">
          <cell r="A3618" t="str">
            <v>ZZ2057019570</v>
          </cell>
          <cell r="B3618" t="str">
            <v>TOOTH</v>
          </cell>
          <cell r="C3618" t="str">
            <v>PC</v>
          </cell>
          <cell r="D3618">
            <v>0</v>
          </cell>
          <cell r="E3618">
            <v>91000</v>
          </cell>
          <cell r="F3618">
            <v>0</v>
          </cell>
        </row>
        <row r="3619">
          <cell r="A3619" t="str">
            <v>ZZ20-57019570</v>
          </cell>
          <cell r="B3619" t="str">
            <v>TEETH</v>
          </cell>
          <cell r="C3619" t="str">
            <v>PC</v>
          </cell>
          <cell r="D3619">
            <v>0</v>
          </cell>
          <cell r="E3619">
            <v>91000</v>
          </cell>
          <cell r="F3619">
            <v>0</v>
          </cell>
        </row>
        <row r="3620">
          <cell r="A3620" t="str">
            <v>ZZ20Y704520</v>
          </cell>
          <cell r="B3620" t="str">
            <v>ADAPTER</v>
          </cell>
          <cell r="C3620" t="str">
            <v>PC</v>
          </cell>
          <cell r="D3620">
            <v>0</v>
          </cell>
          <cell r="E3620">
            <v>1</v>
          </cell>
          <cell r="F3620">
            <v>0</v>
          </cell>
        </row>
        <row r="3621">
          <cell r="A3621" t="str">
            <v>ZZX0924402496</v>
          </cell>
          <cell r="B3621" t="str">
            <v>PIN ASSY</v>
          </cell>
          <cell r="C3621" t="str">
            <v>PC</v>
          </cell>
          <cell r="D3621">
            <v>0</v>
          </cell>
          <cell r="E3621">
            <v>56700</v>
          </cell>
          <cell r="F3621">
            <v>0</v>
          </cell>
        </row>
        <row r="3622">
          <cell r="A3622" t="str">
            <v>ZZX0-924402496</v>
          </cell>
          <cell r="B3622" t="str">
            <v>PIN ADAPTOR</v>
          </cell>
          <cell r="C3622" t="str">
            <v>PC</v>
          </cell>
          <cell r="D3622">
            <v>0</v>
          </cell>
          <cell r="E3622">
            <v>56700</v>
          </cell>
          <cell r="F3622">
            <v>0</v>
          </cell>
        </row>
      </sheetData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benefit"/>
      <sheetName val="data_val"/>
      <sheetName val="table"/>
      <sheetName val="data_&gt;nra"/>
      <sheetName val="data_active"/>
      <sheetName val="calcu"/>
      <sheetName val="disclosure"/>
      <sheetName val="disc_olt"/>
      <sheetName val="disc_ppmp"/>
      <sheetName val="lampiran"/>
      <sheetName val="PSC"/>
      <sheetName val="disc_sent"/>
      <sheetName val="format_konsol"/>
      <sheetName val="proj"/>
      <sheetName val="format_ifrs"/>
      <sheetName val="format_aop"/>
      <sheetName val="sum_output"/>
      <sheetName val="distr"/>
      <sheetName val="gain_loss"/>
      <sheetName val="gold@nra"/>
      <sheetName val="mvmt_by_event"/>
      <sheetName val="output_active"/>
      <sheetName val="FIXED FLOAT"/>
      <sheetName val="Current"/>
      <sheetName val="Input10_A"/>
      <sheetName val="Input10_B"/>
      <sheetName val="Input10_C"/>
      <sheetName val="Input10_D"/>
      <sheetName val="Input"/>
      <sheetName val="SUD"/>
      <sheetName val="2002"/>
      <sheetName val="Level 1-3 Listing"/>
      <sheetName val="IM"/>
      <sheetName val="IM (in)"/>
      <sheetName val="IM (out)"/>
      <sheetName val="Asset"/>
      <sheetName val="Input-BP"/>
      <sheetName val="Code"/>
      <sheetName val="Cont."/>
      <sheetName val="Input-Data"/>
      <sheetName val="Input09"/>
      <sheetName val="Cover"/>
      <sheetName val="cogs"/>
      <sheetName val="Referensi"/>
      <sheetName val="OE"/>
      <sheetName val="PL Detail"/>
      <sheetName val="co_data"/>
      <sheetName val="Lamp 32 (Rekap_Biaya)"/>
      <sheetName val="Cont Mc"/>
      <sheetName val="Bilanz_Balance_Sheet"/>
      <sheetName val="Bilanz_GuV_1"/>
      <sheetName val="Anlagespiegel_F_Assets"/>
      <sheetName val="GuV_Income_Statement"/>
    </sheetNames>
    <sheetDataSet>
      <sheetData sheetId="0" refreshError="1"/>
      <sheetData sheetId="1" refreshError="1">
        <row r="6">
          <cell r="B6" t="str">
            <v>PT. AOP DIVISI HEAD OFFICE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 Profit &amp; Loss"/>
      <sheetName val="S Balance Sheet"/>
      <sheetName val="S Revenue"/>
      <sheetName val="S Oth optg income"/>
      <sheetName val="S Cost of sales"/>
      <sheetName val="S Oth optg expense"/>
      <sheetName val="S Auditor remunerat"/>
      <sheetName val="S Optg lease rental"/>
      <sheetName val="S Donations"/>
      <sheetName val="S Depn tangible FA"/>
      <sheetName val="S Staff costs"/>
      <sheetName val="S Operating profit"/>
      <sheetName val="S Directors remuner"/>
      <sheetName val="S MR EI"/>
      <sheetName val="S PL discont profit"/>
      <sheetName val="S PL discont operatn"/>
      <sheetName val="S NC asset for sale"/>
      <sheetName val="S NCA for sale mvt"/>
      <sheetName val="S NCA for sale mvt new"/>
      <sheetName val="S Net financg chrgs"/>
      <sheetName val="S Tax PL chg subs"/>
      <sheetName val="S Tax recon subs"/>
      <sheetName val="S Tax recon subs cty"/>
      <sheetName val="S Current tax mvt"/>
      <sheetName val="S Deferred tax mvt"/>
      <sheetName val="S Unrecog DTX"/>
      <sheetName val="S Dividend income"/>
      <sheetName val="S Intangible assets"/>
      <sheetName val="S Intangible assets new"/>
      <sheetName val="S Tangible assets"/>
      <sheetName val="S TA - fin lease"/>
      <sheetName val="S Investment pty"/>
      <sheetName val="S Leasehold land"/>
      <sheetName val="S Plantantions"/>
      <sheetName val="S Subsidiary"/>
      <sheetName val="S Asso cost of inv"/>
      <sheetName val="S Associates &amp; JVs"/>
      <sheetName val="S Asso - PL analysis"/>
      <sheetName val="S Asso - PL tax"/>
      <sheetName val="S JV - PL tax"/>
      <sheetName val="S Asso&amp;JV - PL tax"/>
      <sheetName val="S Asso - BS analysis"/>
      <sheetName val="S Asso - NAV mvt"/>
      <sheetName val="S Asso - NAV mvt new"/>
      <sheetName val="S Asso mvt GW &amp; adv"/>
      <sheetName val="S Oth LT investmt"/>
      <sheetName val="S Financing debtor"/>
      <sheetName val="S Financing debtor-new"/>
      <sheetName val="S Fin debtor mvt"/>
      <sheetName val="S Pension"/>
      <sheetName val="S Pension movement"/>
      <sheetName val="S Oth noncur assets"/>
      <sheetName val="S Pty for sale"/>
      <sheetName val="S Pty F S comp mvt"/>
      <sheetName val="S Pty F S dev mvt"/>
      <sheetName val="S Stocks"/>
      <sheetName val="S Stocks mvt"/>
      <sheetName val="S Debtors"/>
      <sheetName val="S Debtors mvt"/>
      <sheetName val="S Bk liquid fund"/>
      <sheetName val="S Bk bal mvt"/>
      <sheetName val="S Creditors"/>
      <sheetName val="S Creditors mvt"/>
      <sheetName val="S Borrowg summary"/>
      <sheetName val="S Borrowg mvt"/>
      <sheetName val="S Borrowg by lease"/>
      <sheetName val="S Borrowg-currency"/>
      <sheetName val="S Current provision"/>
      <sheetName val="S Noncur provisions"/>
      <sheetName val="S Oth noncur liab"/>
      <sheetName val="S Share capital"/>
      <sheetName val="S SF movement"/>
      <sheetName val="S SF movement new"/>
      <sheetName val="S Shareholders fund"/>
      <sheetName val="S Shareholders fund new"/>
      <sheetName val="S Minority interests"/>
      <sheetName val="S Minority interests new"/>
      <sheetName val="S Acq - subsidiary"/>
      <sheetName val="S Disp - subsidiary"/>
      <sheetName val="S Acq - Asso &amp; JVs"/>
      <sheetName val="S Disp - Asso &amp; JVs"/>
      <sheetName val="S Capex-cash-Geo"/>
      <sheetName val="S Capex-additions"/>
      <sheetName val="S Capex-disposals"/>
      <sheetName val="S Capex-accrual-Geo"/>
      <sheetName val="S Segmt info by geo"/>
      <sheetName val="S Cap commitments"/>
      <sheetName val="S Optg lease commit"/>
      <sheetName val="S Contingent liab"/>
      <sheetName val="S Derivative FI"/>
      <sheetName val="S IC bal G - JC&amp;CGrp"/>
      <sheetName val="S IC bal prov mvt"/>
      <sheetName val="S RPT - JC&amp;C Grp cos"/>
      <sheetName val="S RPT - Asso"/>
      <sheetName val="S IC bal - mvt"/>
      <sheetName val="S Cash flow"/>
      <sheetName val="S Cash flow new"/>
      <sheetName val="S Debtors (2004)"/>
      <sheetName val="TBDec03"/>
      <sheetName val="Data23"/>
      <sheetName val="Data26"/>
      <sheetName val="LIST"/>
      <sheetName val="AP_07"/>
      <sheetName val="Sheet1 (2)"/>
      <sheetName val="WP"/>
      <sheetName val="CODE"/>
      <sheetName val="(Global Parameters)"/>
      <sheetName val="data_val"/>
      <sheetName val="Non-Statistical Sampling Master"/>
      <sheetName val="5"/>
      <sheetName val="Asset"/>
    </sheetNames>
    <sheetDataSet>
      <sheetData sheetId="0">
        <row r="1">
          <cell r="F1" t="str">
            <v/>
          </cell>
        </row>
      </sheetData>
      <sheetData sheetId="1" refreshError="1">
        <row r="1">
          <cell r="F1" t="str">
            <v/>
          </cell>
        </row>
        <row r="2">
          <cell r="F2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  <sheetName val="Cont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>
        <row r="3">
          <cell r="P3">
            <v>0</v>
          </cell>
          <cell r="Q3" t="str">
            <v>Kliwon</v>
          </cell>
          <cell r="R3" t="str">
            <v>Sabtu</v>
          </cell>
        </row>
        <row r="4">
          <cell r="P4">
            <v>1</v>
          </cell>
          <cell r="Q4" t="str">
            <v>Legi</v>
          </cell>
          <cell r="R4" t="str">
            <v>Minggu</v>
          </cell>
        </row>
        <row r="5">
          <cell r="P5">
            <v>2</v>
          </cell>
          <cell r="Q5" t="str">
            <v>Paing</v>
          </cell>
          <cell r="R5" t="str">
            <v>Senin</v>
          </cell>
        </row>
        <row r="6">
          <cell r="P6">
            <v>3</v>
          </cell>
          <cell r="Q6" t="str">
            <v>Pon</v>
          </cell>
          <cell r="R6" t="str">
            <v>Selasa</v>
          </cell>
        </row>
        <row r="7">
          <cell r="P7">
            <v>4</v>
          </cell>
          <cell r="Q7" t="str">
            <v>Wage</v>
          </cell>
          <cell r="R7" t="str">
            <v>Rabu</v>
          </cell>
        </row>
        <row r="8">
          <cell r="P8">
            <v>5</v>
          </cell>
          <cell r="R8" t="str">
            <v>Kamis</v>
          </cell>
        </row>
        <row r="9">
          <cell r="P9">
            <v>6</v>
          </cell>
          <cell r="R9" t="str">
            <v>Jum'at</v>
          </cell>
        </row>
      </sheetData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nal AAl &gt; cost ke equity"/>
      <sheetName val="jornal"/>
      <sheetName val="BS"/>
      <sheetName val="RL"/>
      <sheetName val="Pos"/>
      <sheetName val="Eliminasi"/>
      <sheetName val="TB"/>
      <sheetName val="RL-PRINT"/>
      <sheetName val="RL-Product"/>
      <sheetName val="komp"/>
      <sheetName val="INV"/>
      <sheetName val="Inv-PT"/>
      <sheetName val="Segmen Usaha"/>
      <sheetName val="data"/>
      <sheetName val="Makro"/>
      <sheetName val="new-bs"/>
      <sheetName val="GOODWILL 1102"/>
      <sheetName val="Marshal"/>
      <sheetName val="F1771-IV"/>
      <sheetName val="F1771-V"/>
      <sheetName val="instalasi disp Mei"/>
      <sheetName val="Family"/>
      <sheetName val="Contents"/>
      <sheetName val="Tab.Daten"/>
      <sheetName val="cek captrans"/>
      <sheetName val="capex consol"/>
      <sheetName val="fiscal depr(E)"/>
      <sheetName val="1994XLS"/>
      <sheetName val="Revenues"/>
      <sheetName val="ﾄﾖﾀUNIT"/>
      <sheetName val="Debt Summary"/>
      <sheetName val="Cont Mc"/>
      <sheetName val="DEP_USD"/>
      <sheetName val="popmc"/>
      <sheetName val="Basicdata"/>
      <sheetName val="F1771-II"/>
      <sheetName val="F1771-III"/>
      <sheetName val="Jurnal_AAl_&gt;_cost_ke_equity"/>
      <sheetName val="Segmen_Usaha"/>
      <sheetName val="GOODWILL_1102"/>
      <sheetName val="instalasi_disp_Mei"/>
      <sheetName val="fiscal_depr(E)"/>
      <sheetName val="Tab_Daten"/>
      <sheetName val="cek_captrans"/>
      <sheetName val="capex_consol"/>
      <sheetName val="Debt_Summary"/>
      <sheetName val="Cont_Mc"/>
      <sheetName val="Asumsi by Own"/>
      <sheetName val="Other charges (income)"/>
      <sheetName val="BPR"/>
      <sheetName val="Back No"/>
      <sheetName val="Ex-Rate"/>
      <sheetName val="Turnover"/>
      <sheetName val="Hay Guide Charts Notes"/>
      <sheetName val="WP-SP-03"/>
      <sheetName val="Valuation"/>
      <sheetName val="Profile"/>
      <sheetName val="Switches"/>
      <sheetName val="Working Sheet"/>
      <sheetName val="Paremeter Database"/>
      <sheetName val="Pipeline Database"/>
      <sheetName val="master"/>
      <sheetName val="April"/>
      <sheetName val="Permanent info"/>
      <sheetName val="SAHAM"/>
      <sheetName val="GeneralInfo"/>
      <sheetName val="CRITERIA1"/>
      <sheetName val="All"/>
      <sheetName val="Broker"/>
      <sheetName val="Trust"/>
      <sheetName val="Sheet1"/>
      <sheetName val="Broker (2)"/>
      <sheetName val="PIVOT"/>
      <sheetName val="Hasil PIVOT"/>
      <sheetName val="All (2)"/>
      <sheetName val="BS YAM"/>
      <sheetName val="PL YAM"/>
      <sheetName val="AMII-WS"/>
      <sheetName val="Elimination Entries  "/>
      <sheetName val="Third Party"/>
      <sheetName val="TB Jan20"/>
      <sheetName val="Basis P&amp;L"/>
      <sheetName val="A"/>
      <sheetName val="PM"/>
      <sheetName val="Control"/>
      <sheetName val="TBM"/>
      <sheetName val="base de dados"/>
      <sheetName val="BARS"/>
      <sheetName val="Jakarta"/>
      <sheetName val="SUD"/>
      <sheetName val="laporan96"/>
      <sheetName val="DETAIL AR PART"/>
      <sheetName val="2002"/>
      <sheetName val="Sheet1 _2_"/>
      <sheetName val="Jurnal_AAl_&gt;_cost_ke_equity2"/>
      <sheetName val="Segmen_Usaha2"/>
      <sheetName val="Asumsi_by_Own1"/>
      <sheetName val="Other_charges_(income)1"/>
      <sheetName val="GOODWILL_11021"/>
      <sheetName val="instalasi_disp_Mei1"/>
      <sheetName val="Tab_Daten1"/>
      <sheetName val="cek_captrans1"/>
      <sheetName val="capex_consol1"/>
      <sheetName val="fiscal_depr(E)1"/>
      <sheetName val="Debt_Summary1"/>
      <sheetName val="Cont_Mc1"/>
      <sheetName val="Jurnal_AAl_&gt;_cost_ke_equity1"/>
      <sheetName val="Segmen_Usaha1"/>
      <sheetName val="Asumsi_by_Own"/>
      <sheetName val="Other_charges_(income)"/>
      <sheetName val="Hay_Guide_Charts_Notes"/>
      <sheetName val="Working_Sheet"/>
      <sheetName val="Paremeter_Database"/>
      <sheetName val="Pipeline_Database"/>
      <sheetName val="Permanent_info"/>
      <sheetName val="Back_No"/>
      <sheetName val="EE-PROP"/>
      <sheetName val="surat _2_"/>
      <sheetName val="ALFA"/>
      <sheetName val="SPRS breakdown pricing"/>
      <sheetName val="Desc "/>
      <sheetName val="Aging Sept"/>
      <sheetName val="Equipment"/>
      <sheetName val="DAFTAR Tower"/>
      <sheetName val="TABLE"/>
      <sheetName val="Jurnal_AAl_&gt;_cost_ke_equity3"/>
      <sheetName val="Segmen_Usaha3"/>
      <sheetName val="GOODWILL_11022"/>
      <sheetName val="instalasi_disp_Mei2"/>
      <sheetName val="Tab_Daten2"/>
      <sheetName val="cek_captrans2"/>
      <sheetName val="capex_consol2"/>
      <sheetName val="fiscal_depr(E)2"/>
      <sheetName val="Debt_Summary2"/>
      <sheetName val="Cont_Mc2"/>
      <sheetName val="Asumsi_by_Own2"/>
      <sheetName val="Other_charges_(income)2"/>
      <sheetName val="Hay_Guide_Charts_Notes1"/>
      <sheetName val="Working_Sheet1"/>
      <sheetName val="Paremeter_Database1"/>
      <sheetName val="Pipeline_Database1"/>
      <sheetName val="Permanent_info1"/>
      <sheetName val="Back_No1"/>
      <sheetName val="Basis_P&amp;L"/>
      <sheetName val="base_de_dados"/>
      <sheetName val="Broker_(2)"/>
      <sheetName val="Hasil_PIVOT"/>
      <sheetName val="All_(2)"/>
      <sheetName val="BS_YAM"/>
      <sheetName val="PL_YAM"/>
      <sheetName val="Elimination_Entries__"/>
      <sheetName val="Third_Party"/>
      <sheetName val="TB_Jan20"/>
      <sheetName val="DAFTAR_Tower"/>
      <sheetName val="DETAIL_AR_PART"/>
      <sheetName val="Sheet1__2_"/>
      <sheetName val="SPRS_breakdown_pricing"/>
      <sheetName val="surat__2_"/>
      <sheetName val="Desc_"/>
      <sheetName val="Aging_Sept"/>
      <sheetName val="3-DIV3"/>
      <sheetName val="3-DIV2"/>
      <sheetName val="Ranges"/>
      <sheetName val="Crew"/>
      <sheetName val="bill qty"/>
      <sheetName val="ST"/>
      <sheetName val="Sheet3"/>
      <sheetName val="prod_sched"/>
      <sheetName val="ARNT mar_vera"/>
      <sheetName val="Donation YTD_vera"/>
      <sheetName val="Detail Aging AR_vera"/>
      <sheetName val="Accrued Oth_ uti n Claim ALL"/>
      <sheetName val="ARNT mar-vera"/>
      <sheetName val="PPV SAP"/>
      <sheetName val="HSO"/>
      <sheetName val="cf0100"/>
      <sheetName val="Gaikindo Report"/>
      <sheetName val="aging stock"/>
      <sheetName val="08"/>
      <sheetName val="Cek karoseri nilai 1 (nihil)"/>
      <sheetName val="Parameter"/>
      <sheetName val="Clg"/>
      <sheetName val="DBBE"/>
      <sheetName val="DDPC"/>
      <sheetName val="DISM"/>
      <sheetName val="DJB"/>
      <sheetName val="DPM"/>
      <sheetName val="DPMA"/>
      <sheetName val="DWM"/>
      <sheetName val="Le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Reff"/>
      <sheetName val="SF Imp"/>
      <sheetName val="ManHour"/>
      <sheetName val="ZC1USAOH"/>
      <sheetName val="ZC2USAOH"/>
      <sheetName val="ZC3USAOH"/>
      <sheetName val="ZC4USAOH"/>
      <sheetName val="IH ZC USA"/>
      <sheetName val="SF_Imp"/>
      <sheetName val="IH_ZC_USA"/>
      <sheetName val="data"/>
    </sheetNames>
    <sheetDataSet>
      <sheetData sheetId="0" refreshError="1"/>
      <sheetData sheetId="1" refreshError="1">
        <row r="4">
          <cell r="B4">
            <v>2451</v>
          </cell>
        </row>
        <row r="26">
          <cell r="F26">
            <v>215</v>
          </cell>
        </row>
      </sheetData>
      <sheetData sheetId="2" refreshError="1">
        <row r="4">
          <cell r="B4">
            <v>2451</v>
          </cell>
        </row>
        <row r="40">
          <cell r="G40">
            <v>12.3188</v>
          </cell>
          <cell r="J40">
            <v>12.3188</v>
          </cell>
          <cell r="N40">
            <v>12.3188</v>
          </cell>
        </row>
      </sheetData>
      <sheetData sheetId="3" refreshError="1">
        <row r="5">
          <cell r="L5">
            <v>133.35</v>
          </cell>
        </row>
        <row r="6">
          <cell r="L6">
            <v>133.35</v>
          </cell>
        </row>
        <row r="10">
          <cell r="L10">
            <v>133.35</v>
          </cell>
        </row>
      </sheetData>
      <sheetData sheetId="4" refreshError="1">
        <row r="5">
          <cell r="L5">
            <v>133.35</v>
          </cell>
        </row>
        <row r="42">
          <cell r="E42">
            <v>246661</v>
          </cell>
        </row>
      </sheetData>
      <sheetData sheetId="5" refreshError="1">
        <row r="37">
          <cell r="E37">
            <v>211721</v>
          </cell>
        </row>
      </sheetData>
      <sheetData sheetId="6" refreshError="1"/>
      <sheetData sheetId="7" refreshError="1">
        <row r="37">
          <cell r="E37">
            <v>211721</v>
          </cell>
        </row>
        <row r="38">
          <cell r="E38">
            <v>213766</v>
          </cell>
        </row>
      </sheetData>
      <sheetData sheetId="8" refreshError="1">
        <row r="89">
          <cell r="J89">
            <v>718.25726495726519</v>
          </cell>
          <cell r="K89">
            <v>717.59639623685143</v>
          </cell>
          <cell r="L89">
            <v>779.78116316190449</v>
          </cell>
        </row>
        <row r="105">
          <cell r="J105">
            <v>815501.6399137486</v>
          </cell>
          <cell r="K105">
            <v>805620.57986452919</v>
          </cell>
          <cell r="L105">
            <v>872835.53477091657</v>
          </cell>
        </row>
      </sheetData>
      <sheetData sheetId="9">
        <row r="5">
          <cell r="L5">
            <v>133.35</v>
          </cell>
        </row>
      </sheetData>
      <sheetData sheetId="10">
        <row r="89">
          <cell r="J89">
            <v>718.25726495726519</v>
          </cell>
        </row>
      </sheetData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t 35 york"/>
      <sheetName val="CDL 30 york"/>
      <sheetName val="sst 35 bpw"/>
      <sheetName val="cdl 30 bpw"/>
      <sheetName val="sst 77 bpw (2)"/>
      <sheetName val="sst 77 bpw"/>
      <sheetName val="dl 50 bpw"/>
      <sheetName val="sst 77 york"/>
      <sheetName val="dl 50 tork"/>
      <sheetName val="Sheet3"/>
      <sheetName val="sst_35_york"/>
      <sheetName val="CDL_30_york"/>
      <sheetName val="sst_35_bpw"/>
      <sheetName val="cdl_30_bpw"/>
      <sheetName val="sst_77_bpw_(2)"/>
      <sheetName val="sst_77_bpw"/>
      <sheetName val="dl_50_bpw"/>
      <sheetName val="sst_77_york"/>
      <sheetName val="dl_50_tork"/>
    </sheetNames>
    <sheetDataSet>
      <sheetData sheetId="0" refreshError="1">
        <row r="6">
          <cell r="O6" t="str">
            <v>AUD</v>
          </cell>
          <cell r="P6">
            <v>5705</v>
          </cell>
        </row>
        <row r="7">
          <cell r="O7" t="str">
            <v>EURO</v>
          </cell>
          <cell r="P7">
            <v>9758</v>
          </cell>
        </row>
        <row r="8">
          <cell r="O8" t="str">
            <v>IDR</v>
          </cell>
          <cell r="P8">
            <v>1</v>
          </cell>
        </row>
        <row r="9">
          <cell r="O9" t="str">
            <v>SIN</v>
          </cell>
          <cell r="P9">
            <v>4854</v>
          </cell>
        </row>
        <row r="10">
          <cell r="O10" t="str">
            <v>USD</v>
          </cell>
          <cell r="P10">
            <v>8390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O6" t="str">
            <v>AUD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  <sheetName val="TB"/>
    </sheetNames>
    <sheetDataSet>
      <sheetData sheetId="0">
        <row r="1">
          <cell r="T1">
            <v>1</v>
          </cell>
          <cell r="U1" t="str">
            <v>seribu</v>
          </cell>
        </row>
        <row r="5">
          <cell r="T5">
            <v>0</v>
          </cell>
        </row>
        <row r="6">
          <cell r="T6" t="str">
            <v>000</v>
          </cell>
          <cell r="U6">
            <v>0</v>
          </cell>
          <cell r="V6">
            <v>0</v>
          </cell>
        </row>
        <row r="7">
          <cell r="V7">
            <v>0</v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  <cell r="W9" t="str">
            <v>ribu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  <cell r="W10" t="str">
            <v>ribu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  <cell r="W11" t="str">
            <v>ribu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  <cell r="W12" t="str">
            <v>ribu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  <cell r="W13" t="str">
            <v>ribu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  <cell r="W14" t="str">
            <v>ribu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  <cell r="W15" t="str">
            <v>ribu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  <cell r="W16" t="str">
            <v>ribu</v>
          </cell>
        </row>
        <row r="17">
          <cell r="T17">
            <v>10</v>
          </cell>
          <cell r="U17" t="str">
            <v>Sepuluh</v>
          </cell>
          <cell r="W17" t="str">
            <v>ribu</v>
          </cell>
        </row>
        <row r="18">
          <cell r="T18">
            <v>11</v>
          </cell>
          <cell r="U18" t="str">
            <v>Sebelas</v>
          </cell>
          <cell r="W18" t="str">
            <v>ribu</v>
          </cell>
        </row>
        <row r="19">
          <cell r="T19">
            <v>12</v>
          </cell>
          <cell r="U19" t="str">
            <v>Dua belas</v>
          </cell>
          <cell r="W19" t="str">
            <v>ribu</v>
          </cell>
        </row>
        <row r="20">
          <cell r="T20">
            <v>13</v>
          </cell>
          <cell r="U20" t="str">
            <v>Tiga belas</v>
          </cell>
          <cell r="W20" t="str">
            <v>ribu</v>
          </cell>
        </row>
        <row r="21">
          <cell r="T21">
            <v>14</v>
          </cell>
          <cell r="U21" t="str">
            <v>Empat belas</v>
          </cell>
          <cell r="W21" t="str">
            <v>ribu</v>
          </cell>
        </row>
        <row r="22">
          <cell r="T22">
            <v>15</v>
          </cell>
          <cell r="U22" t="str">
            <v>Lima belas</v>
          </cell>
          <cell r="W22" t="str">
            <v>ribu</v>
          </cell>
        </row>
        <row r="23">
          <cell r="T23">
            <v>16</v>
          </cell>
          <cell r="U23" t="str">
            <v>Enam belas</v>
          </cell>
          <cell r="W23" t="str">
            <v>ribu</v>
          </cell>
        </row>
        <row r="24">
          <cell r="T24">
            <v>17</v>
          </cell>
          <cell r="U24" t="str">
            <v>Tujuh belas</v>
          </cell>
          <cell r="W24" t="str">
            <v>ribu</v>
          </cell>
        </row>
        <row r="25">
          <cell r="T25">
            <v>18</v>
          </cell>
          <cell r="U25" t="str">
            <v>Delapan belas</v>
          </cell>
          <cell r="W25" t="str">
            <v>ribu</v>
          </cell>
        </row>
        <row r="26">
          <cell r="T26">
            <v>19</v>
          </cell>
          <cell r="U26" t="str">
            <v>Sembilan belas</v>
          </cell>
          <cell r="W26" t="str">
            <v>ribu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  <cell r="W27" t="str">
            <v>ribu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  <cell r="W28" t="str">
            <v>ribu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  <cell r="W29" t="str">
            <v>ribu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  <cell r="W30" t="str">
            <v>ribu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  <cell r="W31" t="str">
            <v>ribu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  <cell r="W32" t="str">
            <v>ribu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  <cell r="W33" t="str">
            <v>ribu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  <cell r="W34" t="str">
            <v>ribu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  <cell r="W35" t="str">
            <v>ribu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  <cell r="W36" t="str">
            <v>ribu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  <cell r="W37" t="str">
            <v>ribu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  <cell r="W38" t="str">
            <v>ribu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  <cell r="W39" t="str">
            <v>ribu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  <cell r="W40" t="str">
            <v>ribu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  <cell r="W41" t="str">
            <v>ribu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  <cell r="W42" t="str">
            <v>ribu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  <cell r="W43" t="str">
            <v>ribu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  <cell r="W44" t="str">
            <v>ribu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  <cell r="W45" t="str">
            <v>ribu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  <cell r="W46" t="str">
            <v>ribu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  <cell r="W47" t="str">
            <v>ribu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  <cell r="W48" t="str">
            <v>ribu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  <cell r="W49" t="str">
            <v>ribu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  <cell r="W50" t="str">
            <v>ribu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  <cell r="W51" t="str">
            <v>ribu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  <cell r="W52" t="str">
            <v>ribu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  <cell r="W53" t="str">
            <v>ribu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  <cell r="W54" t="str">
            <v>ribu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  <cell r="W55" t="str">
            <v>ribu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  <cell r="W56" t="str">
            <v>ribu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  <cell r="W57" t="str">
            <v>ribu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  <cell r="W58" t="str">
            <v>ribu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  <cell r="W59" t="str">
            <v>ribu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  <cell r="W60" t="str">
            <v>ribu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  <cell r="W61" t="str">
            <v>ribu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  <cell r="W62" t="str">
            <v>ribu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  <cell r="W63" t="str">
            <v>ribu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  <cell r="W64" t="str">
            <v>ribu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  <cell r="W65" t="str">
            <v>ribu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  <cell r="W66" t="str">
            <v>ribu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  <cell r="W67" t="str">
            <v>ribu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  <cell r="W68" t="str">
            <v>ribu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  <cell r="W69" t="str">
            <v>ribu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  <cell r="W70" t="str">
            <v>ribu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  <cell r="W71" t="str">
            <v>ribu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  <cell r="W72" t="str">
            <v>ribu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  <cell r="W73" t="str">
            <v>ribu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  <cell r="W74" t="str">
            <v>ribu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  <cell r="W75" t="str">
            <v>ribu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  <cell r="W76" t="str">
            <v>ribu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  <cell r="W77" t="str">
            <v>ribu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  <cell r="W78" t="str">
            <v>ribu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  <cell r="W79" t="str">
            <v>ribu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  <cell r="W80" t="str">
            <v>ribu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  <cell r="W81" t="str">
            <v>ribu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  <cell r="W82" t="str">
            <v>ribu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  <cell r="W83" t="str">
            <v>ribu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  <cell r="W84" t="str">
            <v>ribu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  <cell r="W85" t="str">
            <v>ribu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  <cell r="W86" t="str">
            <v>ribu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  <cell r="W87" t="str">
            <v>ribu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  <cell r="W88" t="str">
            <v>ribu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  <cell r="W89" t="str">
            <v>ribu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  <cell r="W90" t="str">
            <v>ribu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  <cell r="W91" t="str">
            <v>ribu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  <cell r="W92" t="str">
            <v>ribu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  <cell r="W93" t="str">
            <v>ribu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  <cell r="W94" t="str">
            <v>ribu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  <cell r="W95" t="str">
            <v>ribu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  <cell r="W96" t="str">
            <v>ribu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  <cell r="W97" t="str">
            <v>ribu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  <cell r="W98" t="str">
            <v>ribu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  <cell r="W99" t="str">
            <v>ribu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  <cell r="W100" t="str">
            <v>ribu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  <cell r="W101" t="str">
            <v>ribu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  <cell r="W102" t="str">
            <v>ribu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  <cell r="W103" t="str">
            <v>ribu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  <cell r="W104" t="str">
            <v>ribu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  <cell r="W105" t="str">
            <v>ribu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  <cell r="W106" t="str">
            <v>ribu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  <cell r="W107" t="str">
            <v>ribu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  <cell r="W108" t="str">
            <v>ribu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  <cell r="W109" t="str">
            <v>ribu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  <cell r="W110" t="str">
            <v>ribu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  <cell r="W111" t="str">
            <v>ribu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  <cell r="W112" t="str">
            <v>ribu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  <cell r="W113" t="str">
            <v>ribu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  <cell r="W114" t="str">
            <v>ribu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  <cell r="W115" t="str">
            <v>ribu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  <cell r="W116" t="str">
            <v>ribu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  <cell r="W117" t="str">
            <v>ribu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  <cell r="W118" t="str">
            <v>ribu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  <cell r="W119" t="str">
            <v>ribu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  <cell r="W120" t="str">
            <v>ribu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  <cell r="W121" t="str">
            <v>ribu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  <cell r="W122" t="str">
            <v>ribu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  <cell r="W123" t="str">
            <v>ribu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  <cell r="W124" t="str">
            <v>ribu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  <cell r="W125" t="str">
            <v>ribu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  <cell r="W126" t="str">
            <v>ribu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  <cell r="W127" t="str">
            <v>ribu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  <cell r="W128" t="str">
            <v>ribu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  <cell r="W129" t="str">
            <v>ribu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  <cell r="W130" t="str">
            <v>ribu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  <cell r="W131" t="str">
            <v>ribu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  <cell r="W132" t="str">
            <v>ribu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  <cell r="W133" t="str">
            <v>ribu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  <cell r="W134" t="str">
            <v>ribu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  <cell r="W135" t="str">
            <v>ribu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  <cell r="W136" t="str">
            <v>ribu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  <cell r="W137" t="str">
            <v>ribu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  <cell r="W138" t="str">
            <v>ribu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  <cell r="W139" t="str">
            <v>ribu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  <cell r="W140" t="str">
            <v>ribu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  <cell r="W141" t="str">
            <v>ribu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  <cell r="W142" t="str">
            <v>ribu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  <cell r="W143" t="str">
            <v>ribu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  <cell r="W144" t="str">
            <v>ribu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  <cell r="W145" t="str">
            <v>ribu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  <cell r="W146" t="str">
            <v>ribu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  <cell r="W147" t="str">
            <v>ribu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  <cell r="W148" t="str">
            <v>ribu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  <cell r="W149" t="str">
            <v>ribu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  <cell r="W150" t="str">
            <v>ribu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  <cell r="W151" t="str">
            <v>ribu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  <cell r="W152" t="str">
            <v>ribu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  <cell r="W153" t="str">
            <v>ribu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  <cell r="W154" t="str">
            <v>ribu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  <cell r="W155" t="str">
            <v>ribu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  <cell r="W156" t="str">
            <v>ribu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  <cell r="W157" t="str">
            <v>ribu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  <cell r="W158" t="str">
            <v>ribu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  <cell r="W159" t="str">
            <v>ribu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  <cell r="W160" t="str">
            <v>ribu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  <cell r="W161" t="str">
            <v>ribu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  <cell r="W162" t="str">
            <v>ribu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  <cell r="W163" t="str">
            <v>ribu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  <cell r="W164" t="str">
            <v>ribu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  <cell r="W165" t="str">
            <v>ribu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  <cell r="W166" t="str">
            <v>ribu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  <cell r="W167" t="str">
            <v>ribu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  <cell r="W168" t="str">
            <v>ribu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  <cell r="W169" t="str">
            <v>ribu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  <cell r="W170" t="str">
            <v>ribu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  <cell r="W171" t="str">
            <v>ribu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  <cell r="W172" t="str">
            <v>ribu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  <cell r="W173" t="str">
            <v>ribu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  <cell r="W174" t="str">
            <v>ribu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  <cell r="W175" t="str">
            <v>ribu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  <cell r="W176" t="str">
            <v>ribu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  <cell r="W177" t="str">
            <v>ribu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  <cell r="W178" t="str">
            <v>ribu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  <cell r="W179" t="str">
            <v>ribu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  <cell r="W180" t="str">
            <v>ribu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  <cell r="W181" t="str">
            <v>ribu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  <cell r="W182" t="str">
            <v>ribu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  <cell r="W183" t="str">
            <v>ribu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  <cell r="W184" t="str">
            <v>ribu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  <cell r="W185" t="str">
            <v>ribu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  <cell r="W186" t="str">
            <v>ribu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  <cell r="W187" t="str">
            <v>ribu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  <cell r="W188" t="str">
            <v>ribu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  <cell r="W189" t="str">
            <v>ribu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  <cell r="W190" t="str">
            <v>ribu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  <cell r="W191" t="str">
            <v>ribu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  <cell r="W192" t="str">
            <v>ribu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  <cell r="W193" t="str">
            <v>ribu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  <cell r="W194" t="str">
            <v>ribu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  <cell r="W195" t="str">
            <v>ribu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  <cell r="W196" t="str">
            <v>ribu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  <cell r="W197" t="str">
            <v>ribu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  <cell r="W198" t="str">
            <v>ribu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  <cell r="W199" t="str">
            <v>ribu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  <cell r="W200" t="str">
            <v>ribu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  <cell r="W201" t="str">
            <v>ribu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  <cell r="W202" t="str">
            <v>ribu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  <cell r="W203" t="str">
            <v>ribu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  <cell r="W204" t="str">
            <v>ribu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  <cell r="W205" t="str">
            <v>ribu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  <cell r="W206" t="str">
            <v>ribu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  <cell r="W207" t="str">
            <v>ribu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  <cell r="W208" t="str">
            <v>ribu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  <cell r="W209" t="str">
            <v>ribu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  <cell r="W210" t="str">
            <v>ribu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  <cell r="W211" t="str">
            <v>ribu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  <cell r="W212" t="str">
            <v>ribu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  <cell r="W213" t="str">
            <v>ribu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  <cell r="W214" t="str">
            <v>ribu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  <cell r="W215" t="str">
            <v>ribu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  <cell r="W216" t="str">
            <v>ribu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  <cell r="W217" t="str">
            <v>ribu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  <cell r="W218" t="str">
            <v>ribu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  <cell r="W219" t="str">
            <v>ribu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  <cell r="W220" t="str">
            <v>ribu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  <cell r="W221" t="str">
            <v>ribu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  <cell r="W222" t="str">
            <v>ribu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  <cell r="W223" t="str">
            <v>ribu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  <cell r="W224" t="str">
            <v>ribu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  <cell r="W225" t="str">
            <v>ribu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  <cell r="W226" t="str">
            <v>ribu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  <cell r="W227" t="str">
            <v>ribu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  <cell r="W228" t="str">
            <v>ribu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  <cell r="W229" t="str">
            <v>ribu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  <cell r="W230" t="str">
            <v>ribu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  <cell r="W231" t="str">
            <v>ribu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  <cell r="W232" t="str">
            <v>ribu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  <cell r="W233" t="str">
            <v>ribu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  <cell r="W234" t="str">
            <v>ribu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  <cell r="W235" t="str">
            <v>ribu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  <cell r="W236" t="str">
            <v>ribu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  <cell r="W237" t="str">
            <v>ribu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  <cell r="W238" t="str">
            <v>ribu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  <cell r="W239" t="str">
            <v>ribu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  <cell r="W240" t="str">
            <v>ribu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  <cell r="W241" t="str">
            <v>ribu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  <cell r="W242" t="str">
            <v>ribu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  <cell r="W243" t="str">
            <v>ribu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  <cell r="W244" t="str">
            <v>ribu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  <cell r="W245" t="str">
            <v>ribu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  <cell r="W246" t="str">
            <v>ribu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  <cell r="W247" t="str">
            <v>ribu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  <cell r="W248" t="str">
            <v>ribu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  <cell r="W249" t="str">
            <v>ribu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  <cell r="W250" t="str">
            <v>ribu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  <cell r="W251" t="str">
            <v>ribu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  <cell r="W252" t="str">
            <v>ribu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  <cell r="W253" t="str">
            <v>ribu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  <cell r="W254" t="str">
            <v>ribu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  <cell r="W255" t="str">
            <v>ribu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  <cell r="W256" t="str">
            <v>ribu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  <cell r="W257" t="str">
            <v>ribu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  <cell r="W258" t="str">
            <v>ribu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  <cell r="W259" t="str">
            <v>ribu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  <cell r="W260" t="str">
            <v>ribu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  <cell r="W261" t="str">
            <v>ribu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  <cell r="W262" t="str">
            <v>ribu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  <cell r="W263" t="str">
            <v>ribu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  <cell r="W264" t="str">
            <v>ribu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  <cell r="W265" t="str">
            <v>ribu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  <cell r="W266" t="str">
            <v>ribu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  <cell r="W267" t="str">
            <v>ribu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  <cell r="W268" t="str">
            <v>ribu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  <cell r="W269" t="str">
            <v>ribu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  <cell r="W270" t="str">
            <v>ribu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  <cell r="W271" t="str">
            <v>ribu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  <cell r="W272" t="str">
            <v>ribu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  <cell r="W273" t="str">
            <v>ribu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  <cell r="W274" t="str">
            <v>ribu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  <cell r="W275" t="str">
            <v>ribu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  <cell r="W276" t="str">
            <v>ribu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  <cell r="W277" t="str">
            <v>ribu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  <cell r="W278" t="str">
            <v>ribu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  <cell r="W279" t="str">
            <v>ribu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  <cell r="W280" t="str">
            <v>ribu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  <cell r="W281" t="str">
            <v>ribu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  <cell r="W282" t="str">
            <v>ribu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  <cell r="W283" t="str">
            <v>ribu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  <cell r="W284" t="str">
            <v>ribu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  <cell r="W285" t="str">
            <v>ribu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  <cell r="W286" t="str">
            <v>ribu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  <cell r="W287" t="str">
            <v>ribu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  <cell r="W288" t="str">
            <v>ribu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  <cell r="W289" t="str">
            <v>ribu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  <cell r="W290" t="str">
            <v>ribu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  <cell r="W291" t="str">
            <v>ribu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  <cell r="W292" t="str">
            <v>ribu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  <cell r="W293" t="str">
            <v>ribu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  <cell r="W294" t="str">
            <v>ribu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  <cell r="W295" t="str">
            <v>ribu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  <cell r="W296" t="str">
            <v>ribu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  <cell r="W297" t="str">
            <v>ribu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  <cell r="W298" t="str">
            <v>ribu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  <cell r="W299" t="str">
            <v>ribu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  <cell r="W300" t="str">
            <v>ribu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  <cell r="W301" t="str">
            <v>ribu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  <cell r="W302" t="str">
            <v>ribu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  <cell r="W303" t="str">
            <v>ribu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  <cell r="W304" t="str">
            <v>ribu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  <cell r="W305" t="str">
            <v>ribu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  <cell r="W306" t="str">
            <v>ribu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  <cell r="W307" t="str">
            <v>ribu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  <cell r="W308" t="str">
            <v>ribu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  <cell r="W309" t="str">
            <v>ribu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  <cell r="W310" t="str">
            <v>ribu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  <cell r="W311" t="str">
            <v>ribu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  <cell r="W312" t="str">
            <v>ribu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  <cell r="W313" t="str">
            <v>ribu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  <cell r="W314" t="str">
            <v>ribu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  <cell r="W315" t="str">
            <v>ribu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  <cell r="W316" t="str">
            <v>ribu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  <cell r="W317" t="str">
            <v>ribu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  <cell r="W318" t="str">
            <v>ribu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  <cell r="W319" t="str">
            <v>ribu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  <cell r="W320" t="str">
            <v>ribu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  <cell r="W321" t="str">
            <v>ribu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  <cell r="W322" t="str">
            <v>ribu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  <cell r="W323" t="str">
            <v>ribu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  <cell r="W324" t="str">
            <v>ribu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  <cell r="W325" t="str">
            <v>ribu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  <cell r="W326" t="str">
            <v>ribu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  <cell r="W327" t="str">
            <v>ribu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  <cell r="W328" t="str">
            <v>ribu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  <cell r="W329" t="str">
            <v>ribu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  <cell r="W330" t="str">
            <v>ribu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  <cell r="W331" t="str">
            <v>ribu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  <cell r="W332" t="str">
            <v>ribu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  <cell r="W333" t="str">
            <v>ribu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  <cell r="W334" t="str">
            <v>ribu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  <cell r="W335" t="str">
            <v>ribu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  <cell r="W336" t="str">
            <v>ribu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  <cell r="W337" t="str">
            <v>ribu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  <cell r="W338" t="str">
            <v>ribu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  <cell r="W339" t="str">
            <v>ribu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  <cell r="W340" t="str">
            <v>ribu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  <cell r="W341" t="str">
            <v>ribu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  <cell r="W342" t="str">
            <v>ribu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  <cell r="W343" t="str">
            <v>ribu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  <cell r="W344" t="str">
            <v>ribu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  <cell r="W345" t="str">
            <v>ribu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  <cell r="W346" t="str">
            <v>ribu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  <cell r="W347" t="str">
            <v>ribu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  <cell r="W348" t="str">
            <v>ribu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  <cell r="W349" t="str">
            <v>ribu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  <cell r="W350" t="str">
            <v>ribu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  <cell r="W351" t="str">
            <v>ribu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  <cell r="W352" t="str">
            <v>ribu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  <cell r="W353" t="str">
            <v>ribu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  <cell r="W354" t="str">
            <v>ribu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  <cell r="W355" t="str">
            <v>ribu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  <cell r="W356" t="str">
            <v>ribu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  <cell r="W357" t="str">
            <v>ribu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  <cell r="W358" t="str">
            <v>ribu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  <cell r="W359" t="str">
            <v>ribu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  <cell r="W360" t="str">
            <v>ribu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  <cell r="W361" t="str">
            <v>ribu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  <cell r="W362" t="str">
            <v>ribu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  <cell r="W363" t="str">
            <v>ribu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  <cell r="W364" t="str">
            <v>ribu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  <cell r="W365" t="str">
            <v>ribu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  <cell r="W366" t="str">
            <v>ribu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  <cell r="W367" t="str">
            <v>ribu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  <cell r="W368" t="str">
            <v>ribu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  <cell r="W369" t="str">
            <v>ribu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  <cell r="W370" t="str">
            <v>ribu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  <cell r="W371" t="str">
            <v>ribu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  <cell r="W372" t="str">
            <v>ribu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  <cell r="W373" t="str">
            <v>ribu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  <cell r="W374" t="str">
            <v>ribu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  <cell r="W375" t="str">
            <v>ribu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  <cell r="W376" t="str">
            <v>ribu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  <cell r="W377" t="str">
            <v>ribu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  <cell r="W378" t="str">
            <v>ribu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  <cell r="W379" t="str">
            <v>ribu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  <cell r="W380" t="str">
            <v>ribu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  <cell r="W381" t="str">
            <v>ribu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  <cell r="W382" t="str">
            <v>ribu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  <cell r="W383" t="str">
            <v>ribu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  <cell r="W384" t="str">
            <v>ribu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  <cell r="W385" t="str">
            <v>ribu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  <cell r="W386" t="str">
            <v>ribu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  <cell r="W387" t="str">
            <v>ribu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  <cell r="W388" t="str">
            <v>ribu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  <cell r="W389" t="str">
            <v>ribu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  <cell r="W390" t="str">
            <v>ribu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  <cell r="W391" t="str">
            <v>ribu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  <cell r="W392" t="str">
            <v>ribu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  <cell r="W393" t="str">
            <v>ribu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  <cell r="W394" t="str">
            <v>ribu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  <cell r="W395" t="str">
            <v>ribu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  <cell r="W396" t="str">
            <v>ribu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  <cell r="W397" t="str">
            <v>ribu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  <cell r="W398" t="str">
            <v>ribu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  <cell r="W399" t="str">
            <v>ribu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  <cell r="W400" t="str">
            <v>ribu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  <cell r="W401" t="str">
            <v>ribu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  <cell r="W402" t="str">
            <v>ribu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  <cell r="W403" t="str">
            <v>ribu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  <cell r="W404" t="str">
            <v>ribu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  <cell r="W405" t="str">
            <v>ribu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  <cell r="W406" t="str">
            <v>ribu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  <cell r="W407" t="str">
            <v>ribu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  <cell r="W408" t="str">
            <v>ribu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  <cell r="W409" t="str">
            <v>ribu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  <cell r="W410" t="str">
            <v>ribu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  <cell r="W411" t="str">
            <v>ribu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  <cell r="W412" t="str">
            <v>ribu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  <cell r="W413" t="str">
            <v>ribu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  <cell r="W414" t="str">
            <v>ribu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  <cell r="W415" t="str">
            <v>ribu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  <cell r="W416" t="str">
            <v>ribu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  <cell r="W417" t="str">
            <v>ribu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  <cell r="W418" t="str">
            <v>ribu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  <cell r="W419" t="str">
            <v>ribu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  <cell r="W420" t="str">
            <v>ribu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  <cell r="W421" t="str">
            <v>ribu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  <cell r="W422" t="str">
            <v>ribu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  <cell r="W423" t="str">
            <v>ribu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  <cell r="W424" t="str">
            <v>ribu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  <cell r="W425" t="str">
            <v>ribu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  <cell r="W426" t="str">
            <v>ribu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  <cell r="W427" t="str">
            <v>ribu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  <cell r="W428" t="str">
            <v>ribu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  <cell r="W429" t="str">
            <v>ribu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  <cell r="W430" t="str">
            <v>ribu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  <cell r="W431" t="str">
            <v>ribu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  <cell r="W432" t="str">
            <v>ribu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  <cell r="W433" t="str">
            <v>ribu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  <cell r="W434" t="str">
            <v>ribu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  <cell r="W435" t="str">
            <v>ribu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  <cell r="W436" t="str">
            <v>ribu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  <cell r="W437" t="str">
            <v>ribu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  <cell r="W438" t="str">
            <v>ribu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  <cell r="W439" t="str">
            <v>ribu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  <cell r="W440" t="str">
            <v>ribu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  <cell r="W441" t="str">
            <v>ribu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  <cell r="W442" t="str">
            <v>ribu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  <cell r="W443" t="str">
            <v>ribu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  <cell r="W444" t="str">
            <v>ribu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  <cell r="W445" t="str">
            <v>ribu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  <cell r="W446" t="str">
            <v>ribu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  <cell r="W447" t="str">
            <v>ribu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  <cell r="W448" t="str">
            <v>ribu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  <cell r="W449" t="str">
            <v>ribu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  <cell r="W450" t="str">
            <v>ribu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  <cell r="W451" t="str">
            <v>ribu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  <cell r="W452" t="str">
            <v>ribu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  <cell r="W453" t="str">
            <v>ribu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  <cell r="W454" t="str">
            <v>ribu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  <cell r="W455" t="str">
            <v>ribu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  <cell r="W456" t="str">
            <v>ribu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  <cell r="W457" t="str">
            <v>ribu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  <cell r="W458" t="str">
            <v>ribu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  <cell r="W459" t="str">
            <v>ribu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  <cell r="W460" t="str">
            <v>ribu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  <cell r="W461" t="str">
            <v>ribu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  <cell r="W462" t="str">
            <v>ribu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  <cell r="W463" t="str">
            <v>ribu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  <cell r="W464" t="str">
            <v>ribu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  <cell r="W465" t="str">
            <v>ribu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  <cell r="W466" t="str">
            <v>ribu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  <cell r="W467" t="str">
            <v>ribu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  <cell r="W468" t="str">
            <v>ribu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  <cell r="W469" t="str">
            <v>ribu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  <cell r="W470" t="str">
            <v>ribu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  <cell r="W471" t="str">
            <v>ribu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  <cell r="W472" t="str">
            <v>ribu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  <cell r="W473" t="str">
            <v>ribu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  <cell r="W474" t="str">
            <v>ribu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  <cell r="W475" t="str">
            <v>ribu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  <cell r="W476" t="str">
            <v>ribu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  <cell r="W477" t="str">
            <v>ribu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  <cell r="W478" t="str">
            <v>ribu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  <cell r="W479" t="str">
            <v>ribu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  <cell r="W480" t="str">
            <v>ribu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  <cell r="W481" t="str">
            <v>ribu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  <cell r="W482" t="str">
            <v>ribu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  <cell r="W483" t="str">
            <v>ribu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  <cell r="W484" t="str">
            <v>ribu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  <cell r="W485" t="str">
            <v>ribu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  <cell r="W486" t="str">
            <v>ribu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  <cell r="W487" t="str">
            <v>ribu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  <cell r="W488" t="str">
            <v>ribu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  <cell r="W489" t="str">
            <v>ribu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  <cell r="W490" t="str">
            <v>ribu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  <cell r="W491" t="str">
            <v>ribu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  <cell r="W492" t="str">
            <v>ribu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  <cell r="W493" t="str">
            <v>ribu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  <cell r="W494" t="str">
            <v>ribu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  <cell r="W495" t="str">
            <v>ribu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  <cell r="W496" t="str">
            <v>ribu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  <cell r="W497" t="str">
            <v>ribu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  <cell r="W498" t="str">
            <v>ribu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  <cell r="W499" t="str">
            <v>ribu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  <cell r="W500" t="str">
            <v>ribu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  <cell r="W501" t="str">
            <v>ribu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  <cell r="W502" t="str">
            <v>ribu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  <cell r="W503" t="str">
            <v>ribu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  <cell r="W504" t="str">
            <v>ribu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  <cell r="W505" t="str">
            <v>ribu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  <cell r="W506" t="str">
            <v>ribu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  <cell r="W507" t="str">
            <v>ribu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  <cell r="W508" t="str">
            <v>ribu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  <cell r="W509" t="str">
            <v>ribu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  <cell r="W510" t="str">
            <v>ribu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  <cell r="W511" t="str">
            <v>ribu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  <cell r="W512" t="str">
            <v>ribu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  <cell r="W513" t="str">
            <v>ribu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  <cell r="W514" t="str">
            <v>ribu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  <cell r="W515" t="str">
            <v>ribu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  <cell r="W516" t="str">
            <v>ribu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  <cell r="W517" t="str">
            <v>ribu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  <cell r="W518" t="str">
            <v>ribu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  <cell r="W519" t="str">
            <v>ribu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  <cell r="W520" t="str">
            <v>ribu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  <cell r="W521" t="str">
            <v>ribu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  <cell r="W522" t="str">
            <v>ribu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  <cell r="W523" t="str">
            <v>ribu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  <cell r="W524" t="str">
            <v>ribu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  <cell r="W525" t="str">
            <v>ribu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  <cell r="W526" t="str">
            <v>ribu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  <cell r="W527" t="str">
            <v>ribu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  <cell r="W528" t="str">
            <v>ribu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  <cell r="W529" t="str">
            <v>ribu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  <cell r="W530" t="str">
            <v>ribu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  <cell r="W531" t="str">
            <v>ribu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  <cell r="W532" t="str">
            <v>ribu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  <cell r="W533" t="str">
            <v>ribu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  <cell r="W534" t="str">
            <v>ribu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  <cell r="W535" t="str">
            <v>ribu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  <cell r="W536" t="str">
            <v>ribu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  <cell r="W537" t="str">
            <v>ribu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  <cell r="W538" t="str">
            <v>ribu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  <cell r="W539" t="str">
            <v>ribu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  <cell r="W540" t="str">
            <v>ribu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  <cell r="W541" t="str">
            <v>ribu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  <cell r="W542" t="str">
            <v>ribu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  <cell r="W543" t="str">
            <v>ribu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  <cell r="W544" t="str">
            <v>ribu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  <cell r="W545" t="str">
            <v>ribu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  <cell r="W546" t="str">
            <v>ribu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  <cell r="W547" t="str">
            <v>ribu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  <cell r="W548" t="str">
            <v>ribu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  <cell r="W549" t="str">
            <v>ribu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  <cell r="W550" t="str">
            <v>ribu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  <cell r="W551" t="str">
            <v>ribu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  <cell r="W552" t="str">
            <v>ribu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  <cell r="W553" t="str">
            <v>ribu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  <cell r="W554" t="str">
            <v>ribu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  <cell r="W555" t="str">
            <v>ribu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  <cell r="W556" t="str">
            <v>ribu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  <cell r="W557" t="str">
            <v>ribu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  <cell r="W558" t="str">
            <v>ribu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  <cell r="W559" t="str">
            <v>ribu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  <cell r="W560" t="str">
            <v>ribu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  <cell r="W561" t="str">
            <v>ribu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  <cell r="W562" t="str">
            <v>ribu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  <cell r="W563" t="str">
            <v>ribu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  <cell r="W564" t="str">
            <v>ribu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  <cell r="W565" t="str">
            <v>ribu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  <cell r="W566" t="str">
            <v>ribu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  <cell r="W567" t="str">
            <v>ribu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  <cell r="W568" t="str">
            <v>ribu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  <cell r="W569" t="str">
            <v>ribu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  <cell r="W570" t="str">
            <v>ribu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  <cell r="W571" t="str">
            <v>ribu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  <cell r="W572" t="str">
            <v>ribu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  <cell r="W573" t="str">
            <v>ribu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  <cell r="W574" t="str">
            <v>ribu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  <cell r="W575" t="str">
            <v>ribu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  <cell r="W576" t="str">
            <v>ribu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  <cell r="W577" t="str">
            <v>ribu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  <cell r="W578" t="str">
            <v>ribu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  <cell r="W579" t="str">
            <v>ribu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  <cell r="W580" t="str">
            <v>ribu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  <cell r="W581" t="str">
            <v>ribu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  <cell r="W582" t="str">
            <v>ribu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  <cell r="W583" t="str">
            <v>ribu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  <cell r="W584" t="str">
            <v>ribu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  <cell r="W585" t="str">
            <v>ribu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  <cell r="W586" t="str">
            <v>ribu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  <cell r="W587" t="str">
            <v>ribu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  <cell r="W588" t="str">
            <v>ribu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  <cell r="W589" t="str">
            <v>ribu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  <cell r="W590" t="str">
            <v>ribu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  <cell r="W591" t="str">
            <v>ribu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  <cell r="W592" t="str">
            <v>ribu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  <cell r="W593" t="str">
            <v>ribu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  <cell r="W594" t="str">
            <v>ribu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  <cell r="W595" t="str">
            <v>ribu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  <cell r="W596" t="str">
            <v>ribu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  <cell r="W597" t="str">
            <v>ribu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  <cell r="W598" t="str">
            <v>ribu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  <cell r="W599" t="str">
            <v>ribu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  <cell r="W600" t="str">
            <v>ribu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  <cell r="W601" t="str">
            <v>ribu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  <cell r="W602" t="str">
            <v>ribu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  <cell r="W603" t="str">
            <v>ribu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  <cell r="W604" t="str">
            <v>ribu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  <cell r="W605" t="str">
            <v>ribu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  <cell r="W606" t="str">
            <v>ribu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  <cell r="W607" t="str">
            <v>ribu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  <cell r="W608" t="str">
            <v>ribu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  <cell r="W609" t="str">
            <v>ribu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  <cell r="W610" t="str">
            <v>ribu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  <cell r="W611" t="str">
            <v>ribu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  <cell r="W612" t="str">
            <v>ribu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  <cell r="W613" t="str">
            <v>ribu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  <cell r="W614" t="str">
            <v>ribu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  <cell r="W615" t="str">
            <v>ribu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  <cell r="W616" t="str">
            <v>ribu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  <cell r="W617" t="str">
            <v>ribu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  <cell r="W618" t="str">
            <v>ribu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  <cell r="W619" t="str">
            <v>ribu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  <cell r="W620" t="str">
            <v>ribu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  <cell r="W621" t="str">
            <v>ribu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  <cell r="W622" t="str">
            <v>ribu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  <cell r="W623" t="str">
            <v>ribu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  <cell r="W624" t="str">
            <v>ribu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  <cell r="W625" t="str">
            <v>ribu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  <cell r="W626" t="str">
            <v>ribu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  <cell r="W627" t="str">
            <v>ribu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  <cell r="W628" t="str">
            <v>ribu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  <cell r="W629" t="str">
            <v>ribu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  <cell r="W630" t="str">
            <v>ribu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  <cell r="W631" t="str">
            <v>ribu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  <cell r="W632" t="str">
            <v>ribu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  <cell r="W633" t="str">
            <v>ribu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  <cell r="W634" t="str">
            <v>ribu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  <cell r="W635" t="str">
            <v>ribu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  <cell r="W636" t="str">
            <v>ribu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  <cell r="W637" t="str">
            <v>ribu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  <cell r="W638" t="str">
            <v>ribu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  <cell r="W639" t="str">
            <v>ribu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  <cell r="W640" t="str">
            <v>ribu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  <cell r="W641" t="str">
            <v>ribu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  <cell r="W642" t="str">
            <v>ribu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  <cell r="W643" t="str">
            <v>ribu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  <cell r="W644" t="str">
            <v>ribu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  <cell r="W645" t="str">
            <v>ribu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  <cell r="W646" t="str">
            <v>ribu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  <cell r="W647" t="str">
            <v>ribu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  <cell r="W648" t="str">
            <v>ribu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  <cell r="W649" t="str">
            <v>ribu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  <cell r="W650" t="str">
            <v>ribu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  <cell r="W651" t="str">
            <v>ribu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  <cell r="W652" t="str">
            <v>ribu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  <cell r="W653" t="str">
            <v>ribu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  <cell r="W654" t="str">
            <v>ribu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  <cell r="W655" t="str">
            <v>ribu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  <cell r="W656" t="str">
            <v>ribu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  <cell r="W657" t="str">
            <v>ribu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  <cell r="W658" t="str">
            <v>ribu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  <cell r="W659" t="str">
            <v>ribu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  <cell r="W660" t="str">
            <v>ribu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  <cell r="W661" t="str">
            <v>ribu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  <cell r="W662" t="str">
            <v>ribu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  <cell r="W663" t="str">
            <v>ribu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  <cell r="W664" t="str">
            <v>ribu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  <cell r="W665" t="str">
            <v>ribu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  <cell r="W666" t="str">
            <v>ribu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  <cell r="W667" t="str">
            <v>ribu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  <cell r="W668" t="str">
            <v>ribu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  <cell r="W669" t="str">
            <v>ribu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  <cell r="W670" t="str">
            <v>ribu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  <cell r="W671" t="str">
            <v>ribu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  <cell r="W672" t="str">
            <v>ribu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  <cell r="W673" t="str">
            <v>ribu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  <cell r="W674" t="str">
            <v>ribu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  <cell r="W675" t="str">
            <v>ribu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  <cell r="W676" t="str">
            <v>ribu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  <cell r="W677" t="str">
            <v>ribu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  <cell r="W678" t="str">
            <v>ribu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  <cell r="W679" t="str">
            <v>ribu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  <cell r="W680" t="str">
            <v>ribu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  <cell r="W681" t="str">
            <v>ribu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  <cell r="W682" t="str">
            <v>ribu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  <cell r="W683" t="str">
            <v>ribu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  <cell r="W684" t="str">
            <v>ribu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  <cell r="W685" t="str">
            <v>ribu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  <cell r="W686" t="str">
            <v>ribu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  <cell r="W687" t="str">
            <v>ribu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  <cell r="W688" t="str">
            <v>ribu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  <cell r="W689" t="str">
            <v>ribu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  <cell r="W690" t="str">
            <v>ribu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  <cell r="W691" t="str">
            <v>ribu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  <cell r="W692" t="str">
            <v>ribu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  <cell r="W693" t="str">
            <v>ribu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  <cell r="W694" t="str">
            <v>ribu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  <cell r="W695" t="str">
            <v>ribu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  <cell r="W696" t="str">
            <v>ribu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  <cell r="W697" t="str">
            <v>ribu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  <cell r="W698" t="str">
            <v>ribu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  <cell r="W699" t="str">
            <v>ribu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  <cell r="W700" t="str">
            <v>ribu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  <cell r="W701" t="str">
            <v>ribu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  <cell r="W702" t="str">
            <v>ribu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  <cell r="W703" t="str">
            <v>ribu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  <cell r="W704" t="str">
            <v>ribu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  <cell r="W705" t="str">
            <v>ribu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  <cell r="W706" t="str">
            <v>ribu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  <cell r="W707" t="str">
            <v>ribu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  <cell r="W708" t="str">
            <v>ribu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  <cell r="W709" t="str">
            <v>ribu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  <cell r="W710" t="str">
            <v>ribu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  <cell r="W711" t="str">
            <v>ribu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  <cell r="W712" t="str">
            <v>ribu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  <cell r="W713" t="str">
            <v>ribu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  <cell r="W714" t="str">
            <v>ribu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  <cell r="W715" t="str">
            <v>ribu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  <cell r="W716" t="str">
            <v>ribu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  <cell r="W717" t="str">
            <v>ribu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  <cell r="W718" t="str">
            <v>ribu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  <cell r="W719" t="str">
            <v>ribu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  <cell r="W720" t="str">
            <v>ribu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  <cell r="W721" t="str">
            <v>ribu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  <cell r="W722" t="str">
            <v>ribu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  <cell r="W723" t="str">
            <v>ribu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  <cell r="W724" t="str">
            <v>ribu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  <cell r="W725" t="str">
            <v>ribu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  <cell r="W726" t="str">
            <v>ribu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  <cell r="W727" t="str">
            <v>ribu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  <cell r="W728" t="str">
            <v>ribu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  <cell r="W729" t="str">
            <v>ribu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  <cell r="W730" t="str">
            <v>ribu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  <cell r="W731" t="str">
            <v>ribu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  <cell r="W732" t="str">
            <v>ribu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  <cell r="W733" t="str">
            <v>ribu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  <cell r="W734" t="str">
            <v>ribu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  <cell r="W735" t="str">
            <v>ribu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  <cell r="W736" t="str">
            <v>ribu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  <cell r="W737" t="str">
            <v>ribu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  <cell r="W738" t="str">
            <v>ribu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  <cell r="W739" t="str">
            <v>ribu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  <cell r="W740" t="str">
            <v>ribu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  <cell r="W741" t="str">
            <v>ribu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  <cell r="W742" t="str">
            <v>ribu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  <cell r="W743" t="str">
            <v>ribu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  <cell r="W744" t="str">
            <v>ribu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  <cell r="W745" t="str">
            <v>ribu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  <cell r="W746" t="str">
            <v>ribu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  <cell r="W747" t="str">
            <v>ribu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  <cell r="W748" t="str">
            <v>ribu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  <cell r="W749" t="str">
            <v>ribu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  <cell r="W750" t="str">
            <v>ribu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  <cell r="W751" t="str">
            <v>ribu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  <cell r="W752" t="str">
            <v>ribu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  <cell r="W753" t="str">
            <v>ribu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  <cell r="W754" t="str">
            <v>ribu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  <cell r="W755" t="str">
            <v>ribu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  <cell r="W756" t="str">
            <v>ribu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  <cell r="W757" t="str">
            <v>ribu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  <cell r="W758" t="str">
            <v>ribu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  <cell r="W759" t="str">
            <v>ribu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  <cell r="W760" t="str">
            <v>ribu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  <cell r="W761" t="str">
            <v>ribu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  <cell r="W762" t="str">
            <v>ribu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  <cell r="W763" t="str">
            <v>ribu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  <cell r="W764" t="str">
            <v>ribu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  <cell r="W765" t="str">
            <v>ribu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  <cell r="W766" t="str">
            <v>ribu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  <cell r="W767" t="str">
            <v>ribu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  <cell r="W768" t="str">
            <v>ribu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  <cell r="W769" t="str">
            <v>ribu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  <cell r="W770" t="str">
            <v>ribu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  <cell r="W771" t="str">
            <v>ribu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  <cell r="W772" t="str">
            <v>ribu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  <cell r="W773" t="str">
            <v>ribu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  <cell r="W774" t="str">
            <v>ribu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  <cell r="W775" t="str">
            <v>ribu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  <cell r="W776" t="str">
            <v>ribu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  <cell r="W777" t="str">
            <v>ribu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  <cell r="W778" t="str">
            <v>ribu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  <cell r="W779" t="str">
            <v>ribu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  <cell r="W780" t="str">
            <v>ribu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  <cell r="W781" t="str">
            <v>ribu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  <cell r="W782" t="str">
            <v>ribu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  <cell r="W783" t="str">
            <v>ribu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  <cell r="W784" t="str">
            <v>ribu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  <cell r="W785" t="str">
            <v>ribu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  <cell r="W786" t="str">
            <v>ribu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  <cell r="W787" t="str">
            <v>ribu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  <cell r="W788" t="str">
            <v>ribu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  <cell r="W789" t="str">
            <v>ribu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  <cell r="W790" t="str">
            <v>ribu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  <cell r="W791" t="str">
            <v>ribu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  <cell r="W792" t="str">
            <v>ribu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  <cell r="W793" t="str">
            <v>ribu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  <cell r="W794" t="str">
            <v>ribu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  <cell r="W795" t="str">
            <v>ribu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  <cell r="W796" t="str">
            <v>ribu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  <cell r="W797" t="str">
            <v>ribu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  <cell r="W798" t="str">
            <v>ribu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  <cell r="W799" t="str">
            <v>ribu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  <cell r="W800" t="str">
            <v>ribu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  <cell r="W801" t="str">
            <v>ribu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  <cell r="W802" t="str">
            <v>ribu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  <cell r="W803" t="str">
            <v>ribu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  <cell r="W804" t="str">
            <v>ribu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  <cell r="W805" t="str">
            <v>ribu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  <cell r="W806" t="str">
            <v>ribu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  <cell r="W807" t="str">
            <v>ribu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  <cell r="W808" t="str">
            <v>ribu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  <cell r="W809" t="str">
            <v>ribu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  <cell r="W810" t="str">
            <v>ribu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  <cell r="W811" t="str">
            <v>ribu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  <cell r="W812" t="str">
            <v>ribu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  <cell r="W813" t="str">
            <v>ribu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  <cell r="W814" t="str">
            <v>ribu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  <cell r="W815" t="str">
            <v>ribu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  <cell r="W816" t="str">
            <v>ribu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  <cell r="W817" t="str">
            <v>ribu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  <cell r="W818" t="str">
            <v>ribu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  <cell r="W819" t="str">
            <v>ribu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  <cell r="W820" t="str">
            <v>ribu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  <cell r="W821" t="str">
            <v>ribu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  <cell r="W822" t="str">
            <v>ribu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  <cell r="W823" t="str">
            <v>ribu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  <cell r="W824" t="str">
            <v>ribu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  <cell r="W825" t="str">
            <v>ribu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  <cell r="W826" t="str">
            <v>ribu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  <cell r="W827" t="str">
            <v>ribu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  <cell r="W828" t="str">
            <v>ribu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  <cell r="W829" t="str">
            <v>ribu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  <cell r="W830" t="str">
            <v>ribu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  <cell r="W831" t="str">
            <v>ribu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  <cell r="W832" t="str">
            <v>ribu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  <cell r="W833" t="str">
            <v>ribu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  <cell r="W834" t="str">
            <v>ribu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  <cell r="W835" t="str">
            <v>ribu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  <cell r="W836" t="str">
            <v>ribu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  <cell r="W837" t="str">
            <v>ribu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  <cell r="W838" t="str">
            <v>ribu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  <cell r="W839" t="str">
            <v>ribu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  <cell r="W840" t="str">
            <v>ribu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  <cell r="W841" t="str">
            <v>ribu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  <cell r="W842" t="str">
            <v>ribu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  <cell r="W843" t="str">
            <v>ribu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  <cell r="W844" t="str">
            <v>ribu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  <cell r="W845" t="str">
            <v>ribu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  <cell r="W846" t="str">
            <v>ribu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  <cell r="W847" t="str">
            <v>ribu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  <cell r="W848" t="str">
            <v>ribu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  <cell r="W849" t="str">
            <v>ribu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  <cell r="W850" t="str">
            <v>ribu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  <cell r="W851" t="str">
            <v>ribu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  <cell r="W852" t="str">
            <v>ribu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  <cell r="W853" t="str">
            <v>ribu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  <cell r="W854" t="str">
            <v>ribu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  <cell r="W855" t="str">
            <v>ribu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  <cell r="W856" t="str">
            <v>ribu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  <cell r="W857" t="str">
            <v>ribu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  <cell r="W858" t="str">
            <v>ribu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  <cell r="W859" t="str">
            <v>ribu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  <cell r="W860" t="str">
            <v>ribu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  <cell r="W861" t="str">
            <v>ribu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  <cell r="W862" t="str">
            <v>ribu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  <cell r="W863" t="str">
            <v>ribu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  <cell r="W864" t="str">
            <v>ribu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  <cell r="W865" t="str">
            <v>ribu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  <cell r="W866" t="str">
            <v>ribu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  <cell r="W867" t="str">
            <v>ribu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  <cell r="W868" t="str">
            <v>ribu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  <cell r="W869" t="str">
            <v>ribu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  <cell r="W870" t="str">
            <v>ribu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  <cell r="W871" t="str">
            <v>ribu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  <cell r="W872" t="str">
            <v>ribu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  <cell r="W873" t="str">
            <v>ribu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  <cell r="W874" t="str">
            <v>ribu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  <cell r="W875" t="str">
            <v>ribu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  <cell r="W876" t="str">
            <v>ribu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  <cell r="W877" t="str">
            <v>ribu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  <cell r="W878" t="str">
            <v>ribu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  <cell r="W879" t="str">
            <v>ribu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  <cell r="W880" t="str">
            <v>ribu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  <cell r="W881" t="str">
            <v>ribu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  <cell r="W882" t="str">
            <v>ribu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  <cell r="W883" t="str">
            <v>ribu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  <cell r="W884" t="str">
            <v>ribu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  <cell r="W885" t="str">
            <v>ribu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  <cell r="W886" t="str">
            <v>ribu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  <cell r="W887" t="str">
            <v>ribu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  <cell r="W888" t="str">
            <v>ribu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  <cell r="W889" t="str">
            <v>ribu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  <cell r="W890" t="str">
            <v>ribu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  <cell r="W891" t="str">
            <v>ribu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  <cell r="W892" t="str">
            <v>ribu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  <cell r="W893" t="str">
            <v>ribu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  <cell r="W894" t="str">
            <v>ribu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  <cell r="W895" t="str">
            <v>ribu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  <cell r="W896" t="str">
            <v>ribu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  <cell r="W897" t="str">
            <v>ribu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  <cell r="W898" t="str">
            <v>ribu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  <cell r="W899" t="str">
            <v>ribu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  <cell r="W900" t="str">
            <v>ribu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  <cell r="W901" t="str">
            <v>ribu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  <cell r="W902" t="str">
            <v>ribu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  <cell r="W903" t="str">
            <v>ribu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  <cell r="W904" t="str">
            <v>ribu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  <cell r="W905" t="str">
            <v>ribu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  <cell r="W906" t="str">
            <v>ribu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  <cell r="W907" t="str">
            <v>ribu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  <cell r="W908" t="str">
            <v>ribu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  <cell r="W909" t="str">
            <v>ribu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  <cell r="W910" t="str">
            <v>ribu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  <cell r="W911" t="str">
            <v>ribu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  <cell r="W912" t="str">
            <v>ribu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  <cell r="W913" t="str">
            <v>ribu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  <cell r="W914" t="str">
            <v>ribu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  <cell r="W915" t="str">
            <v>ribu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  <cell r="W916" t="str">
            <v>ribu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  <cell r="W917" t="str">
            <v>ribu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  <cell r="W918" t="str">
            <v>ribu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  <cell r="W919" t="str">
            <v>ribu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  <cell r="W920" t="str">
            <v>ribu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  <cell r="W921" t="str">
            <v>ribu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  <cell r="W922" t="str">
            <v>ribu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  <cell r="W923" t="str">
            <v>ribu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  <cell r="W924" t="str">
            <v>ribu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  <cell r="W925" t="str">
            <v>ribu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  <cell r="W926" t="str">
            <v>ribu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  <cell r="W927" t="str">
            <v>ribu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  <cell r="W928" t="str">
            <v>ribu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  <cell r="W929" t="str">
            <v>ribu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  <cell r="W930" t="str">
            <v>ribu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  <cell r="W931" t="str">
            <v>ribu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  <cell r="W932" t="str">
            <v>ribu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  <cell r="W933" t="str">
            <v>ribu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  <cell r="W934" t="str">
            <v>ribu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  <cell r="W935" t="str">
            <v>ribu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  <cell r="W936" t="str">
            <v>ribu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  <cell r="W937" t="str">
            <v>ribu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  <cell r="W938" t="str">
            <v>ribu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  <cell r="W939" t="str">
            <v>ribu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  <cell r="W940" t="str">
            <v>ribu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  <cell r="W941" t="str">
            <v>ribu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  <cell r="W942" t="str">
            <v>ribu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  <cell r="W943" t="str">
            <v>ribu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  <cell r="W944" t="str">
            <v>ribu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  <cell r="W945" t="str">
            <v>ribu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  <cell r="W946" t="str">
            <v>ribu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  <cell r="W947" t="str">
            <v>ribu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  <cell r="W948" t="str">
            <v>ribu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  <cell r="W949" t="str">
            <v>ribu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  <cell r="W950" t="str">
            <v>ribu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  <cell r="W951" t="str">
            <v>ribu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  <cell r="W952" t="str">
            <v>ribu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  <cell r="W953" t="str">
            <v>ribu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  <cell r="W954" t="str">
            <v>ribu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  <cell r="W955" t="str">
            <v>ribu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  <cell r="W956" t="str">
            <v>ribu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  <cell r="W957" t="str">
            <v>ribu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  <cell r="W958" t="str">
            <v>ribu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  <cell r="W959" t="str">
            <v>ribu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  <cell r="W960" t="str">
            <v>ribu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  <cell r="W961" t="str">
            <v>ribu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  <cell r="W962" t="str">
            <v>ribu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  <cell r="W963" t="str">
            <v>ribu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  <cell r="W964" t="str">
            <v>ribu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  <cell r="W965" t="str">
            <v>ribu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  <cell r="W966" t="str">
            <v>ribu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  <cell r="W967" t="str">
            <v>ribu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  <cell r="W968" t="str">
            <v>ribu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  <cell r="W969" t="str">
            <v>ribu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  <cell r="W970" t="str">
            <v>ribu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  <cell r="W971" t="str">
            <v>ribu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  <cell r="W972" t="str">
            <v>ribu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  <cell r="W973" t="str">
            <v>ribu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  <cell r="W974" t="str">
            <v>ribu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  <cell r="W975" t="str">
            <v>ribu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  <cell r="W976" t="str">
            <v>ribu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  <cell r="W977" t="str">
            <v>ribu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  <cell r="W978" t="str">
            <v>ribu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  <cell r="W979" t="str">
            <v>ribu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  <cell r="W980" t="str">
            <v>ribu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  <cell r="W981" t="str">
            <v>ribu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  <cell r="W982" t="str">
            <v>ribu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  <cell r="W983" t="str">
            <v>ribu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  <cell r="W984" t="str">
            <v>ribu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  <cell r="W985" t="str">
            <v>ribu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  <cell r="W986" t="str">
            <v>ribu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  <cell r="W987" t="str">
            <v>ribu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  <cell r="W988" t="str">
            <v>ribu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  <cell r="W989" t="str">
            <v>ribu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  <cell r="W990" t="str">
            <v>ribu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  <cell r="W991" t="str">
            <v>ribu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  <cell r="W992" t="str">
            <v>ribu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  <cell r="W993" t="str">
            <v>ribu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  <cell r="W994" t="str">
            <v>ribu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  <cell r="W995" t="str">
            <v>ribu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  <cell r="W996" t="str">
            <v>ribu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  <cell r="W997" t="str">
            <v>ribu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  <cell r="W998" t="str">
            <v>ribu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  <cell r="W999" t="str">
            <v>ribu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  <cell r="W1000" t="str">
            <v>ribu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  <cell r="W1001" t="str">
            <v>ribu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  <cell r="W1002" t="str">
            <v>ribu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  <cell r="W1003" t="str">
            <v>ribu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  <cell r="W1004" t="str">
            <v>ribu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  <cell r="W1005" t="str">
            <v>ribu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  <cell r="W1006" t="str">
            <v>ribu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"/>
      <sheetName val="data_benefit(1)"/>
      <sheetName val="data_benefit(2)"/>
      <sheetName val="pf_info"/>
      <sheetName val="data_val"/>
      <sheetName val="table"/>
      <sheetName val="data_ee_&lt;nra(1)"/>
      <sheetName val="data_ee_&gt;nra(1)"/>
      <sheetName val="data_ee_&lt;nra(2)"/>
      <sheetName val="data_ee_&gt;nra(2)"/>
      <sheetName val="output_&gt;nra(1)"/>
      <sheetName val="output_&gt;nra(2)"/>
      <sheetName val="output_&lt;nra(1)"/>
      <sheetName val="output_&lt;nra(2)"/>
      <sheetName val="Proj_ee_contr"/>
      <sheetName val="calcu"/>
      <sheetName val="gain_loss_aft_curr"/>
      <sheetName val="gain_loss"/>
      <sheetName val="miscellaneous"/>
      <sheetName val="output2"/>
      <sheetName val="output"/>
      <sheetName val="Sheet1"/>
      <sheetName val="schedule"/>
      <sheetName val="Sheet4"/>
      <sheetName val="lampiran"/>
      <sheetName val="Sheet6"/>
      <sheetName val="Sheet5"/>
      <sheetName val="format_konsol"/>
      <sheetName val="Sheet2"/>
      <sheetName val="draft_sent"/>
      <sheetName val="draft"/>
      <sheetName val="disc_e"/>
      <sheetName val="disc_e_new"/>
      <sheetName val="input_report"/>
      <sheetName val="report_A"/>
      <sheetName val="report_B"/>
      <sheetName val="trf multiple dnrks"/>
      <sheetName val="part"/>
      <sheetName val="Trial Bal"/>
      <sheetName val="AFTER 55"/>
      <sheetName val="MCTU"/>
      <sheetName val="Act"/>
      <sheetName val="Minecat"/>
      <sheetName val="data (2)"/>
      <sheetName val="FA Movement IBIC"/>
      <sheetName val="INVAUD.HO"/>
      <sheetName val="TIRE2001"/>
      <sheetName val="REKAP PER SPM"/>
      <sheetName val="NERACA"/>
      <sheetName val="RUPS95C"/>
      <sheetName val="Asumsi"/>
      <sheetName val="DAF.INVEN U.O"/>
      <sheetName val="Marsh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B5">
            <v>38352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IBERIAS KRISGAHARU SIMU - TRIATRA" id="{0FBF23D2-DB2B-4E62-98E7-6E1088168E43}" userId="S::tiberias.krisgaharu@triatra.co.id::791f72e7-0068-479f-a002-7b105970ac9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" dT="2026-07-14T03:31:44.83" personId="{0FBF23D2-DB2B-4E62-98E7-6E1088168E43}" id="{D818F943-A872-4B09-AD9B-24EC2A3C2077}">
    <text>Diambil dari L - K, biaya pemasangan juga tanpa GP TSP, Jadi pure dari UTPE</text>
  </threadedComment>
  <threadedComment ref="X1" dT="2026-07-14T03:38:07.34" personId="{0FBF23D2-DB2B-4E62-98E7-6E1088168E43}" id="{188CE8D1-ED8E-4FFF-B1F8-030688C61533}">
    <text xml:space="preserve">Ini adalah percentage dari T, tanpa GP TSP atau apapun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E0BC-5613-47E9-ABF2-618349EF3D3A}">
  <sheetPr>
    <pageSetUpPr fitToPage="1"/>
  </sheetPr>
  <dimension ref="A1:AA49"/>
  <sheetViews>
    <sheetView tabSelected="1" view="pageBreakPreview" topLeftCell="C1" zoomScale="60" zoomScaleNormal="73" workbookViewId="0">
      <selection activeCell="D1" sqref="D1:M44"/>
    </sheetView>
  </sheetViews>
  <sheetFormatPr defaultColWidth="9.09765625" defaultRowHeight="13" x14ac:dyDescent="0.3"/>
  <cols>
    <col min="1" max="1" width="6.8984375" style="7" customWidth="1"/>
    <col min="2" max="2" width="13.296875" style="1" bestFit="1" customWidth="1"/>
    <col min="3" max="3" width="64.19921875" style="2" bestFit="1" customWidth="1"/>
    <col min="4" max="4" width="17.09765625" style="3" customWidth="1"/>
    <col min="5" max="5" width="15.59765625" style="3" bestFit="1" customWidth="1"/>
    <col min="6" max="6" width="56.59765625" style="2" bestFit="1" customWidth="1"/>
    <col min="7" max="7" width="14.09765625" style="3" customWidth="1"/>
    <col min="8" max="8" width="14.09765625" style="21" customWidth="1"/>
    <col min="9" max="11" width="20.09765625" style="4" customWidth="1"/>
    <col min="12" max="12" width="27.796875" style="4" customWidth="1"/>
    <col min="13" max="13" width="51.59765625" style="1" customWidth="1"/>
    <col min="14" max="14" width="17.5" style="25" customWidth="1"/>
    <col min="15" max="15" width="14.59765625" style="25" customWidth="1"/>
    <col min="16" max="16" width="17.5" style="25" customWidth="1"/>
    <col min="17" max="18" width="17.8984375" style="25" customWidth="1"/>
    <col min="19" max="19" width="24.5" style="25" customWidth="1"/>
    <col min="20" max="20" width="15" style="1" customWidth="1"/>
    <col min="21" max="21" width="20.296875" style="34" customWidth="1"/>
    <col min="22" max="22" width="21.09765625" style="7" customWidth="1"/>
    <col min="23" max="23" width="18.5" style="7" customWidth="1"/>
    <col min="24" max="24" width="19.3984375" style="1" bestFit="1" customWidth="1"/>
    <col min="25" max="25" width="26.3984375" style="36" customWidth="1"/>
    <col min="27" max="27" width="16.69921875" style="1" bestFit="1" customWidth="1"/>
    <col min="28" max="16384" width="9.09765625" style="1"/>
  </cols>
  <sheetData>
    <row r="1" spans="1:27" ht="59" customHeight="1" x14ac:dyDescent="0.3">
      <c r="A1" s="92" t="s">
        <v>0</v>
      </c>
      <c r="B1" s="92" t="s">
        <v>1</v>
      </c>
      <c r="C1" s="92"/>
      <c r="D1" s="98" t="s">
        <v>2</v>
      </c>
      <c r="E1" s="98"/>
      <c r="F1" s="98"/>
      <c r="G1" s="99" t="s">
        <v>3</v>
      </c>
      <c r="H1" s="100" t="s">
        <v>117</v>
      </c>
      <c r="I1" s="96" t="s">
        <v>4</v>
      </c>
      <c r="J1" s="96" t="s">
        <v>5</v>
      </c>
      <c r="K1" s="96" t="s">
        <v>6</v>
      </c>
      <c r="L1" s="96" t="s">
        <v>7</v>
      </c>
      <c r="M1" s="97" t="s">
        <v>8</v>
      </c>
      <c r="N1" s="94" t="s">
        <v>125</v>
      </c>
      <c r="O1" s="94" t="s">
        <v>133</v>
      </c>
      <c r="P1" s="93" t="s">
        <v>134</v>
      </c>
      <c r="Q1" s="104" t="s">
        <v>127</v>
      </c>
      <c r="R1" s="106" t="s">
        <v>135</v>
      </c>
      <c r="S1" s="106" t="s">
        <v>136</v>
      </c>
      <c r="T1" s="102" t="s">
        <v>126</v>
      </c>
      <c r="U1" s="105" t="s">
        <v>5</v>
      </c>
      <c r="V1" s="105" t="s">
        <v>6</v>
      </c>
      <c r="W1" s="102" t="s">
        <v>128</v>
      </c>
      <c r="X1" s="102" t="s">
        <v>129</v>
      </c>
      <c r="Y1" s="103" t="s">
        <v>7</v>
      </c>
    </row>
    <row r="2" spans="1:27" s="5" customFormat="1" ht="26.65" customHeight="1" x14ac:dyDescent="0.3">
      <c r="A2" s="92"/>
      <c r="B2" s="15" t="s">
        <v>9</v>
      </c>
      <c r="C2" s="8" t="s">
        <v>11</v>
      </c>
      <c r="D2" s="50" t="s">
        <v>9</v>
      </c>
      <c r="E2" s="50" t="s">
        <v>10</v>
      </c>
      <c r="F2" s="50" t="s">
        <v>11</v>
      </c>
      <c r="G2" s="99"/>
      <c r="H2" s="100"/>
      <c r="I2" s="96"/>
      <c r="J2" s="96"/>
      <c r="K2" s="96"/>
      <c r="L2" s="96"/>
      <c r="M2" s="97"/>
      <c r="N2" s="95"/>
      <c r="O2" s="101"/>
      <c r="P2" s="93"/>
      <c r="Q2" s="104"/>
      <c r="R2" s="107"/>
      <c r="S2" s="107"/>
      <c r="T2" s="102"/>
      <c r="U2" s="105"/>
      <c r="V2" s="105"/>
      <c r="W2" s="102"/>
      <c r="X2" s="102"/>
      <c r="Y2" s="103"/>
    </row>
    <row r="3" spans="1:27" x14ac:dyDescent="0.3">
      <c r="A3" s="9">
        <v>1</v>
      </c>
      <c r="B3" s="10" t="s">
        <v>12</v>
      </c>
      <c r="C3" s="11" t="s">
        <v>13</v>
      </c>
      <c r="D3" s="22"/>
      <c r="E3" s="22"/>
      <c r="F3" s="11"/>
      <c r="G3" s="22"/>
      <c r="H3" s="19">
        <v>0</v>
      </c>
      <c r="I3" s="12">
        <v>151493487.26851851</v>
      </c>
      <c r="J3" s="12">
        <v>167884656.84606481</v>
      </c>
      <c r="K3" s="12">
        <v>350724443.1111111</v>
      </c>
      <c r="L3" s="12">
        <v>379329851.37111098</v>
      </c>
      <c r="M3" s="13" t="s">
        <v>14</v>
      </c>
      <c r="N3" s="32">
        <v>0.06</v>
      </c>
      <c r="O3" s="32">
        <v>0.03</v>
      </c>
      <c r="P3" s="28">
        <f>(K3-I3)*(1+N3+O3)</f>
        <v>217161741.86842594</v>
      </c>
      <c r="Q3" s="33">
        <f>I3</f>
        <v>151493487.26851851</v>
      </c>
      <c r="R3" s="65">
        <v>0.06</v>
      </c>
      <c r="S3" s="66">
        <f>Q3*R3+Q3</f>
        <v>160583096.50462961</v>
      </c>
      <c r="T3" s="29">
        <f>J3-I3</f>
        <v>16391169.577546299</v>
      </c>
      <c r="U3" s="37">
        <f>S3+T3</f>
        <v>176974266.08217591</v>
      </c>
      <c r="V3" s="33">
        <f>U3+P3</f>
        <v>394136007.95060182</v>
      </c>
      <c r="W3" s="33">
        <f t="shared" ref="W3:W44" si="0">L3-K3</f>
        <v>28605408.259999871</v>
      </c>
      <c r="X3" s="39">
        <f t="shared" ref="X3:X44" si="1">W3/L3</f>
        <v>7.5410380060002849E-2</v>
      </c>
      <c r="Y3" s="38">
        <f t="shared" ref="Y3:Y44" si="2">V3+W3</f>
        <v>422741416.21060169</v>
      </c>
      <c r="AA3" s="35"/>
    </row>
    <row r="4" spans="1:27" x14ac:dyDescent="0.3">
      <c r="A4" s="9">
        <v>2</v>
      </c>
      <c r="B4" s="10" t="s">
        <v>15</v>
      </c>
      <c r="C4" s="11" t="s">
        <v>13</v>
      </c>
      <c r="D4" s="22"/>
      <c r="E4" s="22"/>
      <c r="F4" s="11"/>
      <c r="G4" s="22"/>
      <c r="H4" s="19">
        <v>0</v>
      </c>
      <c r="I4" s="12">
        <v>151493487.26851851</v>
      </c>
      <c r="J4" s="12">
        <v>167884656.84606481</v>
      </c>
      <c r="K4" s="12">
        <v>433674443.11111099</v>
      </c>
      <c r="L4" s="12">
        <v>466842101.37111109</v>
      </c>
      <c r="M4" s="13" t="s">
        <v>16</v>
      </c>
      <c r="N4" s="32">
        <v>0.06</v>
      </c>
      <c r="O4" s="32">
        <v>0.03</v>
      </c>
      <c r="P4" s="28">
        <f t="shared" ref="P4:P44" si="3">(K4-I4)*(1+N4+O4)</f>
        <v>307577241.86842585</v>
      </c>
      <c r="Q4" s="33">
        <f t="shared" ref="Q4:Q44" si="4">I4</f>
        <v>151493487.26851851</v>
      </c>
      <c r="R4" s="65">
        <v>0.06</v>
      </c>
      <c r="S4" s="66">
        <f t="shared" ref="S4:S44" si="5">Q4*R4+Q4</f>
        <v>160583096.50462961</v>
      </c>
      <c r="T4" s="29">
        <f t="shared" ref="T4:T44" si="6">J4-I4</f>
        <v>16391169.577546299</v>
      </c>
      <c r="U4" s="37">
        <f t="shared" ref="U4:U44" si="7">S4+T4</f>
        <v>176974266.08217591</v>
      </c>
      <c r="V4" s="33">
        <f t="shared" ref="V4:V44" si="8">U4+P4</f>
        <v>484551507.95060176</v>
      </c>
      <c r="W4" s="33">
        <f t="shared" si="0"/>
        <v>33167658.26000011</v>
      </c>
      <c r="X4" s="39">
        <f t="shared" si="1"/>
        <v>7.104684466672348E-2</v>
      </c>
      <c r="Y4" s="38">
        <f t="shared" si="2"/>
        <v>517719166.21060187</v>
      </c>
    </row>
    <row r="5" spans="1:27" x14ac:dyDescent="0.3">
      <c r="A5" s="9">
        <v>3</v>
      </c>
      <c r="B5" s="10" t="s">
        <v>17</v>
      </c>
      <c r="C5" s="11" t="s">
        <v>18</v>
      </c>
      <c r="D5" s="22"/>
      <c r="E5" s="22"/>
      <c r="F5" s="11"/>
      <c r="G5" s="22"/>
      <c r="H5" s="19">
        <v>0</v>
      </c>
      <c r="I5" s="12">
        <v>151493487.26851851</v>
      </c>
      <c r="J5" s="12">
        <v>167884656.84606481</v>
      </c>
      <c r="K5" s="12">
        <v>612174443.11111116</v>
      </c>
      <c r="L5" s="12">
        <v>655159601.37111115</v>
      </c>
      <c r="M5" s="10" t="s">
        <v>19</v>
      </c>
      <c r="N5" s="32">
        <v>0.06</v>
      </c>
      <c r="O5" s="32">
        <v>0.03</v>
      </c>
      <c r="P5" s="28">
        <f t="shared" si="3"/>
        <v>502142241.86842602</v>
      </c>
      <c r="Q5" s="33">
        <f t="shared" si="4"/>
        <v>151493487.26851851</v>
      </c>
      <c r="R5" s="65">
        <v>0.06</v>
      </c>
      <c r="S5" s="66">
        <f t="shared" si="5"/>
        <v>160583096.50462961</v>
      </c>
      <c r="T5" s="29">
        <f t="shared" si="6"/>
        <v>16391169.577546299</v>
      </c>
      <c r="U5" s="37">
        <f t="shared" si="7"/>
        <v>176974266.08217591</v>
      </c>
      <c r="V5" s="33">
        <f t="shared" si="8"/>
        <v>679116507.95060194</v>
      </c>
      <c r="W5" s="33">
        <f t="shared" si="0"/>
        <v>42985158.25999999</v>
      </c>
      <c r="X5" s="39">
        <f t="shared" si="1"/>
        <v>6.561020882551534E-2</v>
      </c>
      <c r="Y5" s="38">
        <f t="shared" si="2"/>
        <v>722101666.21060193</v>
      </c>
    </row>
    <row r="6" spans="1:27" x14ac:dyDescent="0.3">
      <c r="A6" s="9">
        <v>4</v>
      </c>
      <c r="B6" s="10" t="s">
        <v>20</v>
      </c>
      <c r="C6" s="11" t="s">
        <v>21</v>
      </c>
      <c r="D6" s="22" t="s">
        <v>82</v>
      </c>
      <c r="E6" s="22" t="s">
        <v>22</v>
      </c>
      <c r="F6" s="11" t="s">
        <v>21</v>
      </c>
      <c r="G6" s="22" t="s">
        <v>23</v>
      </c>
      <c r="H6" s="19">
        <v>-2.7930364372469634E-2</v>
      </c>
      <c r="I6" s="12">
        <v>151493487.26851851</v>
      </c>
      <c r="J6" s="12">
        <v>167884656.84606481</v>
      </c>
      <c r="K6" s="12">
        <v>312567136.51111108</v>
      </c>
      <c r="L6" s="12">
        <v>339073892.9081111</v>
      </c>
      <c r="M6" s="10" t="s">
        <v>24</v>
      </c>
      <c r="N6" s="32">
        <v>0.06</v>
      </c>
      <c r="O6" s="32">
        <v>0.03</v>
      </c>
      <c r="P6" s="28">
        <f t="shared" si="3"/>
        <v>175570277.67442593</v>
      </c>
      <c r="Q6" s="33">
        <f t="shared" si="4"/>
        <v>151493487.26851851</v>
      </c>
      <c r="R6" s="65">
        <v>0.06</v>
      </c>
      <c r="S6" s="66">
        <f t="shared" si="5"/>
        <v>160583096.50462961</v>
      </c>
      <c r="T6" s="29">
        <f>J6-I6</f>
        <v>16391169.577546299</v>
      </c>
      <c r="U6" s="37">
        <f t="shared" si="7"/>
        <v>176974266.08217591</v>
      </c>
      <c r="V6" s="33">
        <f t="shared" si="8"/>
        <v>352544543.75660181</v>
      </c>
      <c r="W6" s="33">
        <f t="shared" si="0"/>
        <v>26506756.397000015</v>
      </c>
      <c r="X6" s="39">
        <f t="shared" si="1"/>
        <v>7.8173981988590713E-2</v>
      </c>
      <c r="Y6" s="38">
        <f t="shared" si="2"/>
        <v>379051300.15360183</v>
      </c>
    </row>
    <row r="7" spans="1:27" x14ac:dyDescent="0.3">
      <c r="A7" s="9">
        <v>5</v>
      </c>
      <c r="B7" s="10" t="s">
        <v>25</v>
      </c>
      <c r="C7" s="11" t="s">
        <v>13</v>
      </c>
      <c r="D7" s="22" t="s">
        <v>83</v>
      </c>
      <c r="E7" s="22" t="s">
        <v>22</v>
      </c>
      <c r="F7" s="11" t="s">
        <v>26</v>
      </c>
      <c r="G7" s="22" t="s">
        <v>23</v>
      </c>
      <c r="H7" s="19">
        <v>-2.8302958579881656E-2</v>
      </c>
      <c r="I7" s="12">
        <v>151493487.26851851</v>
      </c>
      <c r="J7" s="12">
        <v>167884656.84606481</v>
      </c>
      <c r="K7" s="12">
        <v>367289058.31111109</v>
      </c>
      <c r="L7" s="12">
        <v>396805520.40711111</v>
      </c>
      <c r="M7" s="10" t="s">
        <v>27</v>
      </c>
      <c r="N7" s="32">
        <v>0.06</v>
      </c>
      <c r="O7" s="32">
        <v>0.03</v>
      </c>
      <c r="P7" s="28">
        <f t="shared" si="3"/>
        <v>235217172.43642592</v>
      </c>
      <c r="Q7" s="33">
        <f t="shared" si="4"/>
        <v>151493487.26851851</v>
      </c>
      <c r="R7" s="65">
        <v>0.06</v>
      </c>
      <c r="S7" s="66">
        <f t="shared" si="5"/>
        <v>160583096.50462961</v>
      </c>
      <c r="T7" s="29">
        <f t="shared" si="6"/>
        <v>16391169.577546299</v>
      </c>
      <c r="U7" s="37">
        <f t="shared" si="7"/>
        <v>176974266.08217591</v>
      </c>
      <c r="V7" s="33">
        <f t="shared" si="8"/>
        <v>412191438.51860183</v>
      </c>
      <c r="W7" s="33">
        <f t="shared" si="0"/>
        <v>29516462.096000016</v>
      </c>
      <c r="X7" s="39">
        <f t="shared" si="1"/>
        <v>7.4385210331038162E-2</v>
      </c>
      <c r="Y7" s="38">
        <f t="shared" si="2"/>
        <v>441707900.61460185</v>
      </c>
    </row>
    <row r="8" spans="1:27" x14ac:dyDescent="0.3">
      <c r="A8" s="9">
        <v>6</v>
      </c>
      <c r="B8" s="10" t="s">
        <v>25</v>
      </c>
      <c r="C8" s="11" t="s">
        <v>13</v>
      </c>
      <c r="D8" s="22" t="s">
        <v>83</v>
      </c>
      <c r="E8" s="22" t="s">
        <v>28</v>
      </c>
      <c r="F8" s="11" t="s">
        <v>29</v>
      </c>
      <c r="G8" s="22" t="s">
        <v>30</v>
      </c>
      <c r="H8" s="19">
        <v>-2.8302958579881656E-2</v>
      </c>
      <c r="I8" s="12">
        <v>151493487.26851851</v>
      </c>
      <c r="J8" s="12">
        <v>167884656.84606481</v>
      </c>
      <c r="K8" s="12">
        <v>350046294.31111109</v>
      </c>
      <c r="L8" s="12">
        <v>378614404.38711107</v>
      </c>
      <c r="M8" s="10" t="s">
        <v>31</v>
      </c>
      <c r="N8" s="32">
        <v>0.06</v>
      </c>
      <c r="O8" s="32">
        <v>0.03</v>
      </c>
      <c r="P8" s="28">
        <f t="shared" si="3"/>
        <v>216422559.67642593</v>
      </c>
      <c r="Q8" s="33">
        <f t="shared" si="4"/>
        <v>151493487.26851851</v>
      </c>
      <c r="R8" s="65">
        <v>0.06</v>
      </c>
      <c r="S8" s="66">
        <f t="shared" si="5"/>
        <v>160583096.50462961</v>
      </c>
      <c r="T8" s="29">
        <f t="shared" si="6"/>
        <v>16391169.577546299</v>
      </c>
      <c r="U8" s="37">
        <f t="shared" si="7"/>
        <v>176974266.08217591</v>
      </c>
      <c r="V8" s="33">
        <f t="shared" si="8"/>
        <v>393396825.75860184</v>
      </c>
      <c r="W8" s="33">
        <f t="shared" si="0"/>
        <v>28568110.075999975</v>
      </c>
      <c r="X8" s="39">
        <f t="shared" si="1"/>
        <v>7.5454366619371285E-2</v>
      </c>
      <c r="Y8" s="38">
        <f t="shared" si="2"/>
        <v>421964935.83460182</v>
      </c>
    </row>
    <row r="9" spans="1:27" x14ac:dyDescent="0.3">
      <c r="A9" s="9">
        <v>7</v>
      </c>
      <c r="B9" s="10" t="s">
        <v>32</v>
      </c>
      <c r="C9" s="11" t="e">
        <v>#N/A</v>
      </c>
      <c r="D9" s="22" t="s">
        <v>84</v>
      </c>
      <c r="E9" s="22" t="s">
        <v>22</v>
      </c>
      <c r="F9" s="11" t="s">
        <v>33</v>
      </c>
      <c r="G9" s="22" t="s">
        <v>23</v>
      </c>
      <c r="H9" s="19">
        <v>0</v>
      </c>
      <c r="I9" s="12">
        <v>151493487.26851851</v>
      </c>
      <c r="J9" s="12">
        <v>167884656.84606481</v>
      </c>
      <c r="K9" s="12">
        <v>441229852.51111108</v>
      </c>
      <c r="L9" s="12">
        <v>474813058.28811109</v>
      </c>
      <c r="M9" s="10" t="s">
        <v>34</v>
      </c>
      <c r="N9" s="32">
        <v>0.06</v>
      </c>
      <c r="O9" s="32">
        <v>0.03</v>
      </c>
      <c r="P9" s="28">
        <f t="shared" si="3"/>
        <v>315812638.11442596</v>
      </c>
      <c r="Q9" s="33">
        <f t="shared" si="4"/>
        <v>151493487.26851851</v>
      </c>
      <c r="R9" s="65">
        <v>0.06</v>
      </c>
      <c r="S9" s="66">
        <f t="shared" si="5"/>
        <v>160583096.50462961</v>
      </c>
      <c r="T9" s="29">
        <f t="shared" si="6"/>
        <v>16391169.577546299</v>
      </c>
      <c r="U9" s="37">
        <f t="shared" si="7"/>
        <v>176974266.08217591</v>
      </c>
      <c r="V9" s="33">
        <f t="shared" si="8"/>
        <v>492786904.19660187</v>
      </c>
      <c r="W9" s="33">
        <f t="shared" si="0"/>
        <v>33583205.77700001</v>
      </c>
      <c r="X9" s="39">
        <f t="shared" si="1"/>
        <v>7.0729322184357679E-2</v>
      </c>
      <c r="Y9" s="38">
        <f t="shared" si="2"/>
        <v>526370109.97360188</v>
      </c>
    </row>
    <row r="10" spans="1:27" x14ac:dyDescent="0.3">
      <c r="A10" s="9">
        <v>8</v>
      </c>
      <c r="B10" s="10" t="s">
        <v>35</v>
      </c>
      <c r="C10" s="11" t="s">
        <v>18</v>
      </c>
      <c r="D10" s="22" t="s">
        <v>85</v>
      </c>
      <c r="E10" s="22" t="s">
        <v>36</v>
      </c>
      <c r="F10" s="11" t="s">
        <v>37</v>
      </c>
      <c r="G10" s="22" t="s">
        <v>30</v>
      </c>
      <c r="H10" s="19">
        <v>-0.32291041831097078</v>
      </c>
      <c r="I10" s="12">
        <v>151493487.26851851</v>
      </c>
      <c r="J10" s="12">
        <v>167884656.84606481</v>
      </c>
      <c r="K10" s="12">
        <v>592331756.86111116</v>
      </c>
      <c r="L10" s="12">
        <v>634225567.37736118</v>
      </c>
      <c r="M10" s="10" t="s">
        <v>38</v>
      </c>
      <c r="N10" s="32">
        <v>0.06</v>
      </c>
      <c r="O10" s="32">
        <v>0.03</v>
      </c>
      <c r="P10" s="28">
        <f t="shared" si="3"/>
        <v>480513713.85592604</v>
      </c>
      <c r="Q10" s="33">
        <f t="shared" si="4"/>
        <v>151493487.26851851</v>
      </c>
      <c r="R10" s="65">
        <v>0.06</v>
      </c>
      <c r="S10" s="66">
        <f t="shared" si="5"/>
        <v>160583096.50462961</v>
      </c>
      <c r="T10" s="29">
        <f t="shared" si="6"/>
        <v>16391169.577546299</v>
      </c>
      <c r="U10" s="37">
        <f t="shared" si="7"/>
        <v>176974266.08217591</v>
      </c>
      <c r="V10" s="33">
        <f t="shared" si="8"/>
        <v>657487979.93810201</v>
      </c>
      <c r="W10" s="33">
        <f t="shared" si="0"/>
        <v>41893810.516250014</v>
      </c>
      <c r="X10" s="39">
        <f t="shared" si="1"/>
        <v>6.6055064114631315E-2</v>
      </c>
      <c r="Y10" s="38">
        <f t="shared" si="2"/>
        <v>699381790.45435202</v>
      </c>
    </row>
    <row r="11" spans="1:27" x14ac:dyDescent="0.3">
      <c r="A11" s="9">
        <v>9</v>
      </c>
      <c r="B11" s="10" t="s">
        <v>39</v>
      </c>
      <c r="C11" s="11" t="s">
        <v>13</v>
      </c>
      <c r="D11" s="22" t="s">
        <v>86</v>
      </c>
      <c r="E11" s="22" t="s">
        <v>36</v>
      </c>
      <c r="F11" s="11" t="s">
        <v>33</v>
      </c>
      <c r="G11" s="22" t="s">
        <v>30</v>
      </c>
      <c r="H11" s="19">
        <v>-0.27125714285714286</v>
      </c>
      <c r="I11" s="12">
        <v>151493487.26851851</v>
      </c>
      <c r="J11" s="12">
        <v>167884656.84606481</v>
      </c>
      <c r="K11" s="12">
        <v>376161893.1111111</v>
      </c>
      <c r="L11" s="12">
        <v>406166361.12111109</v>
      </c>
      <c r="M11" s="10"/>
      <c r="N11" s="32">
        <v>0.06</v>
      </c>
      <c r="O11" s="32">
        <v>0.03</v>
      </c>
      <c r="P11" s="28">
        <f t="shared" si="3"/>
        <v>244888562.36842594</v>
      </c>
      <c r="Q11" s="33">
        <f t="shared" si="4"/>
        <v>151493487.26851851</v>
      </c>
      <c r="R11" s="65">
        <v>0.06</v>
      </c>
      <c r="S11" s="66">
        <f t="shared" si="5"/>
        <v>160583096.50462961</v>
      </c>
      <c r="T11" s="29">
        <f t="shared" si="6"/>
        <v>16391169.577546299</v>
      </c>
      <c r="U11" s="37">
        <f t="shared" si="7"/>
        <v>176974266.08217591</v>
      </c>
      <c r="V11" s="33">
        <f t="shared" si="8"/>
        <v>421862828.45060182</v>
      </c>
      <c r="W11" s="33">
        <f t="shared" si="0"/>
        <v>30004468.00999999</v>
      </c>
      <c r="X11" s="39">
        <f t="shared" si="1"/>
        <v>7.3872360889712455E-2</v>
      </c>
      <c r="Y11" s="38">
        <f t="shared" si="2"/>
        <v>451867296.46060181</v>
      </c>
    </row>
    <row r="12" spans="1:27" x14ac:dyDescent="0.3">
      <c r="A12" s="9">
        <v>10</v>
      </c>
      <c r="B12" s="10" t="s">
        <v>41</v>
      </c>
      <c r="C12" s="11" t="s">
        <v>13</v>
      </c>
      <c r="D12" s="22" t="s">
        <v>87</v>
      </c>
      <c r="E12" s="22" t="s">
        <v>36</v>
      </c>
      <c r="F12" s="11" t="s">
        <v>33</v>
      </c>
      <c r="G12" s="22" t="s">
        <v>30</v>
      </c>
      <c r="H12" s="19">
        <v>-0.21255134641716111</v>
      </c>
      <c r="I12" s="12">
        <v>151493487.26851851</v>
      </c>
      <c r="J12" s="12">
        <v>167884656.84606481</v>
      </c>
      <c r="K12" s="12">
        <v>451086893.1111111</v>
      </c>
      <c r="L12" s="12">
        <v>485212236.12111109</v>
      </c>
      <c r="M12" s="10" t="s">
        <v>40</v>
      </c>
      <c r="N12" s="32">
        <v>0.06</v>
      </c>
      <c r="O12" s="32">
        <v>0.03</v>
      </c>
      <c r="P12" s="28">
        <f t="shared" si="3"/>
        <v>326556812.36842597</v>
      </c>
      <c r="Q12" s="33">
        <f t="shared" si="4"/>
        <v>151493487.26851851</v>
      </c>
      <c r="R12" s="65">
        <v>0.06</v>
      </c>
      <c r="S12" s="66">
        <f t="shared" si="5"/>
        <v>160583096.50462961</v>
      </c>
      <c r="T12" s="29">
        <f t="shared" si="6"/>
        <v>16391169.577546299</v>
      </c>
      <c r="U12" s="37">
        <f t="shared" si="7"/>
        <v>176974266.08217591</v>
      </c>
      <c r="V12" s="33">
        <f t="shared" si="8"/>
        <v>503531078.45060188</v>
      </c>
      <c r="W12" s="33">
        <f t="shared" si="0"/>
        <v>34125343.00999999</v>
      </c>
      <c r="X12" s="39">
        <f t="shared" si="1"/>
        <v>7.0330755223333152E-2</v>
      </c>
      <c r="Y12" s="38">
        <f t="shared" si="2"/>
        <v>537656421.46060181</v>
      </c>
    </row>
    <row r="13" spans="1:27" x14ac:dyDescent="0.3">
      <c r="A13" s="9">
        <v>11</v>
      </c>
      <c r="B13" s="10" t="s">
        <v>42</v>
      </c>
      <c r="C13" s="11" t="s">
        <v>13</v>
      </c>
      <c r="D13" s="22" t="s">
        <v>88</v>
      </c>
      <c r="E13" s="22" t="s">
        <v>36</v>
      </c>
      <c r="F13" s="11" t="s">
        <v>33</v>
      </c>
      <c r="G13" s="22" t="s">
        <v>30</v>
      </c>
      <c r="H13" s="19">
        <v>-0.30324711180124225</v>
      </c>
      <c r="I13" s="12">
        <v>151493487.26851851</v>
      </c>
      <c r="J13" s="12">
        <v>167884656.84606481</v>
      </c>
      <c r="K13" s="12">
        <v>387954518.6811111</v>
      </c>
      <c r="L13" s="12">
        <v>418607581.0974611</v>
      </c>
      <c r="M13" s="10" t="s">
        <v>124</v>
      </c>
      <c r="N13" s="32">
        <v>0.06</v>
      </c>
      <c r="O13" s="32">
        <v>0.03</v>
      </c>
      <c r="P13" s="28">
        <f t="shared" si="3"/>
        <v>257742524.23972595</v>
      </c>
      <c r="Q13" s="33">
        <f t="shared" si="4"/>
        <v>151493487.26851851</v>
      </c>
      <c r="R13" s="65">
        <v>0.06</v>
      </c>
      <c r="S13" s="66">
        <f t="shared" si="5"/>
        <v>160583096.50462961</v>
      </c>
      <c r="T13" s="29">
        <f t="shared" si="6"/>
        <v>16391169.577546299</v>
      </c>
      <c r="U13" s="37">
        <f t="shared" si="7"/>
        <v>176974266.08217591</v>
      </c>
      <c r="V13" s="33">
        <f t="shared" si="8"/>
        <v>434716790.32190186</v>
      </c>
      <c r="W13" s="33">
        <f t="shared" si="0"/>
        <v>30653062.416350007</v>
      </c>
      <c r="X13" s="39">
        <f t="shared" si="1"/>
        <v>7.3226247685211646E-2</v>
      </c>
      <c r="Y13" s="38">
        <f t="shared" si="2"/>
        <v>465369852.73825186</v>
      </c>
    </row>
    <row r="14" spans="1:27" x14ac:dyDescent="0.3">
      <c r="A14" s="9">
        <v>12</v>
      </c>
      <c r="B14" s="10" t="s">
        <v>43</v>
      </c>
      <c r="C14" s="11" t="s">
        <v>13</v>
      </c>
      <c r="D14" s="22" t="s">
        <v>89</v>
      </c>
      <c r="E14" s="22" t="s">
        <v>36</v>
      </c>
      <c r="F14" s="11" t="s">
        <v>33</v>
      </c>
      <c r="G14" s="22" t="s">
        <v>30</v>
      </c>
      <c r="H14" s="19">
        <v>-0.33012106537530267</v>
      </c>
      <c r="I14" s="12">
        <v>151493487.26851851</v>
      </c>
      <c r="J14" s="12">
        <v>167884656.84606481</v>
      </c>
      <c r="K14" s="12">
        <v>394143893.1111111</v>
      </c>
      <c r="L14" s="12">
        <v>425137371.12111109</v>
      </c>
      <c r="M14" s="10"/>
      <c r="N14" s="32">
        <v>0.06</v>
      </c>
      <c r="O14" s="32">
        <v>0.03</v>
      </c>
      <c r="P14" s="28">
        <f t="shared" si="3"/>
        <v>264488942.36842594</v>
      </c>
      <c r="Q14" s="33">
        <f t="shared" si="4"/>
        <v>151493487.26851851</v>
      </c>
      <c r="R14" s="65">
        <v>0.06</v>
      </c>
      <c r="S14" s="66">
        <f t="shared" si="5"/>
        <v>160583096.50462961</v>
      </c>
      <c r="T14" s="29">
        <f t="shared" si="6"/>
        <v>16391169.577546299</v>
      </c>
      <c r="U14" s="37">
        <f t="shared" si="7"/>
        <v>176974266.08217591</v>
      </c>
      <c r="V14" s="33">
        <f t="shared" si="8"/>
        <v>441463208.45060182</v>
      </c>
      <c r="W14" s="33">
        <f t="shared" si="0"/>
        <v>30993478.00999999</v>
      </c>
      <c r="X14" s="39">
        <f t="shared" si="1"/>
        <v>7.2902266691513035E-2</v>
      </c>
      <c r="Y14" s="38">
        <f t="shared" si="2"/>
        <v>472456686.46060181</v>
      </c>
    </row>
    <row r="15" spans="1:27" x14ac:dyDescent="0.3">
      <c r="A15" s="9">
        <v>13</v>
      </c>
      <c r="B15" s="10" t="s">
        <v>44</v>
      </c>
      <c r="C15" s="11" t="s">
        <v>13</v>
      </c>
      <c r="D15" s="22" t="s">
        <v>90</v>
      </c>
      <c r="E15" s="22" t="s">
        <v>36</v>
      </c>
      <c r="F15" s="11" t="s">
        <v>33</v>
      </c>
      <c r="G15" s="22" t="s">
        <v>30</v>
      </c>
      <c r="H15" s="19">
        <v>-0.25171428571428572</v>
      </c>
      <c r="I15" s="12">
        <v>151493487.26851851</v>
      </c>
      <c r="J15" s="12">
        <v>167884656.84606481</v>
      </c>
      <c r="K15" s="12">
        <v>469068893.1111111</v>
      </c>
      <c r="L15" s="12">
        <v>504183246.12111109</v>
      </c>
      <c r="M15" s="10"/>
      <c r="N15" s="32">
        <v>0.06</v>
      </c>
      <c r="O15" s="32">
        <v>0.03</v>
      </c>
      <c r="P15" s="28">
        <f t="shared" si="3"/>
        <v>346157192.36842597</v>
      </c>
      <c r="Q15" s="33">
        <f t="shared" si="4"/>
        <v>151493487.26851851</v>
      </c>
      <c r="R15" s="65">
        <v>0.06</v>
      </c>
      <c r="S15" s="66">
        <f t="shared" si="5"/>
        <v>160583096.50462961</v>
      </c>
      <c r="T15" s="29">
        <f t="shared" si="6"/>
        <v>16391169.577546299</v>
      </c>
      <c r="U15" s="37">
        <f t="shared" si="7"/>
        <v>176974266.08217591</v>
      </c>
      <c r="V15" s="33">
        <f t="shared" si="8"/>
        <v>523131458.45060188</v>
      </c>
      <c r="W15" s="33">
        <f t="shared" si="0"/>
        <v>35114353.00999999</v>
      </c>
      <c r="X15" s="39">
        <f t="shared" si="1"/>
        <v>6.9646013190936301E-2</v>
      </c>
      <c r="Y15" s="38">
        <f t="shared" si="2"/>
        <v>558245811.46060181</v>
      </c>
    </row>
    <row r="16" spans="1:27" x14ac:dyDescent="0.3">
      <c r="A16" s="9">
        <v>14</v>
      </c>
      <c r="B16" s="10" t="s">
        <v>45</v>
      </c>
      <c r="C16" s="11" t="s">
        <v>13</v>
      </c>
      <c r="D16" s="22" t="s">
        <v>91</v>
      </c>
      <c r="E16" s="22" t="s">
        <v>36</v>
      </c>
      <c r="F16" s="11" t="s">
        <v>46</v>
      </c>
      <c r="G16" s="22" t="s">
        <v>30</v>
      </c>
      <c r="H16" s="19">
        <v>-0.30565705807545568</v>
      </c>
      <c r="I16" s="12">
        <v>151493487.26851851</v>
      </c>
      <c r="J16" s="12">
        <v>167884656.84606481</v>
      </c>
      <c r="K16" s="12">
        <v>436543950.6111111</v>
      </c>
      <c r="L16" s="12">
        <v>469869431.78361112</v>
      </c>
      <c r="M16" s="13" t="s">
        <v>118</v>
      </c>
      <c r="N16" s="32">
        <v>0.06</v>
      </c>
      <c r="O16" s="32">
        <v>0.03</v>
      </c>
      <c r="P16" s="28">
        <f t="shared" si="3"/>
        <v>310705005.04342598</v>
      </c>
      <c r="Q16" s="33">
        <f t="shared" si="4"/>
        <v>151493487.26851851</v>
      </c>
      <c r="R16" s="65">
        <v>0.06</v>
      </c>
      <c r="S16" s="66">
        <f t="shared" si="5"/>
        <v>160583096.50462961</v>
      </c>
      <c r="T16" s="29">
        <f t="shared" si="6"/>
        <v>16391169.577546299</v>
      </c>
      <c r="U16" s="37">
        <f t="shared" si="7"/>
        <v>176974266.08217591</v>
      </c>
      <c r="V16" s="33">
        <f t="shared" si="8"/>
        <v>487679271.12560189</v>
      </c>
      <c r="W16" s="33">
        <f t="shared" si="0"/>
        <v>33325481.172500014</v>
      </c>
      <c r="X16" s="39">
        <f t="shared" si="1"/>
        <v>7.0924982384994548E-2</v>
      </c>
      <c r="Y16" s="38">
        <f t="shared" si="2"/>
        <v>521004752.2981019</v>
      </c>
    </row>
    <row r="17" spans="1:25" x14ac:dyDescent="0.3">
      <c r="A17" s="9">
        <v>15</v>
      </c>
      <c r="B17" s="10" t="s">
        <v>47</v>
      </c>
      <c r="C17" s="11" t="s">
        <v>13</v>
      </c>
      <c r="D17" s="22" t="s">
        <v>92</v>
      </c>
      <c r="E17" s="22" t="s">
        <v>36</v>
      </c>
      <c r="F17" s="11" t="s">
        <v>46</v>
      </c>
      <c r="G17" s="22" t="s">
        <v>30</v>
      </c>
      <c r="H17" s="19">
        <v>-0.35763289036544849</v>
      </c>
      <c r="I17" s="12">
        <v>151493487.26851851</v>
      </c>
      <c r="J17" s="12">
        <v>167884656.84606481</v>
      </c>
      <c r="K17" s="12">
        <v>453563164.3611111</v>
      </c>
      <c r="L17" s="12">
        <v>487824702.28986108</v>
      </c>
      <c r="M17" s="10" t="s">
        <v>119</v>
      </c>
      <c r="N17" s="32">
        <v>0.06</v>
      </c>
      <c r="O17" s="32">
        <v>0.03</v>
      </c>
      <c r="P17" s="28">
        <f t="shared" si="3"/>
        <v>329255948.03092593</v>
      </c>
      <c r="Q17" s="33">
        <f t="shared" si="4"/>
        <v>151493487.26851851</v>
      </c>
      <c r="R17" s="65">
        <v>0.06</v>
      </c>
      <c r="S17" s="66">
        <f t="shared" si="5"/>
        <v>160583096.50462961</v>
      </c>
      <c r="T17" s="29">
        <f t="shared" si="6"/>
        <v>16391169.577546299</v>
      </c>
      <c r="U17" s="37">
        <f t="shared" si="7"/>
        <v>176974266.08217591</v>
      </c>
      <c r="V17" s="33">
        <f t="shared" si="8"/>
        <v>506230214.11310184</v>
      </c>
      <c r="W17" s="33">
        <f t="shared" si="0"/>
        <v>34261537.928749979</v>
      </c>
      <c r="X17" s="39">
        <f t="shared" si="1"/>
        <v>7.0233298494162932E-2</v>
      </c>
      <c r="Y17" s="38">
        <f t="shared" si="2"/>
        <v>540491752.04185176</v>
      </c>
    </row>
    <row r="18" spans="1:25" x14ac:dyDescent="0.3">
      <c r="A18" s="9">
        <v>16</v>
      </c>
      <c r="B18" s="10" t="s">
        <v>48</v>
      </c>
      <c r="C18" s="11" t="s">
        <v>13</v>
      </c>
      <c r="D18" s="22" t="s">
        <v>93</v>
      </c>
      <c r="E18" s="22" t="s">
        <v>36</v>
      </c>
      <c r="F18" s="11" t="s">
        <v>46</v>
      </c>
      <c r="G18" s="22" t="s">
        <v>30</v>
      </c>
      <c r="H18" s="19">
        <v>-0.36722701185277606</v>
      </c>
      <c r="I18" s="12">
        <v>151493487.26851851</v>
      </c>
      <c r="J18" s="12">
        <v>167884656.84606481</v>
      </c>
      <c r="K18" s="12">
        <v>501598031.41111112</v>
      </c>
      <c r="L18" s="12">
        <v>538501487.02761114</v>
      </c>
      <c r="M18" s="10" t="s">
        <v>120</v>
      </c>
      <c r="N18" s="32">
        <v>0.06</v>
      </c>
      <c r="O18" s="32">
        <v>0.03</v>
      </c>
      <c r="P18" s="28">
        <f t="shared" si="3"/>
        <v>381613953.11542594</v>
      </c>
      <c r="Q18" s="33">
        <f t="shared" si="4"/>
        <v>151493487.26851851</v>
      </c>
      <c r="R18" s="65">
        <v>0.06</v>
      </c>
      <c r="S18" s="66">
        <f t="shared" si="5"/>
        <v>160583096.50462961</v>
      </c>
      <c r="T18" s="29">
        <f t="shared" si="6"/>
        <v>16391169.577546299</v>
      </c>
      <c r="U18" s="37">
        <f t="shared" si="7"/>
        <v>176974266.08217591</v>
      </c>
      <c r="V18" s="33">
        <f t="shared" si="8"/>
        <v>558588219.1976018</v>
      </c>
      <c r="W18" s="33">
        <f t="shared" si="0"/>
        <v>36903455.61650002</v>
      </c>
      <c r="X18" s="39">
        <f t="shared" si="1"/>
        <v>6.8529904755133625E-2</v>
      </c>
      <c r="Y18" s="38">
        <f t="shared" si="2"/>
        <v>595491674.81410182</v>
      </c>
    </row>
    <row r="19" spans="1:25" x14ac:dyDescent="0.3">
      <c r="A19" s="9">
        <v>17</v>
      </c>
      <c r="B19" s="10" t="s">
        <v>49</v>
      </c>
      <c r="C19" s="11" t="s">
        <v>13</v>
      </c>
      <c r="D19" s="22" t="s">
        <v>94</v>
      </c>
      <c r="E19" s="22" t="s">
        <v>36</v>
      </c>
      <c r="F19" s="11" t="s">
        <v>46</v>
      </c>
      <c r="G19" s="22" t="s">
        <v>30</v>
      </c>
      <c r="H19" s="19">
        <v>-0.38740512894813095</v>
      </c>
      <c r="I19" s="12">
        <v>151493487.26851851</v>
      </c>
      <c r="J19" s="12">
        <v>167884656.84606481</v>
      </c>
      <c r="K19" s="12">
        <v>515816248.96111113</v>
      </c>
      <c r="L19" s="12">
        <v>553501706.5428611</v>
      </c>
      <c r="M19" s="10" t="s">
        <v>121</v>
      </c>
      <c r="N19" s="32">
        <v>0.06</v>
      </c>
      <c r="O19" s="32">
        <v>0.03</v>
      </c>
      <c r="P19" s="28">
        <f t="shared" si="3"/>
        <v>397111810.24492598</v>
      </c>
      <c r="Q19" s="33">
        <f t="shared" si="4"/>
        <v>151493487.26851851</v>
      </c>
      <c r="R19" s="65">
        <v>0.06</v>
      </c>
      <c r="S19" s="66">
        <f t="shared" si="5"/>
        <v>160583096.50462961</v>
      </c>
      <c r="T19" s="29">
        <f t="shared" si="6"/>
        <v>16391169.577546299</v>
      </c>
      <c r="U19" s="37">
        <f t="shared" si="7"/>
        <v>176974266.08217591</v>
      </c>
      <c r="V19" s="33">
        <f t="shared" si="8"/>
        <v>574086076.32710195</v>
      </c>
      <c r="W19" s="33">
        <f t="shared" si="0"/>
        <v>37685457.581749976</v>
      </c>
      <c r="X19" s="39">
        <f t="shared" si="1"/>
        <v>6.8085530968153854E-2</v>
      </c>
      <c r="Y19" s="38">
        <f t="shared" si="2"/>
        <v>611771533.90885186</v>
      </c>
    </row>
    <row r="20" spans="1:25" x14ac:dyDescent="0.3">
      <c r="A20" s="9">
        <v>18</v>
      </c>
      <c r="B20" s="10" t="s">
        <v>50</v>
      </c>
      <c r="C20" s="11" t="s">
        <v>13</v>
      </c>
      <c r="D20" s="22" t="s">
        <v>95</v>
      </c>
      <c r="E20" s="22" t="s">
        <v>36</v>
      </c>
      <c r="F20" s="11" t="s">
        <v>46</v>
      </c>
      <c r="G20" s="22" t="s">
        <v>30</v>
      </c>
      <c r="H20" s="19">
        <v>-0.37454798547215495</v>
      </c>
      <c r="I20" s="12">
        <v>151493487.26851851</v>
      </c>
      <c r="J20" s="12">
        <v>167884656.84606481</v>
      </c>
      <c r="K20" s="12">
        <v>593913393.64111114</v>
      </c>
      <c r="L20" s="12">
        <v>635894194.18026114</v>
      </c>
      <c r="M20" s="10" t="s">
        <v>122</v>
      </c>
      <c r="N20" s="32">
        <v>0.06</v>
      </c>
      <c r="O20" s="32">
        <v>0.03</v>
      </c>
      <c r="P20" s="28">
        <f t="shared" si="3"/>
        <v>482237697.94612598</v>
      </c>
      <c r="Q20" s="33">
        <f t="shared" si="4"/>
        <v>151493487.26851851</v>
      </c>
      <c r="R20" s="65">
        <v>0.06</v>
      </c>
      <c r="S20" s="66">
        <f t="shared" si="5"/>
        <v>160583096.50462961</v>
      </c>
      <c r="T20" s="29">
        <f t="shared" si="6"/>
        <v>16391169.577546299</v>
      </c>
      <c r="U20" s="37">
        <f t="shared" si="7"/>
        <v>176974266.08217591</v>
      </c>
      <c r="V20" s="33">
        <f t="shared" si="8"/>
        <v>659211964.02830195</v>
      </c>
      <c r="W20" s="33">
        <f t="shared" si="0"/>
        <v>41980800.53915</v>
      </c>
      <c r="X20" s="39">
        <f t="shared" si="1"/>
        <v>6.6018530949583459E-2</v>
      </c>
      <c r="Y20" s="38">
        <f t="shared" si="2"/>
        <v>701192764.56745195</v>
      </c>
    </row>
    <row r="21" spans="1:25" x14ac:dyDescent="0.3">
      <c r="A21" s="9">
        <v>19</v>
      </c>
      <c r="B21" s="10" t="s">
        <v>51</v>
      </c>
      <c r="C21" s="11" t="s">
        <v>13</v>
      </c>
      <c r="D21" s="22" t="s">
        <v>96</v>
      </c>
      <c r="E21" s="22" t="s">
        <v>36</v>
      </c>
      <c r="F21" s="11" t="s">
        <v>46</v>
      </c>
      <c r="G21" s="22" t="s">
        <v>30</v>
      </c>
      <c r="H21" s="19">
        <v>-0.36027893369788105</v>
      </c>
      <c r="I21" s="12">
        <v>151493487.26851851</v>
      </c>
      <c r="J21" s="12">
        <v>167884656.84606481</v>
      </c>
      <c r="K21" s="12">
        <v>631312447.15111113</v>
      </c>
      <c r="L21" s="12">
        <v>675350195.63331115</v>
      </c>
      <c r="M21" s="10"/>
      <c r="N21" s="32">
        <v>0.06</v>
      </c>
      <c r="O21" s="32">
        <v>0.03</v>
      </c>
      <c r="P21" s="28">
        <f t="shared" si="3"/>
        <v>523002666.272026</v>
      </c>
      <c r="Q21" s="33">
        <f t="shared" si="4"/>
        <v>151493487.26851851</v>
      </c>
      <c r="R21" s="65">
        <v>0.06</v>
      </c>
      <c r="S21" s="66">
        <f t="shared" si="5"/>
        <v>160583096.50462961</v>
      </c>
      <c r="T21" s="29">
        <f t="shared" si="6"/>
        <v>16391169.577546299</v>
      </c>
      <c r="U21" s="37">
        <f t="shared" si="7"/>
        <v>176974266.08217591</v>
      </c>
      <c r="V21" s="33">
        <f t="shared" si="8"/>
        <v>699976932.35420191</v>
      </c>
      <c r="W21" s="33">
        <f t="shared" si="0"/>
        <v>44037748.482200027</v>
      </c>
      <c r="X21" s="39">
        <f t="shared" si="1"/>
        <v>6.5207278782089539E-2</v>
      </c>
      <c r="Y21" s="38">
        <f t="shared" si="2"/>
        <v>744014680.83640194</v>
      </c>
    </row>
    <row r="22" spans="1:25" x14ac:dyDescent="0.3">
      <c r="A22" s="9">
        <v>20</v>
      </c>
      <c r="B22" s="10" t="s">
        <v>52</v>
      </c>
      <c r="C22" s="11" t="s">
        <v>13</v>
      </c>
      <c r="D22" s="22" t="s">
        <v>97</v>
      </c>
      <c r="E22" s="22" t="s">
        <v>36</v>
      </c>
      <c r="F22" s="11" t="s">
        <v>46</v>
      </c>
      <c r="G22" s="22" t="s">
        <v>30</v>
      </c>
      <c r="H22" s="19">
        <v>-0.34877834931026419</v>
      </c>
      <c r="I22" s="12">
        <v>151493487.26851851</v>
      </c>
      <c r="J22" s="12">
        <v>167884656.84606481</v>
      </c>
      <c r="K22" s="12">
        <v>627572730.61111116</v>
      </c>
      <c r="L22" s="12">
        <v>671404794.68361115</v>
      </c>
      <c r="M22" s="24" t="s">
        <v>123</v>
      </c>
      <c r="N22" s="32">
        <v>0.06</v>
      </c>
      <c r="O22" s="32">
        <v>0.03</v>
      </c>
      <c r="P22" s="28">
        <f t="shared" si="3"/>
        <v>518926375.24342602</v>
      </c>
      <c r="Q22" s="33">
        <f t="shared" si="4"/>
        <v>151493487.26851851</v>
      </c>
      <c r="R22" s="65">
        <v>0.06</v>
      </c>
      <c r="S22" s="66">
        <f t="shared" si="5"/>
        <v>160583096.50462961</v>
      </c>
      <c r="T22" s="29">
        <f t="shared" si="6"/>
        <v>16391169.577546299</v>
      </c>
      <c r="U22" s="37">
        <f t="shared" si="7"/>
        <v>176974266.08217591</v>
      </c>
      <c r="V22" s="33">
        <f t="shared" si="8"/>
        <v>695900641.32560194</v>
      </c>
      <c r="W22" s="33">
        <f t="shared" si="0"/>
        <v>43832064.07249999</v>
      </c>
      <c r="X22" s="39">
        <f t="shared" si="1"/>
        <v>6.5284109406986215E-2</v>
      </c>
      <c r="Y22" s="38">
        <f t="shared" si="2"/>
        <v>739732705.39810193</v>
      </c>
    </row>
    <row r="23" spans="1:25" x14ac:dyDescent="0.3">
      <c r="A23" s="9">
        <v>21</v>
      </c>
      <c r="B23" s="10" t="s">
        <v>53</v>
      </c>
      <c r="C23" s="11" t="s">
        <v>13</v>
      </c>
      <c r="D23" s="22" t="s">
        <v>98</v>
      </c>
      <c r="E23" s="22" t="s">
        <v>36</v>
      </c>
      <c r="F23" s="11" t="s">
        <v>46</v>
      </c>
      <c r="G23" s="22" t="s">
        <v>30</v>
      </c>
      <c r="H23" s="19">
        <v>-0.33462137582417584</v>
      </c>
      <c r="I23" s="12">
        <v>151493487.26851851</v>
      </c>
      <c r="J23" s="12">
        <v>167884656.84606481</v>
      </c>
      <c r="K23" s="12">
        <v>667898654.3211112</v>
      </c>
      <c r="L23" s="12">
        <v>713948644.19766116</v>
      </c>
      <c r="M23" s="10"/>
      <c r="N23" s="32">
        <v>0.06</v>
      </c>
      <c r="O23" s="32">
        <v>0.03</v>
      </c>
      <c r="P23" s="28">
        <f t="shared" si="3"/>
        <v>562881632.08732605</v>
      </c>
      <c r="Q23" s="33">
        <f t="shared" si="4"/>
        <v>151493487.26851851</v>
      </c>
      <c r="R23" s="65">
        <v>0.06</v>
      </c>
      <c r="S23" s="66">
        <f t="shared" si="5"/>
        <v>160583096.50462961</v>
      </c>
      <c r="T23" s="29">
        <f t="shared" si="6"/>
        <v>16391169.577546299</v>
      </c>
      <c r="U23" s="37">
        <f t="shared" si="7"/>
        <v>176974266.08217591</v>
      </c>
      <c r="V23" s="33">
        <f t="shared" si="8"/>
        <v>739855898.16950202</v>
      </c>
      <c r="W23" s="33">
        <f t="shared" si="0"/>
        <v>46049989.876549959</v>
      </c>
      <c r="X23" s="39">
        <f t="shared" si="1"/>
        <v>6.450042345594921E-2</v>
      </c>
      <c r="Y23" s="38">
        <f t="shared" si="2"/>
        <v>785905888.04605198</v>
      </c>
    </row>
    <row r="24" spans="1:25" x14ac:dyDescent="0.3">
      <c r="A24" s="9">
        <v>22</v>
      </c>
      <c r="B24" s="10" t="s">
        <v>54</v>
      </c>
      <c r="C24" s="11" t="s">
        <v>13</v>
      </c>
      <c r="D24" s="22" t="s">
        <v>99</v>
      </c>
      <c r="E24" s="22" t="s">
        <v>36</v>
      </c>
      <c r="F24" s="11" t="s">
        <v>46</v>
      </c>
      <c r="G24" s="22" t="s">
        <v>30</v>
      </c>
      <c r="H24" s="19">
        <v>-0.33667344850498337</v>
      </c>
      <c r="I24" s="12">
        <v>151493487.26851851</v>
      </c>
      <c r="J24" s="12">
        <v>167884656.84606481</v>
      </c>
      <c r="K24" s="12">
        <v>662478519.88111115</v>
      </c>
      <c r="L24" s="12">
        <v>708230402.36346114</v>
      </c>
      <c r="M24" s="10"/>
      <c r="N24" s="32">
        <v>0.06</v>
      </c>
      <c r="O24" s="32">
        <v>0.03</v>
      </c>
      <c r="P24" s="28">
        <f t="shared" si="3"/>
        <v>556973685.54772604</v>
      </c>
      <c r="Q24" s="33">
        <f t="shared" si="4"/>
        <v>151493487.26851851</v>
      </c>
      <c r="R24" s="65">
        <v>0.06</v>
      </c>
      <c r="S24" s="66">
        <f t="shared" si="5"/>
        <v>160583096.50462961</v>
      </c>
      <c r="T24" s="29">
        <f t="shared" si="6"/>
        <v>16391169.577546299</v>
      </c>
      <c r="U24" s="37">
        <f t="shared" si="7"/>
        <v>176974266.08217591</v>
      </c>
      <c r="V24" s="33">
        <f t="shared" si="8"/>
        <v>733947951.62990189</v>
      </c>
      <c r="W24" s="33">
        <f t="shared" si="0"/>
        <v>45751882.482349992</v>
      </c>
      <c r="X24" s="39">
        <f t="shared" si="1"/>
        <v>6.460028026143716E-2</v>
      </c>
      <c r="Y24" s="38">
        <f t="shared" si="2"/>
        <v>779699834.11225188</v>
      </c>
    </row>
    <row r="25" spans="1:25" x14ac:dyDescent="0.3">
      <c r="A25" s="9">
        <v>23</v>
      </c>
      <c r="B25" s="10" t="s">
        <v>55</v>
      </c>
      <c r="C25" s="11" t="s">
        <v>13</v>
      </c>
      <c r="D25" s="22" t="s">
        <v>100</v>
      </c>
      <c r="E25" s="22" t="s">
        <v>36</v>
      </c>
      <c r="F25" s="11" t="s">
        <v>46</v>
      </c>
      <c r="G25" s="22" t="s">
        <v>30</v>
      </c>
      <c r="H25" s="19">
        <v>-0.32989972004940304</v>
      </c>
      <c r="I25" s="12">
        <v>151493487.26851851</v>
      </c>
      <c r="J25" s="12">
        <v>167884656.84606481</v>
      </c>
      <c r="K25" s="12">
        <v>705839745.25111115</v>
      </c>
      <c r="L25" s="12">
        <v>753976495.12881112</v>
      </c>
      <c r="M25" s="10"/>
      <c r="N25" s="32">
        <v>0.06</v>
      </c>
      <c r="O25" s="32">
        <v>0.03</v>
      </c>
      <c r="P25" s="28">
        <f t="shared" si="3"/>
        <v>604237421.20102596</v>
      </c>
      <c r="Q25" s="33">
        <f t="shared" si="4"/>
        <v>151493487.26851851</v>
      </c>
      <c r="R25" s="65">
        <v>0.06</v>
      </c>
      <c r="S25" s="66">
        <f t="shared" si="5"/>
        <v>160583096.50462961</v>
      </c>
      <c r="T25" s="29">
        <f t="shared" si="6"/>
        <v>16391169.577546299</v>
      </c>
      <c r="U25" s="37">
        <f t="shared" si="7"/>
        <v>176974266.08217591</v>
      </c>
      <c r="V25" s="33">
        <f t="shared" si="8"/>
        <v>781211687.28320193</v>
      </c>
      <c r="W25" s="33">
        <f t="shared" si="0"/>
        <v>48136749.877699971</v>
      </c>
      <c r="X25" s="39">
        <f t="shared" si="1"/>
        <v>6.384383357928973E-2</v>
      </c>
      <c r="Y25" s="38">
        <f t="shared" si="2"/>
        <v>829348437.1609019</v>
      </c>
    </row>
    <row r="26" spans="1:25" x14ac:dyDescent="0.3">
      <c r="A26" s="9">
        <v>24</v>
      </c>
      <c r="B26" s="10" t="s">
        <v>56</v>
      </c>
      <c r="C26" s="43" t="s">
        <v>13</v>
      </c>
      <c r="D26" s="44" t="s">
        <v>101</v>
      </c>
      <c r="E26" s="44" t="s">
        <v>36</v>
      </c>
      <c r="F26" s="43" t="s">
        <v>46</v>
      </c>
      <c r="G26" s="44" t="s">
        <v>30</v>
      </c>
      <c r="H26" s="45">
        <v>-0.37268980925324674</v>
      </c>
      <c r="I26" s="46">
        <v>151493487.26851851</v>
      </c>
      <c r="J26" s="46">
        <v>167884656.84606481</v>
      </c>
      <c r="K26" s="46">
        <v>678539982.34111118</v>
      </c>
      <c r="L26" s="46">
        <v>725175245.25876117</v>
      </c>
      <c r="M26" s="10"/>
      <c r="N26" s="47">
        <v>0.06</v>
      </c>
      <c r="O26" s="47">
        <v>0.03</v>
      </c>
      <c r="P26" s="28">
        <f t="shared" si="3"/>
        <v>574480679.62912607</v>
      </c>
      <c r="Q26" s="33">
        <f t="shared" si="4"/>
        <v>151493487.26851851</v>
      </c>
      <c r="R26" s="65">
        <v>0.06</v>
      </c>
      <c r="S26" s="66">
        <f t="shared" si="5"/>
        <v>160583096.50462961</v>
      </c>
      <c r="T26" s="29">
        <f t="shared" si="6"/>
        <v>16391169.577546299</v>
      </c>
      <c r="U26" s="37">
        <f t="shared" si="7"/>
        <v>176974266.08217591</v>
      </c>
      <c r="V26" s="33">
        <f t="shared" si="8"/>
        <v>751454945.71130204</v>
      </c>
      <c r="W26" s="33">
        <f t="shared" si="0"/>
        <v>46635262.917649984</v>
      </c>
      <c r="X26" s="48">
        <f t="shared" si="1"/>
        <v>6.4308955969683335E-2</v>
      </c>
      <c r="Y26" s="49">
        <f t="shared" si="2"/>
        <v>798090208.62895203</v>
      </c>
    </row>
    <row r="27" spans="1:25" x14ac:dyDescent="0.3">
      <c r="A27" s="9">
        <v>25</v>
      </c>
      <c r="B27" s="10" t="s">
        <v>57</v>
      </c>
      <c r="C27" s="11" t="s">
        <v>13</v>
      </c>
      <c r="D27" s="22" t="s">
        <v>102</v>
      </c>
      <c r="E27" s="22" t="s">
        <v>36</v>
      </c>
      <c r="F27" s="11" t="s">
        <v>46</v>
      </c>
      <c r="G27" s="22" t="s">
        <v>30</v>
      </c>
      <c r="H27" s="19">
        <v>-0.33827557058326291</v>
      </c>
      <c r="I27" s="12">
        <v>151493487.26851851</v>
      </c>
      <c r="J27" s="12">
        <v>167884656.84606481</v>
      </c>
      <c r="K27" s="12">
        <v>815522093.11111116</v>
      </c>
      <c r="L27" s="12">
        <v>869691372.12111115</v>
      </c>
      <c r="M27" s="10"/>
      <c r="N27" s="32">
        <v>0.06</v>
      </c>
      <c r="O27" s="32">
        <v>0.03</v>
      </c>
      <c r="P27" s="28">
        <f t="shared" si="3"/>
        <v>723791180.36842608</v>
      </c>
      <c r="Q27" s="33">
        <f t="shared" si="4"/>
        <v>151493487.26851851</v>
      </c>
      <c r="R27" s="65">
        <v>0.06</v>
      </c>
      <c r="S27" s="66">
        <f t="shared" si="5"/>
        <v>160583096.50462961</v>
      </c>
      <c r="T27" s="29">
        <f t="shared" si="6"/>
        <v>16391169.577546299</v>
      </c>
      <c r="U27" s="37">
        <f t="shared" si="7"/>
        <v>176974266.08217591</v>
      </c>
      <c r="V27" s="33">
        <f t="shared" si="8"/>
        <v>900765446.45060205</v>
      </c>
      <c r="W27" s="33">
        <f t="shared" si="0"/>
        <v>54169279.00999999</v>
      </c>
      <c r="X27" s="39">
        <f t="shared" si="1"/>
        <v>6.2285634589987059E-2</v>
      </c>
      <c r="Y27" s="38">
        <f t="shared" si="2"/>
        <v>954934725.46060205</v>
      </c>
    </row>
    <row r="28" spans="1:25" x14ac:dyDescent="0.3">
      <c r="A28" s="9">
        <v>26</v>
      </c>
      <c r="B28" s="10" t="s">
        <v>58</v>
      </c>
      <c r="C28" s="11" t="s">
        <v>13</v>
      </c>
      <c r="D28" s="22" t="s">
        <v>103</v>
      </c>
      <c r="E28" s="22" t="s">
        <v>36</v>
      </c>
      <c r="F28" s="11" t="s">
        <v>46</v>
      </c>
      <c r="G28" s="22" t="s">
        <v>30</v>
      </c>
      <c r="H28" s="19">
        <v>-0.35910727064657638</v>
      </c>
      <c r="I28" s="12">
        <v>151493487.26851851</v>
      </c>
      <c r="J28" s="12">
        <v>167884656.84606481</v>
      </c>
      <c r="K28" s="12">
        <v>723297839.68111122</v>
      </c>
      <c r="L28" s="12">
        <v>772394784.75246119</v>
      </c>
      <c r="M28" s="10"/>
      <c r="N28" s="32">
        <v>0.06</v>
      </c>
      <c r="O28" s="32">
        <v>0.03</v>
      </c>
      <c r="P28" s="28">
        <f t="shared" si="3"/>
        <v>623266744.12972605</v>
      </c>
      <c r="Q28" s="33">
        <f t="shared" si="4"/>
        <v>151493487.26851851</v>
      </c>
      <c r="R28" s="65">
        <v>0.06</v>
      </c>
      <c r="S28" s="66">
        <f t="shared" si="5"/>
        <v>160583096.50462961</v>
      </c>
      <c r="T28" s="29">
        <f t="shared" si="6"/>
        <v>16391169.577546299</v>
      </c>
      <c r="U28" s="37">
        <f t="shared" si="7"/>
        <v>176974266.08217591</v>
      </c>
      <c r="V28" s="33">
        <f t="shared" si="8"/>
        <v>800241010.2119019</v>
      </c>
      <c r="W28" s="33">
        <f t="shared" si="0"/>
        <v>49096945.071349978</v>
      </c>
      <c r="X28" s="39">
        <f t="shared" si="1"/>
        <v>6.3564573506389846E-2</v>
      </c>
      <c r="Y28" s="38">
        <f t="shared" si="2"/>
        <v>849337955.28325188</v>
      </c>
    </row>
    <row r="29" spans="1:25" x14ac:dyDescent="0.3">
      <c r="A29" s="9">
        <v>27</v>
      </c>
      <c r="B29" s="10" t="s">
        <v>59</v>
      </c>
      <c r="C29" s="11" t="s">
        <v>13</v>
      </c>
      <c r="D29" s="22" t="s">
        <v>104</v>
      </c>
      <c r="E29" s="22" t="s">
        <v>36</v>
      </c>
      <c r="F29" s="11" t="s">
        <v>46</v>
      </c>
      <c r="G29" s="22" t="s">
        <v>30</v>
      </c>
      <c r="H29" s="19">
        <v>-0.37269870919041331</v>
      </c>
      <c r="I29" s="12">
        <v>151493487.26851851</v>
      </c>
      <c r="J29" s="12">
        <v>167884656.84606481</v>
      </c>
      <c r="K29" s="12">
        <v>717282021.52111113</v>
      </c>
      <c r="L29" s="12">
        <v>766048096.59366107</v>
      </c>
      <c r="M29" s="10"/>
      <c r="N29" s="32">
        <v>0.06</v>
      </c>
      <c r="O29" s="32">
        <v>0.03</v>
      </c>
      <c r="P29" s="28">
        <f t="shared" si="3"/>
        <v>616709502.33532596</v>
      </c>
      <c r="Q29" s="33">
        <f t="shared" si="4"/>
        <v>151493487.26851851</v>
      </c>
      <c r="R29" s="65">
        <v>0.06</v>
      </c>
      <c r="S29" s="66">
        <f t="shared" si="5"/>
        <v>160583096.50462961</v>
      </c>
      <c r="T29" s="29">
        <f t="shared" si="6"/>
        <v>16391169.577546299</v>
      </c>
      <c r="U29" s="37">
        <f t="shared" si="7"/>
        <v>176974266.08217591</v>
      </c>
      <c r="V29" s="33">
        <f t="shared" si="8"/>
        <v>793683768.41750193</v>
      </c>
      <c r="W29" s="33">
        <f t="shared" si="0"/>
        <v>48766075.072549939</v>
      </c>
      <c r="X29" s="39">
        <f t="shared" si="1"/>
        <v>6.3659286263349574E-2</v>
      </c>
      <c r="Y29" s="38">
        <f t="shared" si="2"/>
        <v>842449843.49005187</v>
      </c>
    </row>
    <row r="30" spans="1:25" x14ac:dyDescent="0.3">
      <c r="A30" s="9">
        <v>28</v>
      </c>
      <c r="B30" s="10" t="s">
        <v>60</v>
      </c>
      <c r="C30" s="11" t="s">
        <v>13</v>
      </c>
      <c r="D30" s="22" t="s">
        <v>105</v>
      </c>
      <c r="E30" s="22" t="s">
        <v>36</v>
      </c>
      <c r="F30" s="11" t="s">
        <v>46</v>
      </c>
      <c r="G30" s="22" t="s">
        <v>30</v>
      </c>
      <c r="H30" s="19">
        <v>-0.36276561904761906</v>
      </c>
      <c r="I30" s="12">
        <v>151493487.26851851</v>
      </c>
      <c r="J30" s="12">
        <v>167884656.84606481</v>
      </c>
      <c r="K30" s="12">
        <v>765408746.62111115</v>
      </c>
      <c r="L30" s="12">
        <v>816821791.57416117</v>
      </c>
      <c r="M30" s="10"/>
      <c r="N30" s="32">
        <v>0.06</v>
      </c>
      <c r="O30" s="32">
        <v>0.03</v>
      </c>
      <c r="P30" s="28">
        <f t="shared" si="3"/>
        <v>669167632.69432604</v>
      </c>
      <c r="Q30" s="33">
        <f t="shared" si="4"/>
        <v>151493487.26851851</v>
      </c>
      <c r="R30" s="65">
        <v>0.06</v>
      </c>
      <c r="S30" s="66">
        <f t="shared" si="5"/>
        <v>160583096.50462961</v>
      </c>
      <c r="T30" s="29">
        <f t="shared" si="6"/>
        <v>16391169.577546299</v>
      </c>
      <c r="U30" s="37">
        <f t="shared" si="7"/>
        <v>176974266.08217591</v>
      </c>
      <c r="V30" s="33">
        <f t="shared" si="8"/>
        <v>846141898.77650189</v>
      </c>
      <c r="W30" s="33">
        <f t="shared" si="0"/>
        <v>51413044.953050017</v>
      </c>
      <c r="X30" s="39">
        <f t="shared" si="1"/>
        <v>6.294279300992682E-2</v>
      </c>
      <c r="Y30" s="38">
        <f t="shared" si="2"/>
        <v>897554943.72955191</v>
      </c>
    </row>
    <row r="31" spans="1:25" x14ac:dyDescent="0.3">
      <c r="A31" s="9">
        <v>29</v>
      </c>
      <c r="B31" s="10" t="s">
        <v>61</v>
      </c>
      <c r="C31" s="11" t="s">
        <v>62</v>
      </c>
      <c r="D31" s="22" t="s">
        <v>106</v>
      </c>
      <c r="E31" s="22" t="s">
        <v>22</v>
      </c>
      <c r="F31" s="11" t="s">
        <v>63</v>
      </c>
      <c r="G31" s="22" t="s">
        <v>23</v>
      </c>
      <c r="H31" s="19">
        <v>-7.2666666666666669E-3</v>
      </c>
      <c r="I31" s="12">
        <v>151493487.26851851</v>
      </c>
      <c r="J31" s="12">
        <v>167884656.84606481</v>
      </c>
      <c r="K31" s="12">
        <v>1529120669.1111112</v>
      </c>
      <c r="L31" s="12">
        <v>1622537869.8011112</v>
      </c>
      <c r="M31" s="10"/>
      <c r="N31" s="32">
        <v>0.06</v>
      </c>
      <c r="O31" s="32">
        <v>0.03</v>
      </c>
      <c r="P31" s="28">
        <f t="shared" si="3"/>
        <v>1501613628.2084262</v>
      </c>
      <c r="Q31" s="33">
        <f t="shared" si="4"/>
        <v>151493487.26851851</v>
      </c>
      <c r="R31" s="65">
        <v>0.06</v>
      </c>
      <c r="S31" s="66">
        <f t="shared" si="5"/>
        <v>160583096.50462961</v>
      </c>
      <c r="T31" s="29">
        <f t="shared" si="6"/>
        <v>16391169.577546299</v>
      </c>
      <c r="U31" s="37">
        <f t="shared" si="7"/>
        <v>176974266.08217591</v>
      </c>
      <c r="V31" s="33">
        <f t="shared" si="8"/>
        <v>1678587894.2906022</v>
      </c>
      <c r="W31" s="33">
        <f t="shared" si="0"/>
        <v>93417200.690000057</v>
      </c>
      <c r="X31" s="39">
        <f t="shared" si="1"/>
        <v>5.7574742894260476E-2</v>
      </c>
      <c r="Y31" s="38">
        <f t="shared" si="2"/>
        <v>1772005094.9806023</v>
      </c>
    </row>
    <row r="32" spans="1:25" x14ac:dyDescent="0.3">
      <c r="A32" s="9">
        <v>30</v>
      </c>
      <c r="B32" s="10" t="s">
        <v>64</v>
      </c>
      <c r="C32" s="11" t="s">
        <v>65</v>
      </c>
      <c r="D32" s="22" t="s">
        <v>107</v>
      </c>
      <c r="E32" s="22" t="s">
        <v>22</v>
      </c>
      <c r="F32" s="11" t="s">
        <v>66</v>
      </c>
      <c r="G32" s="22" t="s">
        <v>23</v>
      </c>
      <c r="H32" s="19">
        <v>-5.0110569105691061E-3</v>
      </c>
      <c r="I32" s="12">
        <v>151493487.26851851</v>
      </c>
      <c r="J32" s="12">
        <v>167884656.84606481</v>
      </c>
      <c r="K32" s="12">
        <v>1680157742.7111111</v>
      </c>
      <c r="L32" s="12">
        <v>1781881982.449111</v>
      </c>
      <c r="M32" s="10"/>
      <c r="N32" s="32">
        <v>0.06</v>
      </c>
      <c r="O32" s="32">
        <v>0.03</v>
      </c>
      <c r="P32" s="28">
        <f t="shared" si="3"/>
        <v>1666244038.432426</v>
      </c>
      <c r="Q32" s="33">
        <f t="shared" si="4"/>
        <v>151493487.26851851</v>
      </c>
      <c r="R32" s="65">
        <v>0.06</v>
      </c>
      <c r="S32" s="66">
        <f t="shared" si="5"/>
        <v>160583096.50462961</v>
      </c>
      <c r="T32" s="29">
        <f t="shared" si="6"/>
        <v>16391169.577546299</v>
      </c>
      <c r="U32" s="37">
        <f t="shared" si="7"/>
        <v>176974266.08217591</v>
      </c>
      <c r="V32" s="33">
        <f t="shared" si="8"/>
        <v>1843218304.5146019</v>
      </c>
      <c r="W32" s="33">
        <f t="shared" si="0"/>
        <v>101724239.73799992</v>
      </c>
      <c r="X32" s="39">
        <f t="shared" si="1"/>
        <v>5.7088090423466117E-2</v>
      </c>
      <c r="Y32" s="38">
        <f t="shared" si="2"/>
        <v>1944942544.2526019</v>
      </c>
    </row>
    <row r="33" spans="1:26" x14ac:dyDescent="0.3">
      <c r="A33" s="9">
        <v>31</v>
      </c>
      <c r="B33" s="10" t="s">
        <v>67</v>
      </c>
      <c r="C33" s="43" t="s">
        <v>62</v>
      </c>
      <c r="D33" s="44" t="s">
        <v>108</v>
      </c>
      <c r="E33" s="44" t="s">
        <v>68</v>
      </c>
      <c r="F33" s="43" t="s">
        <v>63</v>
      </c>
      <c r="G33" s="44" t="s">
        <v>69</v>
      </c>
      <c r="H33" s="45">
        <v>-0.14029633802816913</v>
      </c>
      <c r="I33" s="46">
        <v>151493487.26851851</v>
      </c>
      <c r="J33" s="46">
        <v>167884656.84606481</v>
      </c>
      <c r="K33" s="46">
        <v>1298233514.7111111</v>
      </c>
      <c r="L33" s="46">
        <v>1378951921.909111</v>
      </c>
      <c r="M33" s="10"/>
      <c r="N33" s="47">
        <v>0.06</v>
      </c>
      <c r="O33" s="47">
        <v>0.03</v>
      </c>
      <c r="P33" s="28">
        <f t="shared" si="3"/>
        <v>1249946629.912426</v>
      </c>
      <c r="Q33" s="33">
        <f t="shared" si="4"/>
        <v>151493487.26851851</v>
      </c>
      <c r="R33" s="65">
        <v>0.06</v>
      </c>
      <c r="S33" s="66">
        <f t="shared" si="5"/>
        <v>160583096.50462961</v>
      </c>
      <c r="T33" s="29">
        <f t="shared" si="6"/>
        <v>16391169.577546299</v>
      </c>
      <c r="U33" s="37">
        <f t="shared" si="7"/>
        <v>176974266.08217591</v>
      </c>
      <c r="V33" s="33">
        <f t="shared" si="8"/>
        <v>1426920895.994602</v>
      </c>
      <c r="W33" s="33">
        <f t="shared" si="0"/>
        <v>80718407.197999954</v>
      </c>
      <c r="X33" s="48">
        <f t="shared" si="1"/>
        <v>5.8536056200021919E-2</v>
      </c>
      <c r="Y33" s="49">
        <f t="shared" si="2"/>
        <v>1507639303.1926019</v>
      </c>
    </row>
    <row r="34" spans="1:26" x14ac:dyDescent="0.3">
      <c r="A34" s="9">
        <v>32</v>
      </c>
      <c r="B34" s="10" t="s">
        <v>70</v>
      </c>
      <c r="C34" s="43" t="s">
        <v>62</v>
      </c>
      <c r="D34" s="44" t="s">
        <v>109</v>
      </c>
      <c r="E34" s="44" t="s">
        <v>68</v>
      </c>
      <c r="F34" s="43" t="s">
        <v>63</v>
      </c>
      <c r="G34" s="44" t="s">
        <v>69</v>
      </c>
      <c r="H34" s="45">
        <v>-0.10837897026831037</v>
      </c>
      <c r="I34" s="46">
        <v>151493487.26851851</v>
      </c>
      <c r="J34" s="46">
        <v>167884656.84606481</v>
      </c>
      <c r="K34" s="46">
        <v>1469601657.9111111</v>
      </c>
      <c r="L34" s="46">
        <v>1559745312.9851112</v>
      </c>
      <c r="M34" s="10"/>
      <c r="N34" s="47">
        <v>0.06</v>
      </c>
      <c r="O34" s="47">
        <v>0.03</v>
      </c>
      <c r="P34" s="28">
        <f t="shared" si="3"/>
        <v>1436737906.0004261</v>
      </c>
      <c r="Q34" s="33">
        <f t="shared" si="4"/>
        <v>151493487.26851851</v>
      </c>
      <c r="R34" s="65">
        <v>0.06</v>
      </c>
      <c r="S34" s="66">
        <f t="shared" si="5"/>
        <v>160583096.50462961</v>
      </c>
      <c r="T34" s="29">
        <f t="shared" si="6"/>
        <v>16391169.577546299</v>
      </c>
      <c r="U34" s="37">
        <f t="shared" si="7"/>
        <v>176974266.08217591</v>
      </c>
      <c r="V34" s="33">
        <f t="shared" si="8"/>
        <v>1613712172.082602</v>
      </c>
      <c r="W34" s="33">
        <f t="shared" si="0"/>
        <v>90143655.07400012</v>
      </c>
      <c r="X34" s="48">
        <f t="shared" si="1"/>
        <v>5.7793829751268247E-2</v>
      </c>
      <c r="Y34" s="49">
        <f t="shared" si="2"/>
        <v>1703855827.1566021</v>
      </c>
    </row>
    <row r="35" spans="1:26" x14ac:dyDescent="0.3">
      <c r="A35" s="9">
        <v>33</v>
      </c>
      <c r="B35" s="10" t="s">
        <v>71</v>
      </c>
      <c r="C35" s="43" t="s">
        <v>62</v>
      </c>
      <c r="D35" s="44" t="s">
        <v>110</v>
      </c>
      <c r="E35" s="44" t="s">
        <v>68</v>
      </c>
      <c r="F35" s="43" t="s">
        <v>63</v>
      </c>
      <c r="G35" s="44" t="s">
        <v>69</v>
      </c>
      <c r="H35" s="45">
        <v>-5.4575064087625261E-2</v>
      </c>
      <c r="I35" s="46">
        <v>151493487.26851851</v>
      </c>
      <c r="J35" s="46">
        <v>167884656.84606481</v>
      </c>
      <c r="K35" s="46">
        <v>1599938156.7111111</v>
      </c>
      <c r="L35" s="46">
        <v>1697250319.219111</v>
      </c>
      <c r="M35" s="10"/>
      <c r="N35" s="47">
        <v>0.06</v>
      </c>
      <c r="O35" s="47">
        <v>0.03</v>
      </c>
      <c r="P35" s="28">
        <f t="shared" si="3"/>
        <v>1578804689.692426</v>
      </c>
      <c r="Q35" s="33">
        <f t="shared" si="4"/>
        <v>151493487.26851851</v>
      </c>
      <c r="R35" s="65">
        <v>0.06</v>
      </c>
      <c r="S35" s="66">
        <f t="shared" si="5"/>
        <v>160583096.50462961</v>
      </c>
      <c r="T35" s="29">
        <f t="shared" si="6"/>
        <v>16391169.577546299</v>
      </c>
      <c r="U35" s="37">
        <f t="shared" si="7"/>
        <v>176974266.08217591</v>
      </c>
      <c r="V35" s="33">
        <f t="shared" si="8"/>
        <v>1755778955.7746019</v>
      </c>
      <c r="W35" s="33">
        <f t="shared" si="0"/>
        <v>97312162.507999897</v>
      </c>
      <c r="X35" s="48">
        <f t="shared" si="1"/>
        <v>5.7335185862726672E-2</v>
      </c>
      <c r="Y35" s="49">
        <f t="shared" si="2"/>
        <v>1853091118.2826018</v>
      </c>
    </row>
    <row r="36" spans="1:26" s="64" customFormat="1" x14ac:dyDescent="0.3">
      <c r="A36" s="51">
        <v>34</v>
      </c>
      <c r="B36" s="52" t="s">
        <v>72</v>
      </c>
      <c r="C36" s="53" t="s">
        <v>65</v>
      </c>
      <c r="D36" s="54" t="s">
        <v>111</v>
      </c>
      <c r="E36" s="54" t="s">
        <v>68</v>
      </c>
      <c r="F36" s="53" t="s">
        <v>66</v>
      </c>
      <c r="G36" s="54" t="s">
        <v>69</v>
      </c>
      <c r="H36" s="55">
        <v>-1.3458244250080985E-2</v>
      </c>
      <c r="I36" s="56">
        <v>151493487.26851851</v>
      </c>
      <c r="J36" s="56">
        <v>167884656.84606481</v>
      </c>
      <c r="K36" s="56">
        <v>1780960729.5111113</v>
      </c>
      <c r="L36" s="56">
        <v>1888229133.5231099</v>
      </c>
      <c r="M36" s="52"/>
      <c r="N36" s="57">
        <v>0.06</v>
      </c>
      <c r="O36" s="57">
        <v>0.03</v>
      </c>
      <c r="P36" s="58">
        <f t="shared" si="3"/>
        <v>1776119294.0444262</v>
      </c>
      <c r="Q36" s="59">
        <f t="shared" si="4"/>
        <v>151493487.26851851</v>
      </c>
      <c r="R36" s="67">
        <v>0.06</v>
      </c>
      <c r="S36" s="68">
        <f t="shared" si="5"/>
        <v>160583096.50462961</v>
      </c>
      <c r="T36" s="60">
        <f t="shared" si="6"/>
        <v>16391169.577546299</v>
      </c>
      <c r="U36" s="69">
        <f t="shared" si="7"/>
        <v>176974266.08217591</v>
      </c>
      <c r="V36" s="59">
        <f t="shared" si="8"/>
        <v>1953093560.1266022</v>
      </c>
      <c r="W36" s="59">
        <f t="shared" si="0"/>
        <v>107268404.01199865</v>
      </c>
      <c r="X36" s="61">
        <f t="shared" si="1"/>
        <v>5.680899743976215E-2</v>
      </c>
      <c r="Y36" s="62">
        <f t="shared" si="2"/>
        <v>2060361964.1386008</v>
      </c>
      <c r="Z36" s="63"/>
    </row>
    <row r="37" spans="1:26" x14ac:dyDescent="0.3">
      <c r="A37" s="9">
        <v>35</v>
      </c>
      <c r="B37" s="10" t="s">
        <v>73</v>
      </c>
      <c r="C37" s="43" t="s">
        <v>65</v>
      </c>
      <c r="D37" s="44" t="s">
        <v>112</v>
      </c>
      <c r="E37" s="44" t="s">
        <v>68</v>
      </c>
      <c r="F37" s="43" t="s">
        <v>66</v>
      </c>
      <c r="G37" s="44" t="s">
        <v>69</v>
      </c>
      <c r="H37" s="45">
        <v>-3.9502142857142701E-2</v>
      </c>
      <c r="I37" s="46">
        <v>151493487.26851851</v>
      </c>
      <c r="J37" s="46">
        <v>167884656.84606481</v>
      </c>
      <c r="K37" s="46">
        <v>1877506299.9111114</v>
      </c>
      <c r="L37" s="46">
        <v>1990084710.29511</v>
      </c>
      <c r="M37" s="10"/>
      <c r="N37" s="47">
        <v>0.06</v>
      </c>
      <c r="O37" s="47">
        <v>0.03</v>
      </c>
      <c r="P37" s="28">
        <f t="shared" si="3"/>
        <v>1881353965.7804265</v>
      </c>
      <c r="Q37" s="33">
        <f t="shared" si="4"/>
        <v>151493487.26851851</v>
      </c>
      <c r="R37" s="65">
        <v>0.06</v>
      </c>
      <c r="S37" s="66">
        <f t="shared" si="5"/>
        <v>160583096.50462961</v>
      </c>
      <c r="T37" s="29">
        <f t="shared" si="6"/>
        <v>16391169.577546299</v>
      </c>
      <c r="U37" s="37">
        <f t="shared" si="7"/>
        <v>176974266.08217591</v>
      </c>
      <c r="V37" s="33">
        <f t="shared" si="8"/>
        <v>2058328231.8626025</v>
      </c>
      <c r="W37" s="33">
        <f t="shared" si="0"/>
        <v>112578410.38399863</v>
      </c>
      <c r="X37" s="48">
        <f t="shared" si="1"/>
        <v>5.6569657463125957E-2</v>
      </c>
      <c r="Y37" s="49">
        <f t="shared" si="2"/>
        <v>2170906642.2466011</v>
      </c>
    </row>
    <row r="38" spans="1:26" x14ac:dyDescent="0.3">
      <c r="A38" s="9">
        <v>36</v>
      </c>
      <c r="B38" s="10" t="s">
        <v>74</v>
      </c>
      <c r="C38" s="43" t="s">
        <v>62</v>
      </c>
      <c r="D38" s="44" t="s">
        <v>113</v>
      </c>
      <c r="E38" s="44" t="s">
        <v>22</v>
      </c>
      <c r="F38" s="43" t="s">
        <v>63</v>
      </c>
      <c r="G38" s="44" t="s">
        <v>23</v>
      </c>
      <c r="H38" s="45">
        <v>-2.692867540029112E-3</v>
      </c>
      <c r="I38" s="46">
        <v>151493487.26851851</v>
      </c>
      <c r="J38" s="46">
        <v>167884656.84606481</v>
      </c>
      <c r="K38" s="46">
        <v>1861626143.1111112</v>
      </c>
      <c r="L38" s="46">
        <v>1973331144.8711112</v>
      </c>
      <c r="M38" s="10"/>
      <c r="N38" s="47">
        <v>0.06</v>
      </c>
      <c r="O38" s="47">
        <v>0.03</v>
      </c>
      <c r="P38" s="28">
        <f t="shared" si="3"/>
        <v>1864044594.8684261</v>
      </c>
      <c r="Q38" s="33">
        <f t="shared" si="4"/>
        <v>151493487.26851851</v>
      </c>
      <c r="R38" s="65">
        <v>0.06</v>
      </c>
      <c r="S38" s="66">
        <f t="shared" si="5"/>
        <v>160583096.50462961</v>
      </c>
      <c r="T38" s="29">
        <f t="shared" si="6"/>
        <v>16391169.577546299</v>
      </c>
      <c r="U38" s="37">
        <f t="shared" si="7"/>
        <v>176974266.08217591</v>
      </c>
      <c r="V38" s="33">
        <f t="shared" si="8"/>
        <v>2041018860.9506021</v>
      </c>
      <c r="W38" s="33">
        <f t="shared" si="0"/>
        <v>111705001.75999999</v>
      </c>
      <c r="X38" s="48">
        <f t="shared" si="1"/>
        <v>5.66073271839512E-2</v>
      </c>
      <c r="Y38" s="49">
        <f t="shared" si="2"/>
        <v>2152723862.7106018</v>
      </c>
    </row>
    <row r="39" spans="1:26" s="91" customFormat="1" x14ac:dyDescent="0.3">
      <c r="A39" s="75">
        <v>37</v>
      </c>
      <c r="B39" s="76" t="s">
        <v>75</v>
      </c>
      <c r="C39" s="77" t="s">
        <v>65</v>
      </c>
      <c r="D39" s="78" t="s">
        <v>114</v>
      </c>
      <c r="E39" s="78" t="s">
        <v>22</v>
      </c>
      <c r="F39" s="77" t="s">
        <v>66</v>
      </c>
      <c r="G39" s="78" t="s">
        <v>23</v>
      </c>
      <c r="H39" s="79">
        <v>6.2451108213820078E-2</v>
      </c>
      <c r="I39" s="80">
        <v>151493487.26851851</v>
      </c>
      <c r="J39" s="80">
        <v>167884656.84606481</v>
      </c>
      <c r="K39" s="80">
        <v>2183146643.1111112</v>
      </c>
      <c r="L39" s="80">
        <v>2312535272.3711114</v>
      </c>
      <c r="M39" s="76"/>
      <c r="N39" s="81">
        <v>0.06</v>
      </c>
      <c r="O39" s="81">
        <v>0.03</v>
      </c>
      <c r="P39" s="82">
        <f t="shared" si="3"/>
        <v>2214501939.8684263</v>
      </c>
      <c r="Q39" s="83">
        <f t="shared" si="4"/>
        <v>151493487.26851851</v>
      </c>
      <c r="R39" s="84">
        <v>0.06</v>
      </c>
      <c r="S39" s="85">
        <f t="shared" si="5"/>
        <v>160583096.50462961</v>
      </c>
      <c r="T39" s="86">
        <f t="shared" si="6"/>
        <v>16391169.577546299</v>
      </c>
      <c r="U39" s="87">
        <f t="shared" si="7"/>
        <v>176974266.08217591</v>
      </c>
      <c r="V39" s="83">
        <f t="shared" si="8"/>
        <v>2391476205.9506021</v>
      </c>
      <c r="W39" s="83">
        <f t="shared" si="0"/>
        <v>129388629.26000023</v>
      </c>
      <c r="X39" s="88">
        <f t="shared" si="1"/>
        <v>5.5950986264237265E-2</v>
      </c>
      <c r="Y39" s="89">
        <f t="shared" si="2"/>
        <v>2520864835.2106023</v>
      </c>
      <c r="Z39" s="90"/>
    </row>
    <row r="40" spans="1:26" x14ac:dyDescent="0.3">
      <c r="A40" s="9">
        <v>38</v>
      </c>
      <c r="B40" s="10" t="s">
        <v>76</v>
      </c>
      <c r="C40" s="43" t="s">
        <v>65</v>
      </c>
      <c r="D40" s="44" t="s">
        <v>115</v>
      </c>
      <c r="E40" s="44" t="s">
        <v>68</v>
      </c>
      <c r="F40" s="43" t="s">
        <v>66</v>
      </c>
      <c r="G40" s="44" t="s">
        <v>69</v>
      </c>
      <c r="H40" s="45">
        <v>-9.4567404426559351E-2</v>
      </c>
      <c r="I40" s="46">
        <v>151493487.26851851</v>
      </c>
      <c r="J40" s="46">
        <v>167884656.84606481</v>
      </c>
      <c r="K40" s="46">
        <v>2553324443.1111112</v>
      </c>
      <c r="L40" s="46">
        <v>2703072851.3711114</v>
      </c>
      <c r="M40" s="10"/>
      <c r="N40" s="47">
        <v>0.06</v>
      </c>
      <c r="O40" s="47">
        <v>0.03</v>
      </c>
      <c r="P40" s="28">
        <f t="shared" si="3"/>
        <v>2617995741.8684263</v>
      </c>
      <c r="Q40" s="33">
        <f t="shared" si="4"/>
        <v>151493487.26851851</v>
      </c>
      <c r="R40" s="65">
        <v>0.06</v>
      </c>
      <c r="S40" s="66">
        <f t="shared" si="5"/>
        <v>160583096.50462961</v>
      </c>
      <c r="T40" s="29">
        <f t="shared" si="6"/>
        <v>16391169.577546299</v>
      </c>
      <c r="U40" s="37">
        <f t="shared" si="7"/>
        <v>176974266.08217591</v>
      </c>
      <c r="V40" s="33">
        <f t="shared" si="8"/>
        <v>2794970007.9506021</v>
      </c>
      <c r="W40" s="33">
        <f t="shared" si="0"/>
        <v>149748408.26000023</v>
      </c>
      <c r="X40" s="48">
        <f t="shared" si="1"/>
        <v>5.5399323841398347E-2</v>
      </c>
      <c r="Y40" s="49">
        <f t="shared" si="2"/>
        <v>2944718416.2106023</v>
      </c>
    </row>
    <row r="41" spans="1:26" x14ac:dyDescent="0.3">
      <c r="A41" s="9">
        <v>39</v>
      </c>
      <c r="B41" s="10" t="s">
        <v>77</v>
      </c>
      <c r="C41" s="43" t="s">
        <v>65</v>
      </c>
      <c r="D41" s="44" t="s">
        <v>116</v>
      </c>
      <c r="E41" s="44" t="s">
        <v>68</v>
      </c>
      <c r="F41" s="43" t="s">
        <v>66</v>
      </c>
      <c r="G41" s="44" t="s">
        <v>69</v>
      </c>
      <c r="H41" s="45">
        <v>-8.939893687707641E-2</v>
      </c>
      <c r="I41" s="46">
        <v>151493487.26851851</v>
      </c>
      <c r="J41" s="46">
        <v>167884656.84606481</v>
      </c>
      <c r="K41" s="46">
        <v>2589529085.1111112</v>
      </c>
      <c r="L41" s="46">
        <v>2741268748.6811113</v>
      </c>
      <c r="M41" s="10"/>
      <c r="N41" s="47">
        <v>0.06</v>
      </c>
      <c r="O41" s="47">
        <v>0.03</v>
      </c>
      <c r="P41" s="28">
        <f t="shared" si="3"/>
        <v>2657458801.6484261</v>
      </c>
      <c r="Q41" s="33">
        <f t="shared" si="4"/>
        <v>151493487.26851851</v>
      </c>
      <c r="R41" s="65">
        <v>0.06</v>
      </c>
      <c r="S41" s="66">
        <f t="shared" si="5"/>
        <v>160583096.50462961</v>
      </c>
      <c r="T41" s="29">
        <f t="shared" si="6"/>
        <v>16391169.577546299</v>
      </c>
      <c r="U41" s="37">
        <f t="shared" si="7"/>
        <v>176974266.08217591</v>
      </c>
      <c r="V41" s="33">
        <f t="shared" si="8"/>
        <v>2834433067.7306018</v>
      </c>
      <c r="W41" s="33">
        <f t="shared" si="0"/>
        <v>151739663.57000017</v>
      </c>
      <c r="X41" s="48">
        <f t="shared" si="1"/>
        <v>5.5353807846460032E-2</v>
      </c>
      <c r="Y41" s="49">
        <f t="shared" si="2"/>
        <v>2986172731.300602</v>
      </c>
    </row>
    <row r="42" spans="1:26" s="6" customFormat="1" x14ac:dyDescent="0.3">
      <c r="A42" s="9">
        <v>40</v>
      </c>
      <c r="B42" s="16" t="s">
        <v>78</v>
      </c>
      <c r="C42" s="71" t="s">
        <v>79</v>
      </c>
      <c r="D42" s="72"/>
      <c r="E42" s="72"/>
      <c r="F42" s="71" t="e">
        <v>#N/A</v>
      </c>
      <c r="G42" s="72"/>
      <c r="H42" s="73">
        <v>0</v>
      </c>
      <c r="I42" s="74">
        <v>151493487.26851851</v>
      </c>
      <c r="J42" s="74">
        <v>167884656.84606481</v>
      </c>
      <c r="K42" s="74">
        <v>1167624443.1111112</v>
      </c>
      <c r="L42" s="74">
        <v>1241159351.3711112</v>
      </c>
      <c r="M42" s="16"/>
      <c r="N42" s="47">
        <v>0.06</v>
      </c>
      <c r="O42" s="47">
        <v>0.03</v>
      </c>
      <c r="P42" s="28">
        <f t="shared" si="3"/>
        <v>1107582741.8684261</v>
      </c>
      <c r="Q42" s="33">
        <f t="shared" si="4"/>
        <v>151493487.26851851</v>
      </c>
      <c r="R42" s="65">
        <v>0.06</v>
      </c>
      <c r="S42" s="66">
        <f t="shared" si="5"/>
        <v>160583096.50462961</v>
      </c>
      <c r="T42" s="29">
        <f t="shared" si="6"/>
        <v>16391169.577546299</v>
      </c>
      <c r="U42" s="37">
        <f t="shared" si="7"/>
        <v>176974266.08217591</v>
      </c>
      <c r="V42" s="33">
        <f t="shared" si="8"/>
        <v>1284557007.9506021</v>
      </c>
      <c r="W42" s="33">
        <f t="shared" si="0"/>
        <v>73534908.25999999</v>
      </c>
      <c r="X42" s="48">
        <f t="shared" si="1"/>
        <v>5.9246951794518436E-2</v>
      </c>
      <c r="Y42" s="49">
        <f t="shared" si="2"/>
        <v>1358091916.210602</v>
      </c>
    </row>
    <row r="43" spans="1:26" s="6" customFormat="1" x14ac:dyDescent="0.3">
      <c r="A43" s="9">
        <v>41</v>
      </c>
      <c r="B43" s="16" t="s">
        <v>80</v>
      </c>
      <c r="C43" s="71" t="s">
        <v>62</v>
      </c>
      <c r="D43" s="72"/>
      <c r="E43" s="72"/>
      <c r="F43" s="71" t="e">
        <v>#N/A</v>
      </c>
      <c r="G43" s="72"/>
      <c r="H43" s="73">
        <v>0</v>
      </c>
      <c r="I43" s="74">
        <v>151493487.26851851</v>
      </c>
      <c r="J43" s="74">
        <v>167884656.84606481</v>
      </c>
      <c r="K43" s="74">
        <v>1224324443.1111112</v>
      </c>
      <c r="L43" s="74">
        <v>1300977851.3711112</v>
      </c>
      <c r="M43" s="16"/>
      <c r="N43" s="47">
        <v>0.06</v>
      </c>
      <c r="O43" s="47">
        <v>0.03</v>
      </c>
      <c r="P43" s="28">
        <f t="shared" si="3"/>
        <v>1169385741.8684261</v>
      </c>
      <c r="Q43" s="33">
        <f t="shared" si="4"/>
        <v>151493487.26851851</v>
      </c>
      <c r="R43" s="65">
        <v>0.06</v>
      </c>
      <c r="S43" s="66">
        <f t="shared" si="5"/>
        <v>160583096.50462961</v>
      </c>
      <c r="T43" s="29">
        <f t="shared" si="6"/>
        <v>16391169.577546299</v>
      </c>
      <c r="U43" s="37">
        <f t="shared" si="7"/>
        <v>176974266.08217591</v>
      </c>
      <c r="V43" s="33">
        <f t="shared" si="8"/>
        <v>1346360007.9506021</v>
      </c>
      <c r="W43" s="33">
        <f t="shared" si="0"/>
        <v>76653408.25999999</v>
      </c>
      <c r="X43" s="48">
        <f t="shared" si="1"/>
        <v>5.8919841086621377E-2</v>
      </c>
      <c r="Y43" s="49">
        <f t="shared" si="2"/>
        <v>1423013416.210602</v>
      </c>
    </row>
    <row r="44" spans="1:26" s="6" customFormat="1" x14ac:dyDescent="0.3">
      <c r="A44" s="9">
        <v>42</v>
      </c>
      <c r="B44" s="16"/>
      <c r="C44" s="17" t="s">
        <v>62</v>
      </c>
      <c r="D44" s="23" t="s">
        <v>81</v>
      </c>
      <c r="E44" s="23" t="s">
        <v>68</v>
      </c>
      <c r="F44" s="17" t="s">
        <v>66</v>
      </c>
      <c r="G44" s="23" t="s">
        <v>69</v>
      </c>
      <c r="H44" s="20">
        <v>0</v>
      </c>
      <c r="I44" s="18">
        <v>151493487.26851851</v>
      </c>
      <c r="J44" s="18">
        <v>167884656.84606481</v>
      </c>
      <c r="K44" s="18">
        <v>2759309963.1111112</v>
      </c>
      <c r="L44" s="18">
        <v>2920387574.9711113</v>
      </c>
      <c r="M44" s="16"/>
      <c r="N44" s="32">
        <v>0.06</v>
      </c>
      <c r="O44" s="32">
        <v>0.03</v>
      </c>
      <c r="P44" s="28">
        <f t="shared" si="3"/>
        <v>2842519958.668426</v>
      </c>
      <c r="Q44" s="33">
        <f t="shared" si="4"/>
        <v>151493487.26851851</v>
      </c>
      <c r="R44" s="65">
        <v>0.06</v>
      </c>
      <c r="S44" s="66">
        <f t="shared" si="5"/>
        <v>160583096.50462961</v>
      </c>
      <c r="T44" s="29">
        <f t="shared" si="6"/>
        <v>16391169.577546299</v>
      </c>
      <c r="U44" s="37">
        <f t="shared" si="7"/>
        <v>176974266.08217591</v>
      </c>
      <c r="V44" s="33">
        <f t="shared" si="8"/>
        <v>3019494224.7506018</v>
      </c>
      <c r="W44" s="33">
        <f t="shared" si="0"/>
        <v>161077611.86000013</v>
      </c>
      <c r="X44" s="39">
        <f t="shared" si="1"/>
        <v>5.5156244753436029E-2</v>
      </c>
      <c r="Y44" s="38">
        <f t="shared" si="2"/>
        <v>3180571836.6106019</v>
      </c>
    </row>
    <row r="46" spans="1:26" x14ac:dyDescent="0.3">
      <c r="Q46" s="36"/>
    </row>
    <row r="47" spans="1:26" x14ac:dyDescent="0.3">
      <c r="K47" s="4">
        <f>K36-J36</f>
        <v>1613076072.6650465</v>
      </c>
      <c r="P47" s="70">
        <v>575000000</v>
      </c>
      <c r="Q47" s="70">
        <f>P47*8%</f>
        <v>46000000</v>
      </c>
      <c r="R47" s="36">
        <f>P47-Q47</f>
        <v>529000000</v>
      </c>
      <c r="S47" s="36"/>
    </row>
    <row r="49" spans="12:12" x14ac:dyDescent="0.3">
      <c r="L49" s="4">
        <f>6%*K49</f>
        <v>0</v>
      </c>
    </row>
  </sheetData>
  <mergeCells count="22">
    <mergeCell ref="W1:W2"/>
    <mergeCell ref="Y1:Y2"/>
    <mergeCell ref="X1:X2"/>
    <mergeCell ref="Q1:Q2"/>
    <mergeCell ref="T1:T2"/>
    <mergeCell ref="U1:U2"/>
    <mergeCell ref="V1:V2"/>
    <mergeCell ref="R1:R2"/>
    <mergeCell ref="S1:S2"/>
    <mergeCell ref="A1:A2"/>
    <mergeCell ref="P1:P2"/>
    <mergeCell ref="N1:N2"/>
    <mergeCell ref="J1:J2"/>
    <mergeCell ref="K1:K2"/>
    <mergeCell ref="L1:L2"/>
    <mergeCell ref="M1:M2"/>
    <mergeCell ref="B1:C1"/>
    <mergeCell ref="D1:F1"/>
    <mergeCell ref="G1:G2"/>
    <mergeCell ref="H1:H2"/>
    <mergeCell ref="I1:I2"/>
    <mergeCell ref="O1:O2"/>
  </mergeCells>
  <pageMargins left="0.7" right="0.7" top="0.75" bottom="0.75" header="0.3" footer="0.3"/>
  <pageSetup scale="39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685C-065A-4970-B92B-1141399AB6CB}">
  <dimension ref="A1:M44"/>
  <sheetViews>
    <sheetView zoomScale="52" workbookViewId="0">
      <selection activeCell="H21" sqref="H21"/>
    </sheetView>
  </sheetViews>
  <sheetFormatPr defaultRowHeight="13" x14ac:dyDescent="0.3"/>
  <cols>
    <col min="1" max="1" width="8.796875" style="30"/>
    <col min="2" max="2" width="14.69921875" style="30" customWidth="1"/>
    <col min="3" max="3" width="37.59765625" style="31" customWidth="1"/>
    <col min="4" max="4" width="19.796875" style="30" customWidth="1"/>
    <col min="5" max="5" width="21.296875" style="30" customWidth="1"/>
    <col min="6" max="6" width="39.3984375" style="31" customWidth="1"/>
    <col min="7" max="7" width="12.59765625" style="7" customWidth="1"/>
    <col min="8" max="9" width="17.796875" style="7" customWidth="1"/>
    <col min="10" max="10" width="20.69921875" style="40" customWidth="1"/>
    <col min="11" max="11" width="23.69921875" style="7" customWidth="1"/>
    <col min="12" max="12" width="23.796875" style="7" customWidth="1"/>
    <col min="14" max="16384" width="8.796875" style="30"/>
  </cols>
  <sheetData>
    <row r="1" spans="1:12" ht="13" customHeight="1" x14ac:dyDescent="0.3">
      <c r="A1" s="92" t="s">
        <v>0</v>
      </c>
      <c r="B1" s="92" t="s">
        <v>1</v>
      </c>
      <c r="C1" s="92"/>
      <c r="D1" s="108" t="s">
        <v>2</v>
      </c>
      <c r="E1" s="108"/>
      <c r="F1" s="108"/>
      <c r="G1" s="111" t="s">
        <v>130</v>
      </c>
      <c r="H1" s="111" t="s">
        <v>131</v>
      </c>
      <c r="I1" s="112" t="s">
        <v>132</v>
      </c>
      <c r="J1" s="110" t="s">
        <v>5</v>
      </c>
      <c r="K1" s="109" t="s">
        <v>6</v>
      </c>
      <c r="L1" s="109" t="s">
        <v>7</v>
      </c>
    </row>
    <row r="2" spans="1:12" x14ac:dyDescent="0.3">
      <c r="A2" s="92"/>
      <c r="B2" s="15" t="s">
        <v>9</v>
      </c>
      <c r="C2" s="8" t="s">
        <v>11</v>
      </c>
      <c r="D2" s="14" t="s">
        <v>9</v>
      </c>
      <c r="E2" s="14" t="s">
        <v>10</v>
      </c>
      <c r="F2" s="14" t="s">
        <v>11</v>
      </c>
      <c r="G2" s="111"/>
      <c r="H2" s="111"/>
      <c r="I2" s="113"/>
      <c r="J2" s="110"/>
      <c r="K2" s="109"/>
      <c r="L2" s="109"/>
    </row>
    <row r="3" spans="1:12" ht="13" customHeight="1" x14ac:dyDescent="0.3">
      <c r="A3" s="9">
        <v>1</v>
      </c>
      <c r="B3" s="10" t="s">
        <v>12</v>
      </c>
      <c r="C3" s="26" t="s">
        <v>13</v>
      </c>
      <c r="D3" s="22"/>
      <c r="E3" s="22"/>
      <c r="F3" s="26"/>
      <c r="G3" s="9"/>
      <c r="H3" s="41">
        <v>209192503.63472223</v>
      </c>
      <c r="I3" s="41">
        <v>151493487.26851851</v>
      </c>
      <c r="J3" s="42">
        <v>167884656.84606481</v>
      </c>
      <c r="K3" s="41">
        <v>377077160.48078704</v>
      </c>
      <c r="L3" s="41">
        <v>405682568.74078691</v>
      </c>
    </row>
    <row r="4" spans="1:12" x14ac:dyDescent="0.3">
      <c r="A4" s="9">
        <v>2</v>
      </c>
      <c r="B4" s="10" t="s">
        <v>15</v>
      </c>
      <c r="C4" s="26" t="s">
        <v>13</v>
      </c>
      <c r="D4" s="22"/>
      <c r="E4" s="22"/>
      <c r="F4" s="26"/>
      <c r="G4" s="9"/>
      <c r="H4" s="41">
        <v>296290003.63472211</v>
      </c>
      <c r="I4" s="41">
        <v>151493487.26851851</v>
      </c>
      <c r="J4" s="42">
        <v>167884656.84606481</v>
      </c>
      <c r="K4" s="41">
        <v>464174660.48078692</v>
      </c>
      <c r="L4" s="41">
        <v>497342318.74078703</v>
      </c>
    </row>
    <row r="5" spans="1:12" ht="26" x14ac:dyDescent="0.3">
      <c r="A5" s="9">
        <v>3</v>
      </c>
      <c r="B5" s="10" t="s">
        <v>17</v>
      </c>
      <c r="C5" s="26" t="s">
        <v>18</v>
      </c>
      <c r="D5" s="22"/>
      <c r="E5" s="22"/>
      <c r="F5" s="26"/>
      <c r="G5" s="9"/>
      <c r="H5" s="41">
        <v>483715003.63472229</v>
      </c>
      <c r="I5" s="41">
        <v>151493487.26851851</v>
      </c>
      <c r="J5" s="42">
        <v>167884656.84606481</v>
      </c>
      <c r="K5" s="41">
        <v>651599660.48078704</v>
      </c>
      <c r="L5" s="41">
        <v>694584818.74078703</v>
      </c>
    </row>
    <row r="6" spans="1:12" ht="26" x14ac:dyDescent="0.3">
      <c r="A6" s="9">
        <v>4</v>
      </c>
      <c r="B6" s="10" t="s">
        <v>20</v>
      </c>
      <c r="C6" s="26" t="s">
        <v>21</v>
      </c>
      <c r="D6" s="22" t="s">
        <v>82</v>
      </c>
      <c r="E6" s="22" t="s">
        <v>22</v>
      </c>
      <c r="F6" s="26" t="s">
        <v>21</v>
      </c>
      <c r="G6" s="9" t="s">
        <v>23</v>
      </c>
      <c r="H6" s="41">
        <v>169127331.7047222</v>
      </c>
      <c r="I6" s="41">
        <v>151493487.26851851</v>
      </c>
      <c r="J6" s="42">
        <v>167884656.84606481</v>
      </c>
      <c r="K6" s="41">
        <v>337011988.55078697</v>
      </c>
      <c r="L6" s="41">
        <v>363518744.94778699</v>
      </c>
    </row>
    <row r="7" spans="1:12" x14ac:dyDescent="0.3">
      <c r="A7" s="9">
        <v>5</v>
      </c>
      <c r="B7" s="10" t="s">
        <v>25</v>
      </c>
      <c r="C7" s="26" t="s">
        <v>13</v>
      </c>
      <c r="D7" s="22" t="s">
        <v>83</v>
      </c>
      <c r="E7" s="22" t="s">
        <v>22</v>
      </c>
      <c r="F7" s="26" t="s">
        <v>26</v>
      </c>
      <c r="G7" s="9" t="s">
        <v>23</v>
      </c>
      <c r="H7" s="41">
        <v>226585349.59472221</v>
      </c>
      <c r="I7" s="41">
        <v>151493487.26851851</v>
      </c>
      <c r="J7" s="42">
        <v>167884656.84606481</v>
      </c>
      <c r="K7" s="41">
        <v>394470006.44078702</v>
      </c>
      <c r="L7" s="41">
        <v>423986468.53678703</v>
      </c>
    </row>
    <row r="8" spans="1:12" x14ac:dyDescent="0.3">
      <c r="A8" s="9">
        <v>6</v>
      </c>
      <c r="B8" s="10" t="s">
        <v>25</v>
      </c>
      <c r="C8" s="26" t="s">
        <v>13</v>
      </c>
      <c r="D8" s="22" t="s">
        <v>83</v>
      </c>
      <c r="E8" s="22" t="s">
        <v>28</v>
      </c>
      <c r="F8" s="26" t="s">
        <v>29</v>
      </c>
      <c r="G8" s="9" t="s">
        <v>30</v>
      </c>
      <c r="H8" s="41">
        <v>208480447.39472222</v>
      </c>
      <c r="I8" s="41">
        <v>151493487.26851851</v>
      </c>
      <c r="J8" s="42">
        <v>167884656.84606481</v>
      </c>
      <c r="K8" s="41">
        <v>376365104.24078703</v>
      </c>
      <c r="L8" s="41">
        <v>404933214.316787</v>
      </c>
    </row>
    <row r="9" spans="1:12" x14ac:dyDescent="0.3">
      <c r="A9" s="9">
        <v>7</v>
      </c>
      <c r="B9" s="10" t="s">
        <v>32</v>
      </c>
      <c r="C9" s="26" t="e">
        <v>#N/A</v>
      </c>
      <c r="D9" s="22" t="s">
        <v>84</v>
      </c>
      <c r="E9" s="22" t="s">
        <v>22</v>
      </c>
      <c r="F9" s="26" t="s">
        <v>33</v>
      </c>
      <c r="G9" s="9" t="s">
        <v>23</v>
      </c>
      <c r="H9" s="41">
        <v>304223183.50472224</v>
      </c>
      <c r="I9" s="41">
        <v>151493487.26851851</v>
      </c>
      <c r="J9" s="42">
        <v>167884656.84606481</v>
      </c>
      <c r="K9" s="41">
        <v>472107840.35078704</v>
      </c>
      <c r="L9" s="41">
        <v>505691046.12778705</v>
      </c>
    </row>
    <row r="10" spans="1:12" ht="26" x14ac:dyDescent="0.3">
      <c r="A10" s="9">
        <v>8</v>
      </c>
      <c r="B10" s="10" t="s">
        <v>35</v>
      </c>
      <c r="C10" s="26" t="s">
        <v>18</v>
      </c>
      <c r="D10" s="22" t="s">
        <v>85</v>
      </c>
      <c r="E10" s="22" t="s">
        <v>36</v>
      </c>
      <c r="F10" s="26" t="s">
        <v>37</v>
      </c>
      <c r="G10" s="9" t="s">
        <v>30</v>
      </c>
      <c r="H10" s="41">
        <v>462880183.07222229</v>
      </c>
      <c r="I10" s="41">
        <v>151493487.26851851</v>
      </c>
      <c r="J10" s="42">
        <v>167884656.84606481</v>
      </c>
      <c r="K10" s="41">
        <v>630764839.91828704</v>
      </c>
      <c r="L10" s="41">
        <v>672658650.43453705</v>
      </c>
    </row>
    <row r="11" spans="1:12" x14ac:dyDescent="0.3">
      <c r="A11" s="9">
        <v>9</v>
      </c>
      <c r="B11" s="10" t="s">
        <v>39</v>
      </c>
      <c r="C11" s="26" t="s">
        <v>13</v>
      </c>
      <c r="D11" s="22" t="s">
        <v>86</v>
      </c>
      <c r="E11" s="22" t="s">
        <v>36</v>
      </c>
      <c r="F11" s="26" t="s">
        <v>33</v>
      </c>
      <c r="G11" s="9" t="s">
        <v>30</v>
      </c>
      <c r="H11" s="41">
        <v>235901826.13472223</v>
      </c>
      <c r="I11" s="41">
        <v>151493487.26851851</v>
      </c>
      <c r="J11" s="42">
        <v>167884656.84606481</v>
      </c>
      <c r="K11" s="41">
        <v>403786482.98078704</v>
      </c>
      <c r="L11" s="41">
        <v>433790950.99078703</v>
      </c>
    </row>
    <row r="12" spans="1:12" x14ac:dyDescent="0.3">
      <c r="A12" s="9">
        <v>10</v>
      </c>
      <c r="B12" s="10" t="s">
        <v>41</v>
      </c>
      <c r="C12" s="26" t="s">
        <v>13</v>
      </c>
      <c r="D12" s="22" t="s">
        <v>87</v>
      </c>
      <c r="E12" s="22" t="s">
        <v>36</v>
      </c>
      <c r="F12" s="26" t="s">
        <v>33</v>
      </c>
      <c r="G12" s="9" t="s">
        <v>30</v>
      </c>
      <c r="H12" s="41">
        <v>314573076.13472223</v>
      </c>
      <c r="I12" s="41">
        <v>151493487.26851851</v>
      </c>
      <c r="J12" s="42">
        <v>167884656.84606481</v>
      </c>
      <c r="K12" s="41">
        <v>482457732.98078704</v>
      </c>
      <c r="L12" s="41">
        <v>516583075.99078703</v>
      </c>
    </row>
    <row r="13" spans="1:12" x14ac:dyDescent="0.3">
      <c r="A13" s="9">
        <v>11</v>
      </c>
      <c r="B13" s="10" t="s">
        <v>42</v>
      </c>
      <c r="C13" s="26" t="s">
        <v>13</v>
      </c>
      <c r="D13" s="22" t="s">
        <v>88</v>
      </c>
      <c r="E13" s="22" t="s">
        <v>36</v>
      </c>
      <c r="F13" s="26" t="s">
        <v>33</v>
      </c>
      <c r="G13" s="9" t="s">
        <v>30</v>
      </c>
      <c r="H13" s="41">
        <v>248284082.98322222</v>
      </c>
      <c r="I13" s="41">
        <v>151493487.26851851</v>
      </c>
      <c r="J13" s="42">
        <v>167884656.84606481</v>
      </c>
      <c r="K13" s="41">
        <v>416168739.82928705</v>
      </c>
      <c r="L13" s="41">
        <v>446821802.24563706</v>
      </c>
    </row>
    <row r="14" spans="1:12" x14ac:dyDescent="0.3">
      <c r="A14" s="9">
        <v>12</v>
      </c>
      <c r="B14" s="10" t="s">
        <v>43</v>
      </c>
      <c r="C14" s="26" t="s">
        <v>13</v>
      </c>
      <c r="D14" s="22" t="s">
        <v>89</v>
      </c>
      <c r="E14" s="22" t="s">
        <v>36</v>
      </c>
      <c r="F14" s="26" t="s">
        <v>33</v>
      </c>
      <c r="G14" s="9" t="s">
        <v>30</v>
      </c>
      <c r="H14" s="41">
        <v>254782926.13472223</v>
      </c>
      <c r="I14" s="41">
        <v>151493487.26851851</v>
      </c>
      <c r="J14" s="42">
        <v>167884656.84606481</v>
      </c>
      <c r="K14" s="41">
        <v>422667582.98078704</v>
      </c>
      <c r="L14" s="41">
        <v>453661060.99078703</v>
      </c>
    </row>
    <row r="15" spans="1:12" x14ac:dyDescent="0.3">
      <c r="A15" s="9">
        <v>13</v>
      </c>
      <c r="B15" s="10" t="s">
        <v>44</v>
      </c>
      <c r="C15" s="26" t="s">
        <v>13</v>
      </c>
      <c r="D15" s="22" t="s">
        <v>90</v>
      </c>
      <c r="E15" s="22" t="s">
        <v>36</v>
      </c>
      <c r="F15" s="26" t="s">
        <v>33</v>
      </c>
      <c r="G15" s="9" t="s">
        <v>30</v>
      </c>
      <c r="H15" s="41">
        <v>333454176.13472223</v>
      </c>
      <c r="I15" s="41">
        <v>151493487.26851851</v>
      </c>
      <c r="J15" s="42">
        <v>167884656.84606481</v>
      </c>
      <c r="K15" s="41">
        <v>501338832.98078704</v>
      </c>
      <c r="L15" s="41">
        <v>536453185.99078703</v>
      </c>
    </row>
    <row r="16" spans="1:12" x14ac:dyDescent="0.3">
      <c r="A16" s="9">
        <v>14</v>
      </c>
      <c r="B16" s="10" t="s">
        <v>45</v>
      </c>
      <c r="C16" s="26" t="s">
        <v>13</v>
      </c>
      <c r="D16" s="22" t="s">
        <v>91</v>
      </c>
      <c r="E16" s="22" t="s">
        <v>36</v>
      </c>
      <c r="F16" s="26" t="s">
        <v>46</v>
      </c>
      <c r="G16" s="9" t="s">
        <v>30</v>
      </c>
      <c r="H16" s="41">
        <v>299302986.50972223</v>
      </c>
      <c r="I16" s="41">
        <v>151493487.26851851</v>
      </c>
      <c r="J16" s="42">
        <v>167884656.84606481</v>
      </c>
      <c r="K16" s="41">
        <v>467187643.35578704</v>
      </c>
      <c r="L16" s="41">
        <v>500513124.52828705</v>
      </c>
    </row>
    <row r="17" spans="1:12" x14ac:dyDescent="0.3">
      <c r="A17" s="9">
        <v>15</v>
      </c>
      <c r="B17" s="10" t="s">
        <v>47</v>
      </c>
      <c r="C17" s="26" t="s">
        <v>13</v>
      </c>
      <c r="D17" s="22" t="s">
        <v>92</v>
      </c>
      <c r="E17" s="22" t="s">
        <v>36</v>
      </c>
      <c r="F17" s="26" t="s">
        <v>46</v>
      </c>
      <c r="G17" s="9" t="s">
        <v>30</v>
      </c>
      <c r="H17" s="41">
        <v>317173160.94722223</v>
      </c>
      <c r="I17" s="41">
        <v>151493487.26851851</v>
      </c>
      <c r="J17" s="42">
        <v>167884656.84606481</v>
      </c>
      <c r="K17" s="41">
        <v>485057817.79328704</v>
      </c>
      <c r="L17" s="41">
        <v>519319355.72203702</v>
      </c>
    </row>
    <row r="18" spans="1:12" x14ac:dyDescent="0.3">
      <c r="A18" s="9">
        <v>16</v>
      </c>
      <c r="B18" s="10" t="s">
        <v>48</v>
      </c>
      <c r="C18" s="26" t="s">
        <v>13</v>
      </c>
      <c r="D18" s="22" t="s">
        <v>93</v>
      </c>
      <c r="E18" s="22" t="s">
        <v>36</v>
      </c>
      <c r="F18" s="26" t="s">
        <v>46</v>
      </c>
      <c r="G18" s="9" t="s">
        <v>30</v>
      </c>
      <c r="H18" s="41">
        <v>367609771.34972227</v>
      </c>
      <c r="I18" s="41">
        <v>151493487.26851851</v>
      </c>
      <c r="J18" s="42">
        <v>167884656.84606481</v>
      </c>
      <c r="K18" s="41">
        <v>535494428.19578707</v>
      </c>
      <c r="L18" s="41">
        <v>572397883.81228709</v>
      </c>
    </row>
    <row r="19" spans="1:12" x14ac:dyDescent="0.3">
      <c r="A19" s="9">
        <v>17</v>
      </c>
      <c r="B19" s="10" t="s">
        <v>49</v>
      </c>
      <c r="C19" s="26" t="s">
        <v>13</v>
      </c>
      <c r="D19" s="22" t="s">
        <v>94</v>
      </c>
      <c r="E19" s="22" t="s">
        <v>36</v>
      </c>
      <c r="F19" s="26" t="s">
        <v>46</v>
      </c>
      <c r="G19" s="9" t="s">
        <v>30</v>
      </c>
      <c r="H19" s="41">
        <v>382538899.77722228</v>
      </c>
      <c r="I19" s="41">
        <v>151493487.26851851</v>
      </c>
      <c r="J19" s="42">
        <v>167884656.84606481</v>
      </c>
      <c r="K19" s="41">
        <v>550423556.62328708</v>
      </c>
      <c r="L19" s="41">
        <v>588109014.20503712</v>
      </c>
    </row>
    <row r="20" spans="1:12" x14ac:dyDescent="0.3">
      <c r="A20" s="9">
        <v>18</v>
      </c>
      <c r="B20" s="10" t="s">
        <v>50</v>
      </c>
      <c r="C20" s="26" t="s">
        <v>13</v>
      </c>
      <c r="D20" s="22" t="s">
        <v>95</v>
      </c>
      <c r="E20" s="22" t="s">
        <v>36</v>
      </c>
      <c r="F20" s="26" t="s">
        <v>46</v>
      </c>
      <c r="G20" s="9" t="s">
        <v>30</v>
      </c>
      <c r="H20" s="41">
        <v>464540901.69122225</v>
      </c>
      <c r="I20" s="41">
        <v>151493487.26851851</v>
      </c>
      <c r="J20" s="42">
        <v>167884656.84606481</v>
      </c>
      <c r="K20" s="41">
        <v>632425558.537287</v>
      </c>
      <c r="L20" s="41">
        <v>674406359.076437</v>
      </c>
    </row>
    <row r="21" spans="1:12" x14ac:dyDescent="0.3">
      <c r="A21" s="9">
        <v>19</v>
      </c>
      <c r="B21" s="10" t="s">
        <v>51</v>
      </c>
      <c r="C21" s="26" t="s">
        <v>13</v>
      </c>
      <c r="D21" s="22" t="s">
        <v>96</v>
      </c>
      <c r="E21" s="22" t="s">
        <v>36</v>
      </c>
      <c r="F21" s="26" t="s">
        <v>46</v>
      </c>
      <c r="G21" s="9" t="s">
        <v>30</v>
      </c>
      <c r="H21" s="41">
        <v>503809907.87672228</v>
      </c>
      <c r="I21" s="41">
        <v>151493487.26851851</v>
      </c>
      <c r="J21" s="42">
        <v>167884656.84606481</v>
      </c>
      <c r="K21" s="41">
        <v>671694564.72278714</v>
      </c>
      <c r="L21" s="41">
        <v>715732313.20498717</v>
      </c>
    </row>
    <row r="22" spans="1:12" x14ac:dyDescent="0.3">
      <c r="A22" s="9">
        <v>20</v>
      </c>
      <c r="B22" s="10" t="s">
        <v>52</v>
      </c>
      <c r="C22" s="26" t="s">
        <v>13</v>
      </c>
      <c r="D22" s="22" t="s">
        <v>97</v>
      </c>
      <c r="E22" s="22" t="s">
        <v>36</v>
      </c>
      <c r="F22" s="26" t="s">
        <v>46</v>
      </c>
      <c r="G22" s="9" t="s">
        <v>30</v>
      </c>
      <c r="H22" s="41">
        <v>499883205.50972229</v>
      </c>
      <c r="I22" s="41">
        <v>151493487.26851851</v>
      </c>
      <c r="J22" s="42">
        <v>167884656.84606481</v>
      </c>
      <c r="K22" s="41">
        <v>667767862.35578704</v>
      </c>
      <c r="L22" s="41">
        <v>711599926.42828703</v>
      </c>
    </row>
    <row r="23" spans="1:12" x14ac:dyDescent="0.3">
      <c r="A23" s="9">
        <v>21</v>
      </c>
      <c r="B23" s="10" t="s">
        <v>53</v>
      </c>
      <c r="C23" s="26" t="s">
        <v>13</v>
      </c>
      <c r="D23" s="22" t="s">
        <v>98</v>
      </c>
      <c r="E23" s="22" t="s">
        <v>36</v>
      </c>
      <c r="F23" s="26" t="s">
        <v>46</v>
      </c>
      <c r="G23" s="9" t="s">
        <v>30</v>
      </c>
      <c r="H23" s="41">
        <v>542225425.4052223</v>
      </c>
      <c r="I23" s="41">
        <v>151493487.26851851</v>
      </c>
      <c r="J23" s="42">
        <v>167884656.84606481</v>
      </c>
      <c r="K23" s="41">
        <v>710110082.2512871</v>
      </c>
      <c r="L23" s="41">
        <v>756160072.12783706</v>
      </c>
    </row>
    <row r="24" spans="1:12" x14ac:dyDescent="0.3">
      <c r="A24" s="9">
        <v>22</v>
      </c>
      <c r="B24" s="10" t="s">
        <v>54</v>
      </c>
      <c r="C24" s="26" t="s">
        <v>13</v>
      </c>
      <c r="D24" s="22" t="s">
        <v>99</v>
      </c>
      <c r="E24" s="22" t="s">
        <v>36</v>
      </c>
      <c r="F24" s="26" t="s">
        <v>46</v>
      </c>
      <c r="G24" s="9" t="s">
        <v>30</v>
      </c>
      <c r="H24" s="41">
        <v>536534284.2432223</v>
      </c>
      <c r="I24" s="41">
        <v>151493487.26851851</v>
      </c>
      <c r="J24" s="42">
        <v>167884656.84606481</v>
      </c>
      <c r="K24" s="41">
        <v>704418941.08928704</v>
      </c>
      <c r="L24" s="41">
        <v>750170823.57163703</v>
      </c>
    </row>
    <row r="25" spans="1:12" x14ac:dyDescent="0.3">
      <c r="A25" s="9">
        <v>23</v>
      </c>
      <c r="B25" s="10" t="s">
        <v>55</v>
      </c>
      <c r="C25" s="26" t="s">
        <v>13</v>
      </c>
      <c r="D25" s="22" t="s">
        <v>100</v>
      </c>
      <c r="E25" s="22" t="s">
        <v>36</v>
      </c>
      <c r="F25" s="26" t="s">
        <v>46</v>
      </c>
      <c r="G25" s="9" t="s">
        <v>30</v>
      </c>
      <c r="H25" s="41">
        <v>582063570.88172221</v>
      </c>
      <c r="I25" s="41">
        <v>151493487.26851851</v>
      </c>
      <c r="J25" s="42">
        <v>167884656.84606481</v>
      </c>
      <c r="K25" s="41">
        <v>749948227.72778702</v>
      </c>
      <c r="L25" s="41">
        <v>798084977.60548699</v>
      </c>
    </row>
    <row r="26" spans="1:12" x14ac:dyDescent="0.3">
      <c r="A26" s="9">
        <v>24</v>
      </c>
      <c r="B26" s="10" t="s">
        <v>56</v>
      </c>
      <c r="C26" s="26" t="s">
        <v>13</v>
      </c>
      <c r="D26" s="22" t="s">
        <v>101</v>
      </c>
      <c r="E26" s="22" t="s">
        <v>36</v>
      </c>
      <c r="F26" s="26" t="s">
        <v>46</v>
      </c>
      <c r="G26" s="9" t="s">
        <v>30</v>
      </c>
      <c r="H26" s="41">
        <v>553398819.8262223</v>
      </c>
      <c r="I26" s="41">
        <v>151493487.26851851</v>
      </c>
      <c r="J26" s="42">
        <v>167884656.84606481</v>
      </c>
      <c r="K26" s="41">
        <v>721283476.67228711</v>
      </c>
      <c r="L26" s="41">
        <v>767918739.58993709</v>
      </c>
    </row>
    <row r="27" spans="1:12" x14ac:dyDescent="0.3">
      <c r="A27" s="9">
        <v>25</v>
      </c>
      <c r="B27" s="10" t="s">
        <v>57</v>
      </c>
      <c r="C27" s="26" t="s">
        <v>13</v>
      </c>
      <c r="D27" s="22" t="s">
        <v>102</v>
      </c>
      <c r="E27" s="22" t="s">
        <v>36</v>
      </c>
      <c r="F27" s="26" t="s">
        <v>46</v>
      </c>
      <c r="G27" s="9" t="s">
        <v>30</v>
      </c>
      <c r="H27" s="41">
        <v>697230036.13472235</v>
      </c>
      <c r="I27" s="41">
        <v>151493487.26851851</v>
      </c>
      <c r="J27" s="42">
        <v>167884656.84606481</v>
      </c>
      <c r="K27" s="41">
        <v>865114692.98078716</v>
      </c>
      <c r="L27" s="41">
        <v>919283971.99078715</v>
      </c>
    </row>
    <row r="28" spans="1:12" x14ac:dyDescent="0.3">
      <c r="A28" s="9">
        <v>26</v>
      </c>
      <c r="B28" s="10" t="s">
        <v>58</v>
      </c>
      <c r="C28" s="26" t="s">
        <v>13</v>
      </c>
      <c r="D28" s="22" t="s">
        <v>103</v>
      </c>
      <c r="E28" s="22" t="s">
        <v>36</v>
      </c>
      <c r="F28" s="26" t="s">
        <v>46</v>
      </c>
      <c r="G28" s="9" t="s">
        <v>30</v>
      </c>
      <c r="H28" s="41">
        <v>600394570.03322232</v>
      </c>
      <c r="I28" s="41">
        <v>151493487.26851851</v>
      </c>
      <c r="J28" s="42">
        <v>167884656.84606481</v>
      </c>
      <c r="K28" s="41">
        <v>768279226.87928712</v>
      </c>
      <c r="L28" s="41">
        <v>817376171.9506371</v>
      </c>
    </row>
    <row r="29" spans="1:12" x14ac:dyDescent="0.3">
      <c r="A29" s="9">
        <v>27</v>
      </c>
      <c r="B29" s="10" t="s">
        <v>59</v>
      </c>
      <c r="C29" s="26" t="s">
        <v>13</v>
      </c>
      <c r="D29" s="22" t="s">
        <v>104</v>
      </c>
      <c r="E29" s="22" t="s">
        <v>36</v>
      </c>
      <c r="F29" s="26" t="s">
        <v>46</v>
      </c>
      <c r="G29" s="9" t="s">
        <v>30</v>
      </c>
      <c r="H29" s="41">
        <v>594077960.96522224</v>
      </c>
      <c r="I29" s="41">
        <v>151493487.26851851</v>
      </c>
      <c r="J29" s="42">
        <v>167884656.84606481</v>
      </c>
      <c r="K29" s="41">
        <v>761962617.81128705</v>
      </c>
      <c r="L29" s="41">
        <v>810728692.88383698</v>
      </c>
    </row>
    <row r="30" spans="1:12" x14ac:dyDescent="0.3">
      <c r="A30" s="9">
        <v>28</v>
      </c>
      <c r="B30" s="10" t="s">
        <v>60</v>
      </c>
      <c r="C30" s="26" t="s">
        <v>13</v>
      </c>
      <c r="D30" s="22" t="s">
        <v>105</v>
      </c>
      <c r="E30" s="22" t="s">
        <v>36</v>
      </c>
      <c r="F30" s="26" t="s">
        <v>46</v>
      </c>
      <c r="G30" s="9" t="s">
        <v>30</v>
      </c>
      <c r="H30" s="41">
        <v>644611022.32022238</v>
      </c>
      <c r="I30" s="41">
        <v>151493487.26851851</v>
      </c>
      <c r="J30" s="42">
        <v>167884656.84606481</v>
      </c>
      <c r="K30" s="41">
        <v>812495679.16628718</v>
      </c>
      <c r="L30" s="41">
        <v>863908724.1193372</v>
      </c>
    </row>
    <row r="31" spans="1:12" ht="26" x14ac:dyDescent="0.3">
      <c r="A31" s="9">
        <v>29</v>
      </c>
      <c r="B31" s="10" t="s">
        <v>61</v>
      </c>
      <c r="C31" s="26" t="s">
        <v>62</v>
      </c>
      <c r="D31" s="22" t="s">
        <v>106</v>
      </c>
      <c r="E31" s="22" t="s">
        <v>22</v>
      </c>
      <c r="F31" s="26" t="s">
        <v>63</v>
      </c>
      <c r="G31" s="9" t="s">
        <v>23</v>
      </c>
      <c r="H31" s="41">
        <v>1446508540.9347224</v>
      </c>
      <c r="I31" s="41">
        <v>151493487.26851851</v>
      </c>
      <c r="J31" s="42">
        <v>167884656.84606481</v>
      </c>
      <c r="K31" s="41">
        <v>1614393197.7807872</v>
      </c>
      <c r="L31" s="41">
        <v>1707810398.4707873</v>
      </c>
    </row>
    <row r="32" spans="1:12" ht="26" x14ac:dyDescent="0.3">
      <c r="A32" s="9">
        <v>30</v>
      </c>
      <c r="B32" s="10" t="s">
        <v>64</v>
      </c>
      <c r="C32" s="26" t="s">
        <v>65</v>
      </c>
      <c r="D32" s="22" t="s">
        <v>107</v>
      </c>
      <c r="E32" s="22" t="s">
        <v>22</v>
      </c>
      <c r="F32" s="26" t="s">
        <v>66</v>
      </c>
      <c r="G32" s="9" t="s">
        <v>23</v>
      </c>
      <c r="H32" s="41">
        <v>1605097468.2147224</v>
      </c>
      <c r="I32" s="41">
        <v>151493487.26851851</v>
      </c>
      <c r="J32" s="42">
        <v>167884656.84606481</v>
      </c>
      <c r="K32" s="41">
        <v>1772982125.0607872</v>
      </c>
      <c r="L32" s="41">
        <v>1874706364.7987871</v>
      </c>
    </row>
    <row r="33" spans="1:12" ht="26" x14ac:dyDescent="0.3">
      <c r="A33" s="9">
        <v>31</v>
      </c>
      <c r="B33" s="10" t="s">
        <v>67</v>
      </c>
      <c r="C33" s="26" t="s">
        <v>62</v>
      </c>
      <c r="D33" s="22" t="s">
        <v>108</v>
      </c>
      <c r="E33" s="22" t="s">
        <v>68</v>
      </c>
      <c r="F33" s="26" t="s">
        <v>63</v>
      </c>
      <c r="G33" s="9" t="s">
        <v>69</v>
      </c>
      <c r="H33" s="41">
        <v>1204077028.8147223</v>
      </c>
      <c r="I33" s="41">
        <v>151493487.26851851</v>
      </c>
      <c r="J33" s="42">
        <v>167884656.84606481</v>
      </c>
      <c r="K33" s="41">
        <v>1371961685.6607871</v>
      </c>
      <c r="L33" s="41">
        <v>1452680092.8587871</v>
      </c>
    </row>
    <row r="34" spans="1:12" ht="26" x14ac:dyDescent="0.3">
      <c r="A34" s="9">
        <v>32</v>
      </c>
      <c r="B34" s="10" t="s">
        <v>70</v>
      </c>
      <c r="C34" s="26" t="s">
        <v>62</v>
      </c>
      <c r="D34" s="22" t="s">
        <v>109</v>
      </c>
      <c r="E34" s="22" t="s">
        <v>68</v>
      </c>
      <c r="F34" s="26" t="s">
        <v>63</v>
      </c>
      <c r="G34" s="9" t="s">
        <v>69</v>
      </c>
      <c r="H34" s="41">
        <v>1384013579.1747224</v>
      </c>
      <c r="I34" s="41">
        <v>151493487.26851851</v>
      </c>
      <c r="J34" s="42">
        <v>167884656.84606481</v>
      </c>
      <c r="K34" s="41">
        <v>1551898236.0207872</v>
      </c>
      <c r="L34" s="41">
        <v>1642041891.0947874</v>
      </c>
    </row>
    <row r="35" spans="1:12" ht="26" x14ac:dyDescent="0.3">
      <c r="A35" s="9">
        <v>33</v>
      </c>
      <c r="B35" s="10" t="s">
        <v>71</v>
      </c>
      <c r="C35" s="26" t="s">
        <v>62</v>
      </c>
      <c r="D35" s="22" t="s">
        <v>110</v>
      </c>
      <c r="E35" s="22" t="s">
        <v>68</v>
      </c>
      <c r="F35" s="26" t="s">
        <v>63</v>
      </c>
      <c r="G35" s="9" t="s">
        <v>69</v>
      </c>
      <c r="H35" s="41">
        <v>1520866902.9147222</v>
      </c>
      <c r="I35" s="41">
        <v>151493487.26851851</v>
      </c>
      <c r="J35" s="42">
        <v>167884656.84606481</v>
      </c>
      <c r="K35" s="41">
        <v>1688751559.760787</v>
      </c>
      <c r="L35" s="41">
        <v>1786063722.2687869</v>
      </c>
    </row>
    <row r="36" spans="1:12" ht="26" x14ac:dyDescent="0.3">
      <c r="A36" s="9">
        <v>34</v>
      </c>
      <c r="B36" s="10" t="s">
        <v>72</v>
      </c>
      <c r="C36" s="26" t="s">
        <v>65</v>
      </c>
      <c r="D36" s="22" t="s">
        <v>111</v>
      </c>
      <c r="E36" s="22" t="s">
        <v>68</v>
      </c>
      <c r="F36" s="26" t="s">
        <v>66</v>
      </c>
      <c r="G36" s="9" t="s">
        <v>69</v>
      </c>
      <c r="H36" s="41">
        <v>1710940604.3547225</v>
      </c>
      <c r="I36" s="41">
        <v>151493487.26851851</v>
      </c>
      <c r="J36" s="42">
        <v>167884656.84606481</v>
      </c>
      <c r="K36" s="41">
        <v>1878825261.2007873</v>
      </c>
      <c r="L36" s="41">
        <v>1986093665.2127874</v>
      </c>
    </row>
    <row r="37" spans="1:12" ht="26" x14ac:dyDescent="0.3">
      <c r="A37" s="9">
        <v>35</v>
      </c>
      <c r="B37" s="10" t="s">
        <v>73</v>
      </c>
      <c r="C37" s="26" t="s">
        <v>65</v>
      </c>
      <c r="D37" s="22" t="s">
        <v>112</v>
      </c>
      <c r="E37" s="22" t="s">
        <v>68</v>
      </c>
      <c r="F37" s="26" t="s">
        <v>66</v>
      </c>
      <c r="G37" s="9" t="s">
        <v>69</v>
      </c>
      <c r="H37" s="41">
        <v>1812313453.2747226</v>
      </c>
      <c r="I37" s="41">
        <v>151493487.26851851</v>
      </c>
      <c r="J37" s="42">
        <v>167884656.84606481</v>
      </c>
      <c r="K37" s="41">
        <v>1980198110.1207874</v>
      </c>
      <c r="L37" s="41">
        <v>2092776520.5047874</v>
      </c>
    </row>
    <row r="38" spans="1:12" ht="26" x14ac:dyDescent="0.3">
      <c r="A38" s="9">
        <v>36</v>
      </c>
      <c r="B38" s="10" t="s">
        <v>74</v>
      </c>
      <c r="C38" s="26" t="s">
        <v>62</v>
      </c>
      <c r="D38" s="22" t="s">
        <v>113</v>
      </c>
      <c r="E38" s="22" t="s">
        <v>22</v>
      </c>
      <c r="F38" s="26" t="s">
        <v>63</v>
      </c>
      <c r="G38" s="9" t="s">
        <v>23</v>
      </c>
      <c r="H38" s="41">
        <v>1795639288.6347225</v>
      </c>
      <c r="I38" s="41">
        <v>151493487.26851851</v>
      </c>
      <c r="J38" s="42">
        <v>167884656.84606481</v>
      </c>
      <c r="K38" s="41">
        <v>1963523945.4807873</v>
      </c>
      <c r="L38" s="41">
        <v>2075228947.2407873</v>
      </c>
    </row>
    <row r="39" spans="1:12" ht="26" x14ac:dyDescent="0.3">
      <c r="A39" s="9">
        <v>37</v>
      </c>
      <c r="B39" s="10" t="s">
        <v>75</v>
      </c>
      <c r="C39" s="26" t="s">
        <v>65</v>
      </c>
      <c r="D39" s="22" t="s">
        <v>114</v>
      </c>
      <c r="E39" s="22" t="s">
        <v>22</v>
      </c>
      <c r="F39" s="26" t="s">
        <v>66</v>
      </c>
      <c r="G39" s="9" t="s">
        <v>23</v>
      </c>
      <c r="H39" s="41">
        <v>2133235813.6347225</v>
      </c>
      <c r="I39" s="41">
        <v>151493487.26851851</v>
      </c>
      <c r="J39" s="42">
        <v>167884656.84606481</v>
      </c>
      <c r="K39" s="41">
        <v>2301120470.4807873</v>
      </c>
      <c r="L39" s="41">
        <v>2430509099.7407875</v>
      </c>
    </row>
    <row r="40" spans="1:12" ht="26" x14ac:dyDescent="0.3">
      <c r="A40" s="9">
        <v>38</v>
      </c>
      <c r="B40" s="10" t="s">
        <v>76</v>
      </c>
      <c r="C40" s="26" t="s">
        <v>65</v>
      </c>
      <c r="D40" s="22" t="s">
        <v>115</v>
      </c>
      <c r="E40" s="22" t="s">
        <v>68</v>
      </c>
      <c r="F40" s="26" t="s">
        <v>66</v>
      </c>
      <c r="G40" s="9" t="s">
        <v>69</v>
      </c>
      <c r="H40" s="41">
        <v>2521922503.6347222</v>
      </c>
      <c r="I40" s="41">
        <v>151493487.26851851</v>
      </c>
      <c r="J40" s="42">
        <v>167884656.84606481</v>
      </c>
      <c r="K40" s="41">
        <v>2689807160.4807873</v>
      </c>
      <c r="L40" s="41">
        <v>2839555568.7407875</v>
      </c>
    </row>
    <row r="41" spans="1:12" ht="26" x14ac:dyDescent="0.3">
      <c r="A41" s="9">
        <v>39</v>
      </c>
      <c r="B41" s="10" t="s">
        <v>77</v>
      </c>
      <c r="C41" s="26" t="s">
        <v>65</v>
      </c>
      <c r="D41" s="22" t="s">
        <v>116</v>
      </c>
      <c r="E41" s="22" t="s">
        <v>68</v>
      </c>
      <c r="F41" s="26" t="s">
        <v>66</v>
      </c>
      <c r="G41" s="9" t="s">
        <v>69</v>
      </c>
      <c r="H41" s="41">
        <v>2559937377.7347226</v>
      </c>
      <c r="I41" s="41">
        <v>151493487.26851851</v>
      </c>
      <c r="J41" s="42">
        <v>167884656.84606481</v>
      </c>
      <c r="K41" s="41">
        <v>2727822034.5807877</v>
      </c>
      <c r="L41" s="41">
        <v>2879561698.1507878</v>
      </c>
    </row>
    <row r="42" spans="1:12" x14ac:dyDescent="0.3">
      <c r="A42" s="9">
        <v>40</v>
      </c>
      <c r="B42" s="16" t="s">
        <v>78</v>
      </c>
      <c r="C42" s="27" t="s">
        <v>79</v>
      </c>
      <c r="D42" s="23"/>
      <c r="E42" s="23"/>
      <c r="F42" s="27" t="e">
        <v>#N/A</v>
      </c>
      <c r="G42" s="9"/>
      <c r="H42" s="41">
        <v>1066937503.6347224</v>
      </c>
      <c r="I42" s="41">
        <v>151493487.26851851</v>
      </c>
      <c r="J42" s="42">
        <v>167884656.84606481</v>
      </c>
      <c r="K42" s="41">
        <v>1234822160.4807873</v>
      </c>
      <c r="L42" s="41">
        <v>1308357068.7407873</v>
      </c>
    </row>
    <row r="43" spans="1:12" ht="26" x14ac:dyDescent="0.3">
      <c r="A43" s="9">
        <v>41</v>
      </c>
      <c r="B43" s="16" t="s">
        <v>80</v>
      </c>
      <c r="C43" s="27" t="s">
        <v>62</v>
      </c>
      <c r="D43" s="23"/>
      <c r="E43" s="23"/>
      <c r="F43" s="27" t="e">
        <v>#N/A</v>
      </c>
      <c r="G43" s="9"/>
      <c r="H43" s="41">
        <v>1126472503.6347225</v>
      </c>
      <c r="I43" s="41">
        <v>151493487.26851851</v>
      </c>
      <c r="J43" s="42">
        <v>167884656.84606481</v>
      </c>
      <c r="K43" s="41">
        <v>1294357160.4807873</v>
      </c>
      <c r="L43" s="41">
        <v>1371010568.7407873</v>
      </c>
    </row>
    <row r="44" spans="1:12" ht="26" x14ac:dyDescent="0.3">
      <c r="A44" s="9">
        <v>42</v>
      </c>
      <c r="B44" s="16"/>
      <c r="C44" s="27" t="s">
        <v>62</v>
      </c>
      <c r="D44" s="23" t="s">
        <v>81</v>
      </c>
      <c r="E44" s="23" t="s">
        <v>68</v>
      </c>
      <c r="F44" s="27" t="s">
        <v>66</v>
      </c>
      <c r="G44" s="9" t="s">
        <v>69</v>
      </c>
      <c r="H44" s="41">
        <v>2738207299.6347222</v>
      </c>
      <c r="I44" s="41">
        <v>151493487.26851851</v>
      </c>
      <c r="J44" s="42">
        <v>167884656.84606481</v>
      </c>
      <c r="K44" s="41">
        <v>2906091956.4807873</v>
      </c>
      <c r="L44" s="41">
        <v>3067169568.3407874</v>
      </c>
    </row>
  </sheetData>
  <mergeCells count="9">
    <mergeCell ref="A1:A2"/>
    <mergeCell ref="B1:C1"/>
    <mergeCell ref="D1:F1"/>
    <mergeCell ref="L1:L2"/>
    <mergeCell ref="J1:J2"/>
    <mergeCell ref="G1:G2"/>
    <mergeCell ref="K1:K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9C62-BA51-489E-A9A2-7C238A097C6F}">
  <dimension ref="A1"/>
  <sheetViews>
    <sheetView workbookViewId="0">
      <selection activeCell="C16" sqref="C16"/>
    </sheetView>
  </sheetViews>
  <sheetFormatPr defaultRowHeight="13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5AF290B116B43A61557A42A44849B" ma:contentTypeVersion="11" ma:contentTypeDescription="Create a new document." ma:contentTypeScope="" ma:versionID="d21f6e2178d2606ac0247e43e5ddeea5">
  <xsd:schema xmlns:xsd="http://www.w3.org/2001/XMLSchema" xmlns:xs="http://www.w3.org/2001/XMLSchema" xmlns:p="http://schemas.microsoft.com/office/2006/metadata/properties" xmlns:ns2="d0213791-4632-4888-a8e5-b167e4009b5e" xmlns:ns3="cb7f7ec3-fe2b-42ce-9496-97b07a2c97e0" targetNamespace="http://schemas.microsoft.com/office/2006/metadata/properties" ma:root="true" ma:fieldsID="60dcc239f16824168296c8502ce9192b" ns2:_="" ns3:_="">
    <xsd:import namespace="d0213791-4632-4888-a8e5-b167e4009b5e"/>
    <xsd:import namespace="cb7f7ec3-fe2b-42ce-9496-97b07a2c97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13791-4632-4888-a8e5-b167e4009b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d70072-a3df-4736-b7f9-36b300da3e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f7ec3-fe2b-42ce-9496-97b07a2c97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4747fa3-9927-4619-8d79-e8e25ccf4ee0}" ma:internalName="TaxCatchAll" ma:showField="CatchAllData" ma:web="cb7f7ec3-fe2b-42ce-9496-97b07a2c97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7f7ec3-fe2b-42ce-9496-97b07a2c97e0" xsi:nil="true"/>
    <lcf76f155ced4ddcb4097134ff3c332f xmlns="d0213791-4632-4888-a8e5-b167e4009b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A9E8C3-6019-4E85-A1B4-FB13A31594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627D13-352D-436F-91B4-0FFEAB908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213791-4632-4888-a8e5-b167e4009b5e"/>
    <ds:schemaRef ds:uri="cb7f7ec3-fe2b-42ce-9496-97b07a2c97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97CB66-C1B7-4D3B-8242-E7CD21B5AA8E}">
  <ds:schemaRefs>
    <ds:schemaRef ds:uri="http://schemas.microsoft.com/office/2006/metadata/properties"/>
    <ds:schemaRef ds:uri="http://schemas.microsoft.com/office/infopath/2007/PartnerControls"/>
    <ds:schemaRef ds:uri="cb7f7ec3-fe2b-42ce-9496-97b07a2c97e0"/>
    <ds:schemaRef ds:uri="d0213791-4632-4888-a8e5-b167e4009b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25.06</vt:lpstr>
      <vt:lpstr>Sheet1</vt:lpstr>
      <vt:lpstr>Sheet2</vt:lpstr>
      <vt:lpstr>'25.06'!Print_Area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Zajuba Sakina - UTPE</dc:creator>
  <cp:lastModifiedBy>Product Marketing</cp:lastModifiedBy>
  <dcterms:created xsi:type="dcterms:W3CDTF">2026-06-25T07:23:47Z</dcterms:created>
  <dcterms:modified xsi:type="dcterms:W3CDTF">2026-09-29T14:57:23Z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0x01010006E5AF290B116B43A61557A42A44849B</vt:lpwstr>
  </property>
</Properties>
</file>